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mt\Documents\3000_a_month\Data Analyst\Personal projects\Portfoilo projects\Excel\"/>
    </mc:Choice>
  </mc:AlternateContent>
  <xr:revisionPtr revIDLastSave="0" documentId="13_ncr:1_{E1683251-90CE-4E39-8F58-006DD83375EE}" xr6:coauthVersionLast="47" xr6:coauthVersionMax="47" xr10:uidLastSave="{00000000-0000-0000-0000-000000000000}"/>
  <bookViews>
    <workbookView xWindow="-120" yWindow="-120" windowWidth="27930" windowHeight="16440" activeTab="3" xr2:uid="{0D2E59D4-E638-4E10-98F6-28817EED637D}"/>
  </bookViews>
  <sheets>
    <sheet name="Quotation" sheetId="3" r:id="rId1"/>
    <sheet name="Summary" sheetId="32" r:id="rId2"/>
    <sheet name="prices" sheetId="13" r:id="rId3"/>
    <sheet name="recipes" sheetId="33" r:id="rId4"/>
    <sheet name="dim_price_recipe" sheetId="34" r:id="rId5"/>
    <sheet name="table_cate_order" sheetId="30" r:id="rId6"/>
    <sheet name="dropdown_1" sheetId="20" r:id="rId7"/>
    <sheet name="dropdown_2" sheetId="21" r:id="rId8"/>
    <sheet name="table_form" sheetId="28" r:id="rId9"/>
  </sheets>
  <definedNames>
    <definedName name="_xlnm._FilterDatabase" localSheetId="2" hidden="1">prices!$C$9:$Y$1097</definedName>
    <definedName name="_xlnm._FilterDatabase" localSheetId="0" hidden="1">Quotation!$AA$1:$AA$1001</definedName>
    <definedName name="Electrical.Total">#REF!</definedName>
    <definedName name="ExternalData_1" localSheetId="6" hidden="1">dropdown_1!$A$1:$AK$44</definedName>
    <definedName name="ExternalData_1" localSheetId="7" hidden="1">dropdown_2!$A$1:$AZ$150</definedName>
    <definedName name="ExternalData_1" localSheetId="8" hidden="1">table_form!$A$1:$E$1095</definedName>
    <definedName name="ExternalData_10" localSheetId="1" hidden="1">Summary!$B$14:$E$21</definedName>
    <definedName name="ExternalData_13" localSheetId="1" hidden="1">Summary!$B$25:$E$26</definedName>
    <definedName name="ExternalData_14" localSheetId="1" hidden="1">Summary!$B$37:$E$61</definedName>
    <definedName name="ExternalData_15" localSheetId="4" hidden="1">dim_price_recipe!$A$1:$K$1133</definedName>
    <definedName name="ExternalData_3" localSheetId="5" hidden="1">table_cate_order!$A$1:$A$44</definedName>
    <definedName name="ExternalData_6" localSheetId="1" hidden="1">Summary!$B$31:$D$32</definedName>
    <definedName name="ExternalData_8" localSheetId="1" hidden="1">Summary!$H$3:$K$18</definedName>
    <definedName name="ExternalData_9" localSheetId="1" hidden="1">Summary!$B$3:$E$10</definedName>
    <definedName name="Insulation.Total">#REF!</definedName>
    <definedName name="RollerDoor.Total">#REF!</definedName>
    <definedName name="Total.Electric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minimum_hire_819c0623-f57c-4158-8ce0-9fedba547d54" name="dim_minimum_hire" connection="Query - dim_minimum_hir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32" l="1"/>
  <c r="E11" i="32"/>
  <c r="E22" i="32"/>
  <c r="E27" i="32"/>
  <c r="C62" i="32"/>
  <c r="E62" i="32"/>
  <c r="K680" i="13"/>
  <c r="D6" i="13"/>
  <c r="J1000" i="13"/>
  <c r="K1000" i="13"/>
  <c r="J1002" i="13"/>
  <c r="K1002" i="13"/>
  <c r="J550" i="13"/>
  <c r="K550" i="13"/>
  <c r="H9" i="33"/>
  <c r="I9" i="33"/>
  <c r="J544" i="13"/>
  <c r="K544" i="13"/>
  <c r="H8" i="33"/>
  <c r="I8" i="33"/>
  <c r="J539" i="13"/>
  <c r="K539" i="13"/>
  <c r="H7" i="33"/>
  <c r="I7" i="33"/>
  <c r="J57" i="13"/>
  <c r="K57" i="13"/>
  <c r="H6" i="33"/>
  <c r="I6" i="33"/>
  <c r="N539" i="13"/>
  <c r="H539" i="13"/>
  <c r="J1013" i="13"/>
  <c r="K1013" i="13"/>
  <c r="J1014" i="13"/>
  <c r="K1014" i="13"/>
  <c r="J1015" i="13"/>
  <c r="K1015" i="13"/>
  <c r="J1016" i="13"/>
  <c r="K1016" i="13"/>
  <c r="J1017" i="13"/>
  <c r="K1017" i="13"/>
  <c r="J1018" i="13"/>
  <c r="K1018" i="13"/>
  <c r="J1020" i="13"/>
  <c r="K1020" i="13"/>
  <c r="J1021" i="13"/>
  <c r="K1021" i="13"/>
  <c r="J1022" i="13"/>
  <c r="K1022" i="13"/>
  <c r="J1023" i="13"/>
  <c r="K1023" i="13"/>
  <c r="J1024" i="13"/>
  <c r="K1024" i="13"/>
  <c r="J1025" i="13"/>
  <c r="K1025" i="13"/>
  <c r="J1026" i="13"/>
  <c r="K1026" i="13"/>
  <c r="J1027" i="13"/>
  <c r="K1027" i="13"/>
  <c r="J1028" i="13"/>
  <c r="K1028" i="13"/>
  <c r="J1029" i="13"/>
  <c r="K1029" i="13"/>
  <c r="J1030" i="13"/>
  <c r="K1030" i="13"/>
  <c r="J1031" i="13"/>
  <c r="K1031" i="13"/>
  <c r="J1032" i="13"/>
  <c r="K1032" i="13"/>
  <c r="J1033" i="13"/>
  <c r="K1033" i="13"/>
  <c r="J1034" i="13"/>
  <c r="K1034" i="13"/>
  <c r="J1035" i="13"/>
  <c r="K1035" i="13"/>
  <c r="J1036" i="13"/>
  <c r="K1036" i="13"/>
  <c r="J1037" i="13"/>
  <c r="K1037" i="13"/>
  <c r="O767" i="13"/>
  <c r="O936" i="13"/>
  <c r="H936" i="13"/>
  <c r="J936" i="13"/>
  <c r="K936" i="13"/>
  <c r="L1000" i="3" a="1"/>
  <c r="L1000" i="3"/>
  <c r="L1001" i="3" a="1"/>
  <c r="L1001" i="3"/>
  <c r="L1002" i="3" a="1"/>
  <c r="L1002" i="3"/>
  <c r="L1003" i="3" a="1"/>
  <c r="L1003" i="3"/>
  <c r="L1004" i="3" a="1"/>
  <c r="L1004" i="3"/>
  <c r="L1005" i="3" a="1"/>
  <c r="L1005" i="3"/>
  <c r="L1006" i="3" a="1"/>
  <c r="L1006" i="3"/>
  <c r="L1007" i="3" a="1"/>
  <c r="L1007" i="3"/>
  <c r="L1008" i="3" a="1"/>
  <c r="L1008" i="3"/>
  <c r="L1009" i="3" a="1"/>
  <c r="L1009" i="3" s="1"/>
  <c r="L1010" i="3" a="1"/>
  <c r="L1010" i="3"/>
  <c r="L1011" i="3" a="1"/>
  <c r="L1011" i="3"/>
  <c r="L1012" i="3" a="1"/>
  <c r="L1012" i="3"/>
  <c r="L1013" i="3" a="1"/>
  <c r="L1013" i="3" s="1"/>
  <c r="L1014" i="3" a="1"/>
  <c r="L1014" i="3"/>
  <c r="L1015" i="3" a="1"/>
  <c r="L1015" i="3"/>
  <c r="L1016" i="3" a="1"/>
  <c r="L1016" i="3"/>
  <c r="L1017" i="3" a="1"/>
  <c r="L1017" i="3" s="1"/>
  <c r="G1017" i="3" s="1" a="1"/>
  <c r="G1017" i="3" s="1"/>
  <c r="L1018" i="3" a="1"/>
  <c r="L1018" i="3"/>
  <c r="L1019" i="3" a="1"/>
  <c r="L1019" i="3"/>
  <c r="L1020" i="3" a="1"/>
  <c r="L1020" i="3"/>
  <c r="L1021" i="3" a="1"/>
  <c r="L1021" i="3" s="1"/>
  <c r="L1022" i="3" a="1"/>
  <c r="L1022" i="3"/>
  <c r="L1023" i="3" a="1"/>
  <c r="L1023" i="3"/>
  <c r="L1024" i="3" a="1"/>
  <c r="L1024" i="3"/>
  <c r="L1025" i="3" a="1"/>
  <c r="L1025" i="3" s="1"/>
  <c r="L1026" i="3" a="1"/>
  <c r="L1026" i="3"/>
  <c r="L1027" i="3" a="1"/>
  <c r="L1027" i="3"/>
  <c r="L1028" i="3" a="1"/>
  <c r="L1028" i="3"/>
  <c r="L1029" i="3" a="1"/>
  <c r="L1029" i="3" s="1"/>
  <c r="L1030" i="3" a="1"/>
  <c r="L1030" i="3"/>
  <c r="L1031" i="3" a="1"/>
  <c r="L1031" i="3"/>
  <c r="L1032" i="3" a="1"/>
  <c r="L1032" i="3"/>
  <c r="L1033" i="3" a="1"/>
  <c r="L1033" i="3" s="1"/>
  <c r="L1034" i="3" a="1"/>
  <c r="L1034" i="3"/>
  <c r="L1035" i="3" a="1"/>
  <c r="L1035" i="3"/>
  <c r="L1036" i="3" a="1"/>
  <c r="L1036" i="3"/>
  <c r="L1037" i="3" a="1"/>
  <c r="L1037" i="3" s="1"/>
  <c r="L1038" i="3" a="1"/>
  <c r="L1038" i="3"/>
  <c r="L1039" i="3" a="1"/>
  <c r="L1039" i="3"/>
  <c r="L1040" i="3" a="1"/>
  <c r="L1040" i="3"/>
  <c r="L1041" i="3" a="1"/>
  <c r="L1041" i="3" s="1"/>
  <c r="L1042" i="3" a="1"/>
  <c r="L1042" i="3"/>
  <c r="L1043" i="3" a="1"/>
  <c r="L1043" i="3"/>
  <c r="L1044" i="3" a="1"/>
  <c r="L1044" i="3"/>
  <c r="L1045" i="3" a="1"/>
  <c r="L1045" i="3" s="1"/>
  <c r="L1046" i="3" a="1"/>
  <c r="L1046" i="3"/>
  <c r="L1047" i="3" a="1"/>
  <c r="L1047" i="3"/>
  <c r="L1048" i="3" a="1"/>
  <c r="L1048" i="3"/>
  <c r="L1049" i="3" a="1"/>
  <c r="L1049" i="3" s="1"/>
  <c r="L1050" i="3" a="1"/>
  <c r="L1050" i="3"/>
  <c r="L1051" i="3" a="1"/>
  <c r="L1051" i="3"/>
  <c r="L1052" i="3" a="1"/>
  <c r="L1052" i="3"/>
  <c r="L1053" i="3" a="1"/>
  <c r="L1053" i="3" s="1"/>
  <c r="L1054" i="3" a="1"/>
  <c r="L1054" i="3"/>
  <c r="L1055" i="3" a="1"/>
  <c r="L1055" i="3"/>
  <c r="L1056" i="3" a="1"/>
  <c r="L1056" i="3"/>
  <c r="L1057" i="3" a="1"/>
  <c r="L1057" i="3" s="1"/>
  <c r="L1058" i="3" a="1"/>
  <c r="L1058" i="3"/>
  <c r="L1059" i="3" a="1"/>
  <c r="L1059" i="3"/>
  <c r="L1060" i="3" a="1"/>
  <c r="L1060" i="3"/>
  <c r="L1061" i="3" a="1"/>
  <c r="L1061" i="3" s="1"/>
  <c r="L1062" i="3" a="1"/>
  <c r="L1062" i="3"/>
  <c r="L1063" i="3" a="1"/>
  <c r="L1063" i="3"/>
  <c r="L1064" i="3" a="1"/>
  <c r="L1064" i="3"/>
  <c r="L1065" i="3" a="1"/>
  <c r="L1065" i="3" s="1"/>
  <c r="L1066" i="3" a="1"/>
  <c r="L1066" i="3"/>
  <c r="L1067" i="3" a="1"/>
  <c r="L1067" i="3"/>
  <c r="L1068" i="3" a="1"/>
  <c r="L1068" i="3"/>
  <c r="L1069" i="3" a="1"/>
  <c r="L1069" i="3" s="1"/>
  <c r="L1070" i="3" a="1"/>
  <c r="L1070" i="3"/>
  <c r="L1071" i="3" a="1"/>
  <c r="L1071" i="3"/>
  <c r="L1072" i="3" a="1"/>
  <c r="L1072" i="3"/>
  <c r="L1073" i="3" a="1"/>
  <c r="L1073" i="3" s="1"/>
  <c r="L1074" i="3" a="1"/>
  <c r="L1074" i="3"/>
  <c r="L1075" i="3" a="1"/>
  <c r="L1075" i="3"/>
  <c r="L1076" i="3" a="1"/>
  <c r="L1076" i="3"/>
  <c r="L1077" i="3" a="1"/>
  <c r="L1077" i="3" s="1"/>
  <c r="L1078" i="3" a="1"/>
  <c r="L1078" i="3"/>
  <c r="L1079" i="3" a="1"/>
  <c r="L1079" i="3"/>
  <c r="L1080" i="3" a="1"/>
  <c r="L1080" i="3"/>
  <c r="L1081" i="3" a="1"/>
  <c r="L1081" i="3" s="1"/>
  <c r="J1081" i="3" s="1" a="1"/>
  <c r="J1081" i="3" s="1"/>
  <c r="L1082" i="3" a="1"/>
  <c r="L1082" i="3"/>
  <c r="L1083" i="3" a="1"/>
  <c r="L1083" i="3"/>
  <c r="L1084" i="3" a="1"/>
  <c r="L1084" i="3"/>
  <c r="L1085" i="3" a="1"/>
  <c r="L1085" i="3" s="1"/>
  <c r="L1086" i="3" a="1"/>
  <c r="L1086" i="3"/>
  <c r="L1087" i="3" a="1"/>
  <c r="L1087" i="3"/>
  <c r="L1088" i="3" a="1"/>
  <c r="L1088" i="3"/>
  <c r="L1089" i="3" a="1"/>
  <c r="L1089" i="3" s="1"/>
  <c r="L1090" i="3" a="1"/>
  <c r="L1090" i="3"/>
  <c r="L1091" i="3" a="1"/>
  <c r="L1091" i="3"/>
  <c r="L1092" i="3" a="1"/>
  <c r="L1092" i="3"/>
  <c r="L1093" i="3" a="1"/>
  <c r="L1093" i="3" s="1"/>
  <c r="L1094" i="3" a="1"/>
  <c r="L1094" i="3"/>
  <c r="L1095" i="3" a="1"/>
  <c r="L1095" i="3"/>
  <c r="L1096" i="3" a="1"/>
  <c r="L1096" i="3"/>
  <c r="L1097" i="3" a="1"/>
  <c r="L1097" i="3" s="1"/>
  <c r="L1098" i="3" a="1"/>
  <c r="L1098" i="3"/>
  <c r="L1099" i="3" a="1"/>
  <c r="L1099" i="3"/>
  <c r="N538" i="13"/>
  <c r="H538" i="13"/>
  <c r="J748" i="13"/>
  <c r="G1095" i="3" a="1"/>
  <c r="G1095" i="3"/>
  <c r="K1095" i="3" a="1"/>
  <c r="K1095" i="3"/>
  <c r="J1095" i="3" a="1"/>
  <c r="J1095" i="3" s="1"/>
  <c r="I1095" i="3" a="1"/>
  <c r="I1095" i="3"/>
  <c r="H1095" i="3" a="1"/>
  <c r="H1095" i="3"/>
  <c r="K1062" i="3" a="1"/>
  <c r="K1062" i="3" s="1"/>
  <c r="J1062" i="3" a="1"/>
  <c r="J1062" i="3" s="1"/>
  <c r="I1062" i="3" a="1"/>
  <c r="I1062" i="3"/>
  <c r="H1062" i="3" a="1"/>
  <c r="H1062" i="3" s="1"/>
  <c r="G1062" i="3" a="1"/>
  <c r="G1062" i="3" s="1"/>
  <c r="I1085" i="3" a="1"/>
  <c r="I1085" i="3" s="1"/>
  <c r="H1085" i="3" a="1"/>
  <c r="H1085" i="3"/>
  <c r="G1085" i="3" a="1"/>
  <c r="G1085" i="3"/>
  <c r="K1085" i="3" a="1"/>
  <c r="K1085" i="3" s="1"/>
  <c r="J1085" i="3" a="1"/>
  <c r="J1085" i="3" s="1"/>
  <c r="I1069" i="3" a="1"/>
  <c r="I1069" i="3" s="1"/>
  <c r="H1069" i="3" a="1"/>
  <c r="H1069" i="3" s="1"/>
  <c r="G1069" i="3" a="1"/>
  <c r="G1069" i="3" s="1"/>
  <c r="K1069" i="3" a="1"/>
  <c r="K1069" i="3" s="1"/>
  <c r="J1069" i="3" a="1"/>
  <c r="J1069" i="3" s="1"/>
  <c r="I1061" i="3" a="1"/>
  <c r="I1061" i="3" s="1"/>
  <c r="H1061" i="3" a="1"/>
  <c r="H1061" i="3" s="1"/>
  <c r="G1061" i="3" a="1"/>
  <c r="G1061" i="3" s="1"/>
  <c r="K1061" i="3" a="1"/>
  <c r="K1061" i="3"/>
  <c r="J1061" i="3" a="1"/>
  <c r="J1061" i="3" s="1"/>
  <c r="I1053" i="3" a="1"/>
  <c r="I1053" i="3" s="1"/>
  <c r="H1053" i="3" a="1"/>
  <c r="H1053" i="3" s="1"/>
  <c r="G1053" i="3" a="1"/>
  <c r="G1053" i="3" s="1"/>
  <c r="K1053" i="3" a="1"/>
  <c r="K1053" i="3"/>
  <c r="J1053" i="3" a="1"/>
  <c r="J1053" i="3" s="1"/>
  <c r="I1045" i="3" a="1"/>
  <c r="I1045" i="3" s="1"/>
  <c r="H1045" i="3" a="1"/>
  <c r="H1045" i="3" s="1"/>
  <c r="G1045" i="3" a="1"/>
  <c r="G1045" i="3" s="1"/>
  <c r="K1045" i="3" a="1"/>
  <c r="K1045" i="3" s="1"/>
  <c r="J1045" i="3" a="1"/>
  <c r="J1045" i="3" s="1"/>
  <c r="I1037" i="3" a="1"/>
  <c r="I1037" i="3" s="1"/>
  <c r="H1037" i="3" a="1"/>
  <c r="H1037" i="3" s="1"/>
  <c r="G1037" i="3" a="1"/>
  <c r="G1037" i="3" s="1"/>
  <c r="K1037" i="3" a="1"/>
  <c r="K1037" i="3" s="1"/>
  <c r="J1037" i="3" a="1"/>
  <c r="J1037" i="3"/>
  <c r="K1029" i="3" a="1"/>
  <c r="K1029" i="3" s="1"/>
  <c r="J1029" i="3" a="1"/>
  <c r="J1029" i="3" s="1"/>
  <c r="I1029" i="3" a="1"/>
  <c r="I1029" i="3" s="1"/>
  <c r="H1029" i="3" a="1"/>
  <c r="H1029" i="3" s="1"/>
  <c r="G1029" i="3" a="1"/>
  <c r="G1029" i="3"/>
  <c r="K1021" i="3" a="1"/>
  <c r="K1021" i="3" s="1"/>
  <c r="J1021" i="3" a="1"/>
  <c r="J1021" i="3" s="1"/>
  <c r="I1021" i="3" a="1"/>
  <c r="I1021" i="3" s="1"/>
  <c r="H1021" i="3" a="1"/>
  <c r="H1021" i="3" s="1"/>
  <c r="G1021" i="3" a="1"/>
  <c r="G1021" i="3" s="1"/>
  <c r="K1013" i="3" a="1"/>
  <c r="K1013" i="3" s="1"/>
  <c r="J1013" i="3" a="1"/>
  <c r="J1013" i="3" s="1"/>
  <c r="I1013" i="3" a="1"/>
  <c r="I1013" i="3" s="1"/>
  <c r="H1013" i="3" a="1"/>
  <c r="H1013" i="3" s="1"/>
  <c r="G1013" i="3" a="1"/>
  <c r="G1013" i="3" s="1"/>
  <c r="H1005" i="3" a="1"/>
  <c r="H1005" i="3"/>
  <c r="G1005" i="3" a="1"/>
  <c r="G1005" i="3" s="1"/>
  <c r="K1005" i="3" a="1"/>
  <c r="K1005" i="3" s="1"/>
  <c r="J1005" i="3" a="1"/>
  <c r="J1005" i="3" s="1"/>
  <c r="I1005" i="3" a="1"/>
  <c r="I1005" i="3" s="1"/>
  <c r="K1086" i="3" a="1"/>
  <c r="K1086" i="3"/>
  <c r="J1086" i="3" a="1"/>
  <c r="J1086" i="3" s="1"/>
  <c r="I1086" i="3" a="1"/>
  <c r="I1086" i="3" s="1"/>
  <c r="H1086" i="3" a="1"/>
  <c r="H1086" i="3" s="1"/>
  <c r="G1086" i="3" a="1"/>
  <c r="G1086" i="3" s="1"/>
  <c r="I1093" i="3" a="1"/>
  <c r="I1093" i="3" s="1"/>
  <c r="H1093" i="3" a="1"/>
  <c r="H1093" i="3" s="1"/>
  <c r="G1093" i="3" a="1"/>
  <c r="G1093" i="3" s="1"/>
  <c r="K1093" i="3" a="1"/>
  <c r="K1093" i="3" s="1"/>
  <c r="J1093" i="3" a="1"/>
  <c r="J1093" i="3" s="1"/>
  <c r="I1077" i="3" a="1"/>
  <c r="I1077" i="3" s="1"/>
  <c r="H1077" i="3" a="1"/>
  <c r="H1077" i="3"/>
  <c r="G1077" i="3" a="1"/>
  <c r="G1077" i="3" s="1"/>
  <c r="K1077" i="3" a="1"/>
  <c r="K1077" i="3" s="1"/>
  <c r="J1077" i="3" a="1"/>
  <c r="J1077" i="3" s="1"/>
  <c r="K1092" i="3" a="1"/>
  <c r="K1092" i="3" s="1"/>
  <c r="J1092" i="3" a="1"/>
  <c r="J1092" i="3"/>
  <c r="I1092" i="3" a="1"/>
  <c r="I1092" i="3" s="1"/>
  <c r="H1092" i="3" a="1"/>
  <c r="H1092" i="3" s="1"/>
  <c r="G1092" i="3" a="1"/>
  <c r="G1092" i="3" s="1"/>
  <c r="K1084" i="3" a="1"/>
  <c r="K1084" i="3" s="1"/>
  <c r="J1084" i="3" a="1"/>
  <c r="J1084" i="3" s="1"/>
  <c r="I1084" i="3" a="1"/>
  <c r="I1084" i="3" s="1"/>
  <c r="H1084" i="3" a="1"/>
  <c r="H1084" i="3" s="1"/>
  <c r="G1084" i="3" a="1"/>
  <c r="G1084" i="3" s="1"/>
  <c r="K1076" i="3" a="1"/>
  <c r="K1076" i="3" s="1"/>
  <c r="J1076" i="3" a="1"/>
  <c r="J1076" i="3" s="1"/>
  <c r="I1076" i="3" a="1"/>
  <c r="I1076" i="3"/>
  <c r="H1076" i="3" a="1"/>
  <c r="H1076" i="3" s="1"/>
  <c r="G1076" i="3" a="1"/>
  <c r="G1076" i="3" s="1"/>
  <c r="K1068" i="3" a="1"/>
  <c r="K1068" i="3" s="1"/>
  <c r="J1068" i="3" a="1"/>
  <c r="J1068" i="3" s="1"/>
  <c r="I1068" i="3" a="1"/>
  <c r="I1068" i="3"/>
  <c r="H1068" i="3" a="1"/>
  <c r="H1068" i="3" s="1"/>
  <c r="G1068" i="3" a="1"/>
  <c r="G1068" i="3" s="1"/>
  <c r="K1060" i="3" a="1"/>
  <c r="K1060" i="3" s="1"/>
  <c r="J1060" i="3" a="1"/>
  <c r="J1060" i="3" s="1"/>
  <c r="I1060" i="3" a="1"/>
  <c r="I1060" i="3" s="1"/>
  <c r="H1060" i="3" a="1"/>
  <c r="H1060" i="3" s="1"/>
  <c r="G1060" i="3" a="1"/>
  <c r="G1060" i="3" s="1"/>
  <c r="K1052" i="3" a="1"/>
  <c r="K1052" i="3" s="1"/>
  <c r="J1052" i="3" a="1"/>
  <c r="J1052" i="3" s="1"/>
  <c r="I1052" i="3" a="1"/>
  <c r="I1052" i="3" s="1"/>
  <c r="H1052" i="3" a="1"/>
  <c r="H1052" i="3"/>
  <c r="G1052" i="3" a="1"/>
  <c r="G1052" i="3" s="1"/>
  <c r="K1044" i="3" a="1"/>
  <c r="K1044" i="3" s="1"/>
  <c r="J1044" i="3" a="1"/>
  <c r="J1044" i="3" s="1"/>
  <c r="I1044" i="3" a="1"/>
  <c r="I1044" i="3" s="1"/>
  <c r="H1044" i="3" a="1"/>
  <c r="H1044" i="3"/>
  <c r="G1044" i="3" a="1"/>
  <c r="G1044" i="3" s="1"/>
  <c r="K1036" i="3" a="1"/>
  <c r="K1036" i="3" s="1"/>
  <c r="J1036" i="3" a="1"/>
  <c r="J1036" i="3" s="1"/>
  <c r="I1036" i="3" a="1"/>
  <c r="I1036" i="3" s="1"/>
  <c r="H1036" i="3" a="1"/>
  <c r="H1036" i="3" s="1"/>
  <c r="G1036" i="3" a="1"/>
  <c r="G1036" i="3" s="1"/>
  <c r="I1028" i="3" a="1"/>
  <c r="I1028" i="3" s="1"/>
  <c r="H1028" i="3" a="1"/>
  <c r="H1028" i="3" s="1"/>
  <c r="G1028" i="3" a="1"/>
  <c r="G1028" i="3" s="1"/>
  <c r="K1028" i="3" a="1"/>
  <c r="K1028" i="3" s="1"/>
  <c r="J1028" i="3" a="1"/>
  <c r="J1028" i="3"/>
  <c r="I1020" i="3" a="1"/>
  <c r="I1020" i="3" s="1"/>
  <c r="H1020" i="3" a="1"/>
  <c r="H1020" i="3" s="1"/>
  <c r="G1020" i="3" a="1"/>
  <c r="G1020" i="3" s="1"/>
  <c r="K1020" i="3" a="1"/>
  <c r="K1020" i="3" s="1"/>
  <c r="J1020" i="3" a="1"/>
  <c r="J1020" i="3" s="1"/>
  <c r="J1012" i="3" a="1"/>
  <c r="J1012" i="3" s="1"/>
  <c r="I1012" i="3" a="1"/>
  <c r="I1012" i="3" s="1"/>
  <c r="H1012" i="3" a="1"/>
  <c r="H1012" i="3" s="1"/>
  <c r="G1012" i="3" a="1"/>
  <c r="G1012" i="3" s="1"/>
  <c r="K1012" i="3" a="1"/>
  <c r="K1012" i="3" s="1"/>
  <c r="K1004" i="3" a="1"/>
  <c r="K1004" i="3" s="1"/>
  <c r="J1004" i="3" a="1"/>
  <c r="J1004" i="3" s="1"/>
  <c r="I1004" i="3" a="1"/>
  <c r="I1004" i="3" s="1"/>
  <c r="H1004" i="3" a="1"/>
  <c r="H1004" i="3" s="1"/>
  <c r="G1004" i="3" a="1"/>
  <c r="G1004" i="3" s="1"/>
  <c r="K1070" i="3" a="1"/>
  <c r="K1070" i="3" s="1"/>
  <c r="J1070" i="3" a="1"/>
  <c r="J1070" i="3" s="1"/>
  <c r="I1070" i="3" a="1"/>
  <c r="I1070" i="3" s="1"/>
  <c r="H1070" i="3" a="1"/>
  <c r="H1070" i="3" s="1"/>
  <c r="G1070" i="3" a="1"/>
  <c r="G1070" i="3" s="1"/>
  <c r="K1099" i="3" a="1"/>
  <c r="K1099" i="3"/>
  <c r="J1099" i="3" a="1"/>
  <c r="J1099" i="3" s="1"/>
  <c r="I1099" i="3" a="1"/>
  <c r="I1099" i="3" s="1"/>
  <c r="H1099" i="3" a="1"/>
  <c r="H1099" i="3" s="1"/>
  <c r="G1099" i="3" a="1"/>
  <c r="G1099" i="3" s="1"/>
  <c r="K1091" i="3" a="1"/>
  <c r="K1091" i="3" s="1"/>
  <c r="J1091" i="3" a="1"/>
  <c r="J1091" i="3" s="1"/>
  <c r="I1091" i="3" a="1"/>
  <c r="I1091" i="3" s="1"/>
  <c r="H1091" i="3" a="1"/>
  <c r="H1091" i="3" s="1"/>
  <c r="G1091" i="3" a="1"/>
  <c r="G1091" i="3" s="1"/>
  <c r="K1083" i="3" a="1"/>
  <c r="K1083" i="3" s="1"/>
  <c r="J1083" i="3" a="1"/>
  <c r="J1083" i="3"/>
  <c r="I1083" i="3" a="1"/>
  <c r="I1083" i="3" s="1"/>
  <c r="H1083" i="3" a="1"/>
  <c r="H1083" i="3" s="1"/>
  <c r="G1083" i="3" a="1"/>
  <c r="G1083" i="3" s="1"/>
  <c r="K1075" i="3" a="1"/>
  <c r="K1075" i="3" s="1"/>
  <c r="J1075" i="3" a="1"/>
  <c r="J1075" i="3" s="1"/>
  <c r="I1075" i="3" a="1"/>
  <c r="I1075" i="3" s="1"/>
  <c r="H1075" i="3" a="1"/>
  <c r="H1075" i="3" s="1"/>
  <c r="G1075" i="3" a="1"/>
  <c r="G1075" i="3" s="1"/>
  <c r="K1067" i="3" a="1"/>
  <c r="K1067" i="3" s="1"/>
  <c r="J1067" i="3" a="1"/>
  <c r="J1067" i="3" s="1"/>
  <c r="I1067" i="3" a="1"/>
  <c r="I1067" i="3" s="1"/>
  <c r="H1067" i="3" a="1"/>
  <c r="H1067" i="3" s="1"/>
  <c r="G1067" i="3" a="1"/>
  <c r="G1067" i="3" s="1"/>
  <c r="K1059" i="3" a="1"/>
  <c r="K1059" i="3" s="1"/>
  <c r="J1059" i="3" a="1"/>
  <c r="J1059" i="3" s="1"/>
  <c r="I1059" i="3" a="1"/>
  <c r="I1059" i="3" s="1"/>
  <c r="H1059" i="3" a="1"/>
  <c r="H1059" i="3" s="1"/>
  <c r="G1059" i="3" a="1"/>
  <c r="G1059" i="3" s="1"/>
  <c r="K1051" i="3" a="1"/>
  <c r="K1051" i="3" s="1"/>
  <c r="J1051" i="3" a="1"/>
  <c r="J1051" i="3" s="1"/>
  <c r="I1051" i="3" a="1"/>
  <c r="I1051" i="3" s="1"/>
  <c r="H1051" i="3" a="1"/>
  <c r="H1051" i="3" s="1"/>
  <c r="G1051" i="3" a="1"/>
  <c r="G1051" i="3" s="1"/>
  <c r="K1043" i="3" a="1"/>
  <c r="K1043" i="3" s="1"/>
  <c r="J1043" i="3" a="1"/>
  <c r="J1043" i="3" s="1"/>
  <c r="I1043" i="3" a="1"/>
  <c r="I1043" i="3" s="1"/>
  <c r="H1043" i="3" a="1"/>
  <c r="H1043" i="3" s="1"/>
  <c r="G1043" i="3" a="1"/>
  <c r="G1043" i="3" s="1"/>
  <c r="K1035" i="3" a="1"/>
  <c r="K1035" i="3" s="1"/>
  <c r="J1035" i="3" a="1"/>
  <c r="J1035" i="3" s="1"/>
  <c r="I1035" i="3" a="1"/>
  <c r="I1035" i="3" s="1"/>
  <c r="H1035" i="3" a="1"/>
  <c r="H1035" i="3" s="1"/>
  <c r="G1035" i="3" a="1"/>
  <c r="G1035" i="3" s="1"/>
  <c r="K1027" i="3" a="1"/>
  <c r="K1027" i="3" s="1"/>
  <c r="J1027" i="3" a="1"/>
  <c r="J1027" i="3" s="1"/>
  <c r="I1027" i="3" a="1"/>
  <c r="I1027" i="3" s="1"/>
  <c r="H1027" i="3" a="1"/>
  <c r="H1027" i="3" s="1"/>
  <c r="G1027" i="3" a="1"/>
  <c r="G1027" i="3" s="1"/>
  <c r="K1019" i="3" a="1"/>
  <c r="K1019" i="3" s="1"/>
  <c r="J1019" i="3" a="1"/>
  <c r="J1019" i="3" s="1"/>
  <c r="I1019" i="3" a="1"/>
  <c r="I1019" i="3" s="1"/>
  <c r="H1019" i="3" a="1"/>
  <c r="H1019" i="3" s="1"/>
  <c r="G1019" i="3" a="1"/>
  <c r="G1019" i="3" s="1"/>
  <c r="H1011" i="3" a="1"/>
  <c r="H1011" i="3" s="1"/>
  <c r="G1011" i="3" a="1"/>
  <c r="G1011" i="3" s="1"/>
  <c r="K1011" i="3" a="1"/>
  <c r="K1011" i="3" s="1"/>
  <c r="J1011" i="3" a="1"/>
  <c r="J1011" i="3" s="1"/>
  <c r="I1011" i="3" a="1"/>
  <c r="I1011" i="3" s="1"/>
  <c r="J1003" i="3" a="1"/>
  <c r="J1003" i="3" s="1"/>
  <c r="I1003" i="3" a="1"/>
  <c r="I1003" i="3" s="1"/>
  <c r="H1003" i="3" a="1"/>
  <c r="H1003" i="3" s="1"/>
  <c r="G1003" i="3" a="1"/>
  <c r="G1003" i="3" s="1"/>
  <c r="K1003" i="3" a="1"/>
  <c r="K1003" i="3" s="1"/>
  <c r="H1098" i="3" a="1"/>
  <c r="H1098" i="3" s="1"/>
  <c r="G1098" i="3" a="1"/>
  <c r="G1098" i="3" s="1"/>
  <c r="K1098" i="3" a="1"/>
  <c r="K1098" i="3" s="1"/>
  <c r="J1098" i="3" a="1"/>
  <c r="J1098" i="3" s="1"/>
  <c r="I1098" i="3" a="1"/>
  <c r="I1098" i="3" s="1"/>
  <c r="H1082" i="3" a="1"/>
  <c r="H1082" i="3" s="1"/>
  <c r="G1082" i="3" a="1"/>
  <c r="G1082" i="3" s="1"/>
  <c r="K1082" i="3" a="1"/>
  <c r="K1082" i="3" s="1"/>
  <c r="J1082" i="3" a="1"/>
  <c r="J1082" i="3" s="1"/>
  <c r="I1082" i="3" a="1"/>
  <c r="I1082" i="3" s="1"/>
  <c r="H1074" i="3" a="1"/>
  <c r="H1074" i="3" s="1"/>
  <c r="G1074" i="3" a="1"/>
  <c r="G1074" i="3" s="1"/>
  <c r="K1074" i="3" a="1"/>
  <c r="K1074" i="3" s="1"/>
  <c r="J1074" i="3" a="1"/>
  <c r="J1074" i="3" s="1"/>
  <c r="I1074" i="3" a="1"/>
  <c r="I1074" i="3" s="1"/>
  <c r="H1066" i="3" a="1"/>
  <c r="H1066" i="3" s="1"/>
  <c r="G1066" i="3" a="1"/>
  <c r="G1066" i="3" s="1"/>
  <c r="K1066" i="3" a="1"/>
  <c r="K1066" i="3" s="1"/>
  <c r="J1066" i="3" a="1"/>
  <c r="J1066" i="3" s="1"/>
  <c r="I1066" i="3" a="1"/>
  <c r="I1066" i="3" s="1"/>
  <c r="H1058" i="3" a="1"/>
  <c r="H1058" i="3" s="1"/>
  <c r="G1058" i="3" a="1"/>
  <c r="G1058" i="3" s="1"/>
  <c r="K1058" i="3" a="1"/>
  <c r="K1058" i="3" s="1"/>
  <c r="J1058" i="3" a="1"/>
  <c r="J1058" i="3" s="1"/>
  <c r="I1058" i="3" a="1"/>
  <c r="I1058" i="3" s="1"/>
  <c r="H1050" i="3" a="1"/>
  <c r="H1050" i="3" s="1"/>
  <c r="G1050" i="3" a="1"/>
  <c r="G1050" i="3" s="1"/>
  <c r="K1050" i="3" a="1"/>
  <c r="K1050" i="3" s="1"/>
  <c r="J1050" i="3" a="1"/>
  <c r="J1050" i="3" s="1"/>
  <c r="I1050" i="3" a="1"/>
  <c r="I1050" i="3" s="1"/>
  <c r="H1042" i="3" a="1"/>
  <c r="H1042" i="3" s="1"/>
  <c r="G1042" i="3" a="1"/>
  <c r="G1042" i="3" s="1"/>
  <c r="K1042" i="3" a="1"/>
  <c r="K1042" i="3" s="1"/>
  <c r="J1042" i="3" a="1"/>
  <c r="J1042" i="3" s="1"/>
  <c r="I1042" i="3" a="1"/>
  <c r="I1042" i="3" s="1"/>
  <c r="I1034" i="3" a="1"/>
  <c r="I1034" i="3" s="1"/>
  <c r="H1034" i="3" a="1"/>
  <c r="H1034" i="3" s="1"/>
  <c r="G1034" i="3" a="1"/>
  <c r="G1034" i="3" s="1"/>
  <c r="K1034" i="3" a="1"/>
  <c r="K1034" i="3" s="1"/>
  <c r="J1034" i="3" a="1"/>
  <c r="J1034" i="3" s="1"/>
  <c r="K1026" i="3" a="1"/>
  <c r="K1026" i="3" s="1"/>
  <c r="J1026" i="3" a="1"/>
  <c r="J1026" i="3" s="1"/>
  <c r="I1026" i="3" a="1"/>
  <c r="I1026" i="3" s="1"/>
  <c r="H1026" i="3" a="1"/>
  <c r="H1026" i="3" s="1"/>
  <c r="G1026" i="3" a="1"/>
  <c r="G1026" i="3" s="1"/>
  <c r="K1018" i="3" a="1"/>
  <c r="K1018" i="3" s="1"/>
  <c r="J1018" i="3" a="1"/>
  <c r="J1018" i="3" s="1"/>
  <c r="I1018" i="3" a="1"/>
  <c r="I1018" i="3" s="1"/>
  <c r="H1018" i="3" a="1"/>
  <c r="H1018" i="3" s="1"/>
  <c r="G1018" i="3" a="1"/>
  <c r="G1018" i="3" s="1"/>
  <c r="K1010" i="3" a="1"/>
  <c r="K1010" i="3" s="1"/>
  <c r="J1010" i="3" a="1"/>
  <c r="J1010" i="3" s="1"/>
  <c r="I1010" i="3" a="1"/>
  <c r="I1010" i="3" s="1"/>
  <c r="H1010" i="3" a="1"/>
  <c r="H1010" i="3" s="1"/>
  <c r="G1010" i="3" a="1"/>
  <c r="G1010" i="3" s="1"/>
  <c r="H1002" i="3" a="1"/>
  <c r="H1002" i="3" s="1"/>
  <c r="G1002" i="3" a="1"/>
  <c r="G1002" i="3" s="1"/>
  <c r="K1002" i="3" a="1"/>
  <c r="K1002" i="3" s="1"/>
  <c r="J1002" i="3" a="1"/>
  <c r="J1002" i="3" s="1"/>
  <c r="I1002" i="3" a="1"/>
  <c r="I1002" i="3" s="1"/>
  <c r="K1078" i="3" a="1"/>
  <c r="K1078" i="3" s="1"/>
  <c r="J1078" i="3" a="1"/>
  <c r="J1078" i="3" s="1"/>
  <c r="I1078" i="3" a="1"/>
  <c r="I1078" i="3" s="1"/>
  <c r="H1078" i="3" a="1"/>
  <c r="H1078" i="3" s="1"/>
  <c r="G1078" i="3" a="1"/>
  <c r="G1078" i="3" s="1"/>
  <c r="H1090" i="3" a="1"/>
  <c r="H1090" i="3" s="1"/>
  <c r="G1090" i="3" a="1"/>
  <c r="G1090" i="3" s="1"/>
  <c r="K1090" i="3" a="1"/>
  <c r="K1090" i="3" s="1"/>
  <c r="J1090" i="3" a="1"/>
  <c r="J1090" i="3" s="1"/>
  <c r="I1090" i="3" a="1"/>
  <c r="I1090" i="3" s="1"/>
  <c r="K1097" i="3" a="1"/>
  <c r="K1097" i="3" s="1"/>
  <c r="J1097" i="3" a="1"/>
  <c r="J1097" i="3" s="1"/>
  <c r="I1097" i="3" a="1"/>
  <c r="I1097" i="3" s="1"/>
  <c r="H1097" i="3" a="1"/>
  <c r="H1097" i="3" s="1"/>
  <c r="G1097" i="3" a="1"/>
  <c r="G1097" i="3" s="1"/>
  <c r="K1089" i="3" a="1"/>
  <c r="K1089" i="3" s="1"/>
  <c r="J1089" i="3" a="1"/>
  <c r="J1089" i="3" s="1"/>
  <c r="I1089" i="3" a="1"/>
  <c r="I1089" i="3" s="1"/>
  <c r="H1089" i="3" a="1"/>
  <c r="H1089" i="3" s="1"/>
  <c r="G1089" i="3" a="1"/>
  <c r="G1089" i="3" s="1"/>
  <c r="K1081" i="3" a="1"/>
  <c r="K1081" i="3" s="1"/>
  <c r="I1081" i="3" a="1"/>
  <c r="I1081" i="3" s="1"/>
  <c r="H1081" i="3" a="1"/>
  <c r="H1081" i="3" s="1"/>
  <c r="G1081" i="3" a="1"/>
  <c r="G1081" i="3" s="1"/>
  <c r="K1073" i="3" a="1"/>
  <c r="K1073" i="3" s="1"/>
  <c r="J1073" i="3" a="1"/>
  <c r="J1073" i="3" s="1"/>
  <c r="I1073" i="3" a="1"/>
  <c r="I1073" i="3" s="1"/>
  <c r="H1073" i="3" a="1"/>
  <c r="H1073" i="3" s="1"/>
  <c r="G1073" i="3" a="1"/>
  <c r="G1073" i="3" s="1"/>
  <c r="K1065" i="3" a="1"/>
  <c r="K1065" i="3"/>
  <c r="J1065" i="3" a="1"/>
  <c r="J1065" i="3" s="1"/>
  <c r="I1065" i="3" a="1"/>
  <c r="I1065" i="3" s="1"/>
  <c r="H1065" i="3" a="1"/>
  <c r="H1065" i="3" s="1"/>
  <c r="G1065" i="3" a="1"/>
  <c r="G1065" i="3" s="1"/>
  <c r="K1057" i="3" a="1"/>
  <c r="K1057" i="3"/>
  <c r="J1057" i="3" a="1"/>
  <c r="J1057" i="3" s="1"/>
  <c r="I1057" i="3" a="1"/>
  <c r="I1057" i="3" s="1"/>
  <c r="H1057" i="3" a="1"/>
  <c r="H1057" i="3" s="1"/>
  <c r="G1057" i="3" a="1"/>
  <c r="G1057" i="3" s="1"/>
  <c r="K1049" i="3" a="1"/>
  <c r="K1049" i="3" s="1"/>
  <c r="J1049" i="3" a="1"/>
  <c r="J1049" i="3" s="1"/>
  <c r="I1049" i="3" a="1"/>
  <c r="I1049" i="3" s="1"/>
  <c r="H1049" i="3" a="1"/>
  <c r="H1049" i="3" s="1"/>
  <c r="G1049" i="3" a="1"/>
  <c r="G1049" i="3" s="1"/>
  <c r="K1041" i="3" a="1"/>
  <c r="K1041" i="3" s="1"/>
  <c r="J1041" i="3" a="1"/>
  <c r="J1041" i="3"/>
  <c r="I1041" i="3" a="1"/>
  <c r="I1041" i="3" s="1"/>
  <c r="H1041" i="3" a="1"/>
  <c r="H1041" i="3" s="1"/>
  <c r="G1041" i="3" a="1"/>
  <c r="G1041" i="3" s="1"/>
  <c r="G1033" i="3" a="1"/>
  <c r="G1033" i="3" s="1"/>
  <c r="K1033" i="3" a="1"/>
  <c r="K1033" i="3"/>
  <c r="J1033" i="3" a="1"/>
  <c r="J1033" i="3" s="1"/>
  <c r="I1033" i="3" a="1"/>
  <c r="I1033" i="3" s="1"/>
  <c r="H1033" i="3" a="1"/>
  <c r="H1033" i="3" s="1"/>
  <c r="H1025" i="3" a="1"/>
  <c r="H1025" i="3" s="1"/>
  <c r="G1025" i="3" a="1"/>
  <c r="G1025" i="3" s="1"/>
  <c r="K1025" i="3" a="1"/>
  <c r="K1025" i="3" s="1"/>
  <c r="J1025" i="3" a="1"/>
  <c r="J1025" i="3" s="1"/>
  <c r="I1025" i="3" a="1"/>
  <c r="I1025" i="3" s="1"/>
  <c r="H1017" i="3" a="1"/>
  <c r="H1017" i="3" s="1"/>
  <c r="K1017" i="3" a="1"/>
  <c r="K1017" i="3" s="1"/>
  <c r="J1017" i="3" a="1"/>
  <c r="J1017" i="3" s="1"/>
  <c r="I1017" i="3" a="1"/>
  <c r="I1017" i="3" s="1"/>
  <c r="J1009" i="3" a="1"/>
  <c r="J1009" i="3" s="1"/>
  <c r="I1009" i="3" a="1"/>
  <c r="I1009" i="3" s="1"/>
  <c r="H1009" i="3" a="1"/>
  <c r="H1009" i="3" s="1"/>
  <c r="G1009" i="3" a="1"/>
  <c r="G1009" i="3" s="1"/>
  <c r="K1009" i="3" a="1"/>
  <c r="K1009" i="3" s="1"/>
  <c r="K1001" i="3" a="1"/>
  <c r="K1001" i="3" s="1"/>
  <c r="J1001" i="3" a="1"/>
  <c r="J1001" i="3" s="1"/>
  <c r="I1001" i="3" a="1"/>
  <c r="I1001" i="3" s="1"/>
  <c r="H1001" i="3" a="1"/>
  <c r="H1001" i="3" s="1"/>
  <c r="G1001" i="3" a="1"/>
  <c r="G1001" i="3" s="1"/>
  <c r="J1096" i="3" a="1"/>
  <c r="J1096" i="3" s="1"/>
  <c r="I1096" i="3" a="1"/>
  <c r="I1096" i="3" s="1"/>
  <c r="H1096" i="3" a="1"/>
  <c r="H1096" i="3" s="1"/>
  <c r="G1096" i="3" a="1"/>
  <c r="G1096" i="3" s="1"/>
  <c r="K1096" i="3" a="1"/>
  <c r="K1096" i="3" s="1"/>
  <c r="J1088" i="3" a="1"/>
  <c r="J1088" i="3"/>
  <c r="I1088" i="3" a="1"/>
  <c r="I1088" i="3" s="1"/>
  <c r="H1088" i="3" a="1"/>
  <c r="H1088" i="3"/>
  <c r="G1088" i="3" a="1"/>
  <c r="G1088" i="3" s="1"/>
  <c r="K1088" i="3" a="1"/>
  <c r="K1088" i="3"/>
  <c r="J1080" i="3" a="1"/>
  <c r="J1080" i="3" s="1"/>
  <c r="I1080" i="3" a="1"/>
  <c r="I1080" i="3" s="1"/>
  <c r="H1080" i="3" a="1"/>
  <c r="H1080" i="3" s="1"/>
  <c r="G1080" i="3" a="1"/>
  <c r="G1080" i="3" s="1"/>
  <c r="K1080" i="3" a="1"/>
  <c r="K1080" i="3" s="1"/>
  <c r="J1072" i="3" a="1"/>
  <c r="J1072" i="3" s="1"/>
  <c r="I1072" i="3" a="1"/>
  <c r="I1072" i="3"/>
  <c r="H1072" i="3" a="1"/>
  <c r="H1072" i="3"/>
  <c r="G1072" i="3" a="1"/>
  <c r="G1072" i="3"/>
  <c r="K1072" i="3" a="1"/>
  <c r="K1072" i="3" s="1"/>
  <c r="J1064" i="3" a="1"/>
  <c r="J1064" i="3" s="1"/>
  <c r="I1064" i="3" a="1"/>
  <c r="I1064" i="3" s="1"/>
  <c r="H1064" i="3" a="1"/>
  <c r="H1064" i="3" s="1"/>
  <c r="G1064" i="3" a="1"/>
  <c r="G1064" i="3" s="1"/>
  <c r="K1064" i="3" a="1"/>
  <c r="K1064" i="3"/>
  <c r="J1056" i="3" a="1"/>
  <c r="J1056" i="3"/>
  <c r="I1056" i="3" a="1"/>
  <c r="I1056" i="3"/>
  <c r="H1056" i="3" a="1"/>
  <c r="H1056" i="3" s="1"/>
  <c r="G1056" i="3" a="1"/>
  <c r="G1056" i="3" s="1"/>
  <c r="K1056" i="3" a="1"/>
  <c r="K1056" i="3" s="1"/>
  <c r="J1048" i="3" a="1"/>
  <c r="J1048" i="3" s="1"/>
  <c r="I1048" i="3" a="1"/>
  <c r="I1048" i="3" s="1"/>
  <c r="H1048" i="3" a="1"/>
  <c r="H1048" i="3"/>
  <c r="G1048" i="3" a="1"/>
  <c r="G1048" i="3"/>
  <c r="K1048" i="3" a="1"/>
  <c r="K1048" i="3"/>
  <c r="J1040" i="3" a="1"/>
  <c r="J1040" i="3" s="1"/>
  <c r="I1040" i="3" a="1"/>
  <c r="I1040" i="3" s="1"/>
  <c r="H1040" i="3" a="1"/>
  <c r="H1040" i="3" s="1"/>
  <c r="G1040" i="3" a="1"/>
  <c r="G1040" i="3" s="1"/>
  <c r="K1040" i="3" a="1"/>
  <c r="K1040" i="3" s="1"/>
  <c r="K1032" i="3" a="1"/>
  <c r="K1032" i="3"/>
  <c r="J1032" i="3" a="1"/>
  <c r="J1032" i="3"/>
  <c r="I1032" i="3" a="1"/>
  <c r="I1032" i="3"/>
  <c r="H1032" i="3" a="1"/>
  <c r="H1032" i="3" s="1"/>
  <c r="G1032" i="3" a="1"/>
  <c r="G1032" i="3" s="1"/>
  <c r="K1024" i="3" a="1"/>
  <c r="K1024" i="3" s="1"/>
  <c r="J1024" i="3" a="1"/>
  <c r="J1024" i="3" s="1"/>
  <c r="I1024" i="3" a="1"/>
  <c r="I1024" i="3" s="1"/>
  <c r="H1024" i="3" a="1"/>
  <c r="H1024" i="3"/>
  <c r="G1024" i="3" a="1"/>
  <c r="G1024" i="3"/>
  <c r="K1016" i="3" a="1"/>
  <c r="K1016" i="3"/>
  <c r="J1016" i="3" a="1"/>
  <c r="J1016" i="3" s="1"/>
  <c r="I1016" i="3" a="1"/>
  <c r="I1016" i="3" s="1"/>
  <c r="H1016" i="3" a="1"/>
  <c r="H1016" i="3" s="1"/>
  <c r="G1016" i="3" a="1"/>
  <c r="G1016" i="3" s="1"/>
  <c r="G1008" i="3" a="1"/>
  <c r="G1008" i="3" s="1"/>
  <c r="K1008" i="3" a="1"/>
  <c r="K1008" i="3"/>
  <c r="J1008" i="3" a="1"/>
  <c r="J1008" i="3"/>
  <c r="I1008" i="3" a="1"/>
  <c r="I1008" i="3"/>
  <c r="H1008" i="3" a="1"/>
  <c r="H1008" i="3" s="1"/>
  <c r="J1000" i="3" a="1"/>
  <c r="J1000" i="3" s="1"/>
  <c r="I1000" i="3" a="1"/>
  <c r="I1000" i="3" s="1"/>
  <c r="H1000" i="3" a="1"/>
  <c r="H1000" i="3" s="1"/>
  <c r="G1000" i="3" a="1"/>
  <c r="G1000" i="3" s="1"/>
  <c r="K1000" i="3" a="1"/>
  <c r="K1000" i="3"/>
  <c r="G1087" i="3" a="1"/>
  <c r="G1087" i="3"/>
  <c r="K1087" i="3" a="1"/>
  <c r="K1087" i="3"/>
  <c r="J1087" i="3" a="1"/>
  <c r="J1087" i="3" s="1"/>
  <c r="I1087" i="3" a="1"/>
  <c r="I1087" i="3" s="1"/>
  <c r="H1087" i="3" a="1"/>
  <c r="H1087" i="3" s="1"/>
  <c r="G1079" i="3" a="1"/>
  <c r="G1079" i="3" s="1"/>
  <c r="K1079" i="3" a="1"/>
  <c r="K1079" i="3" s="1"/>
  <c r="J1079" i="3" a="1"/>
  <c r="J1079" i="3"/>
  <c r="I1079" i="3" a="1"/>
  <c r="I1079" i="3"/>
  <c r="H1079" i="3" a="1"/>
  <c r="H1079" i="3"/>
  <c r="G1071" i="3" a="1"/>
  <c r="G1071" i="3" s="1"/>
  <c r="K1071" i="3" a="1"/>
  <c r="K1071" i="3" s="1"/>
  <c r="J1071" i="3" a="1"/>
  <c r="J1071" i="3" s="1"/>
  <c r="I1071" i="3" a="1"/>
  <c r="I1071" i="3" s="1"/>
  <c r="H1071" i="3" a="1"/>
  <c r="H1071" i="3" s="1"/>
  <c r="G1063" i="3" a="1"/>
  <c r="G1063" i="3"/>
  <c r="K1063" i="3" a="1"/>
  <c r="K1063" i="3"/>
  <c r="J1063" i="3" a="1"/>
  <c r="J1063" i="3"/>
  <c r="I1063" i="3" a="1"/>
  <c r="I1063" i="3" s="1"/>
  <c r="H1063" i="3" a="1"/>
  <c r="H1063" i="3" s="1"/>
  <c r="G1055" i="3" a="1"/>
  <c r="G1055" i="3" s="1"/>
  <c r="K1055" i="3" a="1"/>
  <c r="K1055" i="3" s="1"/>
  <c r="J1055" i="3" a="1"/>
  <c r="J1055" i="3" s="1"/>
  <c r="I1055" i="3" a="1"/>
  <c r="I1055" i="3"/>
  <c r="H1055" i="3" a="1"/>
  <c r="H1055" i="3"/>
  <c r="G1047" i="3" a="1"/>
  <c r="G1047" i="3"/>
  <c r="K1047" i="3" a="1"/>
  <c r="K1047" i="3" s="1"/>
  <c r="J1047" i="3" a="1"/>
  <c r="J1047" i="3" s="1"/>
  <c r="I1047" i="3" a="1"/>
  <c r="I1047" i="3" s="1"/>
  <c r="H1047" i="3" a="1"/>
  <c r="H1047" i="3" s="1"/>
  <c r="G1039" i="3" a="1"/>
  <c r="G1039" i="3" s="1"/>
  <c r="K1039" i="3" a="1"/>
  <c r="K1039" i="3"/>
  <c r="J1039" i="3" a="1"/>
  <c r="J1039" i="3"/>
  <c r="I1039" i="3" a="1"/>
  <c r="I1039" i="3"/>
  <c r="H1039" i="3" a="1"/>
  <c r="H1039" i="3" s="1"/>
  <c r="J1031" i="3" a="1"/>
  <c r="J1031" i="3" s="1"/>
  <c r="I1031" i="3" a="1"/>
  <c r="I1031" i="3" s="1"/>
  <c r="H1031" i="3" a="1"/>
  <c r="H1031" i="3" s="1"/>
  <c r="G1031" i="3" a="1"/>
  <c r="G1031" i="3" s="1"/>
  <c r="K1031" i="3" a="1"/>
  <c r="K1031" i="3"/>
  <c r="J1023" i="3" a="1"/>
  <c r="J1023" i="3"/>
  <c r="I1023" i="3" a="1"/>
  <c r="I1023" i="3"/>
  <c r="H1023" i="3" a="1"/>
  <c r="H1023" i="3" s="1"/>
  <c r="G1023" i="3" a="1"/>
  <c r="G1023" i="3" s="1"/>
  <c r="K1023" i="3" a="1"/>
  <c r="K1023" i="3" s="1"/>
  <c r="J1015" i="3" a="1"/>
  <c r="J1015" i="3" s="1"/>
  <c r="I1015" i="3" a="1"/>
  <c r="I1015" i="3" s="1"/>
  <c r="H1015" i="3" a="1"/>
  <c r="H1015" i="3"/>
  <c r="G1015" i="3" a="1"/>
  <c r="G1015" i="3"/>
  <c r="K1015" i="3" a="1"/>
  <c r="K1015" i="3"/>
  <c r="K1007" i="3" a="1"/>
  <c r="K1007" i="3" s="1"/>
  <c r="J1007" i="3" a="1"/>
  <c r="J1007" i="3" s="1"/>
  <c r="I1007" i="3" a="1"/>
  <c r="I1007" i="3" s="1"/>
  <c r="H1007" i="3" a="1"/>
  <c r="H1007" i="3" s="1"/>
  <c r="G1007" i="3" a="1"/>
  <c r="G1007" i="3" s="1"/>
  <c r="K1094" i="3" a="1"/>
  <c r="K1094" i="3"/>
  <c r="J1094" i="3" a="1"/>
  <c r="J1094" i="3"/>
  <c r="I1094" i="3" a="1"/>
  <c r="I1094" i="3"/>
  <c r="H1094" i="3" a="1"/>
  <c r="H1094" i="3" s="1"/>
  <c r="G1094" i="3" a="1"/>
  <c r="G1094" i="3" s="1"/>
  <c r="K1054" i="3" a="1"/>
  <c r="K1054" i="3" s="1"/>
  <c r="J1054" i="3" a="1"/>
  <c r="J1054" i="3" s="1"/>
  <c r="I1054" i="3" a="1"/>
  <c r="I1054" i="3" s="1"/>
  <c r="H1054" i="3" a="1"/>
  <c r="H1054" i="3"/>
  <c r="G1054" i="3" a="1"/>
  <c r="G1054" i="3"/>
  <c r="K1046" i="3" a="1"/>
  <c r="K1046" i="3"/>
  <c r="J1046" i="3" a="1"/>
  <c r="J1046" i="3" s="1"/>
  <c r="I1046" i="3" a="1"/>
  <c r="I1046" i="3" s="1"/>
  <c r="H1046" i="3" a="1"/>
  <c r="H1046" i="3" s="1"/>
  <c r="G1046" i="3" a="1"/>
  <c r="G1046" i="3" s="1"/>
  <c r="K1038" i="3" a="1"/>
  <c r="K1038" i="3" s="1"/>
  <c r="J1038" i="3" a="1"/>
  <c r="J1038" i="3"/>
  <c r="I1038" i="3" a="1"/>
  <c r="I1038" i="3"/>
  <c r="H1038" i="3" a="1"/>
  <c r="H1038" i="3"/>
  <c r="G1038" i="3" a="1"/>
  <c r="G1038" i="3" s="1"/>
  <c r="G1030" i="3" a="1"/>
  <c r="G1030" i="3" s="1"/>
  <c r="K1030" i="3" a="1"/>
  <c r="K1030" i="3" s="1"/>
  <c r="J1030" i="3" a="1"/>
  <c r="J1030" i="3" s="1"/>
  <c r="I1030" i="3" a="1"/>
  <c r="I1030" i="3" s="1"/>
  <c r="H1030" i="3" a="1"/>
  <c r="H1030" i="3"/>
  <c r="G1022" i="3" a="1"/>
  <c r="G1022" i="3"/>
  <c r="K1022" i="3" a="1"/>
  <c r="K1022" i="3"/>
  <c r="J1022" i="3" a="1"/>
  <c r="J1022" i="3" s="1"/>
  <c r="I1022" i="3" a="1"/>
  <c r="I1022" i="3" s="1"/>
  <c r="H1022" i="3" a="1"/>
  <c r="H1022" i="3" s="1"/>
  <c r="H1014" i="3" a="1"/>
  <c r="H1014" i="3" s="1"/>
  <c r="G1014" i="3" a="1"/>
  <c r="G1014" i="3" s="1"/>
  <c r="K1014" i="3" a="1"/>
  <c r="K1014" i="3"/>
  <c r="J1014" i="3" a="1"/>
  <c r="J1014" i="3"/>
  <c r="I1014" i="3" a="1"/>
  <c r="I1014" i="3"/>
  <c r="J1006" i="3" a="1"/>
  <c r="J1006" i="3" s="1"/>
  <c r="I1006" i="3" a="1"/>
  <c r="I1006" i="3" s="1"/>
  <c r="H1006" i="3" a="1"/>
  <c r="H1006" i="3" s="1"/>
  <c r="G1006" i="3" a="1"/>
  <c r="G1006" i="3" s="1"/>
  <c r="K1006" i="3" a="1"/>
  <c r="K1006" i="3" s="1"/>
  <c r="H285" i="13"/>
  <c r="L994" i="3" a="1"/>
  <c r="L994" i="3" s="1"/>
  <c r="L995" i="3" a="1"/>
  <c r="L995" i="3" s="1"/>
  <c r="L996" i="3" a="1"/>
  <c r="L996" i="3" s="1"/>
  <c r="L997" i="3" a="1"/>
  <c r="L997" i="3"/>
  <c r="K997" i="3" s="1" a="1"/>
  <c r="K997" i="3" s="1"/>
  <c r="L998" i="3" a="1"/>
  <c r="L998" i="3" s="1"/>
  <c r="L999" i="3" a="1"/>
  <c r="L999" i="3" s="1"/>
  <c r="K1135" i="13"/>
  <c r="K1122" i="13"/>
  <c r="K1117" i="13"/>
  <c r="G995" i="3" a="1"/>
  <c r="G995" i="3" s="1"/>
  <c r="I998" i="3" a="1"/>
  <c r="I998" i="3" s="1"/>
  <c r="I997" i="3" a="1"/>
  <c r="I997" i="3" s="1"/>
  <c r="H997" i="3" a="1"/>
  <c r="H997" i="3" s="1"/>
  <c r="G997" i="3" a="1"/>
  <c r="G997" i="3" s="1"/>
  <c r="D2" i="30"/>
  <c r="H45" i="13"/>
  <c r="H46" i="13"/>
  <c r="H48" i="13"/>
  <c r="H102" i="13"/>
  <c r="H103" i="13"/>
  <c r="H107" i="13"/>
  <c r="H133" i="13"/>
  <c r="H179" i="13"/>
  <c r="H186" i="13"/>
  <c r="H181" i="13"/>
  <c r="H188" i="13"/>
  <c r="H182" i="13"/>
  <c r="H183" i="13"/>
  <c r="H184" i="13"/>
  <c r="H189" i="13"/>
  <c r="H194" i="13"/>
  <c r="M194" i="13"/>
  <c r="H195" i="13"/>
  <c r="H196" i="13"/>
  <c r="H197" i="13"/>
  <c r="H483" i="13"/>
  <c r="H228" i="13"/>
  <c r="H229" i="13"/>
  <c r="O266" i="13"/>
  <c r="H303" i="13"/>
  <c r="N537" i="13"/>
  <c r="N535" i="13"/>
  <c r="H530" i="13"/>
  <c r="N545" i="13"/>
  <c r="O267" i="13"/>
  <c r="O268" i="13"/>
  <c r="H282" i="13"/>
  <c r="M282" i="13"/>
  <c r="O282" i="13"/>
  <c r="H292" i="13"/>
  <c r="H318" i="13"/>
  <c r="H347" i="13"/>
  <c r="H348" i="13"/>
  <c r="H353" i="13"/>
  <c r="H355" i="13"/>
  <c r="H360" i="13"/>
  <c r="M497" i="13"/>
  <c r="H493" i="13"/>
  <c r="M498" i="13"/>
  <c r="H494" i="13"/>
  <c r="M500" i="13"/>
  <c r="H496" i="13"/>
  <c r="M501" i="13"/>
  <c r="H514" i="13"/>
  <c r="H515" i="13"/>
  <c r="H516" i="13"/>
  <c r="H518" i="13"/>
  <c r="H519" i="13"/>
  <c r="H520" i="13"/>
  <c r="H523" i="13"/>
  <c r="N536" i="13"/>
  <c r="H531" i="13"/>
  <c r="H533" i="13"/>
  <c r="H534" i="13"/>
  <c r="N540" i="13"/>
  <c r="H540" i="13"/>
  <c r="N541" i="13"/>
  <c r="N542" i="13"/>
  <c r="N543" i="13"/>
  <c r="N544" i="13"/>
  <c r="N547" i="13"/>
  <c r="N548" i="13"/>
  <c r="H548" i="13"/>
  <c r="N549" i="13"/>
  <c r="N550" i="13"/>
  <c r="N551" i="13"/>
  <c r="H546" i="13"/>
  <c r="N552" i="13"/>
  <c r="N554" i="13"/>
  <c r="N555" i="13"/>
  <c r="N556" i="13"/>
  <c r="N557" i="13"/>
  <c r="N558" i="13"/>
  <c r="H553" i="13"/>
  <c r="N559" i="13"/>
  <c r="N561" i="13"/>
  <c r="N562" i="13"/>
  <c r="N563" i="13"/>
  <c r="N565" i="13"/>
  <c r="H560" i="13"/>
  <c r="N566" i="13"/>
  <c r="N569" i="13"/>
  <c r="H564" i="13"/>
  <c r="N570" i="13"/>
  <c r="H615" i="13"/>
  <c r="H616" i="13"/>
  <c r="H617" i="13"/>
  <c r="O634" i="13"/>
  <c r="O668" i="13"/>
  <c r="O687" i="13"/>
  <c r="O730" i="13"/>
  <c r="O887" i="13"/>
  <c r="H878" i="13"/>
  <c r="P895" i="13"/>
  <c r="H966" i="13"/>
  <c r="D52" i="30"/>
  <c r="L9" i="3" a="1"/>
  <c r="L9" i="3" s="1"/>
  <c r="L8" i="3" a="1"/>
  <c r="L8" i="3" s="1"/>
  <c r="L7" i="3" a="1"/>
  <c r="L7" i="3" s="1"/>
  <c r="L10" i="3" a="1"/>
  <c r="L10" i="3"/>
  <c r="L11" i="3" a="1"/>
  <c r="L11" i="3"/>
  <c r="L12" i="3" a="1"/>
  <c r="L12" i="3"/>
  <c r="L13" i="3" a="1"/>
  <c r="L13" i="3" s="1"/>
  <c r="L14" i="3" a="1"/>
  <c r="L14" i="3" s="1"/>
  <c r="L15" i="3" a="1"/>
  <c r="L15" i="3" s="1"/>
  <c r="L16" i="3" a="1"/>
  <c r="L16" i="3" s="1"/>
  <c r="L17" i="3" a="1"/>
  <c r="L17" i="3" s="1"/>
  <c r="L18" i="3" a="1"/>
  <c r="L18" i="3"/>
  <c r="L19" i="3" a="1"/>
  <c r="L19" i="3"/>
  <c r="L20" i="3" a="1"/>
  <c r="L20" i="3"/>
  <c r="L21" i="3" a="1"/>
  <c r="L21" i="3" s="1"/>
  <c r="L22" i="3" a="1"/>
  <c r="L22" i="3" s="1"/>
  <c r="L23" i="3" a="1"/>
  <c r="L23" i="3" s="1"/>
  <c r="L28" i="3" a="1"/>
  <c r="L28" i="3" s="1"/>
  <c r="L24" i="3" a="1"/>
  <c r="L24" i="3" s="1"/>
  <c r="L29" i="3" a="1"/>
  <c r="L29" i="3"/>
  <c r="L25" i="3" a="1"/>
  <c r="L25" i="3"/>
  <c r="L26" i="3" a="1"/>
  <c r="L26" i="3"/>
  <c r="L30" i="3" a="1"/>
  <c r="L30" i="3" s="1"/>
  <c r="L27" i="3" a="1"/>
  <c r="L27" i="3" s="1"/>
  <c r="L33" i="3" a="1"/>
  <c r="L33" i="3" s="1"/>
  <c r="L32" i="3" a="1"/>
  <c r="L32" i="3" s="1"/>
  <c r="L31" i="3" a="1"/>
  <c r="L31" i="3" s="1"/>
  <c r="L34" i="3" a="1"/>
  <c r="L34" i="3"/>
  <c r="L35" i="3" a="1"/>
  <c r="L35" i="3"/>
  <c r="L36" i="3" a="1"/>
  <c r="L36" i="3"/>
  <c r="L37" i="3" a="1"/>
  <c r="L37" i="3" s="1"/>
  <c r="L38" i="3" a="1"/>
  <c r="L38" i="3" s="1"/>
  <c r="L52" i="3" a="1"/>
  <c r="L52" i="3" s="1"/>
  <c r="L39" i="3" a="1"/>
  <c r="L39" i="3" s="1"/>
  <c r="L53" i="3" a="1"/>
  <c r="L53" i="3" s="1"/>
  <c r="L40" i="3" a="1"/>
  <c r="L40" i="3"/>
  <c r="L47" i="3" a="1"/>
  <c r="L47" i="3"/>
  <c r="L41" i="3" a="1"/>
  <c r="L41" i="3"/>
  <c r="L42" i="3" a="1"/>
  <c r="L42" i="3" s="1"/>
  <c r="L49" i="3" a="1"/>
  <c r="L49" i="3" s="1"/>
  <c r="L43" i="3" a="1"/>
  <c r="L43" i="3" s="1"/>
  <c r="L50" i="3" a="1"/>
  <c r="L50" i="3" s="1"/>
  <c r="L44" i="3" a="1"/>
  <c r="L44" i="3" s="1"/>
  <c r="L54" i="3" a="1"/>
  <c r="L54" i="3"/>
  <c r="L45" i="3" a="1"/>
  <c r="L45" i="3"/>
  <c r="L46" i="3" a="1"/>
  <c r="L46" i="3"/>
  <c r="L48" i="3" a="1"/>
  <c r="L48" i="3" s="1"/>
  <c r="L51" i="3" a="1"/>
  <c r="L51" i="3" s="1"/>
  <c r="L55" i="3" a="1"/>
  <c r="L55" i="3" s="1"/>
  <c r="L58" i="3" a="1"/>
  <c r="L58" i="3" s="1"/>
  <c r="L56" i="3" a="1"/>
  <c r="L56" i="3" s="1"/>
  <c r="L59" i="3" a="1"/>
  <c r="L59" i="3"/>
  <c r="L57" i="3" a="1"/>
  <c r="L57" i="3"/>
  <c r="L60" i="3" a="1"/>
  <c r="L60" i="3"/>
  <c r="L62" i="3" a="1"/>
  <c r="L62" i="3" s="1"/>
  <c r="L61" i="3" a="1"/>
  <c r="L61" i="3" s="1"/>
  <c r="L63" i="3" a="1"/>
  <c r="L63" i="3" s="1"/>
  <c r="L96" i="3" a="1"/>
  <c r="L96" i="3" s="1"/>
  <c r="L94" i="3" a="1"/>
  <c r="L94" i="3" s="1"/>
  <c r="L98" i="3" a="1"/>
  <c r="L98" i="3"/>
  <c r="L97" i="3" a="1"/>
  <c r="L97" i="3"/>
  <c r="L95" i="3" a="1"/>
  <c r="L95" i="3"/>
  <c r="L89" i="3" a="1"/>
  <c r="L89" i="3" s="1"/>
  <c r="L85" i="3" a="1"/>
  <c r="L85" i="3" s="1"/>
  <c r="L90" i="3" a="1"/>
  <c r="L90" i="3" s="1"/>
  <c r="L91" i="3" a="1"/>
  <c r="L91" i="3" s="1"/>
  <c r="L82" i="3" a="1"/>
  <c r="L82" i="3" s="1"/>
  <c r="L83" i="3" a="1"/>
  <c r="L83" i="3"/>
  <c r="L88" i="3" a="1"/>
  <c r="L88" i="3"/>
  <c r="L84" i="3" a="1"/>
  <c r="L84" i="3"/>
  <c r="L92" i="3" a="1"/>
  <c r="L92" i="3" s="1"/>
  <c r="L87" i="3" a="1"/>
  <c r="L87" i="3" s="1"/>
  <c r="L86" i="3" a="1"/>
  <c r="L86" i="3" s="1"/>
  <c r="L93" i="3" a="1"/>
  <c r="L93" i="3" s="1"/>
  <c r="L75" i="3" a="1"/>
  <c r="L75" i="3" s="1"/>
  <c r="L80" i="3" a="1"/>
  <c r="L80" i="3"/>
  <c r="L77" i="3" a="1"/>
  <c r="L77" i="3"/>
  <c r="L73" i="3" a="1"/>
  <c r="L73" i="3"/>
  <c r="L78" i="3" a="1"/>
  <c r="L78" i="3" s="1"/>
  <c r="L81" i="3" a="1"/>
  <c r="L81" i="3" s="1"/>
  <c r="L79" i="3" a="1"/>
  <c r="L79" i="3" s="1"/>
  <c r="L74" i="3" a="1"/>
  <c r="L74" i="3" s="1"/>
  <c r="L76" i="3" a="1"/>
  <c r="L76" i="3" s="1"/>
  <c r="L65" i="3" a="1"/>
  <c r="L65" i="3"/>
  <c r="L68" i="3" a="1"/>
  <c r="L68" i="3"/>
  <c r="L72" i="3" a="1"/>
  <c r="L72" i="3"/>
  <c r="L70" i="3" a="1"/>
  <c r="L70" i="3" s="1"/>
  <c r="L69" i="3" a="1"/>
  <c r="L69" i="3" s="1"/>
  <c r="L71" i="3" a="1"/>
  <c r="L71" i="3" s="1"/>
  <c r="L67" i="3" a="1"/>
  <c r="L67" i="3" s="1"/>
  <c r="L66" i="3" a="1"/>
  <c r="L66" i="3" s="1"/>
  <c r="L64" i="3" a="1"/>
  <c r="L64" i="3"/>
  <c r="L99" i="3" a="1"/>
  <c r="L99" i="3"/>
  <c r="L101" i="3" a="1"/>
  <c r="L101" i="3"/>
  <c r="L100" i="3" a="1"/>
  <c r="L100" i="3" s="1"/>
  <c r="L102" i="3" a="1"/>
  <c r="L102" i="3" s="1"/>
  <c r="L103" i="3" a="1"/>
  <c r="L103" i="3" s="1"/>
  <c r="L135" i="3" a="1"/>
  <c r="L135" i="3" s="1"/>
  <c r="L134" i="3" a="1"/>
  <c r="L134" i="3" s="1"/>
  <c r="L137" i="3" a="1"/>
  <c r="L137" i="3"/>
  <c r="L136" i="3" a="1"/>
  <c r="L136" i="3"/>
  <c r="L138" i="3" a="1"/>
  <c r="L138" i="3"/>
  <c r="L124" i="3" a="1"/>
  <c r="L124" i="3" s="1"/>
  <c r="L110" i="3" a="1"/>
  <c r="L110" i="3" s="1"/>
  <c r="L125" i="3" a="1"/>
  <c r="L125" i="3" s="1"/>
  <c r="L115" i="3" a="1"/>
  <c r="L115" i="3" s="1"/>
  <c r="L122" i="3" a="1"/>
  <c r="L122" i="3" s="1"/>
  <c r="L117" i="3" a="1"/>
  <c r="L117" i="3"/>
  <c r="L131" i="3" a="1"/>
  <c r="L131" i="3"/>
  <c r="L119" i="3" a="1"/>
  <c r="L119" i="3"/>
  <c r="L133" i="3" a="1"/>
  <c r="L133" i="3" s="1"/>
  <c r="L112" i="3" a="1"/>
  <c r="L112" i="3" s="1"/>
  <c r="L132" i="3" a="1"/>
  <c r="L132" i="3" s="1"/>
  <c r="L130" i="3" a="1"/>
  <c r="L130" i="3" s="1"/>
  <c r="L123" i="3" a="1"/>
  <c r="L123" i="3" s="1"/>
  <c r="L129" i="3" a="1"/>
  <c r="L129" i="3"/>
  <c r="L127" i="3" a="1"/>
  <c r="L127" i="3"/>
  <c r="L128" i="3" a="1"/>
  <c r="L128" i="3"/>
  <c r="L126" i="3" a="1"/>
  <c r="L126" i="3" s="1"/>
  <c r="L114" i="3" a="1"/>
  <c r="L114" i="3" s="1"/>
  <c r="L121" i="3" a="1"/>
  <c r="L121" i="3" s="1"/>
  <c r="L113" i="3" a="1"/>
  <c r="L113" i="3" s="1"/>
  <c r="L118" i="3" a="1"/>
  <c r="L118" i="3" s="1"/>
  <c r="L120" i="3" a="1"/>
  <c r="L120" i="3"/>
  <c r="L111" i="3" a="1"/>
  <c r="L111" i="3"/>
  <c r="L116" i="3" a="1"/>
  <c r="L116" i="3"/>
  <c r="L104" i="3" a="1"/>
  <c r="L104" i="3" s="1"/>
  <c r="L107" i="3" a="1"/>
  <c r="L107" i="3" s="1"/>
  <c r="L106" i="3" a="1"/>
  <c r="L106" i="3" s="1"/>
  <c r="L105" i="3" a="1"/>
  <c r="L105" i="3" s="1"/>
  <c r="L108" i="3" a="1"/>
  <c r="L108" i="3" s="1"/>
  <c r="L109" i="3" a="1"/>
  <c r="L109" i="3"/>
  <c r="L139" i="3" a="1"/>
  <c r="L139" i="3"/>
  <c r="L163" i="3" a="1"/>
  <c r="L163" i="3"/>
  <c r="L164" i="3" a="1"/>
  <c r="L164" i="3" s="1"/>
  <c r="L165" i="3" a="1"/>
  <c r="L165" i="3" s="1"/>
  <c r="L161" i="3" a="1"/>
  <c r="L161" i="3" s="1"/>
  <c r="L162" i="3" a="1"/>
  <c r="L162" i="3" s="1"/>
  <c r="L158" i="3" a="1"/>
  <c r="L158" i="3" s="1"/>
  <c r="L160" i="3" a="1"/>
  <c r="L160" i="3"/>
  <c r="L156" i="3" a="1"/>
  <c r="L156" i="3"/>
  <c r="L157" i="3" a="1"/>
  <c r="L157" i="3"/>
  <c r="L159" i="3" a="1"/>
  <c r="L159" i="3" s="1"/>
  <c r="L152" i="3" a="1"/>
  <c r="L152" i="3" s="1"/>
  <c r="L153" i="3" a="1"/>
  <c r="L153" i="3" s="1"/>
  <c r="L155" i="3" a="1"/>
  <c r="L155" i="3" s="1"/>
  <c r="L154" i="3" a="1"/>
  <c r="L154" i="3" s="1"/>
  <c r="L149" i="3" a="1"/>
  <c r="L149" i="3"/>
  <c r="L150" i="3" a="1"/>
  <c r="L150" i="3"/>
  <c r="L148" i="3" a="1"/>
  <c r="L148" i="3"/>
  <c r="L151" i="3" a="1"/>
  <c r="L151" i="3" s="1"/>
  <c r="L140" i="3" a="1"/>
  <c r="L140" i="3" s="1"/>
  <c r="L142" i="3" a="1"/>
  <c r="L142" i="3" s="1"/>
  <c r="L145" i="3" a="1"/>
  <c r="L145" i="3" s="1"/>
  <c r="L147" i="3" a="1"/>
  <c r="L147" i="3" s="1"/>
  <c r="L143" i="3" a="1"/>
  <c r="L143" i="3"/>
  <c r="L146" i="3" a="1"/>
  <c r="L146" i="3"/>
  <c r="L141" i="3" a="1"/>
  <c r="L141" i="3"/>
  <c r="L144" i="3" a="1"/>
  <c r="L144" i="3" s="1"/>
  <c r="L166" i="3" a="1"/>
  <c r="L166" i="3" s="1"/>
  <c r="L171" i="3" a="1"/>
  <c r="L171" i="3" s="1"/>
  <c r="L172" i="3" a="1"/>
  <c r="L172" i="3" s="1"/>
  <c r="L174" i="3" a="1"/>
  <c r="L174" i="3" s="1"/>
  <c r="L173" i="3" a="1"/>
  <c r="L173" i="3"/>
  <c r="L169" i="3" a="1"/>
  <c r="L169" i="3"/>
  <c r="L168" i="3" a="1"/>
  <c r="L168" i="3"/>
  <c r="L170" i="3" a="1"/>
  <c r="L170" i="3" s="1"/>
  <c r="L167" i="3" a="1"/>
  <c r="L167" i="3" s="1"/>
  <c r="L175" i="3" a="1"/>
  <c r="L175" i="3" s="1"/>
  <c r="L209" i="3" a="1"/>
  <c r="L209" i="3" s="1"/>
  <c r="L208" i="3" a="1"/>
  <c r="L208" i="3" s="1"/>
  <c r="L207" i="3" a="1"/>
  <c r="L207" i="3"/>
  <c r="L206" i="3" a="1"/>
  <c r="L206" i="3"/>
  <c r="L205" i="3" a="1"/>
  <c r="L205" i="3"/>
  <c r="L204" i="3" a="1"/>
  <c r="L204" i="3" s="1"/>
  <c r="L203" i="3" a="1"/>
  <c r="L203" i="3" s="1"/>
  <c r="L202" i="3" a="1"/>
  <c r="L202" i="3" s="1"/>
  <c r="L201" i="3" a="1"/>
  <c r="L201" i="3" s="1"/>
  <c r="L200" i="3" a="1"/>
  <c r="L200" i="3" s="1"/>
  <c r="L199" i="3" a="1"/>
  <c r="L199" i="3"/>
  <c r="L198" i="3" a="1"/>
  <c r="L198" i="3"/>
  <c r="L197" i="3" a="1"/>
  <c r="L197" i="3"/>
  <c r="L196" i="3" a="1"/>
  <c r="L196" i="3" s="1"/>
  <c r="L195" i="3" a="1"/>
  <c r="L195" i="3" s="1"/>
  <c r="L194" i="3" a="1"/>
  <c r="L194" i="3" s="1"/>
  <c r="L193" i="3" a="1"/>
  <c r="L193" i="3" s="1"/>
  <c r="L192" i="3" a="1"/>
  <c r="L192" i="3" s="1"/>
  <c r="L191" i="3" a="1"/>
  <c r="L191" i="3"/>
  <c r="L190" i="3" a="1"/>
  <c r="L190" i="3"/>
  <c r="L189" i="3" a="1"/>
  <c r="L189" i="3"/>
  <c r="L188" i="3" a="1"/>
  <c r="L188" i="3" s="1"/>
  <c r="L187" i="3" a="1"/>
  <c r="L187" i="3" s="1"/>
  <c r="L186" i="3" a="1"/>
  <c r="L186" i="3" s="1"/>
  <c r="L185" i="3" a="1"/>
  <c r="L185" i="3" s="1"/>
  <c r="L184" i="3" a="1"/>
  <c r="L184" i="3" s="1"/>
  <c r="L183" i="3" a="1"/>
  <c r="L183" i="3"/>
  <c r="L182" i="3" a="1"/>
  <c r="L182" i="3"/>
  <c r="L181" i="3" a="1"/>
  <c r="L181" i="3"/>
  <c r="L180" i="3" a="1"/>
  <c r="L180" i="3" s="1"/>
  <c r="L179" i="3" a="1"/>
  <c r="L179" i="3" s="1"/>
  <c r="L178" i="3" a="1"/>
  <c r="L178" i="3" s="1"/>
  <c r="L177" i="3" a="1"/>
  <c r="L177" i="3" s="1"/>
  <c r="L176" i="3" a="1"/>
  <c r="L176" i="3" s="1"/>
  <c r="L210" i="3" a="1"/>
  <c r="L210" i="3"/>
  <c r="L213" i="3" a="1"/>
  <c r="L213" i="3"/>
  <c r="L212" i="3" a="1"/>
  <c r="L212" i="3"/>
  <c r="L211" i="3" a="1"/>
  <c r="L211" i="3" s="1"/>
  <c r="L214" i="3" a="1"/>
  <c r="L214" i="3" s="1"/>
  <c r="L217" i="3" a="1"/>
  <c r="L217" i="3" s="1"/>
  <c r="L218" i="3" a="1"/>
  <c r="L218" i="3" s="1"/>
  <c r="L216" i="3" a="1"/>
  <c r="L216" i="3" s="1"/>
  <c r="L215" i="3" a="1"/>
  <c r="L215" i="3"/>
  <c r="L219" i="3" a="1"/>
  <c r="L219" i="3"/>
  <c r="L221" i="3" a="1"/>
  <c r="L221" i="3"/>
  <c r="L220" i="3" a="1"/>
  <c r="L220" i="3" s="1"/>
  <c r="L222" i="3" a="1"/>
  <c r="L222" i="3" s="1"/>
  <c r="L226" i="3" a="1"/>
  <c r="L226" i="3" s="1"/>
  <c r="L227" i="3" a="1"/>
  <c r="L227" i="3" s="1"/>
  <c r="L223" i="3" a="1"/>
  <c r="L223" i="3" s="1"/>
  <c r="L224" i="3" a="1"/>
  <c r="L224" i="3"/>
  <c r="L225" i="3" a="1"/>
  <c r="L225" i="3"/>
  <c r="L228" i="3" a="1"/>
  <c r="L228" i="3"/>
  <c r="L234" i="3" a="1"/>
  <c r="L234" i="3" s="1"/>
  <c r="L229" i="3" a="1"/>
  <c r="L229" i="3" s="1"/>
  <c r="L230" i="3" a="1"/>
  <c r="L230" i="3" s="1"/>
  <c r="L235" i="3" a="1"/>
  <c r="L235" i="3" s="1"/>
  <c r="L232" i="3" a="1"/>
  <c r="L232" i="3" s="1"/>
  <c r="L233" i="3" a="1"/>
  <c r="L233" i="3"/>
  <c r="L231" i="3" a="1"/>
  <c r="L231" i="3"/>
  <c r="L236" i="3" a="1"/>
  <c r="L236" i="3"/>
  <c r="L240" i="3" a="1"/>
  <c r="L240" i="3" s="1"/>
  <c r="L241" i="3" a="1"/>
  <c r="L241" i="3" s="1"/>
  <c r="L238" i="3" a="1"/>
  <c r="L238" i="3" s="1"/>
  <c r="L239" i="3" a="1"/>
  <c r="L239" i="3" s="1"/>
  <c r="L237" i="3" a="1"/>
  <c r="L237" i="3" s="1"/>
  <c r="L242" i="3" a="1"/>
  <c r="L242" i="3"/>
  <c r="L255" i="3" a="1"/>
  <c r="L255" i="3"/>
  <c r="L254" i="3" a="1"/>
  <c r="L254" i="3"/>
  <c r="L246" i="3" a="1"/>
  <c r="L246" i="3" s="1"/>
  <c r="L253" i="3" a="1"/>
  <c r="L253" i="3" s="1"/>
  <c r="L251" i="3" a="1"/>
  <c r="L251" i="3" s="1"/>
  <c r="L245" i="3" a="1"/>
  <c r="L245" i="3" s="1"/>
  <c r="L249" i="3" a="1"/>
  <c r="L249" i="3" s="1"/>
  <c r="L248" i="3" a="1"/>
  <c r="L248" i="3"/>
  <c r="L252" i="3" a="1"/>
  <c r="L252" i="3"/>
  <c r="L247" i="3" a="1"/>
  <c r="L247" i="3"/>
  <c r="L243" i="3" a="1"/>
  <c r="L243" i="3" s="1"/>
  <c r="L244" i="3" a="1"/>
  <c r="L244" i="3" s="1"/>
  <c r="L250" i="3" a="1"/>
  <c r="L250" i="3" s="1"/>
  <c r="L257" i="3" a="1"/>
  <c r="L257" i="3" s="1"/>
  <c r="L256" i="3" a="1"/>
  <c r="L256" i="3" s="1"/>
  <c r="L258" i="3" a="1"/>
  <c r="L258" i="3"/>
  <c r="L288" i="3" a="1"/>
  <c r="L288" i="3"/>
  <c r="L284" i="3" a="1"/>
  <c r="L284" i="3"/>
  <c r="L290" i="3" a="1"/>
  <c r="L290" i="3" s="1"/>
  <c r="L281" i="3" a="1"/>
  <c r="L281" i="3" s="1"/>
  <c r="L283" i="3" a="1"/>
  <c r="L283" i="3" s="1"/>
  <c r="L282" i="3" a="1"/>
  <c r="L282" i="3" s="1"/>
  <c r="L278" i="3" a="1"/>
  <c r="L278" i="3" s="1"/>
  <c r="L289" i="3" a="1"/>
  <c r="L289" i="3"/>
  <c r="L287" i="3" a="1"/>
  <c r="L287" i="3"/>
  <c r="L285" i="3" a="1"/>
  <c r="L285" i="3"/>
  <c r="L286" i="3" a="1"/>
  <c r="L286" i="3" s="1"/>
  <c r="L280" i="3" a="1"/>
  <c r="L280" i="3" s="1"/>
  <c r="L279" i="3" a="1"/>
  <c r="L279" i="3" s="1"/>
  <c r="L291" i="3" a="1"/>
  <c r="L291" i="3" s="1"/>
  <c r="L275" i="3" a="1"/>
  <c r="L275" i="3" s="1"/>
  <c r="L273" i="3" a="1"/>
  <c r="L273" i="3"/>
  <c r="L274" i="3" a="1"/>
  <c r="L274" i="3"/>
  <c r="L276" i="3" a="1"/>
  <c r="L276" i="3"/>
  <c r="L272" i="3" a="1"/>
  <c r="L272" i="3" s="1"/>
  <c r="L277" i="3" a="1"/>
  <c r="L277" i="3" s="1"/>
  <c r="L270" i="3" a="1"/>
  <c r="L270" i="3" s="1"/>
  <c r="L271" i="3" a="1"/>
  <c r="L271" i="3" s="1"/>
  <c r="L268" i="3" a="1"/>
  <c r="L268" i="3" s="1"/>
  <c r="L269" i="3" a="1"/>
  <c r="L269" i="3"/>
  <c r="L267" i="3" a="1"/>
  <c r="L267" i="3"/>
  <c r="L265" i="3" a="1"/>
  <c r="L265" i="3"/>
  <c r="L266" i="3" a="1"/>
  <c r="L266" i="3" s="1"/>
  <c r="L262" i="3" a="1"/>
  <c r="L262" i="3" s="1"/>
  <c r="L264" i="3" a="1"/>
  <c r="L264" i="3" s="1"/>
  <c r="L263" i="3" a="1"/>
  <c r="L263" i="3" s="1"/>
  <c r="L260" i="3" a="1"/>
  <c r="L260" i="3" s="1"/>
  <c r="L261" i="3" a="1"/>
  <c r="L261" i="3"/>
  <c r="L259" i="3" a="1"/>
  <c r="L259" i="3"/>
  <c r="L292" i="3" a="1"/>
  <c r="L292" i="3"/>
  <c r="L309" i="3" a="1"/>
  <c r="L309" i="3" s="1"/>
  <c r="L310" i="3" a="1"/>
  <c r="L310" i="3" s="1"/>
  <c r="L307" i="3" a="1"/>
  <c r="L307" i="3" s="1"/>
  <c r="L308" i="3" a="1"/>
  <c r="L308" i="3" s="1"/>
  <c r="L306" i="3" a="1"/>
  <c r="L306" i="3" s="1"/>
  <c r="L305" i="3" a="1"/>
  <c r="L305" i="3"/>
  <c r="L303" i="3" a="1"/>
  <c r="L303" i="3"/>
  <c r="L304" i="3" a="1"/>
  <c r="L304" i="3"/>
  <c r="L302" i="3" a="1"/>
  <c r="L302" i="3" s="1"/>
  <c r="L301" i="3" a="1"/>
  <c r="L301" i="3" s="1"/>
  <c r="L300" i="3" a="1"/>
  <c r="L300" i="3" s="1"/>
  <c r="L298" i="3" a="1"/>
  <c r="L298" i="3" s="1"/>
  <c r="L299" i="3" a="1"/>
  <c r="L299" i="3" s="1"/>
  <c r="L295" i="3" a="1"/>
  <c r="L295" i="3"/>
  <c r="L294" i="3" a="1"/>
  <c r="L294" i="3"/>
  <c r="L293" i="3" a="1"/>
  <c r="L293" i="3"/>
  <c r="L297" i="3" a="1"/>
  <c r="L297" i="3" s="1"/>
  <c r="L296" i="3" a="1"/>
  <c r="L296" i="3" s="1"/>
  <c r="L311" i="3" a="1"/>
  <c r="L311" i="3" s="1"/>
  <c r="L325" i="3" a="1"/>
  <c r="L325" i="3" s="1"/>
  <c r="L332" i="3" a="1"/>
  <c r="L332" i="3" s="1"/>
  <c r="L324" i="3" a="1"/>
  <c r="L324" i="3"/>
  <c r="L327" i="3" a="1"/>
  <c r="L327" i="3"/>
  <c r="L318" i="3" a="1"/>
  <c r="L318" i="3"/>
  <c r="L333" i="3" a="1"/>
  <c r="L333" i="3" s="1"/>
  <c r="L326" i="3" a="1"/>
  <c r="L326" i="3" s="1"/>
  <c r="L319" i="3" a="1"/>
  <c r="L319" i="3" s="1"/>
  <c r="L322" i="3" a="1"/>
  <c r="L322" i="3" s="1"/>
  <c r="L323" i="3" a="1"/>
  <c r="L323" i="3" s="1"/>
  <c r="L321" i="3" a="1"/>
  <c r="L321" i="3"/>
  <c r="L320" i="3" a="1"/>
  <c r="L320" i="3"/>
  <c r="L331" i="3" a="1"/>
  <c r="L331" i="3"/>
  <c r="L330" i="3" a="1"/>
  <c r="L330" i="3" s="1"/>
  <c r="L328" i="3" a="1"/>
  <c r="L328" i="3" s="1"/>
  <c r="L329" i="3" a="1"/>
  <c r="L329" i="3" s="1"/>
  <c r="L334" i="3" a="1"/>
  <c r="L334" i="3" s="1"/>
  <c r="L317" i="3" a="1"/>
  <c r="L317" i="3" s="1"/>
  <c r="L312" i="3" a="1"/>
  <c r="L312" i="3"/>
  <c r="L313" i="3" a="1"/>
  <c r="L313" i="3"/>
  <c r="L314" i="3" a="1"/>
  <c r="L314" i="3"/>
  <c r="L315" i="3" a="1"/>
  <c r="L315" i="3" s="1"/>
  <c r="L316" i="3" a="1"/>
  <c r="L316" i="3" s="1"/>
  <c r="L335" i="3" a="1"/>
  <c r="L335" i="3" s="1"/>
  <c r="L342" i="3" a="1"/>
  <c r="L342" i="3" s="1"/>
  <c r="L341" i="3" a="1"/>
  <c r="L341" i="3" s="1"/>
  <c r="L343" i="3" a="1"/>
  <c r="L343" i="3"/>
  <c r="L346" i="3" a="1"/>
  <c r="L346" i="3"/>
  <c r="L345" i="3" a="1"/>
  <c r="L345" i="3"/>
  <c r="L339" i="3" a="1"/>
  <c r="L339" i="3"/>
  <c r="L344" i="3" a="1"/>
  <c r="L344" i="3"/>
  <c r="L340" i="3" a="1"/>
  <c r="L340" i="3"/>
  <c r="L348" i="3" a="1"/>
  <c r="L348" i="3"/>
  <c r="L347" i="3" a="1"/>
  <c r="L347" i="3"/>
  <c r="L338" i="3" a="1"/>
  <c r="L338" i="3"/>
  <c r="L336" i="3" a="1"/>
  <c r="L336" i="3"/>
  <c r="L337" i="3" a="1"/>
  <c r="L337" i="3"/>
  <c r="L349" i="3" a="1"/>
  <c r="L349" i="3"/>
  <c r="L359" i="3" a="1"/>
  <c r="L359" i="3"/>
  <c r="L360" i="3" a="1"/>
  <c r="L360" i="3"/>
  <c r="L357" i="3" a="1"/>
  <c r="L357" i="3"/>
  <c r="L361" i="3" a="1"/>
  <c r="L361" i="3"/>
  <c r="L358" i="3" a="1"/>
  <c r="L358" i="3"/>
  <c r="L350" i="3" a="1"/>
  <c r="L350" i="3"/>
  <c r="L354" i="3" a="1"/>
  <c r="L354" i="3"/>
  <c r="L355" i="3" a="1"/>
  <c r="L355" i="3"/>
  <c r="L356" i="3" a="1"/>
  <c r="L356" i="3"/>
  <c r="L353" i="3" a="1"/>
  <c r="L353" i="3"/>
  <c r="L352" i="3" a="1"/>
  <c r="L352" i="3"/>
  <c r="L351" i="3" a="1"/>
  <c r="L351" i="3"/>
  <c r="L362" i="3" a="1"/>
  <c r="L362" i="3"/>
  <c r="L385" i="3" a="1"/>
  <c r="L385" i="3"/>
  <c r="L384" i="3" a="1"/>
  <c r="L384" i="3"/>
  <c r="L386" i="3" a="1"/>
  <c r="L386" i="3"/>
  <c r="L383" i="3" a="1"/>
  <c r="L383" i="3"/>
  <c r="L388" i="3" a="1"/>
  <c r="L388" i="3"/>
  <c r="L382" i="3" a="1"/>
  <c r="L382" i="3"/>
  <c r="L387" i="3" a="1"/>
  <c r="L387" i="3"/>
  <c r="L391" i="3" a="1"/>
  <c r="L391" i="3"/>
  <c r="L389" i="3" a="1"/>
  <c r="L389" i="3"/>
  <c r="L392" i="3" a="1"/>
  <c r="L392" i="3"/>
  <c r="L390" i="3" a="1"/>
  <c r="L390" i="3"/>
  <c r="L374" i="3" a="1"/>
  <c r="L374" i="3"/>
  <c r="L381" i="3" a="1"/>
  <c r="L381" i="3"/>
  <c r="L380" i="3" a="1"/>
  <c r="L380" i="3"/>
  <c r="L379" i="3" a="1"/>
  <c r="L379" i="3"/>
  <c r="L375" i="3" a="1"/>
  <c r="L375" i="3"/>
  <c r="L377" i="3" a="1"/>
  <c r="L377" i="3"/>
  <c r="L376" i="3" a="1"/>
  <c r="L376" i="3"/>
  <c r="L378" i="3" a="1"/>
  <c r="L378" i="3"/>
  <c r="L373" i="3" a="1"/>
  <c r="L373" i="3"/>
  <c r="L371" i="3" a="1"/>
  <c r="L371" i="3"/>
  <c r="L370" i="3" a="1"/>
  <c r="L370" i="3"/>
  <c r="L372" i="3" a="1"/>
  <c r="L372" i="3"/>
  <c r="L364" i="3" a="1"/>
  <c r="L364" i="3"/>
  <c r="L365" i="3" a="1"/>
  <c r="L365" i="3"/>
  <c r="L363" i="3" a="1"/>
  <c r="L363" i="3"/>
  <c r="L366" i="3" a="1"/>
  <c r="L366" i="3"/>
  <c r="L369" i="3" a="1"/>
  <c r="L369" i="3"/>
  <c r="L368" i="3" a="1"/>
  <c r="L368" i="3"/>
  <c r="L367" i="3" a="1"/>
  <c r="L367" i="3"/>
  <c r="L393" i="3" a="1"/>
  <c r="L393" i="3"/>
  <c r="L395" i="3" a="1"/>
  <c r="L395" i="3"/>
  <c r="L394" i="3" a="1"/>
  <c r="L394" i="3"/>
  <c r="L396" i="3" a="1"/>
  <c r="L396" i="3"/>
  <c r="L397" i="3" a="1"/>
  <c r="L397" i="3"/>
  <c r="L398" i="3" a="1"/>
  <c r="L398" i="3"/>
  <c r="L401" i="3" a="1"/>
  <c r="L401" i="3"/>
  <c r="L400" i="3" a="1"/>
  <c r="L400" i="3"/>
  <c r="L403" i="3" a="1"/>
  <c r="L403" i="3"/>
  <c r="L399" i="3" a="1"/>
  <c r="L399" i="3"/>
  <c r="L402" i="3" a="1"/>
  <c r="L402" i="3"/>
  <c r="L404" i="3" a="1"/>
  <c r="L404" i="3"/>
  <c r="L405" i="3" a="1"/>
  <c r="L405" i="3"/>
  <c r="L416" i="3" a="1"/>
  <c r="L416" i="3"/>
  <c r="L420" i="3" a="1"/>
  <c r="L420" i="3"/>
  <c r="L421" i="3" a="1"/>
  <c r="L421" i="3"/>
  <c r="L418" i="3" a="1"/>
  <c r="L418" i="3"/>
  <c r="L424" i="3" a="1"/>
  <c r="L424" i="3"/>
  <c r="L415" i="3" a="1"/>
  <c r="L415" i="3"/>
  <c r="L417" i="3" a="1"/>
  <c r="L417" i="3"/>
  <c r="L414" i="3" a="1"/>
  <c r="L414" i="3"/>
  <c r="L419" i="3" a="1"/>
  <c r="L419" i="3"/>
  <c r="L422" i="3" a="1"/>
  <c r="L422" i="3"/>
  <c r="L412" i="3" a="1"/>
  <c r="L412" i="3"/>
  <c r="L423" i="3" a="1"/>
  <c r="L423" i="3"/>
  <c r="L413" i="3" a="1"/>
  <c r="L413" i="3"/>
  <c r="L409" i="3" a="1"/>
  <c r="L409" i="3"/>
  <c r="L411" i="3" a="1"/>
  <c r="L411" i="3"/>
  <c r="L410" i="3" a="1"/>
  <c r="L410" i="3"/>
  <c r="L408" i="3" a="1"/>
  <c r="L408" i="3"/>
  <c r="L407" i="3" a="1"/>
  <c r="L407" i="3"/>
  <c r="L406" i="3" a="1"/>
  <c r="L406" i="3"/>
  <c r="L425" i="3" a="1"/>
  <c r="L425" i="3"/>
  <c r="L426" i="3" a="1"/>
  <c r="L426" i="3"/>
  <c r="L427" i="3" a="1"/>
  <c r="L427" i="3"/>
  <c r="L428" i="3" a="1"/>
  <c r="L428" i="3"/>
  <c r="L429" i="3" a="1"/>
  <c r="L429" i="3"/>
  <c r="L431" i="3" a="1"/>
  <c r="L431" i="3"/>
  <c r="L430" i="3" a="1"/>
  <c r="L430" i="3"/>
  <c r="L432" i="3" a="1"/>
  <c r="L432" i="3"/>
  <c r="L437" i="3" a="1"/>
  <c r="L437" i="3"/>
  <c r="L436" i="3" a="1"/>
  <c r="L436" i="3"/>
  <c r="L435" i="3" a="1"/>
  <c r="L435" i="3"/>
  <c r="L438" i="3" a="1"/>
  <c r="L438" i="3"/>
  <c r="L439" i="3" a="1"/>
  <c r="L439" i="3"/>
  <c r="L433" i="3" a="1"/>
  <c r="L433" i="3"/>
  <c r="L434" i="3" a="1"/>
  <c r="L434" i="3"/>
  <c r="L440" i="3" a="1"/>
  <c r="L440" i="3"/>
  <c r="L691" i="3" a="1"/>
  <c r="L691" i="3"/>
  <c r="L692" i="3" a="1"/>
  <c r="L692" i="3"/>
  <c r="L693" i="3" a="1"/>
  <c r="L693" i="3"/>
  <c r="L687" i="3" a="1"/>
  <c r="L687" i="3"/>
  <c r="L688" i="3" a="1"/>
  <c r="L688" i="3"/>
  <c r="L685" i="3" a="1"/>
  <c r="L685" i="3"/>
  <c r="L689" i="3" a="1"/>
  <c r="L689" i="3"/>
  <c r="L690" i="3" a="1"/>
  <c r="L690" i="3"/>
  <c r="L686" i="3" a="1"/>
  <c r="L686" i="3"/>
  <c r="L683" i="3" a="1"/>
  <c r="L683" i="3"/>
  <c r="L684" i="3" a="1"/>
  <c r="L684" i="3"/>
  <c r="L682" i="3" a="1"/>
  <c r="L682" i="3"/>
  <c r="L681" i="3" a="1"/>
  <c r="L681" i="3"/>
  <c r="L679" i="3" a="1"/>
  <c r="L679" i="3"/>
  <c r="L680" i="3" a="1"/>
  <c r="L680" i="3"/>
  <c r="L670" i="3" a="1"/>
  <c r="L670" i="3"/>
  <c r="L669" i="3" a="1"/>
  <c r="L669" i="3"/>
  <c r="L672" i="3" a="1"/>
  <c r="L672" i="3"/>
  <c r="L675" i="3" a="1"/>
  <c r="L675" i="3"/>
  <c r="L676" i="3" a="1"/>
  <c r="L676" i="3"/>
  <c r="L671" i="3" a="1"/>
  <c r="L671" i="3"/>
  <c r="L678" i="3" a="1"/>
  <c r="L678" i="3"/>
  <c r="L673" i="3" a="1"/>
  <c r="L673" i="3"/>
  <c r="L677" i="3" a="1"/>
  <c r="L677" i="3"/>
  <c r="L674" i="3" a="1"/>
  <c r="L674" i="3"/>
  <c r="L667" i="3" a="1"/>
  <c r="L667" i="3"/>
  <c r="L668" i="3" a="1"/>
  <c r="L668" i="3"/>
  <c r="L666" i="3" a="1"/>
  <c r="L666" i="3"/>
  <c r="L661" i="3" a="1"/>
  <c r="L661" i="3"/>
  <c r="L652" i="3" a="1"/>
  <c r="L652" i="3"/>
  <c r="L654" i="3" a="1"/>
  <c r="L654" i="3"/>
  <c r="L646" i="3" a="1"/>
  <c r="L646" i="3"/>
  <c r="L645" i="3" a="1"/>
  <c r="L645" i="3"/>
  <c r="L647" i="3" a="1"/>
  <c r="L647" i="3"/>
  <c r="L655" i="3" a="1"/>
  <c r="L655" i="3"/>
  <c r="L658" i="3" a="1"/>
  <c r="L658" i="3"/>
  <c r="L648" i="3" a="1"/>
  <c r="L648" i="3"/>
  <c r="L649" i="3" a="1"/>
  <c r="L649" i="3"/>
  <c r="L656" i="3" a="1"/>
  <c r="L656" i="3"/>
  <c r="L660" i="3" a="1"/>
  <c r="L660" i="3"/>
  <c r="L657" i="3" a="1"/>
  <c r="L657" i="3"/>
  <c r="L653" i="3" a="1"/>
  <c r="L653" i="3"/>
  <c r="L659" i="3" a="1"/>
  <c r="L659" i="3"/>
  <c r="L650" i="3" a="1"/>
  <c r="L650" i="3"/>
  <c r="L651" i="3" a="1"/>
  <c r="L651" i="3"/>
  <c r="L641" i="3" a="1"/>
  <c r="L641" i="3"/>
  <c r="L642" i="3" a="1"/>
  <c r="L642" i="3"/>
  <c r="L644" i="3" a="1"/>
  <c r="L644" i="3"/>
  <c r="L643" i="3" a="1"/>
  <c r="L643" i="3"/>
  <c r="L630" i="3" a="1"/>
  <c r="L630" i="3"/>
  <c r="L635" i="3" a="1"/>
  <c r="L635" i="3"/>
  <c r="L634" i="3" a="1"/>
  <c r="L634" i="3"/>
  <c r="L625" i="3" a="1"/>
  <c r="L625" i="3"/>
  <c r="L626" i="3" a="1"/>
  <c r="L626" i="3"/>
  <c r="L638" i="3" a="1"/>
  <c r="L638" i="3"/>
  <c r="L632" i="3" a="1"/>
  <c r="L632" i="3"/>
  <c r="L627" i="3" a="1"/>
  <c r="L627" i="3"/>
  <c r="L640" i="3" a="1"/>
  <c r="L640" i="3"/>
  <c r="L639" i="3" a="1"/>
  <c r="L639" i="3"/>
  <c r="L628" i="3" a="1"/>
  <c r="L628" i="3"/>
  <c r="L631" i="3" a="1"/>
  <c r="L631" i="3"/>
  <c r="L636" i="3" a="1"/>
  <c r="L636" i="3"/>
  <c r="L637" i="3" a="1"/>
  <c r="L637" i="3"/>
  <c r="L633" i="3" a="1"/>
  <c r="L633" i="3"/>
  <c r="L629" i="3" a="1"/>
  <c r="L629" i="3"/>
  <c r="L624" i="3" a="1"/>
  <c r="L624" i="3"/>
  <c r="L623" i="3" a="1"/>
  <c r="L623" i="3"/>
  <c r="L622" i="3" a="1"/>
  <c r="L622" i="3" s="1"/>
  <c r="L621" i="3" a="1"/>
  <c r="L621" i="3"/>
  <c r="L616" i="3" a="1"/>
  <c r="L616" i="3"/>
  <c r="L614" i="3" a="1"/>
  <c r="L614" i="3"/>
  <c r="L619" i="3" a="1"/>
  <c r="L619" i="3" s="1"/>
  <c r="L615" i="3" a="1"/>
  <c r="L615" i="3"/>
  <c r="L618" i="3" a="1"/>
  <c r="L618" i="3"/>
  <c r="L620" i="3" a="1"/>
  <c r="L620" i="3"/>
  <c r="L617" i="3" a="1"/>
  <c r="L617" i="3" s="1"/>
  <c r="L664" i="3" a="1"/>
  <c r="L664" i="3"/>
  <c r="L665" i="3" a="1"/>
  <c r="L665" i="3"/>
  <c r="L663" i="3" a="1"/>
  <c r="L663" i="3"/>
  <c r="L662" i="3" a="1"/>
  <c r="L662" i="3" s="1"/>
  <c r="L611" i="3" a="1"/>
  <c r="L611" i="3"/>
  <c r="L612" i="3" a="1"/>
  <c r="L612" i="3"/>
  <c r="L613" i="3" a="1"/>
  <c r="L613" i="3"/>
  <c r="L610" i="3" a="1"/>
  <c r="L610" i="3" s="1"/>
  <c r="L609" i="3" a="1"/>
  <c r="L609" i="3"/>
  <c r="L608" i="3" a="1"/>
  <c r="L608" i="3"/>
  <c r="L607" i="3" a="1"/>
  <c r="L607" i="3"/>
  <c r="L605" i="3" a="1"/>
  <c r="L605" i="3" s="1"/>
  <c r="L606" i="3" a="1"/>
  <c r="L606" i="3"/>
  <c r="L604" i="3" a="1"/>
  <c r="L604" i="3"/>
  <c r="L602" i="3" a="1"/>
  <c r="L602" i="3"/>
  <c r="L601" i="3" a="1"/>
  <c r="L601" i="3" s="1"/>
  <c r="L603" i="3" a="1"/>
  <c r="L603" i="3"/>
  <c r="L600" i="3" a="1"/>
  <c r="L600" i="3"/>
  <c r="L597" i="3" a="1"/>
  <c r="L597" i="3"/>
  <c r="L598" i="3" a="1"/>
  <c r="L598" i="3" s="1"/>
  <c r="L599" i="3" a="1"/>
  <c r="L599" i="3"/>
  <c r="L587" i="3" a="1"/>
  <c r="L587" i="3"/>
  <c r="L593" i="3" a="1"/>
  <c r="L593" i="3"/>
  <c r="L595" i="3" a="1"/>
  <c r="L595" i="3" s="1"/>
  <c r="L596" i="3" a="1"/>
  <c r="L596" i="3"/>
  <c r="L591" i="3" a="1"/>
  <c r="L591" i="3"/>
  <c r="L589" i="3" a="1"/>
  <c r="L589" i="3"/>
  <c r="L590" i="3" a="1"/>
  <c r="L590" i="3" s="1"/>
  <c r="L594" i="3" a="1"/>
  <c r="L594" i="3"/>
  <c r="L586" i="3" a="1"/>
  <c r="L586" i="3"/>
  <c r="L585" i="3" a="1"/>
  <c r="L585" i="3"/>
  <c r="L588" i="3" a="1"/>
  <c r="L588" i="3" s="1"/>
  <c r="L592" i="3" a="1"/>
  <c r="L592" i="3"/>
  <c r="L584" i="3" a="1"/>
  <c r="L584" i="3"/>
  <c r="L582" i="3" a="1"/>
  <c r="L582" i="3"/>
  <c r="L583" i="3" a="1"/>
  <c r="L583" i="3" s="1"/>
  <c r="L579" i="3" a="1"/>
  <c r="L579" i="3"/>
  <c r="L581" i="3" a="1"/>
  <c r="L581" i="3"/>
  <c r="L577" i="3" a="1"/>
  <c r="L577" i="3"/>
  <c r="L580" i="3" a="1"/>
  <c r="L580" i="3" s="1"/>
  <c r="L578" i="3" a="1"/>
  <c r="L578" i="3"/>
  <c r="L573" i="3" a="1"/>
  <c r="L573" i="3"/>
  <c r="L572" i="3" a="1"/>
  <c r="L572" i="3"/>
  <c r="L576" i="3" a="1"/>
  <c r="L576" i="3" s="1"/>
  <c r="L574" i="3" a="1"/>
  <c r="L574" i="3"/>
  <c r="L575" i="3" a="1"/>
  <c r="L575" i="3"/>
  <c r="L566" i="3" a="1"/>
  <c r="L566" i="3"/>
  <c r="L571" i="3" a="1"/>
  <c r="L571" i="3" s="1"/>
  <c r="L569" i="3" a="1"/>
  <c r="L569" i="3"/>
  <c r="L565" i="3" a="1"/>
  <c r="L565" i="3"/>
  <c r="L567" i="3" a="1"/>
  <c r="L567" i="3"/>
  <c r="L568" i="3" a="1"/>
  <c r="L568" i="3" s="1"/>
  <c r="L570" i="3" a="1"/>
  <c r="L570" i="3"/>
  <c r="L564" i="3" a="1"/>
  <c r="L564" i="3"/>
  <c r="L553" i="3" a="1"/>
  <c r="L553" i="3"/>
  <c r="L559" i="3" a="1"/>
  <c r="L559" i="3" s="1"/>
  <c r="L558" i="3" a="1"/>
  <c r="L558" i="3"/>
  <c r="L560" i="3" a="1"/>
  <c r="L560" i="3"/>
  <c r="L555" i="3" a="1"/>
  <c r="L555" i="3"/>
  <c r="L554" i="3" a="1"/>
  <c r="L554" i="3" s="1"/>
  <c r="L562" i="3" a="1"/>
  <c r="L562" i="3"/>
  <c r="L556" i="3" a="1"/>
  <c r="L556" i="3"/>
  <c r="L563" i="3" a="1"/>
  <c r="L563" i="3"/>
  <c r="L557" i="3" a="1"/>
  <c r="L557" i="3" s="1"/>
  <c r="L561" i="3" a="1"/>
  <c r="L561" i="3"/>
  <c r="L551" i="3" a="1"/>
  <c r="L551" i="3"/>
  <c r="L552" i="3" a="1"/>
  <c r="L552" i="3"/>
  <c r="L549" i="3" a="1"/>
  <c r="L549" i="3" s="1"/>
  <c r="L550" i="3" a="1"/>
  <c r="L550" i="3"/>
  <c r="L548" i="3" a="1"/>
  <c r="L548" i="3"/>
  <c r="L547" i="3" a="1"/>
  <c r="L547" i="3"/>
  <c r="L545" i="3" a="1"/>
  <c r="L545" i="3" s="1"/>
  <c r="L542" i="3" a="1"/>
  <c r="L542" i="3"/>
  <c r="L546" i="3" a="1"/>
  <c r="L546" i="3"/>
  <c r="L543" i="3" a="1"/>
  <c r="L543" i="3"/>
  <c r="L544" i="3" a="1"/>
  <c r="L544" i="3" s="1"/>
  <c r="L541" i="3" a="1"/>
  <c r="L541" i="3"/>
  <c r="L540" i="3" a="1"/>
  <c r="L540" i="3"/>
  <c r="L506" i="3" a="1"/>
  <c r="L506" i="3"/>
  <c r="L508" i="3" a="1"/>
  <c r="L508" i="3" s="1"/>
  <c r="L487" i="3" a="1"/>
  <c r="L487" i="3"/>
  <c r="L485" i="3" a="1"/>
  <c r="L485" i="3"/>
  <c r="L486" i="3" a="1"/>
  <c r="L486" i="3"/>
  <c r="L501" i="3" a="1"/>
  <c r="L501" i="3" s="1"/>
  <c r="L480" i="3" a="1"/>
  <c r="L480" i="3"/>
  <c r="L478" i="3" a="1"/>
  <c r="L478" i="3"/>
  <c r="L479" i="3" a="1"/>
  <c r="L479" i="3"/>
  <c r="L521" i="3" a="1"/>
  <c r="L521" i="3" s="1"/>
  <c r="L504" i="3" a="1"/>
  <c r="L504" i="3"/>
  <c r="L517" i="3" a="1"/>
  <c r="L517" i="3"/>
  <c r="L522" i="3" a="1"/>
  <c r="L522" i="3"/>
  <c r="L489" i="3" a="1"/>
  <c r="L489" i="3" s="1"/>
  <c r="L520" i="3" a="1"/>
  <c r="L520" i="3"/>
  <c r="L490" i="3" a="1"/>
  <c r="L490" i="3"/>
  <c r="L523" i="3" a="1"/>
  <c r="L523" i="3"/>
  <c r="L495" i="3" a="1"/>
  <c r="L495" i="3" s="1"/>
  <c r="L488" i="3" a="1"/>
  <c r="L488" i="3"/>
  <c r="L492" i="3" a="1"/>
  <c r="L492" i="3"/>
  <c r="L491" i="3" a="1"/>
  <c r="L491" i="3"/>
  <c r="L499" i="3" a="1"/>
  <c r="L499" i="3" s="1"/>
  <c r="L528" i="3" a="1"/>
  <c r="L528" i="3"/>
  <c r="L497" i="3" a="1"/>
  <c r="L497" i="3"/>
  <c r="L493" i="3" a="1"/>
  <c r="L493" i="3"/>
  <c r="L494" i="3" a="1"/>
  <c r="L494" i="3" s="1"/>
  <c r="L496" i="3" a="1"/>
  <c r="L496" i="3"/>
  <c r="L498" i="3" a="1"/>
  <c r="L498" i="3"/>
  <c r="L477" i="3" a="1"/>
  <c r="L477" i="3"/>
  <c r="L482" i="3" a="1"/>
  <c r="L482" i="3" s="1"/>
  <c r="L525" i="3" a="1"/>
  <c r="L525" i="3"/>
  <c r="L527" i="3" a="1"/>
  <c r="L527" i="3"/>
  <c r="L500" i="3" a="1"/>
  <c r="L500" i="3"/>
  <c r="L524" i="3" a="1"/>
  <c r="L524" i="3" s="1"/>
  <c r="L526" i="3" a="1"/>
  <c r="L526" i="3"/>
  <c r="L483" i="3" a="1"/>
  <c r="L483" i="3"/>
  <c r="L514" i="3" a="1"/>
  <c r="L514" i="3"/>
  <c r="L518" i="3" a="1"/>
  <c r="L518" i="3" s="1"/>
  <c r="L511" i="3" a="1"/>
  <c r="L511" i="3"/>
  <c r="L484" i="3" a="1"/>
  <c r="L484" i="3"/>
  <c r="L502" i="3" a="1"/>
  <c r="L502" i="3"/>
  <c r="L512" i="3" a="1"/>
  <c r="L512" i="3" s="1"/>
  <c r="L510" i="3" a="1"/>
  <c r="L510" i="3"/>
  <c r="L507" i="3" a="1"/>
  <c r="L507" i="3"/>
  <c r="L509" i="3" a="1"/>
  <c r="L509" i="3"/>
  <c r="L513" i="3" a="1"/>
  <c r="L513" i="3" s="1"/>
  <c r="L516" i="3" a="1"/>
  <c r="L516" i="3"/>
  <c r="L503" i="3" a="1"/>
  <c r="L503" i="3"/>
  <c r="L515" i="3" a="1"/>
  <c r="L515" i="3"/>
  <c r="L505" i="3" a="1"/>
  <c r="L505" i="3" s="1"/>
  <c r="L519" i="3" a="1"/>
  <c r="L519" i="3"/>
  <c r="L481" i="3" a="1"/>
  <c r="L481" i="3"/>
  <c r="L529" i="3" a="1"/>
  <c r="L529" i="3"/>
  <c r="L537" i="3" a="1"/>
  <c r="L537" i="3" s="1"/>
  <c r="L538" i="3" a="1"/>
  <c r="L538" i="3"/>
  <c r="L534" i="3" a="1"/>
  <c r="L534" i="3"/>
  <c r="L533" i="3" a="1"/>
  <c r="L533" i="3"/>
  <c r="L536" i="3" a="1"/>
  <c r="L536" i="3" s="1"/>
  <c r="L535" i="3" a="1"/>
  <c r="L535" i="3"/>
  <c r="L530" i="3" a="1"/>
  <c r="L530" i="3"/>
  <c r="L532" i="3" a="1"/>
  <c r="L532" i="3"/>
  <c r="L539" i="3" a="1"/>
  <c r="L539" i="3" s="1"/>
  <c r="L531" i="3" a="1"/>
  <c r="L531" i="3"/>
  <c r="L476" i="3" a="1"/>
  <c r="L476" i="3"/>
  <c r="L475" i="3" a="1"/>
  <c r="L475" i="3"/>
  <c r="L473" i="3" a="1"/>
  <c r="L473" i="3" s="1"/>
  <c r="L472" i="3" a="1"/>
  <c r="L472" i="3"/>
  <c r="L474" i="3" a="1"/>
  <c r="L474" i="3"/>
  <c r="L470" i="3" a="1"/>
  <c r="L470" i="3"/>
  <c r="L469" i="3" a="1"/>
  <c r="L469" i="3" s="1"/>
  <c r="L471" i="3" a="1"/>
  <c r="L471" i="3"/>
  <c r="L461" i="3" a="1"/>
  <c r="L461" i="3"/>
  <c r="L465" i="3" a="1"/>
  <c r="L465" i="3"/>
  <c r="L462" i="3" a="1"/>
  <c r="L462" i="3" s="1"/>
  <c r="L467" i="3" a="1"/>
  <c r="L467" i="3"/>
  <c r="L463" i="3" a="1"/>
  <c r="L463" i="3"/>
  <c r="L468" i="3" a="1"/>
  <c r="L468" i="3"/>
  <c r="L466" i="3" a="1"/>
  <c r="L466" i="3" s="1"/>
  <c r="L464" i="3" a="1"/>
  <c r="L464" i="3"/>
  <c r="L447" i="3" a="1"/>
  <c r="L447" i="3"/>
  <c r="L460" i="3" a="1"/>
  <c r="L460" i="3"/>
  <c r="I460" i="3" s="1" a="1"/>
  <c r="L458" i="3" a="1"/>
  <c r="L458" i="3" s="1"/>
  <c r="L457" i="3" a="1"/>
  <c r="L457" i="3"/>
  <c r="L453" i="3" a="1"/>
  <c r="L453" i="3"/>
  <c r="L455" i="3" a="1"/>
  <c r="L455" i="3"/>
  <c r="L449" i="3" a="1"/>
  <c r="L449" i="3" s="1"/>
  <c r="L454" i="3" a="1"/>
  <c r="L454" i="3"/>
  <c r="L450" i="3" a="1"/>
  <c r="L450" i="3"/>
  <c r="L459" i="3" a="1"/>
  <c r="L459" i="3"/>
  <c r="K459" i="3" s="1" a="1"/>
  <c r="L452" i="3" a="1"/>
  <c r="L452" i="3" s="1"/>
  <c r="L448" i="3" a="1"/>
  <c r="L448" i="3"/>
  <c r="L446" i="3" a="1"/>
  <c r="L446" i="3"/>
  <c r="L451" i="3" a="1"/>
  <c r="L451" i="3"/>
  <c r="L445" i="3" a="1"/>
  <c r="L445" i="3" s="1"/>
  <c r="L456" i="3" a="1"/>
  <c r="L456" i="3"/>
  <c r="L443" i="3" a="1"/>
  <c r="L443" i="3"/>
  <c r="L444" i="3" a="1"/>
  <c r="L444" i="3"/>
  <c r="L441" i="3" a="1"/>
  <c r="L441" i="3" s="1"/>
  <c r="L442" i="3" a="1"/>
  <c r="L442" i="3"/>
  <c r="L694" i="3" a="1"/>
  <c r="L694" i="3"/>
  <c r="L746" i="3" a="1"/>
  <c r="L746" i="3"/>
  <c r="L747" i="3" a="1"/>
  <c r="L747" i="3" s="1"/>
  <c r="L743" i="3" a="1"/>
  <c r="L743" i="3"/>
  <c r="L749" i="3" a="1"/>
  <c r="L749" i="3"/>
  <c r="L744" i="3" a="1"/>
  <c r="L744" i="3"/>
  <c r="G744" i="3" s="1" a="1"/>
  <c r="L745" i="3" a="1"/>
  <c r="L745" i="3" s="1"/>
  <c r="L740" i="3" a="1"/>
  <c r="L740" i="3"/>
  <c r="L748" i="3" a="1"/>
  <c r="L748" i="3"/>
  <c r="L741" i="3" a="1"/>
  <c r="L741" i="3"/>
  <c r="L742" i="3" a="1"/>
  <c r="L742" i="3" s="1"/>
  <c r="L737" i="3" a="1"/>
  <c r="L737" i="3"/>
  <c r="L728" i="3" a="1"/>
  <c r="L728" i="3"/>
  <c r="L735" i="3" a="1"/>
  <c r="L735" i="3"/>
  <c r="K735" i="3" s="1" a="1"/>
  <c r="L732" i="3" a="1"/>
  <c r="L732" i="3" s="1"/>
  <c r="L727" i="3" a="1"/>
  <c r="L727" i="3"/>
  <c r="L731" i="3" a="1"/>
  <c r="L731" i="3"/>
  <c r="L738" i="3" a="1"/>
  <c r="L738" i="3"/>
  <c r="L730" i="3" a="1"/>
  <c r="L730" i="3" s="1"/>
  <c r="L734" i="3" a="1"/>
  <c r="L734" i="3"/>
  <c r="L739" i="3" a="1"/>
  <c r="L739" i="3"/>
  <c r="L736" i="3" a="1"/>
  <c r="L736" i="3"/>
  <c r="G736" i="3" s="1" a="1"/>
  <c r="L733" i="3" a="1"/>
  <c r="L733" i="3" s="1"/>
  <c r="L729" i="3" a="1"/>
  <c r="L729" i="3"/>
  <c r="L724" i="3" a="1"/>
  <c r="L724" i="3"/>
  <c r="L726" i="3" a="1"/>
  <c r="L726" i="3"/>
  <c r="L725" i="3" a="1"/>
  <c r="L725" i="3" s="1"/>
  <c r="L709" i="3" a="1"/>
  <c r="L709" i="3"/>
  <c r="L703" i="3" a="1"/>
  <c r="L703" i="3"/>
  <c r="L707" i="3" a="1"/>
  <c r="L707" i="3"/>
  <c r="L717" i="3" a="1"/>
  <c r="L717" i="3" s="1"/>
  <c r="L722" i="3" a="1"/>
  <c r="L722" i="3"/>
  <c r="L705" i="3" a="1"/>
  <c r="L705" i="3"/>
  <c r="L704" i="3" a="1"/>
  <c r="L704" i="3"/>
  <c r="L723" i="3" a="1"/>
  <c r="L723" i="3" s="1"/>
  <c r="L719" i="3" a="1"/>
  <c r="L719" i="3"/>
  <c r="L712" i="3" a="1"/>
  <c r="L712" i="3"/>
  <c r="L720" i="3" a="1"/>
  <c r="L720" i="3"/>
  <c r="J720" i="3" s="1" a="1"/>
  <c r="L713" i="3" a="1"/>
  <c r="L713" i="3" s="1"/>
  <c r="L710" i="3" a="1"/>
  <c r="L710" i="3"/>
  <c r="L721" i="3" a="1"/>
  <c r="L721" i="3"/>
  <c r="L715" i="3" a="1"/>
  <c r="L715" i="3"/>
  <c r="L706" i="3" a="1"/>
  <c r="L706" i="3" s="1"/>
  <c r="L711" i="3" a="1"/>
  <c r="L711" i="3"/>
  <c r="L718" i="3" a="1"/>
  <c r="L718" i="3"/>
  <c r="L702" i="3" a="1"/>
  <c r="L702" i="3"/>
  <c r="K702" i="3" s="1" a="1"/>
  <c r="L714" i="3" a="1"/>
  <c r="L714" i="3" s="1"/>
  <c r="L708" i="3" a="1"/>
  <c r="L708" i="3"/>
  <c r="L716" i="3" a="1"/>
  <c r="L716" i="3"/>
  <c r="L698" i="3" a="1"/>
  <c r="L698" i="3"/>
  <c r="L701" i="3" a="1"/>
  <c r="L701" i="3" s="1"/>
  <c r="L700" i="3" a="1"/>
  <c r="L700" i="3"/>
  <c r="L699" i="3" a="1"/>
  <c r="L699" i="3"/>
  <c r="L695" i="3" a="1"/>
  <c r="L695" i="3"/>
  <c r="H695" i="3" s="1" a="1"/>
  <c r="L696" i="3" a="1"/>
  <c r="L696" i="3" s="1"/>
  <c r="L697" i="3" a="1"/>
  <c r="L697" i="3"/>
  <c r="L750" i="3" a="1"/>
  <c r="L750" i="3"/>
  <c r="L751" i="3" a="1"/>
  <c r="L751" i="3"/>
  <c r="L753" i="3" a="1"/>
  <c r="L753" i="3" s="1"/>
  <c r="L754" i="3" a="1"/>
  <c r="L754" i="3"/>
  <c r="L752" i="3" a="1"/>
  <c r="L752" i="3"/>
  <c r="L755" i="3" a="1"/>
  <c r="L755" i="3"/>
  <c r="L769" i="3" a="1"/>
  <c r="L769" i="3" s="1"/>
  <c r="L773" i="3" a="1"/>
  <c r="L773" i="3"/>
  <c r="L774" i="3" a="1"/>
  <c r="L774" i="3"/>
  <c r="L771" i="3" a="1"/>
  <c r="L771" i="3"/>
  <c r="L767" i="3" a="1"/>
  <c r="L767" i="3" s="1"/>
  <c r="L764" i="3" a="1"/>
  <c r="L764" i="3"/>
  <c r="L768" i="3" a="1"/>
  <c r="L768" i="3"/>
  <c r="L770" i="3" a="1"/>
  <c r="L770" i="3"/>
  <c r="I770" i="3" s="1" a="1"/>
  <c r="L772" i="3" a="1"/>
  <c r="L772" i="3" s="1"/>
  <c r="L775" i="3" a="1"/>
  <c r="L775" i="3"/>
  <c r="L766" i="3" a="1"/>
  <c r="L766" i="3"/>
  <c r="L763" i="3" a="1"/>
  <c r="L763" i="3"/>
  <c r="L765" i="3" a="1"/>
  <c r="L765" i="3" s="1"/>
  <c r="L756" i="3" a="1"/>
  <c r="L756" i="3"/>
  <c r="L758" i="3" a="1"/>
  <c r="L758" i="3"/>
  <c r="L757" i="3" a="1"/>
  <c r="L757" i="3"/>
  <c r="H757" i="3" s="1" a="1"/>
  <c r="L760" i="3" a="1"/>
  <c r="L760" i="3" s="1"/>
  <c r="L761" i="3" a="1"/>
  <c r="L761" i="3"/>
  <c r="L759" i="3" a="1"/>
  <c r="L759" i="3"/>
  <c r="L762" i="3" a="1"/>
  <c r="L762" i="3"/>
  <c r="L776" i="3" a="1"/>
  <c r="L776" i="3" s="1"/>
  <c r="L825" i="3" a="1"/>
  <c r="L825" i="3"/>
  <c r="L824" i="3" a="1"/>
  <c r="L824" i="3"/>
  <c r="L822" i="3" a="1"/>
  <c r="L822" i="3"/>
  <c r="H822" i="3" s="1" a="1"/>
  <c r="L821" i="3" a="1"/>
  <c r="L821" i="3" s="1"/>
  <c r="L823" i="3" a="1"/>
  <c r="L823" i="3"/>
  <c r="L820" i="3" a="1"/>
  <c r="L820" i="3"/>
  <c r="L819" i="3" a="1"/>
  <c r="L819" i="3" s="1"/>
  <c r="L818" i="3" a="1"/>
  <c r="L818" i="3" s="1"/>
  <c r="L817" i="3" a="1"/>
  <c r="L817" i="3"/>
  <c r="L814" i="3" a="1"/>
  <c r="L814" i="3"/>
  <c r="L813" i="3" a="1"/>
  <c r="L813" i="3" s="1"/>
  <c r="L816" i="3" a="1"/>
  <c r="L816" i="3" s="1"/>
  <c r="L815" i="3" a="1"/>
  <c r="L815" i="3"/>
  <c r="L812" i="3" a="1"/>
  <c r="L812" i="3"/>
  <c r="L810" i="3" a="1"/>
  <c r="L810" i="3"/>
  <c r="L811" i="3" a="1"/>
  <c r="L811" i="3" s="1"/>
  <c r="L808" i="3" a="1"/>
  <c r="L808" i="3"/>
  <c r="L809" i="3" a="1"/>
  <c r="L809" i="3"/>
  <c r="L807" i="3" a="1"/>
  <c r="L807" i="3"/>
  <c r="I807" i="3" s="1" a="1"/>
  <c r="L806" i="3" a="1"/>
  <c r="L806" i="3" s="1"/>
  <c r="L805" i="3" a="1"/>
  <c r="L805" i="3"/>
  <c r="L804" i="3" a="1"/>
  <c r="L804" i="3"/>
  <c r="L803" i="3" a="1"/>
  <c r="L803" i="3" s="1"/>
  <c r="L802" i="3" a="1"/>
  <c r="L802" i="3" s="1"/>
  <c r="L796" i="3" a="1"/>
  <c r="L796" i="3"/>
  <c r="L800" i="3" a="1"/>
  <c r="L800" i="3"/>
  <c r="L799" i="3" a="1"/>
  <c r="L799" i="3"/>
  <c r="I799" i="3" s="1" a="1"/>
  <c r="L798" i="3" a="1"/>
  <c r="L798" i="3" s="1"/>
  <c r="L797" i="3" a="1"/>
  <c r="L797" i="3"/>
  <c r="L795" i="3" a="1"/>
  <c r="L795" i="3"/>
  <c r="L801" i="3" a="1"/>
  <c r="L801" i="3"/>
  <c r="L790" i="3" a="1"/>
  <c r="L790" i="3" s="1"/>
  <c r="L787" i="3" a="1"/>
  <c r="L787" i="3"/>
  <c r="L789" i="3" a="1"/>
  <c r="L789" i="3"/>
  <c r="L792" i="3" a="1"/>
  <c r="L792" i="3"/>
  <c r="J792" i="3" s="1" a="1"/>
  <c r="L784" i="3" a="1"/>
  <c r="L784" i="3" s="1"/>
  <c r="L793" i="3" a="1"/>
  <c r="L793" i="3"/>
  <c r="L786" i="3" a="1"/>
  <c r="L786" i="3"/>
  <c r="L788" i="3" a="1"/>
  <c r="L788" i="3" s="1"/>
  <c r="L785" i="3" a="1"/>
  <c r="L785" i="3" s="1"/>
  <c r="L791" i="3" a="1"/>
  <c r="L791" i="3"/>
  <c r="L794" i="3" a="1"/>
  <c r="L794" i="3"/>
  <c r="L782" i="3" a="1"/>
  <c r="L782" i="3" s="1"/>
  <c r="L781" i="3" a="1"/>
  <c r="L781" i="3" s="1"/>
  <c r="L783" i="3" a="1"/>
  <c r="L783" i="3"/>
  <c r="L780" i="3" a="1"/>
  <c r="L780" i="3"/>
  <c r="L778" i="3" a="1"/>
  <c r="L778" i="3"/>
  <c r="L779" i="3" a="1"/>
  <c r="L779" i="3" s="1"/>
  <c r="L777" i="3" a="1"/>
  <c r="L777" i="3"/>
  <c r="L826" i="3" a="1"/>
  <c r="L826" i="3" s="1"/>
  <c r="L846" i="3" a="1"/>
  <c r="L846" i="3" s="1"/>
  <c r="L840" i="3" a="1"/>
  <c r="L840" i="3" s="1"/>
  <c r="L854" i="3" a="1"/>
  <c r="L854" i="3"/>
  <c r="L851" i="3" a="1"/>
  <c r="L851" i="3" s="1"/>
  <c r="L855" i="3" a="1"/>
  <c r="L855" i="3" s="1"/>
  <c r="L853" i="3" a="1"/>
  <c r="L853" i="3" s="1"/>
  <c r="L842" i="3" a="1"/>
  <c r="L842" i="3"/>
  <c r="L843" i="3" a="1"/>
  <c r="L843" i="3" s="1"/>
  <c r="L844" i="3" a="1"/>
  <c r="L844" i="3" s="1"/>
  <c r="L863" i="3" a="1"/>
  <c r="L863" i="3" s="1"/>
  <c r="L841" i="3" a="1"/>
  <c r="L841" i="3"/>
  <c r="L865" i="3" a="1"/>
  <c r="L865" i="3" s="1"/>
  <c r="L862" i="3" a="1"/>
  <c r="L862" i="3"/>
  <c r="L847" i="3" a="1"/>
  <c r="L847" i="3" s="1"/>
  <c r="L848" i="3" a="1"/>
  <c r="L848" i="3"/>
  <c r="L849" i="3" a="1"/>
  <c r="L849" i="3" s="1"/>
  <c r="L850" i="3" a="1"/>
  <c r="L850" i="3" s="1"/>
  <c r="L864" i="3" a="1"/>
  <c r="L864" i="3" s="1"/>
  <c r="L845" i="3" a="1"/>
  <c r="L845" i="3"/>
  <c r="L856" i="3" a="1"/>
  <c r="L856" i="3" s="1"/>
  <c r="L857" i="3" a="1"/>
  <c r="L857" i="3" s="1"/>
  <c r="L860" i="3" a="1"/>
  <c r="L860" i="3" s="1"/>
  <c r="L861" i="3" a="1"/>
  <c r="L861" i="3"/>
  <c r="L858" i="3" a="1"/>
  <c r="L858" i="3" s="1"/>
  <c r="L838" i="3" a="1"/>
  <c r="L838" i="3" s="1"/>
  <c r="L839" i="3" a="1"/>
  <c r="L839" i="3" s="1"/>
  <c r="L859" i="3" a="1"/>
  <c r="L859" i="3"/>
  <c r="L852" i="3" a="1"/>
  <c r="L852" i="3" s="1"/>
  <c r="L834" i="3" a="1"/>
  <c r="L834" i="3"/>
  <c r="L835" i="3" a="1"/>
  <c r="L835" i="3" s="1"/>
  <c r="L836" i="3" a="1"/>
  <c r="L836" i="3"/>
  <c r="L837" i="3" a="1"/>
  <c r="L837" i="3" s="1"/>
  <c r="L832" i="3" a="1"/>
  <c r="L832" i="3" s="1"/>
  <c r="L829" i="3" a="1"/>
  <c r="L829" i="3" s="1"/>
  <c r="L831" i="3" a="1"/>
  <c r="L831" i="3"/>
  <c r="L830" i="3" a="1"/>
  <c r="L830" i="3" s="1"/>
  <c r="L828" i="3" a="1"/>
  <c r="L828" i="3" s="1"/>
  <c r="L827" i="3" a="1"/>
  <c r="L827" i="3" s="1"/>
  <c r="L833" i="3" a="1"/>
  <c r="L833" i="3"/>
  <c r="L866" i="3" a="1"/>
  <c r="L866" i="3" s="1"/>
  <c r="L868" i="3" a="1"/>
  <c r="L868" i="3" s="1"/>
  <c r="L867" i="3" a="1"/>
  <c r="L867" i="3" s="1"/>
  <c r="L869" i="3" a="1"/>
  <c r="L869" i="3"/>
  <c r="L870" i="3" a="1"/>
  <c r="L870" i="3" s="1"/>
  <c r="L871" i="3" a="1"/>
  <c r="L871" i="3"/>
  <c r="L872" i="3" a="1"/>
  <c r="L872" i="3" s="1"/>
  <c r="L873" i="3" a="1"/>
  <c r="L873" i="3"/>
  <c r="L874" i="3" a="1"/>
  <c r="L874" i="3" s="1"/>
  <c r="L875" i="3" a="1"/>
  <c r="L875" i="3" s="1"/>
  <c r="L876" i="3" a="1"/>
  <c r="L876" i="3" s="1"/>
  <c r="L877" i="3" a="1"/>
  <c r="L877" i="3"/>
  <c r="L878" i="3" a="1"/>
  <c r="L878" i="3" s="1"/>
  <c r="L879" i="3" a="1"/>
  <c r="L879" i="3" s="1"/>
  <c r="L880" i="3" a="1"/>
  <c r="L880" i="3" s="1"/>
  <c r="L881" i="3" a="1"/>
  <c r="L881" i="3" s="1"/>
  <c r="L882" i="3" a="1"/>
  <c r="L882" i="3" s="1"/>
  <c r="L883" i="3" a="1"/>
  <c r="L883" i="3" s="1"/>
  <c r="L884" i="3" a="1"/>
  <c r="L884" i="3" s="1"/>
  <c r="L885" i="3" a="1"/>
  <c r="L885" i="3" s="1"/>
  <c r="L886" i="3" a="1"/>
  <c r="L886" i="3" s="1"/>
  <c r="L887" i="3" a="1"/>
  <c r="L887" i="3" s="1"/>
  <c r="L888" i="3" a="1"/>
  <c r="L888" i="3" s="1"/>
  <c r="L889" i="3" a="1"/>
  <c r="L889" i="3" s="1"/>
  <c r="L890" i="3" a="1"/>
  <c r="L890" i="3" s="1"/>
  <c r="L891" i="3" a="1"/>
  <c r="L891" i="3"/>
  <c r="L892" i="3" a="1"/>
  <c r="L892" i="3" s="1"/>
  <c r="L893" i="3" a="1"/>
  <c r="L893" i="3" s="1"/>
  <c r="L894" i="3" a="1"/>
  <c r="L894" i="3" s="1"/>
  <c r="L895" i="3" a="1"/>
  <c r="L895" i="3"/>
  <c r="L896" i="3" a="1"/>
  <c r="L896" i="3" s="1"/>
  <c r="L897" i="3" a="1"/>
  <c r="L897" i="3" s="1"/>
  <c r="L898" i="3" a="1"/>
  <c r="L898" i="3" s="1"/>
  <c r="L899" i="3" a="1"/>
  <c r="L899" i="3"/>
  <c r="I899" i="3" s="1" a="1"/>
  <c r="I899" i="3" s="1"/>
  <c r="L900" i="3" a="1"/>
  <c r="L900" i="3" s="1"/>
  <c r="L901" i="3" a="1"/>
  <c r="L901" i="3" s="1"/>
  <c r="L902" i="3" a="1"/>
  <c r="L902" i="3" s="1"/>
  <c r="L903" i="3" a="1"/>
  <c r="L903" i="3" s="1"/>
  <c r="L904" i="3" a="1"/>
  <c r="L904" i="3" s="1"/>
  <c r="L905" i="3" a="1"/>
  <c r="L905" i="3" s="1"/>
  <c r="L906" i="3" a="1"/>
  <c r="L906" i="3" s="1"/>
  <c r="L907" i="3" a="1"/>
  <c r="L907" i="3"/>
  <c r="L908" i="3" a="1"/>
  <c r="L908" i="3" s="1"/>
  <c r="L909" i="3" a="1"/>
  <c r="L909" i="3" s="1"/>
  <c r="L910" i="3" a="1"/>
  <c r="L910" i="3" s="1"/>
  <c r="L911" i="3" a="1"/>
  <c r="L911" i="3" s="1"/>
  <c r="L912" i="3" a="1"/>
  <c r="L912" i="3" s="1"/>
  <c r="L913" i="3" a="1"/>
  <c r="L913" i="3" s="1"/>
  <c r="L914" i="3" a="1"/>
  <c r="L914" i="3" s="1"/>
  <c r="L915" i="3" a="1"/>
  <c r="L915" i="3" s="1"/>
  <c r="L916" i="3" a="1"/>
  <c r="L916" i="3" s="1"/>
  <c r="L917" i="3" a="1"/>
  <c r="L917" i="3" s="1"/>
  <c r="L918" i="3" a="1"/>
  <c r="L918" i="3" s="1"/>
  <c r="L919" i="3" a="1"/>
  <c r="L919" i="3" s="1"/>
  <c r="L920" i="3" a="1"/>
  <c r="L920" i="3" s="1"/>
  <c r="L921" i="3" a="1"/>
  <c r="L921" i="3" s="1"/>
  <c r="L922" i="3" a="1"/>
  <c r="L922" i="3" s="1"/>
  <c r="L923" i="3" a="1"/>
  <c r="L923" i="3"/>
  <c r="I923" i="3" s="1" a="1"/>
  <c r="I923" i="3" s="1"/>
  <c r="L924" i="3" a="1"/>
  <c r="L924" i="3" s="1"/>
  <c r="L925" i="3" a="1"/>
  <c r="L925" i="3" s="1"/>
  <c r="L926" i="3" a="1"/>
  <c r="L926" i="3" s="1"/>
  <c r="L927" i="3" a="1"/>
  <c r="L927" i="3"/>
  <c r="L928" i="3" a="1"/>
  <c r="L928" i="3" s="1"/>
  <c r="L929" i="3" a="1"/>
  <c r="L929" i="3" s="1"/>
  <c r="L930" i="3" a="1"/>
  <c r="L930" i="3" s="1"/>
  <c r="L931" i="3" a="1"/>
  <c r="L931" i="3"/>
  <c r="L932" i="3" a="1"/>
  <c r="L932" i="3" s="1"/>
  <c r="L933" i="3" a="1"/>
  <c r="L933" i="3" s="1"/>
  <c r="L934" i="3" a="1"/>
  <c r="L934" i="3" s="1"/>
  <c r="L935" i="3" a="1"/>
  <c r="L935" i="3" s="1"/>
  <c r="L936" i="3" a="1"/>
  <c r="L936" i="3" s="1"/>
  <c r="L937" i="3" a="1"/>
  <c r="L937" i="3" s="1"/>
  <c r="L938" i="3" a="1"/>
  <c r="L938" i="3" s="1"/>
  <c r="L939" i="3" a="1"/>
  <c r="L939" i="3"/>
  <c r="L940" i="3" a="1"/>
  <c r="L940" i="3" s="1"/>
  <c r="L941" i="3" a="1"/>
  <c r="L941" i="3" s="1"/>
  <c r="L942" i="3" a="1"/>
  <c r="L942" i="3" s="1"/>
  <c r="L943" i="3" a="1"/>
  <c r="L943" i="3" s="1"/>
  <c r="L944" i="3" a="1"/>
  <c r="L944" i="3" s="1"/>
  <c r="L945" i="3" a="1"/>
  <c r="L945" i="3" s="1"/>
  <c r="L946" i="3" a="1"/>
  <c r="L946" i="3" s="1"/>
  <c r="L947" i="3" a="1"/>
  <c r="L947" i="3" s="1"/>
  <c r="L948" i="3" a="1"/>
  <c r="L948" i="3" s="1"/>
  <c r="L949" i="3" a="1"/>
  <c r="L949" i="3" s="1"/>
  <c r="L950" i="3" a="1"/>
  <c r="L950" i="3" s="1"/>
  <c r="L951" i="3" a="1"/>
  <c r="L951" i="3" s="1"/>
  <c r="L952" i="3" a="1"/>
  <c r="L952" i="3" s="1"/>
  <c r="L953" i="3" a="1"/>
  <c r="L953" i="3" s="1"/>
  <c r="H953" i="3" s="1" a="1"/>
  <c r="H953" i="3" s="1"/>
  <c r="L954" i="3" a="1"/>
  <c r="L954" i="3" s="1"/>
  <c r="L955" i="3" a="1"/>
  <c r="L955" i="3"/>
  <c r="L956" i="3" a="1"/>
  <c r="L956" i="3" s="1"/>
  <c r="L957" i="3" a="1"/>
  <c r="L957" i="3" s="1"/>
  <c r="G957" i="3" s="1" a="1"/>
  <c r="G957" i="3" s="1"/>
  <c r="L958" i="3" a="1"/>
  <c r="L958" i="3" s="1"/>
  <c r="L959" i="3" a="1"/>
  <c r="L959" i="3"/>
  <c r="L960" i="3" a="1"/>
  <c r="L960" i="3" s="1"/>
  <c r="L961" i="3" a="1"/>
  <c r="L961" i="3" s="1"/>
  <c r="L962" i="3" a="1"/>
  <c r="L962" i="3" s="1"/>
  <c r="L963" i="3" a="1"/>
  <c r="L963" i="3"/>
  <c r="L964" i="3" a="1"/>
  <c r="L964" i="3" s="1"/>
  <c r="L965" i="3" a="1"/>
  <c r="L965" i="3" s="1"/>
  <c r="L966" i="3" a="1"/>
  <c r="L966" i="3" s="1"/>
  <c r="L967" i="3" a="1"/>
  <c r="L967" i="3" s="1"/>
  <c r="L968" i="3" a="1"/>
  <c r="L968" i="3" s="1"/>
  <c r="L969" i="3" a="1"/>
  <c r="L969" i="3" s="1"/>
  <c r="L970" i="3" a="1"/>
  <c r="L970" i="3" s="1"/>
  <c r="L971" i="3" a="1"/>
  <c r="L971" i="3"/>
  <c r="L972" i="3" a="1"/>
  <c r="L972" i="3" s="1"/>
  <c r="L973" i="3" a="1"/>
  <c r="L973" i="3" s="1"/>
  <c r="L974" i="3" a="1"/>
  <c r="L974" i="3" s="1"/>
  <c r="L975" i="3" a="1"/>
  <c r="L975" i="3" s="1"/>
  <c r="L976" i="3" a="1"/>
  <c r="L976" i="3" s="1"/>
  <c r="L977" i="3" a="1"/>
  <c r="L977" i="3" s="1"/>
  <c r="L978" i="3" a="1"/>
  <c r="L978" i="3" s="1"/>
  <c r="L979" i="3" a="1"/>
  <c r="L979" i="3" s="1"/>
  <c r="L980" i="3" a="1"/>
  <c r="L980" i="3" s="1"/>
  <c r="L981" i="3" a="1"/>
  <c r="L981" i="3" s="1"/>
  <c r="L982" i="3" a="1"/>
  <c r="L982" i="3" s="1"/>
  <c r="L983" i="3" a="1"/>
  <c r="L983" i="3" s="1"/>
  <c r="L984" i="3" a="1"/>
  <c r="L984" i="3" s="1"/>
  <c r="L985" i="3" a="1"/>
  <c r="L985" i="3" s="1"/>
  <c r="L986" i="3" a="1"/>
  <c r="L986" i="3" s="1"/>
  <c r="L987" i="3" a="1"/>
  <c r="L987" i="3"/>
  <c r="L988" i="3" a="1"/>
  <c r="L988" i="3" s="1"/>
  <c r="L989" i="3" a="1"/>
  <c r="L989" i="3" s="1"/>
  <c r="L990" i="3" a="1"/>
  <c r="L990" i="3" s="1"/>
  <c r="L991" i="3" a="1"/>
  <c r="L991" i="3"/>
  <c r="L992" i="3" a="1"/>
  <c r="L992" i="3" s="1"/>
  <c r="L993" i="3" a="1"/>
  <c r="L993" i="3" s="1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K109" i="13"/>
  <c r="K108" i="13"/>
  <c r="K110" i="13"/>
  <c r="K463" i="13"/>
  <c r="S943" i="13"/>
  <c r="Q937" i="13"/>
  <c r="Q936" i="13"/>
  <c r="Q935" i="13"/>
  <c r="Q934" i="13"/>
  <c r="Q878" i="13"/>
  <c r="K576" i="13"/>
  <c r="N568" i="13"/>
  <c r="M503" i="13"/>
  <c r="M298" i="13"/>
  <c r="O298" i="13"/>
  <c r="M292" i="13"/>
  <c r="O292" i="13"/>
  <c r="M291" i="13"/>
  <c r="O291" i="13"/>
  <c r="M283" i="13"/>
  <c r="O283" i="13"/>
  <c r="M281" i="13"/>
  <c r="O281" i="13"/>
  <c r="M280" i="13"/>
  <c r="O280" i="13"/>
  <c r="M279" i="13"/>
  <c r="O279" i="13"/>
  <c r="M278" i="13"/>
  <c r="O278" i="13"/>
  <c r="M277" i="13"/>
  <c r="O277" i="13"/>
  <c r="M276" i="13"/>
  <c r="O276" i="13"/>
  <c r="M275" i="13"/>
  <c r="O275" i="13"/>
  <c r="M274" i="13"/>
  <c r="O274" i="13"/>
  <c r="M273" i="13"/>
  <c r="O273" i="13"/>
  <c r="M272" i="13"/>
  <c r="O272" i="13"/>
  <c r="M230" i="13"/>
  <c r="O230" i="13"/>
  <c r="M229" i="13"/>
  <c r="O229" i="13"/>
  <c r="M228" i="13"/>
  <c r="O228" i="13"/>
  <c r="M227" i="13"/>
  <c r="O227" i="13"/>
  <c r="M226" i="13"/>
  <c r="O226" i="13"/>
  <c r="M225" i="13"/>
  <c r="O225" i="13"/>
  <c r="M224" i="13"/>
  <c r="O224" i="13"/>
  <c r="M223" i="13"/>
  <c r="O223" i="13"/>
  <c r="M222" i="13"/>
  <c r="O222" i="13"/>
  <c r="M221" i="13"/>
  <c r="O221" i="13"/>
  <c r="M220" i="13"/>
  <c r="O220" i="13"/>
  <c r="M219" i="13"/>
  <c r="O219" i="13"/>
  <c r="M218" i="13"/>
  <c r="O218" i="13"/>
  <c r="M217" i="13"/>
  <c r="O217" i="13"/>
  <c r="M216" i="13"/>
  <c r="O216" i="13"/>
  <c r="M215" i="13"/>
  <c r="O215" i="13"/>
  <c r="M214" i="13"/>
  <c r="O214" i="13"/>
  <c r="M213" i="13"/>
  <c r="O213" i="13"/>
  <c r="M212" i="13"/>
  <c r="O212" i="13"/>
  <c r="M211" i="13"/>
  <c r="O211" i="13"/>
  <c r="M210" i="13"/>
  <c r="O210" i="13"/>
  <c r="M209" i="13"/>
  <c r="O209" i="13"/>
  <c r="M208" i="13"/>
  <c r="O208" i="13"/>
  <c r="M207" i="13"/>
  <c r="O207" i="13"/>
  <c r="M203" i="13"/>
  <c r="O203" i="13"/>
  <c r="M193" i="13"/>
  <c r="M192" i="13"/>
  <c r="M191" i="13"/>
  <c r="M177" i="13"/>
  <c r="O177" i="13"/>
  <c r="M176" i="13"/>
  <c r="O176" i="13"/>
  <c r="M175" i="13"/>
  <c r="O175" i="13"/>
  <c r="M174" i="13"/>
  <c r="O174" i="13"/>
  <c r="M173" i="13"/>
  <c r="O173" i="13"/>
  <c r="M172" i="13"/>
  <c r="O172" i="13"/>
  <c r="M171" i="13"/>
  <c r="O171" i="13"/>
  <c r="M170" i="13"/>
  <c r="O170" i="13"/>
  <c r="M169" i="13"/>
  <c r="O169" i="13"/>
  <c r="M168" i="13"/>
  <c r="O168" i="13"/>
  <c r="O158" i="13"/>
  <c r="M157" i="13"/>
  <c r="O157" i="13"/>
  <c r="M156" i="13"/>
  <c r="O156" i="13"/>
  <c r="M155" i="13"/>
  <c r="O155" i="13"/>
  <c r="M154" i="13"/>
  <c r="O154" i="13"/>
  <c r="M153" i="13"/>
  <c r="O153" i="13"/>
  <c r="M152" i="13"/>
  <c r="O152" i="13"/>
  <c r="M151" i="13"/>
  <c r="O151" i="13"/>
  <c r="M150" i="13"/>
  <c r="O150" i="13"/>
  <c r="M149" i="13"/>
  <c r="O149" i="13"/>
  <c r="M148" i="13"/>
  <c r="O148" i="13"/>
  <c r="M147" i="13"/>
  <c r="O147" i="13"/>
  <c r="M146" i="13"/>
  <c r="O146" i="13"/>
  <c r="M145" i="13"/>
  <c r="O145" i="13"/>
  <c r="M144" i="13"/>
  <c r="O144" i="13"/>
  <c r="M143" i="13"/>
  <c r="O143" i="13"/>
  <c r="M142" i="13"/>
  <c r="O142" i="13"/>
  <c r="M141" i="13"/>
  <c r="O141" i="13"/>
  <c r="M140" i="13"/>
  <c r="O140" i="13"/>
  <c r="M139" i="13"/>
  <c r="O139" i="13"/>
  <c r="M138" i="13"/>
  <c r="O138" i="13"/>
  <c r="M137" i="13"/>
  <c r="O137" i="13"/>
  <c r="M136" i="13"/>
  <c r="O136" i="13"/>
  <c r="M127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G944" i="3" a="1"/>
  <c r="G944" i="3" s="1"/>
  <c r="G989" i="3" a="1"/>
  <c r="G989" i="3" s="1"/>
  <c r="G980" i="3" a="1"/>
  <c r="G980" i="3"/>
  <c r="G932" i="3" a="1"/>
  <c r="G932" i="3"/>
  <c r="G916" i="3" a="1"/>
  <c r="G916" i="3" s="1"/>
  <c r="H916" i="3" a="1"/>
  <c r="H916" i="3" s="1"/>
  <c r="H900" i="3" a="1"/>
  <c r="H900" i="3" s="1"/>
  <c r="I884" i="3" a="1"/>
  <c r="I884" i="3"/>
  <c r="H867" i="3" a="1"/>
  <c r="H867" i="3"/>
  <c r="J987" i="3" a="1"/>
  <c r="J987" i="3"/>
  <c r="J971" i="3" a="1"/>
  <c r="J971" i="3" s="1"/>
  <c r="H963" i="3" a="1"/>
  <c r="H963" i="3" s="1"/>
  <c r="I955" i="3" a="1"/>
  <c r="I955" i="3" s="1"/>
  <c r="H939" i="3" a="1"/>
  <c r="H939" i="3"/>
  <c r="J923" i="3" a="1"/>
  <c r="J923" i="3"/>
  <c r="H907" i="3" a="1"/>
  <c r="H907" i="3" s="1"/>
  <c r="K907" i="3" a="1"/>
  <c r="K907" i="3" s="1"/>
  <c r="I907" i="3" a="1"/>
  <c r="I907" i="3"/>
  <c r="K891" i="3" a="1"/>
  <c r="K891" i="3"/>
  <c r="I891" i="3" a="1"/>
  <c r="I891" i="3"/>
  <c r="I883" i="3" a="1"/>
  <c r="I883" i="3" s="1"/>
  <c r="G883" i="3" a="1"/>
  <c r="G883" i="3" s="1"/>
  <c r="G868" i="3" a="1"/>
  <c r="G868" i="3"/>
  <c r="I832" i="3" a="1"/>
  <c r="I832" i="3" s="1"/>
  <c r="G832" i="3" a="1"/>
  <c r="G832" i="3" s="1"/>
  <c r="I850" i="3" a="1"/>
  <c r="I850" i="3" s="1"/>
  <c r="G844" i="3" a="1"/>
  <c r="G844" i="3" s="1"/>
  <c r="G846" i="3" a="1"/>
  <c r="G846" i="3" s="1"/>
  <c r="J782" i="3" a="1"/>
  <c r="J782" i="3"/>
  <c r="H782" i="3" a="1"/>
  <c r="H782" i="3" s="1"/>
  <c r="H792" i="3" a="1"/>
  <c r="H792" i="3"/>
  <c r="G792" i="3" a="1"/>
  <c r="G792" i="3" s="1"/>
  <c r="K792" i="3" a="1"/>
  <c r="K792" i="3"/>
  <c r="J792" i="3"/>
  <c r="I792" i="3" a="1"/>
  <c r="I792" i="3"/>
  <c r="K799" i="3" a="1"/>
  <c r="K799" i="3" s="1"/>
  <c r="I799" i="3"/>
  <c r="H799" i="3" a="1"/>
  <c r="H799" i="3" s="1"/>
  <c r="G799" i="3" a="1"/>
  <c r="G799" i="3" s="1"/>
  <c r="J807" i="3" a="1"/>
  <c r="J807" i="3" s="1"/>
  <c r="I807" i="3"/>
  <c r="H807" i="3" a="1"/>
  <c r="H807" i="3" s="1"/>
  <c r="G807" i="3" a="1"/>
  <c r="G807" i="3"/>
  <c r="K807" i="3" a="1"/>
  <c r="K807" i="3"/>
  <c r="H813" i="3" a="1"/>
  <c r="H813" i="3"/>
  <c r="K822" i="3" a="1"/>
  <c r="K822" i="3"/>
  <c r="J822" i="3" a="1"/>
  <c r="J822" i="3" s="1"/>
  <c r="I822" i="3" a="1"/>
  <c r="I822" i="3"/>
  <c r="H822" i="3"/>
  <c r="G822" i="3" a="1"/>
  <c r="G822" i="3" s="1"/>
  <c r="J757" i="3" a="1"/>
  <c r="J757" i="3"/>
  <c r="I757" i="3" a="1"/>
  <c r="I757" i="3" s="1"/>
  <c r="H757" i="3"/>
  <c r="K757" i="3" a="1"/>
  <c r="K757" i="3" s="1"/>
  <c r="G757" i="3" a="1"/>
  <c r="G757" i="3"/>
  <c r="J770" i="3" a="1"/>
  <c r="J770" i="3" s="1"/>
  <c r="I770" i="3"/>
  <c r="H770" i="3" a="1"/>
  <c r="H770" i="3" s="1"/>
  <c r="G770" i="3" a="1"/>
  <c r="G770" i="3" s="1"/>
  <c r="K770" i="3" a="1"/>
  <c r="K770" i="3"/>
  <c r="H755" i="3" a="1"/>
  <c r="H755" i="3"/>
  <c r="K755" i="3" a="1"/>
  <c r="K755" i="3"/>
  <c r="I755" i="3" a="1"/>
  <c r="I755" i="3"/>
  <c r="K695" i="3" a="1"/>
  <c r="K695" i="3" s="1"/>
  <c r="J695" i="3" a="1"/>
  <c r="J695" i="3" s="1"/>
  <c r="I695" i="3" a="1"/>
  <c r="I695" i="3" s="1"/>
  <c r="H695" i="3"/>
  <c r="G695" i="3" a="1"/>
  <c r="G695" i="3" s="1"/>
  <c r="H702" i="3" a="1"/>
  <c r="H702" i="3"/>
  <c r="G702" i="3" a="1"/>
  <c r="G702" i="3"/>
  <c r="K702" i="3"/>
  <c r="J702" i="3" a="1"/>
  <c r="J702" i="3"/>
  <c r="I702" i="3" a="1"/>
  <c r="I702" i="3" s="1"/>
  <c r="K720" i="3" a="1"/>
  <c r="K720" i="3" s="1"/>
  <c r="J720" i="3"/>
  <c r="I720" i="3" a="1"/>
  <c r="I720" i="3"/>
  <c r="H720" i="3" a="1"/>
  <c r="H720" i="3" s="1"/>
  <c r="G720" i="3" a="1"/>
  <c r="G720" i="3"/>
  <c r="J707" i="3" a="1"/>
  <c r="J707" i="3" s="1"/>
  <c r="I707" i="3" a="1"/>
  <c r="I707" i="3"/>
  <c r="H707" i="3" a="1"/>
  <c r="H707" i="3" s="1"/>
  <c r="J736" i="3" a="1"/>
  <c r="J736" i="3" s="1"/>
  <c r="I736" i="3" a="1"/>
  <c r="I736" i="3"/>
  <c r="H736" i="3" a="1"/>
  <c r="H736" i="3" s="1"/>
  <c r="G736" i="3"/>
  <c r="K736" i="3" a="1"/>
  <c r="K736" i="3" s="1"/>
  <c r="H735" i="3" a="1"/>
  <c r="H735" i="3" s="1"/>
  <c r="G735" i="3" a="1"/>
  <c r="G735" i="3"/>
  <c r="K735" i="3"/>
  <c r="J735" i="3" a="1"/>
  <c r="J735" i="3"/>
  <c r="I735" i="3" a="1"/>
  <c r="I735" i="3" s="1"/>
  <c r="H744" i="3" a="1"/>
  <c r="H744" i="3"/>
  <c r="G744" i="3"/>
  <c r="K744" i="3" a="1"/>
  <c r="K744" i="3" s="1"/>
  <c r="J744" i="3" a="1"/>
  <c r="J744" i="3" s="1"/>
  <c r="I744" i="3" a="1"/>
  <c r="I744" i="3" s="1"/>
  <c r="K444" i="3" a="1"/>
  <c r="K444" i="3" s="1"/>
  <c r="J444" i="3" a="1"/>
  <c r="J444" i="3"/>
  <c r="I444" i="3" a="1"/>
  <c r="I444" i="3"/>
  <c r="I459" i="3" a="1"/>
  <c r="I459" i="3"/>
  <c r="H459" i="3" a="1"/>
  <c r="H459" i="3"/>
  <c r="G459" i="3" a="1"/>
  <c r="G459" i="3" s="1"/>
  <c r="K459" i="3"/>
  <c r="J459" i="3" a="1"/>
  <c r="J459" i="3"/>
  <c r="K460" i="3" a="1"/>
  <c r="K460" i="3" s="1"/>
  <c r="J460" i="3" a="1"/>
  <c r="J460" i="3" s="1"/>
  <c r="I460" i="3"/>
  <c r="H460" i="3" a="1"/>
  <c r="H460" i="3" s="1"/>
  <c r="G460" i="3" a="1"/>
  <c r="G460" i="3" s="1"/>
  <c r="K465" i="3" a="1"/>
  <c r="K465" i="3" s="1"/>
  <c r="J465" i="3" a="1"/>
  <c r="J465" i="3" s="1"/>
  <c r="I465" i="3" a="1"/>
  <c r="I465" i="3" s="1"/>
  <c r="H465" i="3" a="1"/>
  <c r="H465" i="3"/>
  <c r="G465" i="3" a="1"/>
  <c r="G465" i="3"/>
  <c r="I475" i="3" a="1"/>
  <c r="I475" i="3"/>
  <c r="H475" i="3" a="1"/>
  <c r="H475" i="3" s="1"/>
  <c r="G475" i="3" a="1"/>
  <c r="G475" i="3" s="1"/>
  <c r="K475" i="3" a="1"/>
  <c r="K475" i="3" s="1"/>
  <c r="J475" i="3" a="1"/>
  <c r="J475" i="3" s="1"/>
  <c r="G533" i="3" a="1"/>
  <c r="G533" i="3" s="1"/>
  <c r="K533" i="3" a="1"/>
  <c r="K533" i="3" s="1"/>
  <c r="J533" i="3" a="1"/>
  <c r="J533" i="3"/>
  <c r="I533" i="3" a="1"/>
  <c r="I533" i="3"/>
  <c r="H533" i="3" a="1"/>
  <c r="H533" i="3" s="1"/>
  <c r="H515" i="3" a="1"/>
  <c r="H515" i="3" s="1"/>
  <c r="G515" i="3" a="1"/>
  <c r="G515" i="3" s="1"/>
  <c r="K515" i="3" a="1"/>
  <c r="K515" i="3" s="1"/>
  <c r="J515" i="3" a="1"/>
  <c r="J515" i="3" s="1"/>
  <c r="I515" i="3" a="1"/>
  <c r="I515" i="3"/>
  <c r="K502" i="3" a="1"/>
  <c r="K502" i="3" s="1"/>
  <c r="J502" i="3" a="1"/>
  <c r="J502" i="3"/>
  <c r="I502" i="3" a="1"/>
  <c r="I502" i="3" s="1"/>
  <c r="H502" i="3" a="1"/>
  <c r="H502" i="3" s="1"/>
  <c r="G502" i="3" a="1"/>
  <c r="G502" i="3" s="1"/>
  <c r="H500" i="3" a="1"/>
  <c r="H500" i="3" s="1"/>
  <c r="G500" i="3" a="1"/>
  <c r="G500" i="3" s="1"/>
  <c r="K500" i="3" a="1"/>
  <c r="K500" i="3"/>
  <c r="J500" i="3" a="1"/>
  <c r="J500" i="3"/>
  <c r="I500" i="3" a="1"/>
  <c r="I500" i="3" s="1"/>
  <c r="K493" i="3" a="1"/>
  <c r="K493" i="3" s="1"/>
  <c r="J493" i="3" a="1"/>
  <c r="J493" i="3" s="1"/>
  <c r="I493" i="3" a="1"/>
  <c r="I493" i="3" s="1"/>
  <c r="H493" i="3" a="1"/>
  <c r="H493" i="3" s="1"/>
  <c r="G493" i="3" a="1"/>
  <c r="G493" i="3" s="1"/>
  <c r="I523" i="3" a="1"/>
  <c r="I523" i="3"/>
  <c r="H523" i="3" a="1"/>
  <c r="H523" i="3"/>
  <c r="G523" i="3" a="1"/>
  <c r="G523" i="3"/>
  <c r="K523" i="3" a="1"/>
  <c r="K523" i="3" s="1"/>
  <c r="J523" i="3" a="1"/>
  <c r="J523" i="3" s="1"/>
  <c r="K479" i="3" a="1"/>
  <c r="K479" i="3" s="1"/>
  <c r="J479" i="3" a="1"/>
  <c r="J479" i="3" s="1"/>
  <c r="I479" i="3" a="1"/>
  <c r="I479" i="3" s="1"/>
  <c r="H479" i="3" a="1"/>
  <c r="H479" i="3"/>
  <c r="G479" i="3" a="1"/>
  <c r="G479" i="3"/>
  <c r="H506" i="3" a="1"/>
  <c r="H506" i="3"/>
  <c r="J506" i="3" a="1"/>
  <c r="J506" i="3" s="1"/>
  <c r="K506" i="3" a="1"/>
  <c r="K506" i="3" s="1"/>
  <c r="I506" i="3" a="1"/>
  <c r="I506" i="3" s="1"/>
  <c r="G506" i="3" a="1"/>
  <c r="G506" i="3" s="1"/>
  <c r="K547" i="3" a="1"/>
  <c r="K547" i="3" s="1"/>
  <c r="J547" i="3" a="1"/>
  <c r="J547" i="3"/>
  <c r="I547" i="3" a="1"/>
  <c r="I547" i="3"/>
  <c r="H547" i="3" a="1"/>
  <c r="H547" i="3"/>
  <c r="G547" i="3" a="1"/>
  <c r="G547" i="3" s="1"/>
  <c r="J563" i="3" a="1"/>
  <c r="J563" i="3" s="1"/>
  <c r="I563" i="3" a="1"/>
  <c r="I563" i="3" s="1"/>
  <c r="H563" i="3" a="1"/>
  <c r="H563" i="3" s="1"/>
  <c r="G563" i="3" a="1"/>
  <c r="G563" i="3" s="1"/>
  <c r="K563" i="3" a="1"/>
  <c r="K563" i="3"/>
  <c r="I553" i="3" a="1"/>
  <c r="I553" i="3"/>
  <c r="H553" i="3" a="1"/>
  <c r="H553" i="3" s="1"/>
  <c r="G553" i="3" a="1"/>
  <c r="G553" i="3" s="1"/>
  <c r="K553" i="3" a="1"/>
  <c r="K553" i="3" s="1"/>
  <c r="J553" i="3" a="1"/>
  <c r="J553" i="3" s="1"/>
  <c r="K566" i="3" a="1"/>
  <c r="K566" i="3" s="1"/>
  <c r="J566" i="3" a="1"/>
  <c r="J566" i="3" s="1"/>
  <c r="I566" i="3" a="1"/>
  <c r="I566" i="3"/>
  <c r="H566" i="3" a="1"/>
  <c r="H566" i="3"/>
  <c r="G566" i="3" a="1"/>
  <c r="G566" i="3"/>
  <c r="K577" i="3" a="1"/>
  <c r="K577" i="3" s="1"/>
  <c r="J577" i="3" a="1"/>
  <c r="J577" i="3" s="1"/>
  <c r="I577" i="3" a="1"/>
  <c r="I577" i="3" s="1"/>
  <c r="H577" i="3" a="1"/>
  <c r="H577" i="3" s="1"/>
  <c r="G577" i="3" a="1"/>
  <c r="G577" i="3" s="1"/>
  <c r="G585" i="3" a="1"/>
  <c r="G585" i="3"/>
  <c r="K585" i="3" a="1"/>
  <c r="K585" i="3"/>
  <c r="J585" i="3" a="1"/>
  <c r="J585" i="3"/>
  <c r="I585" i="3" a="1"/>
  <c r="I585" i="3" s="1"/>
  <c r="H585" i="3" a="1"/>
  <c r="H585" i="3" s="1"/>
  <c r="K593" i="3" a="1"/>
  <c r="K593" i="3" s="1"/>
  <c r="J593" i="3" a="1"/>
  <c r="J593" i="3" s="1"/>
  <c r="I593" i="3" a="1"/>
  <c r="I593" i="3" s="1"/>
  <c r="H593" i="3" a="1"/>
  <c r="H593" i="3"/>
  <c r="G593" i="3" a="1"/>
  <c r="G593" i="3"/>
  <c r="K602" i="3" a="1"/>
  <c r="K602" i="3"/>
  <c r="J602" i="3" a="1"/>
  <c r="J602" i="3" s="1"/>
  <c r="I602" i="3" a="1"/>
  <c r="I602" i="3" s="1"/>
  <c r="H602" i="3" a="1"/>
  <c r="H602" i="3" s="1"/>
  <c r="G602" i="3" a="1"/>
  <c r="G602" i="3" s="1"/>
  <c r="H613" i="3" a="1"/>
  <c r="H613" i="3" s="1"/>
  <c r="G613" i="3" a="1"/>
  <c r="G613" i="3"/>
  <c r="K613" i="3" a="1"/>
  <c r="K613" i="3"/>
  <c r="J613" i="3" a="1"/>
  <c r="J613" i="3" s="1"/>
  <c r="I613" i="3" a="1"/>
  <c r="I613" i="3" s="1"/>
  <c r="K620" i="3" a="1"/>
  <c r="K620" i="3" s="1"/>
  <c r="J620" i="3" a="1"/>
  <c r="J620" i="3" s="1"/>
  <c r="I620" i="3" a="1"/>
  <c r="I620" i="3" s="1"/>
  <c r="H620" i="3" a="1"/>
  <c r="H620" i="3" s="1"/>
  <c r="G620" i="3" a="1"/>
  <c r="G620" i="3"/>
  <c r="K623" i="3" a="1"/>
  <c r="K623" i="3"/>
  <c r="J623" i="3" a="1"/>
  <c r="J623" i="3"/>
  <c r="I623" i="3" a="1"/>
  <c r="I623" i="3" s="1"/>
  <c r="H623" i="3" a="1"/>
  <c r="H623" i="3" s="1"/>
  <c r="G623" i="3" a="1"/>
  <c r="G623" i="3" s="1"/>
  <c r="K639" i="3" a="1"/>
  <c r="K639" i="3" s="1"/>
  <c r="J639" i="3" a="1"/>
  <c r="J639" i="3" s="1"/>
  <c r="H639" i="3" a="1"/>
  <c r="H639" i="3"/>
  <c r="G639" i="3" a="1"/>
  <c r="G639" i="3"/>
  <c r="I639" i="3" a="1"/>
  <c r="I639" i="3"/>
  <c r="J635" i="3" a="1"/>
  <c r="J635" i="3" s="1"/>
  <c r="I635" i="3" a="1"/>
  <c r="I635" i="3" s="1"/>
  <c r="H635" i="3" a="1"/>
  <c r="H635" i="3" s="1"/>
  <c r="K635" i="3" a="1"/>
  <c r="K635" i="3" s="1"/>
  <c r="G635" i="3" a="1"/>
  <c r="G635" i="3" s="1"/>
  <c r="G659" i="3" a="1"/>
  <c r="G659" i="3"/>
  <c r="K659" i="3" a="1"/>
  <c r="K659" i="3" s="1"/>
  <c r="J659" i="3" a="1"/>
  <c r="J659" i="3"/>
  <c r="I659" i="3" a="1"/>
  <c r="I659" i="3" s="1"/>
  <c r="H659" i="3" a="1"/>
  <c r="H659" i="3" s="1"/>
  <c r="K655" i="3" a="1"/>
  <c r="K655" i="3" s="1"/>
  <c r="J655" i="3" a="1"/>
  <c r="J655" i="3" s="1"/>
  <c r="I655" i="3" a="1"/>
  <c r="I655" i="3" s="1"/>
  <c r="H655" i="3" a="1"/>
  <c r="H655" i="3"/>
  <c r="G655" i="3" a="1"/>
  <c r="G655" i="3"/>
  <c r="I668" i="3" a="1"/>
  <c r="I668" i="3"/>
  <c r="H668" i="3" a="1"/>
  <c r="H668" i="3" s="1"/>
  <c r="G668" i="3" a="1"/>
  <c r="G668" i="3" s="1"/>
  <c r="K668" i="3" a="1"/>
  <c r="K668" i="3" s="1"/>
  <c r="J668" i="3" a="1"/>
  <c r="J668" i="3"/>
  <c r="K675" i="3" a="1"/>
  <c r="K675" i="3" s="1"/>
  <c r="J675" i="3" a="1"/>
  <c r="J675" i="3"/>
  <c r="I675" i="3" a="1"/>
  <c r="I675" i="3"/>
  <c r="H675" i="3" a="1"/>
  <c r="H675" i="3"/>
  <c r="G675" i="3" a="1"/>
  <c r="G675" i="3" s="1"/>
  <c r="K684" i="3" a="1"/>
  <c r="K684" i="3" s="1"/>
  <c r="J684" i="3" a="1"/>
  <c r="J684" i="3" s="1"/>
  <c r="I684" i="3" a="1"/>
  <c r="I684" i="3" s="1"/>
  <c r="H684" i="3" a="1"/>
  <c r="H684" i="3" s="1"/>
  <c r="G684" i="3" a="1"/>
  <c r="G684" i="3" s="1"/>
  <c r="K693" i="3" a="1"/>
  <c r="K693" i="3"/>
  <c r="J693" i="3" a="1"/>
  <c r="J693" i="3" s="1"/>
  <c r="I693" i="3" a="1"/>
  <c r="I693" i="3" s="1"/>
  <c r="H693" i="3" a="1"/>
  <c r="H693" i="3" s="1"/>
  <c r="G693" i="3" a="1"/>
  <c r="G693" i="3"/>
  <c r="G435" i="3" a="1"/>
  <c r="G435" i="3"/>
  <c r="K435" i="3" a="1"/>
  <c r="K435" i="3" s="1"/>
  <c r="J435" i="3" a="1"/>
  <c r="J435" i="3"/>
  <c r="I435" i="3" a="1"/>
  <c r="I435" i="3" s="1"/>
  <c r="H435" i="3" a="1"/>
  <c r="H435" i="3" s="1"/>
  <c r="H427" i="3" a="1"/>
  <c r="H427" i="3" s="1"/>
  <c r="G427" i="3" a="1"/>
  <c r="G427" i="3" s="1"/>
  <c r="K427" i="3" a="1"/>
  <c r="K427" i="3" s="1"/>
  <c r="J427" i="3" a="1"/>
  <c r="J427" i="3"/>
  <c r="I427" i="3" a="1"/>
  <c r="I427" i="3" s="1"/>
  <c r="K409" i="3" a="1"/>
  <c r="K409" i="3" s="1"/>
  <c r="J409" i="3" a="1"/>
  <c r="J409" i="3"/>
  <c r="I409" i="3" a="1"/>
  <c r="I409" i="3" s="1"/>
  <c r="H409" i="3" a="1"/>
  <c r="H409" i="3" s="1"/>
  <c r="G409" i="3" a="1"/>
  <c r="G409" i="3"/>
  <c r="J415" i="3" a="1"/>
  <c r="J415" i="3" s="1"/>
  <c r="I415" i="3" a="1"/>
  <c r="I415" i="3" s="1"/>
  <c r="H415" i="3" a="1"/>
  <c r="H415" i="3" s="1"/>
  <c r="G415" i="3" a="1"/>
  <c r="G415" i="3" s="1"/>
  <c r="K415" i="3" a="1"/>
  <c r="K415" i="3" s="1"/>
  <c r="G402" i="3" a="1"/>
  <c r="G402" i="3"/>
  <c r="K402" i="3" a="1"/>
  <c r="K402" i="3" s="1"/>
  <c r="J402" i="3" a="1"/>
  <c r="J402" i="3"/>
  <c r="I402" i="3" a="1"/>
  <c r="I402" i="3"/>
  <c r="H402" i="3" a="1"/>
  <c r="H402" i="3" s="1"/>
  <c r="J394" i="3" a="1"/>
  <c r="J394" i="3" s="1"/>
  <c r="I394" i="3" a="1"/>
  <c r="I394" i="3" s="1"/>
  <c r="H394" i="3" a="1"/>
  <c r="H394" i="3" s="1"/>
  <c r="G394" i="3" a="1"/>
  <c r="G394" i="3" s="1"/>
  <c r="K394" i="3" a="1"/>
  <c r="K394" i="3" s="1"/>
  <c r="K365" i="3" a="1"/>
  <c r="K365" i="3" s="1"/>
  <c r="J365" i="3" a="1"/>
  <c r="J365" i="3"/>
  <c r="I365" i="3" a="1"/>
  <c r="I365" i="3"/>
  <c r="H365" i="3" a="1"/>
  <c r="H365" i="3" s="1"/>
  <c r="G365" i="3" a="1"/>
  <c r="G365" i="3"/>
  <c r="K377" i="3" a="1"/>
  <c r="K377" i="3" s="1"/>
  <c r="J377" i="3" a="1"/>
  <c r="J377" i="3" s="1"/>
  <c r="I377" i="3" a="1"/>
  <c r="I377" i="3" s="1"/>
  <c r="H377" i="3" a="1"/>
  <c r="H377" i="3" s="1"/>
  <c r="G377" i="3" a="1"/>
  <c r="G377" i="3" s="1"/>
  <c r="K389" i="3" a="1"/>
  <c r="K389" i="3"/>
  <c r="J389" i="3" a="1"/>
  <c r="J389" i="3" s="1"/>
  <c r="I389" i="3" a="1"/>
  <c r="I389" i="3" s="1"/>
  <c r="H389" i="3" a="1"/>
  <c r="H389" i="3"/>
  <c r="G389" i="3" a="1"/>
  <c r="G389" i="3" s="1"/>
  <c r="I385" i="3" a="1"/>
  <c r="I385" i="3" s="1"/>
  <c r="G385" i="3" a="1"/>
  <c r="G385" i="3"/>
  <c r="K385" i="3" a="1"/>
  <c r="K385" i="3" s="1"/>
  <c r="J385" i="3" a="1"/>
  <c r="J385" i="3" s="1"/>
  <c r="H385" i="3" a="1"/>
  <c r="H385" i="3" s="1"/>
  <c r="J350" i="3" a="1"/>
  <c r="J350" i="3" s="1"/>
  <c r="I350" i="3" a="1"/>
  <c r="I350" i="3" s="1"/>
  <c r="H350" i="3" a="1"/>
  <c r="H350" i="3"/>
  <c r="G350" i="3" a="1"/>
  <c r="G350" i="3" s="1"/>
  <c r="K350" i="3" a="1"/>
  <c r="K350" i="3"/>
  <c r="I336" i="3" a="1"/>
  <c r="I336" i="3"/>
  <c r="H336" i="3" a="1"/>
  <c r="H336" i="3" s="1"/>
  <c r="G336" i="3" a="1"/>
  <c r="G336" i="3" s="1"/>
  <c r="K336" i="3" a="1"/>
  <c r="K336" i="3" s="1"/>
  <c r="J336" i="3" a="1"/>
  <c r="J336" i="3" s="1"/>
  <c r="I346" i="3" a="1"/>
  <c r="I346" i="3" s="1"/>
  <c r="H346" i="3" a="1"/>
  <c r="H346" i="3" s="1"/>
  <c r="G346" i="3" a="1"/>
  <c r="G346" i="3" s="1"/>
  <c r="K346" i="3" a="1"/>
  <c r="K346" i="3"/>
  <c r="J346" i="3" a="1"/>
  <c r="J346" i="3"/>
  <c r="J313" i="3" a="1"/>
  <c r="J313" i="3" s="1"/>
  <c r="I313" i="3" a="1"/>
  <c r="I313" i="3"/>
  <c r="H313" i="3" a="1"/>
  <c r="H313" i="3" s="1"/>
  <c r="G313" i="3" a="1"/>
  <c r="G313" i="3" s="1"/>
  <c r="K313" i="3" a="1"/>
  <c r="K313" i="3" s="1"/>
  <c r="J320" i="3" a="1"/>
  <c r="J320" i="3" s="1"/>
  <c r="I320" i="3" a="1"/>
  <c r="I320" i="3" s="1"/>
  <c r="H320" i="3" a="1"/>
  <c r="H320" i="3"/>
  <c r="G320" i="3" a="1"/>
  <c r="G320" i="3" s="1"/>
  <c r="K320" i="3" a="1"/>
  <c r="K320" i="3" s="1"/>
  <c r="K327" i="3" a="1"/>
  <c r="K327" i="3"/>
  <c r="J327" i="3" a="1"/>
  <c r="J327" i="3" s="1"/>
  <c r="I327" i="3" a="1"/>
  <c r="I327" i="3" s="1"/>
  <c r="H327" i="3" a="1"/>
  <c r="H327" i="3"/>
  <c r="G327" i="3" a="1"/>
  <c r="G327" i="3" s="1"/>
  <c r="K294" i="3" a="1"/>
  <c r="K294" i="3" s="1"/>
  <c r="J294" i="3" a="1"/>
  <c r="J294" i="3" s="1"/>
  <c r="I294" i="3" a="1"/>
  <c r="I294" i="3" s="1"/>
  <c r="H294" i="3" a="1"/>
  <c r="H294" i="3" s="1"/>
  <c r="G294" i="3" a="1"/>
  <c r="G294" i="3"/>
  <c r="K303" i="3" a="1"/>
  <c r="K303" i="3" s="1"/>
  <c r="J303" i="3" a="1"/>
  <c r="J303" i="3"/>
  <c r="I303" i="3" a="1"/>
  <c r="I303" i="3"/>
  <c r="H303" i="3" a="1"/>
  <c r="H303" i="3" s="1"/>
  <c r="G303" i="3" a="1"/>
  <c r="G303" i="3" s="1"/>
  <c r="G259" i="3" a="1"/>
  <c r="G259" i="3" s="1"/>
  <c r="K259" i="3" a="1"/>
  <c r="K259" i="3" s="1"/>
  <c r="J259" i="3" a="1"/>
  <c r="J259" i="3" s="1"/>
  <c r="I259" i="3" a="1"/>
  <c r="I259" i="3" s="1"/>
  <c r="H259" i="3" a="1"/>
  <c r="H259" i="3" s="1"/>
  <c r="H267" i="3" a="1"/>
  <c r="H267" i="3"/>
  <c r="G267" i="3" a="1"/>
  <c r="G267" i="3"/>
  <c r="K267" i="3" a="1"/>
  <c r="K267" i="3" s="1"/>
  <c r="J267" i="3" a="1"/>
  <c r="J267" i="3"/>
  <c r="I267" i="3" a="1"/>
  <c r="I267" i="3" s="1"/>
  <c r="G274" i="3" a="1"/>
  <c r="G274" i="3" s="1"/>
  <c r="K274" i="3" a="1"/>
  <c r="K274" i="3" s="1"/>
  <c r="J274" i="3" a="1"/>
  <c r="J274" i="3" s="1"/>
  <c r="I274" i="3" a="1"/>
  <c r="I274" i="3" s="1"/>
  <c r="H274" i="3" a="1"/>
  <c r="H274" i="3"/>
  <c r="K287" i="3" a="1"/>
  <c r="K287" i="3" s="1"/>
  <c r="J287" i="3" a="1"/>
  <c r="J287" i="3" s="1"/>
  <c r="I287" i="3" a="1"/>
  <c r="I287" i="3"/>
  <c r="H287" i="3" a="1"/>
  <c r="H287" i="3" s="1"/>
  <c r="G287" i="3" a="1"/>
  <c r="G287" i="3" s="1"/>
  <c r="K288" i="3" a="1"/>
  <c r="K288" i="3"/>
  <c r="J288" i="3" a="1"/>
  <c r="J288" i="3" s="1"/>
  <c r="I288" i="3" a="1"/>
  <c r="I288" i="3" s="1"/>
  <c r="H288" i="3" a="1"/>
  <c r="H288" i="3" s="1"/>
  <c r="G288" i="3" a="1"/>
  <c r="G288" i="3" s="1"/>
  <c r="K252" i="3" a="1"/>
  <c r="K252" i="3" s="1"/>
  <c r="J252" i="3" a="1"/>
  <c r="J252" i="3"/>
  <c r="I252" i="3" a="1"/>
  <c r="I252" i="3" s="1"/>
  <c r="H252" i="3" a="1"/>
  <c r="H252" i="3"/>
  <c r="G252" i="3" a="1"/>
  <c r="G252" i="3"/>
  <c r="K255" i="3" a="1"/>
  <c r="K255" i="3" s="1"/>
  <c r="J255" i="3" a="1"/>
  <c r="J255" i="3" s="1"/>
  <c r="I255" i="3" a="1"/>
  <c r="I255" i="3" s="1"/>
  <c r="H255" i="3" a="1"/>
  <c r="H255" i="3" s="1"/>
  <c r="G255" i="3" a="1"/>
  <c r="G255" i="3" s="1"/>
  <c r="K231" i="3" a="1"/>
  <c r="K231" i="3" s="1"/>
  <c r="J231" i="3" a="1"/>
  <c r="J231" i="3" s="1"/>
  <c r="I231" i="3" a="1"/>
  <c r="I231" i="3"/>
  <c r="H231" i="3" a="1"/>
  <c r="H231" i="3"/>
  <c r="G231" i="3" a="1"/>
  <c r="G231" i="3" s="1"/>
  <c r="H225" i="3" a="1"/>
  <c r="H225" i="3"/>
  <c r="G225" i="3" a="1"/>
  <c r="G225" i="3" s="1"/>
  <c r="K225" i="3" a="1"/>
  <c r="K225" i="3"/>
  <c r="J225" i="3" a="1"/>
  <c r="J225" i="3" s="1"/>
  <c r="I225" i="3" a="1"/>
  <c r="I225" i="3" s="1"/>
  <c r="K219" i="3" a="1"/>
  <c r="K219" i="3" s="1"/>
  <c r="J219" i="3" a="1"/>
  <c r="J219" i="3"/>
  <c r="I219" i="3" a="1"/>
  <c r="I219" i="3" s="1"/>
  <c r="H219" i="3" a="1"/>
  <c r="H219" i="3" s="1"/>
  <c r="G219" i="3" a="1"/>
  <c r="G219" i="3"/>
  <c r="G213" i="3" a="1"/>
  <c r="G213" i="3" s="1"/>
  <c r="K213" i="3" a="1"/>
  <c r="K213" i="3" s="1"/>
  <c r="J213" i="3" a="1"/>
  <c r="J213" i="3"/>
  <c r="I213" i="3" a="1"/>
  <c r="I213" i="3" s="1"/>
  <c r="H213" i="3" a="1"/>
  <c r="H213" i="3" s="1"/>
  <c r="G182" i="3" a="1"/>
  <c r="G182" i="3" s="1"/>
  <c r="K182" i="3" a="1"/>
  <c r="K182" i="3"/>
  <c r="J182" i="3" a="1"/>
  <c r="J182" i="3" s="1"/>
  <c r="I182" i="3" a="1"/>
  <c r="I182" i="3"/>
  <c r="H182" i="3" a="1"/>
  <c r="H182" i="3" s="1"/>
  <c r="I190" i="3" a="1"/>
  <c r="I190" i="3"/>
  <c r="H190" i="3" a="1"/>
  <c r="H190" i="3"/>
  <c r="G190" i="3" a="1"/>
  <c r="G190" i="3" s="1"/>
  <c r="K190" i="3" a="1"/>
  <c r="K190" i="3" s="1"/>
  <c r="J190" i="3" a="1"/>
  <c r="J190" i="3" s="1"/>
  <c r="G198" i="3" a="1"/>
  <c r="G198" i="3" s="1"/>
  <c r="K198" i="3" a="1"/>
  <c r="K198" i="3" s="1"/>
  <c r="J198" i="3" a="1"/>
  <c r="J198" i="3" s="1"/>
  <c r="I198" i="3" a="1"/>
  <c r="I198" i="3" s="1"/>
  <c r="H198" i="3" a="1"/>
  <c r="H198" i="3"/>
  <c r="G206" i="3" a="1"/>
  <c r="G206" i="3"/>
  <c r="K206" i="3" a="1"/>
  <c r="K206" i="3" s="1"/>
  <c r="J206" i="3" a="1"/>
  <c r="J206" i="3"/>
  <c r="I206" i="3" a="1"/>
  <c r="I206" i="3" s="1"/>
  <c r="H206" i="3" a="1"/>
  <c r="H206" i="3" s="1"/>
  <c r="I169" i="3" a="1"/>
  <c r="I169" i="3" s="1"/>
  <c r="H169" i="3" a="1"/>
  <c r="H169" i="3" s="1"/>
  <c r="G169" i="3" a="1"/>
  <c r="G169" i="3" s="1"/>
  <c r="J169" i="3" a="1"/>
  <c r="J169" i="3"/>
  <c r="K169" i="3" a="1"/>
  <c r="K169" i="3" s="1"/>
  <c r="I146" i="3" a="1"/>
  <c r="I146" i="3" s="1"/>
  <c r="H146" i="3" a="1"/>
  <c r="H146" i="3"/>
  <c r="G146" i="3" a="1"/>
  <c r="G146" i="3" s="1"/>
  <c r="K146" i="3" a="1"/>
  <c r="K146" i="3" s="1"/>
  <c r="J146" i="3" a="1"/>
  <c r="J146" i="3"/>
  <c r="J150" i="3" a="1"/>
  <c r="J150" i="3" s="1"/>
  <c r="K150" i="3" a="1"/>
  <c r="K150" i="3" s="1"/>
  <c r="I150" i="3" a="1"/>
  <c r="I150" i="3" s="1"/>
  <c r="H150" i="3" a="1"/>
  <c r="H150" i="3" s="1"/>
  <c r="G150" i="3" a="1"/>
  <c r="G150" i="3" s="1"/>
  <c r="I156" i="3" a="1"/>
  <c r="I156" i="3"/>
  <c r="H156" i="3" a="1"/>
  <c r="H156" i="3" s="1"/>
  <c r="K156" i="3" a="1"/>
  <c r="K156" i="3"/>
  <c r="J156" i="3" a="1"/>
  <c r="J156" i="3"/>
  <c r="G156" i="3" a="1"/>
  <c r="G156" i="3" s="1"/>
  <c r="I139" i="3" a="1"/>
  <c r="I139" i="3" s="1"/>
  <c r="H139" i="3" a="1"/>
  <c r="H139" i="3" s="1"/>
  <c r="G139" i="3" a="1"/>
  <c r="G139" i="3" s="1"/>
  <c r="K139" i="3" a="1"/>
  <c r="K139" i="3" s="1"/>
  <c r="J139" i="3" a="1"/>
  <c r="J139" i="3" s="1"/>
  <c r="H111" i="3" a="1"/>
  <c r="H111" i="3" s="1"/>
  <c r="G111" i="3" a="1"/>
  <c r="G111" i="3"/>
  <c r="K111" i="3" a="1"/>
  <c r="K111" i="3"/>
  <c r="J111" i="3" a="1"/>
  <c r="J111" i="3" s="1"/>
  <c r="I111" i="3" a="1"/>
  <c r="I111" i="3"/>
  <c r="H127" i="3" a="1"/>
  <c r="H127" i="3" s="1"/>
  <c r="G127" i="3" a="1"/>
  <c r="G127" i="3" s="1"/>
  <c r="K127" i="3" a="1"/>
  <c r="K127" i="3" s="1"/>
  <c r="J127" i="3" a="1"/>
  <c r="J127" i="3" s="1"/>
  <c r="I127" i="3" a="1"/>
  <c r="I127" i="3" s="1"/>
  <c r="K131" i="3" a="1"/>
  <c r="K131" i="3"/>
  <c r="J131" i="3" a="1"/>
  <c r="J131" i="3" s="1"/>
  <c r="I131" i="3" a="1"/>
  <c r="I131" i="3" s="1"/>
  <c r="H131" i="3" a="1"/>
  <c r="H131" i="3"/>
  <c r="G131" i="3" a="1"/>
  <c r="G131" i="3" s="1"/>
  <c r="I136" i="3" a="1"/>
  <c r="I136" i="3" s="1"/>
  <c r="H136" i="3" a="1"/>
  <c r="H136" i="3"/>
  <c r="G136" i="3" a="1"/>
  <c r="G136" i="3" s="1"/>
  <c r="K136" i="3" a="1"/>
  <c r="K136" i="3" s="1"/>
  <c r="J136" i="3" a="1"/>
  <c r="J136" i="3" s="1"/>
  <c r="K99" i="3" a="1"/>
  <c r="K99" i="3" s="1"/>
  <c r="J99" i="3" a="1"/>
  <c r="J99" i="3" s="1"/>
  <c r="I99" i="3" a="1"/>
  <c r="I99" i="3"/>
  <c r="H99" i="3" a="1"/>
  <c r="H99" i="3" s="1"/>
  <c r="G99" i="3" a="1"/>
  <c r="G99" i="3"/>
  <c r="I68" i="3" a="1"/>
  <c r="I68" i="3"/>
  <c r="H68" i="3" a="1"/>
  <c r="H68" i="3" s="1"/>
  <c r="G68" i="3" a="1"/>
  <c r="G68" i="3" s="1"/>
  <c r="K68" i="3" a="1"/>
  <c r="K68" i="3" s="1"/>
  <c r="J68" i="3" a="1"/>
  <c r="J68" i="3" s="1"/>
  <c r="K77" i="3" a="1"/>
  <c r="K77" i="3" s="1"/>
  <c r="J77" i="3" a="1"/>
  <c r="J77" i="3" s="1"/>
  <c r="I77" i="3" a="1"/>
  <c r="I77" i="3" s="1"/>
  <c r="H77" i="3" a="1"/>
  <c r="H77" i="3"/>
  <c r="G77" i="3" a="1"/>
  <c r="G77" i="3"/>
  <c r="K88" i="3" a="1"/>
  <c r="K88" i="3" s="1"/>
  <c r="J88" i="3" a="1"/>
  <c r="J88" i="3"/>
  <c r="I88" i="3" a="1"/>
  <c r="I88" i="3" s="1"/>
  <c r="H88" i="3" a="1"/>
  <c r="H88" i="3" s="1"/>
  <c r="G88" i="3" a="1"/>
  <c r="G88" i="3" s="1"/>
  <c r="H97" i="3" a="1"/>
  <c r="H97" i="3" s="1"/>
  <c r="G97" i="3" a="1"/>
  <c r="G97" i="3" s="1"/>
  <c r="K97" i="3" a="1"/>
  <c r="K97" i="3"/>
  <c r="J97" i="3" a="1"/>
  <c r="J97" i="3" s="1"/>
  <c r="I97" i="3" a="1"/>
  <c r="I97" i="3"/>
  <c r="G57" i="3" a="1"/>
  <c r="G57" i="3"/>
  <c r="K57" i="3" a="1"/>
  <c r="K57" i="3" s="1"/>
  <c r="J57" i="3" a="1"/>
  <c r="J57" i="3" s="1"/>
  <c r="I57" i="3" a="1"/>
  <c r="I57" i="3" s="1"/>
  <c r="H57" i="3" a="1"/>
  <c r="H57" i="3" s="1"/>
  <c r="I45" i="3" a="1"/>
  <c r="I45" i="3"/>
  <c r="H45" i="3" a="1"/>
  <c r="H45" i="3" s="1"/>
  <c r="G45" i="3" a="1"/>
  <c r="G45" i="3" s="1"/>
  <c r="K45" i="3" a="1"/>
  <c r="K45" i="3" s="1"/>
  <c r="J45" i="3" a="1"/>
  <c r="J45" i="3"/>
  <c r="K47" i="3" a="1"/>
  <c r="K47" i="3" s="1"/>
  <c r="J47" i="3" a="1"/>
  <c r="J47" i="3" s="1"/>
  <c r="I47" i="3" a="1"/>
  <c r="I47" i="3"/>
  <c r="H47" i="3" a="1"/>
  <c r="H47" i="3" s="1"/>
  <c r="G47" i="3" a="1"/>
  <c r="G47" i="3" s="1"/>
  <c r="I35" i="3" a="1"/>
  <c r="I35" i="3"/>
  <c r="H35" i="3" a="1"/>
  <c r="H35" i="3" s="1"/>
  <c r="G35" i="3" a="1"/>
  <c r="G35" i="3" s="1"/>
  <c r="K35" i="3" a="1"/>
  <c r="K35" i="3"/>
  <c r="J35" i="3" a="1"/>
  <c r="J35" i="3"/>
  <c r="J25" i="3" a="1"/>
  <c r="J25" i="3" s="1"/>
  <c r="I25" i="3" a="1"/>
  <c r="I25" i="3" s="1"/>
  <c r="H25" i="3" a="1"/>
  <c r="H25" i="3" s="1"/>
  <c r="G25" i="3" a="1"/>
  <c r="G25" i="3" s="1"/>
  <c r="K25" i="3" a="1"/>
  <c r="K25" i="3"/>
  <c r="I19" i="3" a="1"/>
  <c r="I19" i="3" s="1"/>
  <c r="H19" i="3" a="1"/>
  <c r="H19" i="3"/>
  <c r="G19" i="3" a="1"/>
  <c r="G19" i="3"/>
  <c r="K19" i="3" a="1"/>
  <c r="K19" i="3"/>
  <c r="J19" i="3" a="1"/>
  <c r="J19" i="3" s="1"/>
  <c r="K11" i="3" a="1"/>
  <c r="K11" i="3" s="1"/>
  <c r="J11" i="3" a="1"/>
  <c r="J11" i="3" s="1"/>
  <c r="I11" i="3" a="1"/>
  <c r="I11" i="3" s="1"/>
  <c r="H11" i="3" a="1"/>
  <c r="H11" i="3" s="1"/>
  <c r="G11" i="3" a="1"/>
  <c r="G11" i="3" s="1"/>
  <c r="K984" i="3" a="1"/>
  <c r="K984" i="3"/>
  <c r="J984" i="3" a="1"/>
  <c r="J984" i="3"/>
  <c r="I984" i="3" a="1"/>
  <c r="I984" i="3" s="1"/>
  <c r="H984" i="3" a="1"/>
  <c r="H984" i="3"/>
  <c r="G984" i="3" a="1"/>
  <c r="G984" i="3" s="1"/>
  <c r="I983" i="3" a="1"/>
  <c r="I983" i="3" s="1"/>
  <c r="H983" i="3" a="1"/>
  <c r="H983" i="3" s="1"/>
  <c r="G983" i="3" a="1"/>
  <c r="G983" i="3"/>
  <c r="K983" i="3" a="1"/>
  <c r="K983" i="3" s="1"/>
  <c r="J983" i="3" a="1"/>
  <c r="J983" i="3"/>
  <c r="K973" i="3" a="1"/>
  <c r="K973" i="3" s="1"/>
  <c r="I973" i="3" a="1"/>
  <c r="I973" i="3" s="1"/>
  <c r="J973" i="3" a="1"/>
  <c r="J973" i="3"/>
  <c r="H973" i="3" a="1"/>
  <c r="H973" i="3" s="1"/>
  <c r="G973" i="3" a="1"/>
  <c r="G973" i="3" s="1"/>
  <c r="K988" i="3" a="1"/>
  <c r="K988" i="3"/>
  <c r="J988" i="3" a="1"/>
  <c r="J988" i="3"/>
  <c r="I988" i="3" a="1"/>
  <c r="I988" i="3" s="1"/>
  <c r="H988" i="3" a="1"/>
  <c r="H988" i="3" s="1"/>
  <c r="G988" i="3" a="1"/>
  <c r="G988" i="3" s="1"/>
  <c r="J964" i="3" a="1"/>
  <c r="J964" i="3" s="1"/>
  <c r="I964" i="3" a="1"/>
  <c r="I964" i="3"/>
  <c r="H964" i="3" a="1"/>
  <c r="H964" i="3" s="1"/>
  <c r="G964" i="3" a="1"/>
  <c r="G964" i="3"/>
  <c r="K964" i="3" a="1"/>
  <c r="K964" i="3"/>
  <c r="K940" i="3" a="1"/>
  <c r="K940" i="3"/>
  <c r="J940" i="3" a="1"/>
  <c r="J940" i="3" s="1"/>
  <c r="I940" i="3" a="1"/>
  <c r="I940" i="3" s="1"/>
  <c r="H940" i="3" a="1"/>
  <c r="H940" i="3" s="1"/>
  <c r="G940" i="3" a="1"/>
  <c r="G940" i="3" s="1"/>
  <c r="H986" i="3" a="1"/>
  <c r="H986" i="3" s="1"/>
  <c r="G986" i="3" a="1"/>
  <c r="G986" i="3" s="1"/>
  <c r="K986" i="3" a="1"/>
  <c r="K986" i="3"/>
  <c r="J986" i="3" a="1"/>
  <c r="J986" i="3"/>
  <c r="I986" i="3" a="1"/>
  <c r="I986" i="3" s="1"/>
  <c r="H978" i="3" a="1"/>
  <c r="H978" i="3"/>
  <c r="G978" i="3" a="1"/>
  <c r="G978" i="3" s="1"/>
  <c r="J978" i="3" a="1"/>
  <c r="J978" i="3" s="1"/>
  <c r="I978" i="3" a="1"/>
  <c r="I978" i="3" s="1"/>
  <c r="K978" i="3" a="1"/>
  <c r="K978" i="3"/>
  <c r="G970" i="3" a="1"/>
  <c r="G970" i="3" s="1"/>
  <c r="I970" i="3" a="1"/>
  <c r="I970" i="3"/>
  <c r="H970" i="3" a="1"/>
  <c r="H970" i="3" s="1"/>
  <c r="K970" i="3" a="1"/>
  <c r="K970" i="3" s="1"/>
  <c r="J970" i="3" a="1"/>
  <c r="J970" i="3"/>
  <c r="G962" i="3" a="1"/>
  <c r="G962" i="3" s="1"/>
  <c r="K962" i="3" a="1"/>
  <c r="K962" i="3" s="1"/>
  <c r="J962" i="3" a="1"/>
  <c r="J962" i="3"/>
  <c r="I962" i="3" a="1"/>
  <c r="I962" i="3"/>
  <c r="H962" i="3" a="1"/>
  <c r="H962" i="3" s="1"/>
  <c r="K954" i="3" a="1"/>
  <c r="K954" i="3" s="1"/>
  <c r="J954" i="3" a="1"/>
  <c r="J954" i="3" s="1"/>
  <c r="I954" i="3" a="1"/>
  <c r="I954" i="3" s="1"/>
  <c r="H954" i="3" a="1"/>
  <c r="H954" i="3"/>
  <c r="G954" i="3" a="1"/>
  <c r="G954" i="3" s="1"/>
  <c r="G946" i="3" a="1"/>
  <c r="G946" i="3"/>
  <c r="K946" i="3" a="1"/>
  <c r="K946" i="3"/>
  <c r="J946" i="3" a="1"/>
  <c r="J946" i="3"/>
  <c r="I946" i="3" a="1"/>
  <c r="I946" i="3" s="1"/>
  <c r="H946" i="3" a="1"/>
  <c r="H946" i="3" s="1"/>
  <c r="G938" i="3" a="1"/>
  <c r="G938" i="3" s="1"/>
  <c r="K938" i="3" a="1"/>
  <c r="K938" i="3" s="1"/>
  <c r="J938" i="3" a="1"/>
  <c r="J938" i="3" s="1"/>
  <c r="I938" i="3" a="1"/>
  <c r="I938" i="3" s="1"/>
  <c r="H938" i="3" a="1"/>
  <c r="H938" i="3"/>
  <c r="J930" i="3" a="1"/>
  <c r="J930" i="3"/>
  <c r="I930" i="3" a="1"/>
  <c r="I930" i="3" s="1"/>
  <c r="H930" i="3" a="1"/>
  <c r="H930" i="3"/>
  <c r="G930" i="3" a="1"/>
  <c r="G930" i="3" s="1"/>
  <c r="K930" i="3" a="1"/>
  <c r="K930" i="3" s="1"/>
  <c r="H922" i="3" a="1"/>
  <c r="H922" i="3" s="1"/>
  <c r="G922" i="3" a="1"/>
  <c r="G922" i="3"/>
  <c r="K922" i="3" a="1"/>
  <c r="K922" i="3" s="1"/>
  <c r="J922" i="3" a="1"/>
  <c r="J922" i="3"/>
  <c r="I922" i="3" a="1"/>
  <c r="I922" i="3" s="1"/>
  <c r="J914" i="3" a="1"/>
  <c r="J914" i="3" s="1"/>
  <c r="I914" i="3" a="1"/>
  <c r="I914" i="3"/>
  <c r="H914" i="3" a="1"/>
  <c r="H914" i="3" s="1"/>
  <c r="G914" i="3" a="1"/>
  <c r="G914" i="3" s="1"/>
  <c r="K914" i="3" a="1"/>
  <c r="K914" i="3"/>
  <c r="K906" i="3" a="1"/>
  <c r="K906" i="3"/>
  <c r="J906" i="3" a="1"/>
  <c r="J906" i="3" s="1"/>
  <c r="I906" i="3" a="1"/>
  <c r="I906" i="3" s="1"/>
  <c r="H906" i="3" a="1"/>
  <c r="H906" i="3" s="1"/>
  <c r="G906" i="3" a="1"/>
  <c r="G906" i="3" s="1"/>
  <c r="H898" i="3" a="1"/>
  <c r="H898" i="3"/>
  <c r="G898" i="3" a="1"/>
  <c r="G898" i="3" s="1"/>
  <c r="K898" i="3" a="1"/>
  <c r="K898" i="3"/>
  <c r="J898" i="3" a="1"/>
  <c r="J898" i="3"/>
  <c r="I898" i="3" a="1"/>
  <c r="I898" i="3"/>
  <c r="I890" i="3" a="1"/>
  <c r="I890" i="3" s="1"/>
  <c r="H890" i="3" a="1"/>
  <c r="H890" i="3"/>
  <c r="G890" i="3" a="1"/>
  <c r="G890" i="3" s="1"/>
  <c r="K890" i="3" a="1"/>
  <c r="K890" i="3" s="1"/>
  <c r="J890" i="3" a="1"/>
  <c r="J890" i="3" s="1"/>
  <c r="H882" i="3" a="1"/>
  <c r="H882" i="3" s="1"/>
  <c r="G882" i="3" a="1"/>
  <c r="G882" i="3"/>
  <c r="K882" i="3" a="1"/>
  <c r="K882" i="3"/>
  <c r="J882" i="3" a="1"/>
  <c r="J882" i="3" s="1"/>
  <c r="I882" i="3" a="1"/>
  <c r="I882" i="3"/>
  <c r="I874" i="3" a="1"/>
  <c r="I874" i="3"/>
  <c r="H874" i="3" a="1"/>
  <c r="H874" i="3" s="1"/>
  <c r="G874" i="3" a="1"/>
  <c r="G874" i="3" s="1"/>
  <c r="K874" i="3" a="1"/>
  <c r="K874" i="3"/>
  <c r="J874" i="3" a="1"/>
  <c r="J874" i="3" s="1"/>
  <c r="I866" i="3" a="1"/>
  <c r="I866" i="3"/>
  <c r="H866" i="3" a="1"/>
  <c r="H866" i="3" s="1"/>
  <c r="G866" i="3" a="1"/>
  <c r="G866" i="3" s="1"/>
  <c r="K866" i="3" a="1"/>
  <c r="K866" i="3"/>
  <c r="J866" i="3" a="1"/>
  <c r="J866" i="3"/>
  <c r="K837" i="3" a="1"/>
  <c r="K837" i="3" s="1"/>
  <c r="J837" i="3" a="1"/>
  <c r="J837" i="3"/>
  <c r="I837" i="3" a="1"/>
  <c r="I837" i="3"/>
  <c r="H837" i="3" a="1"/>
  <c r="H837" i="3" s="1"/>
  <c r="G837" i="3" a="1"/>
  <c r="G837" i="3" s="1"/>
  <c r="K858" i="3" a="1"/>
  <c r="K858" i="3" s="1"/>
  <c r="I858" i="3" a="1"/>
  <c r="I858" i="3" s="1"/>
  <c r="H858" i="3" a="1"/>
  <c r="H858" i="3"/>
  <c r="G858" i="3" a="1"/>
  <c r="G858" i="3" s="1"/>
  <c r="J858" i="3" a="1"/>
  <c r="J858" i="3"/>
  <c r="J849" i="3" a="1"/>
  <c r="J849" i="3"/>
  <c r="K849" i="3" a="1"/>
  <c r="K849" i="3"/>
  <c r="I849" i="3" a="1"/>
  <c r="I849" i="3" s="1"/>
  <c r="H849" i="3" a="1"/>
  <c r="H849" i="3"/>
  <c r="G849" i="3" a="1"/>
  <c r="G849" i="3" s="1"/>
  <c r="I843" i="3" a="1"/>
  <c r="I843" i="3" s="1"/>
  <c r="H843" i="3" a="1"/>
  <c r="H843" i="3" s="1"/>
  <c r="G843" i="3" a="1"/>
  <c r="G843" i="3" s="1"/>
  <c r="K843" i="3" a="1"/>
  <c r="K843" i="3"/>
  <c r="J843" i="3" a="1"/>
  <c r="J843" i="3"/>
  <c r="K826" i="3" a="1"/>
  <c r="K826" i="3" s="1"/>
  <c r="J826" i="3" a="1"/>
  <c r="J826" i="3"/>
  <c r="I826" i="3" a="1"/>
  <c r="I826" i="3"/>
  <c r="H826" i="3" a="1"/>
  <c r="H826" i="3" s="1"/>
  <c r="G826" i="3" a="1"/>
  <c r="G826" i="3" s="1"/>
  <c r="K794" i="3" a="1"/>
  <c r="K794" i="3"/>
  <c r="J794" i="3" a="1"/>
  <c r="J794" i="3" s="1"/>
  <c r="I794" i="3" a="1"/>
  <c r="I794" i="3"/>
  <c r="H794" i="3" a="1"/>
  <c r="H794" i="3" s="1"/>
  <c r="G794" i="3" a="1"/>
  <c r="G794" i="3" s="1"/>
  <c r="H789" i="3" a="1"/>
  <c r="H789" i="3"/>
  <c r="G789" i="3" a="1"/>
  <c r="G789" i="3"/>
  <c r="K789" i="3" a="1"/>
  <c r="K789" i="3" s="1"/>
  <c r="J789" i="3" a="1"/>
  <c r="J789" i="3"/>
  <c r="I789" i="3" a="1"/>
  <c r="I789" i="3"/>
  <c r="K800" i="3" a="1"/>
  <c r="K800" i="3" s="1"/>
  <c r="J800" i="3" a="1"/>
  <c r="J800" i="3" s="1"/>
  <c r="I800" i="3" a="1"/>
  <c r="I800" i="3" s="1"/>
  <c r="H800" i="3" a="1"/>
  <c r="H800" i="3" s="1"/>
  <c r="G800" i="3" a="1"/>
  <c r="G800" i="3"/>
  <c r="H809" i="3" a="1"/>
  <c r="H809" i="3" s="1"/>
  <c r="G809" i="3" a="1"/>
  <c r="G809" i="3"/>
  <c r="K809" i="3" a="1"/>
  <c r="K809" i="3"/>
  <c r="J809" i="3" a="1"/>
  <c r="J809" i="3"/>
  <c r="I809" i="3" a="1"/>
  <c r="I809" i="3" s="1"/>
  <c r="G814" i="3" a="1"/>
  <c r="G814" i="3" s="1"/>
  <c r="K814" i="3" a="1"/>
  <c r="K814" i="3" s="1"/>
  <c r="J814" i="3" a="1"/>
  <c r="J814" i="3" s="1"/>
  <c r="I814" i="3" a="1"/>
  <c r="I814" i="3" s="1"/>
  <c r="H814" i="3" a="1"/>
  <c r="H814" i="3"/>
  <c r="I824" i="3" a="1"/>
  <c r="I824" i="3"/>
  <c r="H824" i="3" a="1"/>
  <c r="H824" i="3"/>
  <c r="G824" i="3" a="1"/>
  <c r="G824" i="3" s="1"/>
  <c r="K824" i="3" a="1"/>
  <c r="K824" i="3"/>
  <c r="J824" i="3" a="1"/>
  <c r="J824" i="3" s="1"/>
  <c r="I758" i="3" a="1"/>
  <c r="I758" i="3" s="1"/>
  <c r="H758" i="3" a="1"/>
  <c r="H758" i="3" s="1"/>
  <c r="G758" i="3" a="1"/>
  <c r="G758" i="3"/>
  <c r="K758" i="3" a="1"/>
  <c r="K758" i="3"/>
  <c r="J758" i="3" a="1"/>
  <c r="J758" i="3"/>
  <c r="K768" i="3" a="1"/>
  <c r="K768" i="3" s="1"/>
  <c r="J768" i="3" a="1"/>
  <c r="J768" i="3" s="1"/>
  <c r="I768" i="3" a="1"/>
  <c r="I768" i="3"/>
  <c r="H768" i="3" a="1"/>
  <c r="H768" i="3" s="1"/>
  <c r="G768" i="3" a="1"/>
  <c r="G768" i="3" s="1"/>
  <c r="J752" i="3" a="1"/>
  <c r="J752" i="3"/>
  <c r="H752" i="3" a="1"/>
  <c r="H752" i="3"/>
  <c r="I752" i="3" a="1"/>
  <c r="I752" i="3"/>
  <c r="G752" i="3" a="1"/>
  <c r="G752" i="3" s="1"/>
  <c r="K752" i="3" a="1"/>
  <c r="K752" i="3" s="1"/>
  <c r="G699" i="3" a="1"/>
  <c r="G699" i="3" s="1"/>
  <c r="K699" i="3" a="1"/>
  <c r="K699" i="3"/>
  <c r="J699" i="3" a="1"/>
  <c r="J699" i="3" s="1"/>
  <c r="I699" i="3" a="1"/>
  <c r="I699" i="3"/>
  <c r="H699" i="3" a="1"/>
  <c r="H699" i="3"/>
  <c r="I718" i="3" a="1"/>
  <c r="I718" i="3"/>
  <c r="H718" i="3" a="1"/>
  <c r="H718" i="3" s="1"/>
  <c r="G718" i="3" a="1"/>
  <c r="G718" i="3" s="1"/>
  <c r="K718" i="3" a="1"/>
  <c r="K718" i="3" s="1"/>
  <c r="J718" i="3" a="1"/>
  <c r="J718" i="3" s="1"/>
  <c r="H712" i="3" a="1"/>
  <c r="H712" i="3" s="1"/>
  <c r="G712" i="3" a="1"/>
  <c r="G712" i="3"/>
  <c r="K712" i="3" a="1"/>
  <c r="K712" i="3"/>
  <c r="J712" i="3" a="1"/>
  <c r="J712" i="3"/>
  <c r="I712" i="3" a="1"/>
  <c r="I712" i="3" s="1"/>
  <c r="J703" i="3" a="1"/>
  <c r="J703" i="3"/>
  <c r="I703" i="3" a="1"/>
  <c r="I703" i="3" s="1"/>
  <c r="H703" i="3" a="1"/>
  <c r="H703" i="3" s="1"/>
  <c r="G703" i="3" a="1"/>
  <c r="G703" i="3" s="1"/>
  <c r="K703" i="3" a="1"/>
  <c r="K703" i="3"/>
  <c r="J739" i="3" a="1"/>
  <c r="J739" i="3"/>
  <c r="I739" i="3" a="1"/>
  <c r="I739" i="3"/>
  <c r="H739" i="3" a="1"/>
  <c r="H739" i="3" s="1"/>
  <c r="G739" i="3" a="1"/>
  <c r="G739" i="3" s="1"/>
  <c r="K739" i="3" a="1"/>
  <c r="K739" i="3"/>
  <c r="K728" i="3" a="1"/>
  <c r="K728" i="3" s="1"/>
  <c r="J728" i="3" a="1"/>
  <c r="J728" i="3" s="1"/>
  <c r="I728" i="3" a="1"/>
  <c r="I728" i="3"/>
  <c r="H728" i="3" a="1"/>
  <c r="H728" i="3"/>
  <c r="G728" i="3" a="1"/>
  <c r="G728" i="3"/>
  <c r="K749" i="3" a="1"/>
  <c r="K749" i="3" s="1"/>
  <c r="J749" i="3" a="1"/>
  <c r="J749" i="3" s="1"/>
  <c r="I749" i="3" a="1"/>
  <c r="I749" i="3" s="1"/>
  <c r="H749" i="3" a="1"/>
  <c r="H749" i="3"/>
  <c r="G749" i="3" a="1"/>
  <c r="G749" i="3" s="1"/>
  <c r="K443" i="3" a="1"/>
  <c r="K443" i="3"/>
  <c r="J443" i="3" a="1"/>
  <c r="J443" i="3"/>
  <c r="I443" i="3" a="1"/>
  <c r="I443" i="3"/>
  <c r="H443" i="3" a="1"/>
  <c r="H443" i="3" s="1"/>
  <c r="G443" i="3" a="1"/>
  <c r="G443" i="3" s="1"/>
  <c r="H450" i="3" a="1"/>
  <c r="H450" i="3" s="1"/>
  <c r="G450" i="3" a="1"/>
  <c r="G450" i="3" s="1"/>
  <c r="K450" i="3" a="1"/>
  <c r="K450" i="3" s="1"/>
  <c r="J450" i="3" a="1"/>
  <c r="J450" i="3"/>
  <c r="I450" i="3" a="1"/>
  <c r="I450" i="3"/>
  <c r="G447" i="3" a="1"/>
  <c r="G447" i="3"/>
  <c r="K447" i="3" a="1"/>
  <c r="K447" i="3"/>
  <c r="J447" i="3" a="1"/>
  <c r="J447" i="3"/>
  <c r="I447" i="3" a="1"/>
  <c r="I447" i="3"/>
  <c r="H447" i="3" a="1"/>
  <c r="H447" i="3"/>
  <c r="G461" i="3" a="1"/>
  <c r="G461" i="3"/>
  <c r="K461" i="3" a="1"/>
  <c r="K461" i="3"/>
  <c r="J461" i="3" a="1"/>
  <c r="J461" i="3"/>
  <c r="I461" i="3" a="1"/>
  <c r="I461" i="3"/>
  <c r="H461" i="3" a="1"/>
  <c r="H461" i="3"/>
  <c r="K476" i="3" a="1"/>
  <c r="K476" i="3"/>
  <c r="J476" i="3" a="1"/>
  <c r="J476" i="3"/>
  <c r="I476" i="3" a="1"/>
  <c r="I476" i="3"/>
  <c r="H476" i="3" a="1"/>
  <c r="H476" i="3"/>
  <c r="G476" i="3" a="1"/>
  <c r="G476" i="3"/>
  <c r="J534" i="3" a="1"/>
  <c r="J534" i="3"/>
  <c r="I534" i="3" a="1"/>
  <c r="I534" i="3"/>
  <c r="H534" i="3" a="1"/>
  <c r="H534" i="3" s="1"/>
  <c r="G534" i="3" a="1"/>
  <c r="G534" i="3"/>
  <c r="K534" i="3" a="1"/>
  <c r="K534" i="3" s="1"/>
  <c r="I503" i="3" a="1"/>
  <c r="I503" i="3"/>
  <c r="H503" i="3" a="1"/>
  <c r="H503" i="3" s="1"/>
  <c r="G503" i="3" a="1"/>
  <c r="G503" i="3" s="1"/>
  <c r="K503" i="3" a="1"/>
  <c r="K503" i="3"/>
  <c r="J503" i="3" a="1"/>
  <c r="J503" i="3"/>
  <c r="K484" i="3" a="1"/>
  <c r="K484" i="3" s="1"/>
  <c r="J484" i="3" a="1"/>
  <c r="J484" i="3" s="1"/>
  <c r="I484" i="3" a="1"/>
  <c r="I484" i="3"/>
  <c r="H484" i="3" a="1"/>
  <c r="H484" i="3" s="1"/>
  <c r="G484" i="3" a="1"/>
  <c r="G484" i="3" s="1"/>
  <c r="I527" i="3" a="1"/>
  <c r="I527" i="3"/>
  <c r="H527" i="3" a="1"/>
  <c r="H527" i="3" s="1"/>
  <c r="G527" i="3" a="1"/>
  <c r="G527" i="3"/>
  <c r="K527" i="3" a="1"/>
  <c r="K527" i="3" s="1"/>
  <c r="J527" i="3" a="1"/>
  <c r="J527" i="3" s="1"/>
  <c r="G497" i="3" a="1"/>
  <c r="G497" i="3" s="1"/>
  <c r="K497" i="3" a="1"/>
  <c r="K497" i="3"/>
  <c r="J497" i="3" a="1"/>
  <c r="J497" i="3" s="1"/>
  <c r="I497" i="3" a="1"/>
  <c r="I497" i="3"/>
  <c r="H497" i="3" a="1"/>
  <c r="H497" i="3"/>
  <c r="K490" i="3" a="1"/>
  <c r="K490" i="3" s="1"/>
  <c r="J490" i="3" a="1"/>
  <c r="J490" i="3" s="1"/>
  <c r="I490" i="3" a="1"/>
  <c r="I490" i="3" s="1"/>
  <c r="H490" i="3" a="1"/>
  <c r="H490" i="3" s="1"/>
  <c r="G490" i="3" a="1"/>
  <c r="G490" i="3" s="1"/>
  <c r="J478" i="3" a="1"/>
  <c r="J478" i="3" s="1"/>
  <c r="I478" i="3" a="1"/>
  <c r="I478" i="3"/>
  <c r="H478" i="3" a="1"/>
  <c r="H478" i="3"/>
  <c r="G478" i="3" a="1"/>
  <c r="G478" i="3"/>
  <c r="K478" i="3" a="1"/>
  <c r="K478" i="3" s="1"/>
  <c r="J540" i="3" a="1"/>
  <c r="J540" i="3"/>
  <c r="I540" i="3" a="1"/>
  <c r="I540" i="3" s="1"/>
  <c r="H540" i="3" a="1"/>
  <c r="H540" i="3" s="1"/>
  <c r="G540" i="3" a="1"/>
  <c r="G540" i="3" s="1"/>
  <c r="K540" i="3" a="1"/>
  <c r="K540" i="3" s="1"/>
  <c r="G548" i="3" a="1"/>
  <c r="G548" i="3"/>
  <c r="K548" i="3" a="1"/>
  <c r="K548" i="3"/>
  <c r="J548" i="3" a="1"/>
  <c r="J548" i="3" s="1"/>
  <c r="I548" i="3" a="1"/>
  <c r="I548" i="3" s="1"/>
  <c r="H548" i="3" a="1"/>
  <c r="H548" i="3"/>
  <c r="H556" i="3" a="1"/>
  <c r="H556" i="3" s="1"/>
  <c r="G556" i="3" a="1"/>
  <c r="G556" i="3" s="1"/>
  <c r="K556" i="3" a="1"/>
  <c r="K556" i="3"/>
  <c r="J556" i="3" a="1"/>
  <c r="J556" i="3" s="1"/>
  <c r="I556" i="3" a="1"/>
  <c r="I556" i="3"/>
  <c r="K564" i="3" a="1"/>
  <c r="K564" i="3" s="1"/>
  <c r="J564" i="3" a="1"/>
  <c r="J564" i="3" s="1"/>
  <c r="I564" i="3" a="1"/>
  <c r="I564" i="3" s="1"/>
  <c r="H564" i="3" a="1"/>
  <c r="H564" i="3"/>
  <c r="G564" i="3" a="1"/>
  <c r="G564" i="3" s="1"/>
  <c r="K575" i="3" a="1"/>
  <c r="K575" i="3"/>
  <c r="J575" i="3" a="1"/>
  <c r="J575" i="3"/>
  <c r="I575" i="3" a="1"/>
  <c r="I575" i="3" s="1"/>
  <c r="H575" i="3" a="1"/>
  <c r="H575" i="3" s="1"/>
  <c r="G575" i="3" a="1"/>
  <c r="G575" i="3" s="1"/>
  <c r="K581" i="3" a="1"/>
  <c r="K581" i="3" s="1"/>
  <c r="J581" i="3" a="1"/>
  <c r="J581" i="3" s="1"/>
  <c r="I581" i="3" a="1"/>
  <c r="I581" i="3" s="1"/>
  <c r="H581" i="3" a="1"/>
  <c r="H581" i="3"/>
  <c r="G581" i="3" a="1"/>
  <c r="G581" i="3"/>
  <c r="J586" i="3" a="1"/>
  <c r="J586" i="3"/>
  <c r="I586" i="3" a="1"/>
  <c r="I586" i="3" s="1"/>
  <c r="H586" i="3" a="1"/>
  <c r="H586" i="3"/>
  <c r="G586" i="3" a="1"/>
  <c r="G586" i="3" s="1"/>
  <c r="K586" i="3" a="1"/>
  <c r="K586" i="3" s="1"/>
  <c r="K587" i="3" a="1"/>
  <c r="K587" i="3" s="1"/>
  <c r="J587" i="3" a="1"/>
  <c r="J587" i="3" s="1"/>
  <c r="I587" i="3" a="1"/>
  <c r="I587" i="3"/>
  <c r="H587" i="3" a="1"/>
  <c r="H587" i="3"/>
  <c r="G587" i="3" a="1"/>
  <c r="G587" i="3" s="1"/>
  <c r="I604" i="3" a="1"/>
  <c r="I604" i="3" s="1"/>
  <c r="H604" i="3" a="1"/>
  <c r="H604" i="3"/>
  <c r="G604" i="3" a="1"/>
  <c r="G604" i="3" s="1"/>
  <c r="K604" i="3" a="1"/>
  <c r="K604" i="3" s="1"/>
  <c r="J604" i="3" a="1"/>
  <c r="J604" i="3"/>
  <c r="G612" i="3" a="1"/>
  <c r="G612" i="3" s="1"/>
  <c r="K612" i="3" a="1"/>
  <c r="K612" i="3"/>
  <c r="J612" i="3" a="1"/>
  <c r="J612" i="3" s="1"/>
  <c r="I612" i="3" a="1"/>
  <c r="I612" i="3" s="1"/>
  <c r="H612" i="3" a="1"/>
  <c r="H612" i="3" s="1"/>
  <c r="K618" i="3" a="1"/>
  <c r="K618" i="3"/>
  <c r="J618" i="3" a="1"/>
  <c r="J618" i="3" s="1"/>
  <c r="I618" i="3" a="1"/>
  <c r="I618" i="3"/>
  <c r="H618" i="3" a="1"/>
  <c r="H618" i="3"/>
  <c r="G618" i="3" a="1"/>
  <c r="G618" i="3" s="1"/>
  <c r="G624" i="3" a="1"/>
  <c r="G624" i="3" s="1"/>
  <c r="K624" i="3" a="1"/>
  <c r="K624" i="3" s="1"/>
  <c r="J624" i="3" a="1"/>
  <c r="J624" i="3" s="1"/>
  <c r="I624" i="3" a="1"/>
  <c r="I624" i="3" s="1"/>
  <c r="H624" i="3" a="1"/>
  <c r="H624" i="3" s="1"/>
  <c r="H640" i="3" a="1"/>
  <c r="H640" i="3"/>
  <c r="G640" i="3" a="1"/>
  <c r="G640" i="3"/>
  <c r="K640" i="3" a="1"/>
  <c r="K640" i="3"/>
  <c r="J640" i="3" a="1"/>
  <c r="J640" i="3" s="1"/>
  <c r="I640" i="3" a="1"/>
  <c r="I640" i="3"/>
  <c r="J630" i="3" a="1"/>
  <c r="J630" i="3" s="1"/>
  <c r="I630" i="3" a="1"/>
  <c r="I630" i="3" s="1"/>
  <c r="G630" i="3" a="1"/>
  <c r="G630" i="3" s="1"/>
  <c r="K630" i="3" a="1"/>
  <c r="K630" i="3" s="1"/>
  <c r="H630" i="3" a="1"/>
  <c r="H630" i="3"/>
  <c r="K653" i="3" a="1"/>
  <c r="K653" i="3"/>
  <c r="J653" i="3" a="1"/>
  <c r="J653" i="3" s="1"/>
  <c r="I653" i="3" a="1"/>
  <c r="I653" i="3" s="1"/>
  <c r="H653" i="3" a="1"/>
  <c r="H653" i="3"/>
  <c r="G653" i="3" a="1"/>
  <c r="G653" i="3" s="1"/>
  <c r="K647" i="3" a="1"/>
  <c r="K647" i="3" s="1"/>
  <c r="J647" i="3" a="1"/>
  <c r="J647" i="3"/>
  <c r="I647" i="3" a="1"/>
  <c r="I647" i="3" s="1"/>
  <c r="H647" i="3" a="1"/>
  <c r="H647" i="3"/>
  <c r="G647" i="3" a="1"/>
  <c r="G647" i="3" s="1"/>
  <c r="K667" i="3" a="1"/>
  <c r="K667" i="3" s="1"/>
  <c r="J667" i="3" a="1"/>
  <c r="J667" i="3" s="1"/>
  <c r="I667" i="3" a="1"/>
  <c r="I667" i="3"/>
  <c r="H667" i="3" a="1"/>
  <c r="H667" i="3" s="1"/>
  <c r="G667" i="3" a="1"/>
  <c r="G667" i="3"/>
  <c r="K672" i="3" a="1"/>
  <c r="K672" i="3"/>
  <c r="J672" i="3" a="1"/>
  <c r="J672" i="3" s="1"/>
  <c r="I672" i="3" a="1"/>
  <c r="I672" i="3" s="1"/>
  <c r="H672" i="3" a="1"/>
  <c r="H672" i="3" s="1"/>
  <c r="G672" i="3" a="1"/>
  <c r="G672" i="3" s="1"/>
  <c r="J683" i="3" a="1"/>
  <c r="J683" i="3" s="1"/>
  <c r="I683" i="3" a="1"/>
  <c r="I683" i="3" s="1"/>
  <c r="H683" i="3" a="1"/>
  <c r="H683" i="3"/>
  <c r="G683" i="3" a="1"/>
  <c r="G683" i="3"/>
  <c r="K683" i="3" a="1"/>
  <c r="K683" i="3"/>
  <c r="J692" i="3" a="1"/>
  <c r="J692" i="3" s="1"/>
  <c r="I692" i="3" a="1"/>
  <c r="I692" i="3"/>
  <c r="H692" i="3" a="1"/>
  <c r="H692" i="3" s="1"/>
  <c r="G692" i="3" a="1"/>
  <c r="G692" i="3" s="1"/>
  <c r="K692" i="3" a="1"/>
  <c r="K692" i="3" s="1"/>
  <c r="J436" i="3" a="1"/>
  <c r="J436" i="3" s="1"/>
  <c r="I436" i="3" a="1"/>
  <c r="I436" i="3"/>
  <c r="H436" i="3" a="1"/>
  <c r="H436" i="3"/>
  <c r="G436" i="3" a="1"/>
  <c r="G436" i="3" s="1"/>
  <c r="K436" i="3" a="1"/>
  <c r="K436" i="3" s="1"/>
  <c r="K426" i="3" a="1"/>
  <c r="K426" i="3"/>
  <c r="J426" i="3" a="1"/>
  <c r="J426" i="3" s="1"/>
  <c r="I426" i="3" a="1"/>
  <c r="I426" i="3" s="1"/>
  <c r="H426" i="3" a="1"/>
  <c r="H426" i="3"/>
  <c r="G426" i="3" a="1"/>
  <c r="G426" i="3" s="1"/>
  <c r="K413" i="3" a="1"/>
  <c r="K413" i="3"/>
  <c r="J413" i="3" a="1"/>
  <c r="J413" i="3" s="1"/>
  <c r="I413" i="3" a="1"/>
  <c r="I413" i="3" s="1"/>
  <c r="H413" i="3" a="1"/>
  <c r="H413" i="3" s="1"/>
  <c r="G413" i="3" a="1"/>
  <c r="G413" i="3"/>
  <c r="H424" i="3" a="1"/>
  <c r="H424" i="3" s="1"/>
  <c r="G424" i="3" a="1"/>
  <c r="G424" i="3"/>
  <c r="K424" i="3" a="1"/>
  <c r="K424" i="3"/>
  <c r="J424" i="3" a="1"/>
  <c r="J424" i="3" s="1"/>
  <c r="I424" i="3" a="1"/>
  <c r="I424" i="3" s="1"/>
  <c r="G399" i="3" a="1"/>
  <c r="G399" i="3" s="1"/>
  <c r="K399" i="3" a="1"/>
  <c r="K399" i="3" s="1"/>
  <c r="J399" i="3" a="1"/>
  <c r="J399" i="3" s="1"/>
  <c r="I399" i="3" a="1"/>
  <c r="I399" i="3" s="1"/>
  <c r="H399" i="3" a="1"/>
  <c r="H399" i="3"/>
  <c r="K395" i="3" a="1"/>
  <c r="K395" i="3"/>
  <c r="J395" i="3" a="1"/>
  <c r="J395" i="3"/>
  <c r="I395" i="3" a="1"/>
  <c r="I395" i="3" s="1"/>
  <c r="H395" i="3" a="1"/>
  <c r="H395" i="3"/>
  <c r="G395" i="3" a="1"/>
  <c r="G395" i="3" s="1"/>
  <c r="H364" i="3" a="1"/>
  <c r="H364" i="3" s="1"/>
  <c r="G364" i="3" a="1"/>
  <c r="G364" i="3" s="1"/>
  <c r="K364" i="3" a="1"/>
  <c r="K364" i="3" s="1"/>
  <c r="J364" i="3" a="1"/>
  <c r="J364" i="3"/>
  <c r="I364" i="3" a="1"/>
  <c r="I364" i="3"/>
  <c r="H375" i="3" a="1"/>
  <c r="H375" i="3" s="1"/>
  <c r="G375" i="3" a="1"/>
  <c r="G375" i="3" s="1"/>
  <c r="K375" i="3" a="1"/>
  <c r="K375" i="3"/>
  <c r="J375" i="3" a="1"/>
  <c r="J375" i="3" s="1"/>
  <c r="I375" i="3" a="1"/>
  <c r="I375" i="3" s="1"/>
  <c r="I391" i="3" a="1"/>
  <c r="I391" i="3"/>
  <c r="H391" i="3" a="1"/>
  <c r="H391" i="3" s="1"/>
  <c r="G391" i="3" a="1"/>
  <c r="G391" i="3"/>
  <c r="K391" i="3" a="1"/>
  <c r="K391" i="3" s="1"/>
  <c r="J391" i="3" a="1"/>
  <c r="J391" i="3" s="1"/>
  <c r="J362" i="3" a="1"/>
  <c r="J362" i="3" s="1"/>
  <c r="I362" i="3" a="1"/>
  <c r="I362" i="3"/>
  <c r="H362" i="3" a="1"/>
  <c r="H362" i="3" s="1"/>
  <c r="G362" i="3" a="1"/>
  <c r="G362" i="3"/>
  <c r="K362" i="3" a="1"/>
  <c r="K362" i="3"/>
  <c r="G358" i="3" a="1"/>
  <c r="G358" i="3" s="1"/>
  <c r="K358" i="3" a="1"/>
  <c r="K358" i="3" s="1"/>
  <c r="J358" i="3" a="1"/>
  <c r="J358" i="3" s="1"/>
  <c r="I358" i="3" a="1"/>
  <c r="I358" i="3" s="1"/>
  <c r="H358" i="3" a="1"/>
  <c r="H358" i="3" s="1"/>
  <c r="K338" i="3" a="1"/>
  <c r="K338" i="3" s="1"/>
  <c r="J338" i="3" a="1"/>
  <c r="J338" i="3"/>
  <c r="I338" i="3" a="1"/>
  <c r="I338" i="3"/>
  <c r="H338" i="3" a="1"/>
  <c r="H338" i="3"/>
  <c r="G338" i="3" a="1"/>
  <c r="G338" i="3" s="1"/>
  <c r="H343" i="3" a="1"/>
  <c r="H343" i="3"/>
  <c r="G343" i="3" a="1"/>
  <c r="G343" i="3" s="1"/>
  <c r="K343" i="3" a="1"/>
  <c r="K343" i="3" s="1"/>
  <c r="J343" i="3" a="1"/>
  <c r="J343" i="3" s="1"/>
  <c r="I343" i="3" a="1"/>
  <c r="I343" i="3" s="1"/>
  <c r="I312" i="3" a="1"/>
  <c r="I312" i="3"/>
  <c r="H312" i="3" a="1"/>
  <c r="H312" i="3"/>
  <c r="G312" i="3" a="1"/>
  <c r="G312" i="3" s="1"/>
  <c r="K312" i="3" a="1"/>
  <c r="K312" i="3" s="1"/>
  <c r="J312" i="3" a="1"/>
  <c r="J312" i="3"/>
  <c r="K321" i="3" a="1"/>
  <c r="K321" i="3" s="1"/>
  <c r="J321" i="3" a="1"/>
  <c r="J321" i="3" s="1"/>
  <c r="I321" i="3" a="1"/>
  <c r="I321" i="3"/>
  <c r="H321" i="3" a="1"/>
  <c r="H321" i="3" s="1"/>
  <c r="G321" i="3" a="1"/>
  <c r="G321" i="3"/>
  <c r="K324" i="3" a="1"/>
  <c r="K324" i="3" s="1"/>
  <c r="J324" i="3" a="1"/>
  <c r="J324" i="3" s="1"/>
  <c r="I324" i="3" a="1"/>
  <c r="I324" i="3" s="1"/>
  <c r="H324" i="3" a="1"/>
  <c r="H324" i="3"/>
  <c r="G324" i="3" a="1"/>
  <c r="G324" i="3" s="1"/>
  <c r="K295" i="3" a="1"/>
  <c r="K295" i="3"/>
  <c r="J295" i="3" a="1"/>
  <c r="J295" i="3"/>
  <c r="I295" i="3" a="1"/>
  <c r="I295" i="3" s="1"/>
  <c r="H295" i="3" a="1"/>
  <c r="H295" i="3" s="1"/>
  <c r="G295" i="3" a="1"/>
  <c r="G295" i="3" s="1"/>
  <c r="I305" i="3" a="1"/>
  <c r="I305" i="3" s="1"/>
  <c r="H305" i="3" a="1"/>
  <c r="H305" i="3" s="1"/>
  <c r="G305" i="3" a="1"/>
  <c r="G305" i="3" s="1"/>
  <c r="K305" i="3" a="1"/>
  <c r="K305" i="3"/>
  <c r="J305" i="3" a="1"/>
  <c r="J305" i="3"/>
  <c r="K261" i="3" a="1"/>
  <c r="K261" i="3"/>
  <c r="J261" i="3" a="1"/>
  <c r="J261" i="3" s="1"/>
  <c r="I261" i="3" a="1"/>
  <c r="I261" i="3"/>
  <c r="H261" i="3" a="1"/>
  <c r="H261" i="3" s="1"/>
  <c r="G261" i="3" a="1"/>
  <c r="G261" i="3" s="1"/>
  <c r="K269" i="3" a="1"/>
  <c r="K269" i="3" s="1"/>
  <c r="J269" i="3" a="1"/>
  <c r="J269" i="3" s="1"/>
  <c r="I269" i="3" a="1"/>
  <c r="I269" i="3"/>
  <c r="H269" i="3" a="1"/>
  <c r="H269" i="3"/>
  <c r="G269" i="3" a="1"/>
  <c r="G269" i="3" s="1"/>
  <c r="K273" i="3" a="1"/>
  <c r="K273" i="3" s="1"/>
  <c r="J273" i="3" a="1"/>
  <c r="J273" i="3"/>
  <c r="I273" i="3" a="1"/>
  <c r="I273" i="3" s="1"/>
  <c r="H273" i="3" a="1"/>
  <c r="H273" i="3" s="1"/>
  <c r="G273" i="3" a="1"/>
  <c r="G273" i="3"/>
  <c r="H289" i="3" a="1"/>
  <c r="H289" i="3" s="1"/>
  <c r="G289" i="3" a="1"/>
  <c r="G289" i="3"/>
  <c r="K289" i="3" a="1"/>
  <c r="K289" i="3" s="1"/>
  <c r="J289" i="3" a="1"/>
  <c r="J289" i="3" s="1"/>
  <c r="I289" i="3" a="1"/>
  <c r="I289" i="3" s="1"/>
  <c r="K258" i="3" a="1"/>
  <c r="K258" i="3"/>
  <c r="J258" i="3" a="1"/>
  <c r="J258" i="3" s="1"/>
  <c r="I258" i="3" a="1"/>
  <c r="I258" i="3"/>
  <c r="H258" i="3" a="1"/>
  <c r="H258" i="3"/>
  <c r="G258" i="3" a="1"/>
  <c r="G258" i="3" s="1"/>
  <c r="K248" i="3" a="1"/>
  <c r="K248" i="3" s="1"/>
  <c r="J248" i="3" a="1"/>
  <c r="J248" i="3" s="1"/>
  <c r="I248" i="3" a="1"/>
  <c r="I248" i="3" s="1"/>
  <c r="H248" i="3" a="1"/>
  <c r="H248" i="3" s="1"/>
  <c r="G248" i="3" a="1"/>
  <c r="G248" i="3" s="1"/>
  <c r="K242" i="3" a="1"/>
  <c r="K242" i="3"/>
  <c r="J242" i="3" a="1"/>
  <c r="J242" i="3"/>
  <c r="I242" i="3" a="1"/>
  <c r="I242" i="3"/>
  <c r="H242" i="3" a="1"/>
  <c r="H242" i="3" s="1"/>
  <c r="G242" i="3" a="1"/>
  <c r="G242" i="3"/>
  <c r="G233" i="3" a="1"/>
  <c r="G233" i="3" s="1"/>
  <c r="K233" i="3" a="1"/>
  <c r="K233" i="3" s="1"/>
  <c r="J233" i="3" a="1"/>
  <c r="J233" i="3" s="1"/>
  <c r="I233" i="3" a="1"/>
  <c r="I233" i="3" s="1"/>
  <c r="H233" i="3" a="1"/>
  <c r="H233" i="3"/>
  <c r="K224" i="3" a="1"/>
  <c r="K224" i="3"/>
  <c r="J224" i="3" a="1"/>
  <c r="J224" i="3" s="1"/>
  <c r="I224" i="3" a="1"/>
  <c r="I224" i="3" s="1"/>
  <c r="H224" i="3" a="1"/>
  <c r="H224" i="3"/>
  <c r="G224" i="3" a="1"/>
  <c r="G224" i="3" s="1"/>
  <c r="K215" i="3" a="1"/>
  <c r="K215" i="3" s="1"/>
  <c r="J215" i="3" a="1"/>
  <c r="J215" i="3"/>
  <c r="I215" i="3" a="1"/>
  <c r="I215" i="3" s="1"/>
  <c r="H215" i="3" a="1"/>
  <c r="H215" i="3"/>
  <c r="G215" i="3" a="1"/>
  <c r="G215" i="3" s="1"/>
  <c r="H210" i="3" a="1"/>
  <c r="H210" i="3" s="1"/>
  <c r="G210" i="3" a="1"/>
  <c r="G210" i="3" s="1"/>
  <c r="K210" i="3" a="1"/>
  <c r="K210" i="3"/>
  <c r="J210" i="3" a="1"/>
  <c r="J210" i="3" s="1"/>
  <c r="I210" i="3" a="1"/>
  <c r="I210" i="3"/>
  <c r="I183" i="3" a="1"/>
  <c r="I183" i="3"/>
  <c r="H183" i="3" a="1"/>
  <c r="H183" i="3" s="1"/>
  <c r="G183" i="3" a="1"/>
  <c r="G183" i="3" s="1"/>
  <c r="K183" i="3" a="1"/>
  <c r="K183" i="3" s="1"/>
  <c r="J183" i="3" a="1"/>
  <c r="J183" i="3" s="1"/>
  <c r="K191" i="3" a="1"/>
  <c r="K191" i="3" s="1"/>
  <c r="J191" i="3" a="1"/>
  <c r="J191" i="3" s="1"/>
  <c r="I191" i="3" a="1"/>
  <c r="I191" i="3"/>
  <c r="H191" i="3" a="1"/>
  <c r="H191" i="3"/>
  <c r="G191" i="3" a="1"/>
  <c r="G191" i="3"/>
  <c r="I199" i="3" a="1"/>
  <c r="I199" i="3" s="1"/>
  <c r="H199" i="3" a="1"/>
  <c r="H199" i="3"/>
  <c r="G199" i="3" a="1"/>
  <c r="G199" i="3" s="1"/>
  <c r="K199" i="3" a="1"/>
  <c r="K199" i="3" s="1"/>
  <c r="J199" i="3" a="1"/>
  <c r="J199" i="3" s="1"/>
  <c r="I207" i="3" a="1"/>
  <c r="I207" i="3" s="1"/>
  <c r="H207" i="3" a="1"/>
  <c r="H207" i="3" s="1"/>
  <c r="G207" i="3" a="1"/>
  <c r="G207" i="3"/>
  <c r="K207" i="3" a="1"/>
  <c r="K207" i="3" s="1"/>
  <c r="J207" i="3" a="1"/>
  <c r="J207" i="3" s="1"/>
  <c r="H173" i="3" a="1"/>
  <c r="H173" i="3"/>
  <c r="G173" i="3" a="1"/>
  <c r="G173" i="3" s="1"/>
  <c r="K173" i="3" a="1"/>
  <c r="K173" i="3" s="1"/>
  <c r="J173" i="3" a="1"/>
  <c r="J173" i="3"/>
  <c r="I173" i="3" a="1"/>
  <c r="I173" i="3" s="1"/>
  <c r="I143" i="3" a="1"/>
  <c r="I143" i="3" s="1"/>
  <c r="H143" i="3" a="1"/>
  <c r="H143" i="3" s="1"/>
  <c r="G143" i="3" a="1"/>
  <c r="G143" i="3" s="1"/>
  <c r="K143" i="3" a="1"/>
  <c r="K143" i="3" s="1"/>
  <c r="J143" i="3" a="1"/>
  <c r="J143" i="3"/>
  <c r="H149" i="3" a="1"/>
  <c r="H149" i="3" s="1"/>
  <c r="K149" i="3" a="1"/>
  <c r="K149" i="3"/>
  <c r="J149" i="3" a="1"/>
  <c r="J149" i="3"/>
  <c r="I149" i="3" a="1"/>
  <c r="I149" i="3" s="1"/>
  <c r="G149" i="3" a="1"/>
  <c r="G149" i="3" s="1"/>
  <c r="J160" i="3" a="1"/>
  <c r="J160" i="3" s="1"/>
  <c r="I160" i="3" a="1"/>
  <c r="I160" i="3" s="1"/>
  <c r="H160" i="3" a="1"/>
  <c r="H160" i="3" s="1"/>
  <c r="G160" i="3" a="1"/>
  <c r="G160" i="3" s="1"/>
  <c r="K160" i="3" a="1"/>
  <c r="K160" i="3"/>
  <c r="K109" i="3" a="1"/>
  <c r="K109" i="3"/>
  <c r="J109" i="3" a="1"/>
  <c r="J109" i="3"/>
  <c r="I109" i="3" a="1"/>
  <c r="I109" i="3" s="1"/>
  <c r="H109" i="3" a="1"/>
  <c r="H109" i="3"/>
  <c r="G109" i="3" a="1"/>
  <c r="G109" i="3" s="1"/>
  <c r="H120" i="3" a="1"/>
  <c r="H120" i="3" s="1"/>
  <c r="G120" i="3" a="1"/>
  <c r="G120" i="3" s="1"/>
  <c r="K120" i="3" a="1"/>
  <c r="K120" i="3" s="1"/>
  <c r="J120" i="3" a="1"/>
  <c r="J120" i="3" s="1"/>
  <c r="I120" i="3" a="1"/>
  <c r="I120" i="3"/>
  <c r="K129" i="3" a="1"/>
  <c r="K129" i="3" s="1"/>
  <c r="J129" i="3" a="1"/>
  <c r="J129" i="3" s="1"/>
  <c r="I129" i="3" a="1"/>
  <c r="I129" i="3"/>
  <c r="H129" i="3" a="1"/>
  <c r="H129" i="3" s="1"/>
  <c r="G129" i="3" a="1"/>
  <c r="G129" i="3" s="1"/>
  <c r="I117" i="3" a="1"/>
  <c r="I117" i="3"/>
  <c r="H117" i="3" a="1"/>
  <c r="H117" i="3" s="1"/>
  <c r="G117" i="3" a="1"/>
  <c r="G117" i="3" s="1"/>
  <c r="K117" i="3" a="1"/>
  <c r="K117" i="3" s="1"/>
  <c r="J117" i="3" a="1"/>
  <c r="J117" i="3" s="1"/>
  <c r="K137" i="3" a="1"/>
  <c r="K137" i="3"/>
  <c r="J137" i="3" a="1"/>
  <c r="J137" i="3"/>
  <c r="I137" i="3" a="1"/>
  <c r="I137" i="3" s="1"/>
  <c r="H137" i="3" a="1"/>
  <c r="H137" i="3"/>
  <c r="G137" i="3" a="1"/>
  <c r="G137" i="3" s="1"/>
  <c r="K64" i="3" a="1"/>
  <c r="K64" i="3"/>
  <c r="J64" i="3" a="1"/>
  <c r="J64" i="3" s="1"/>
  <c r="I64" i="3" a="1"/>
  <c r="I64" i="3"/>
  <c r="H64" i="3" a="1"/>
  <c r="H64" i="3" s="1"/>
  <c r="G64" i="3" a="1"/>
  <c r="G64" i="3"/>
  <c r="I65" i="3" a="1"/>
  <c r="I65" i="3" s="1"/>
  <c r="H65" i="3" a="1"/>
  <c r="H65" i="3" s="1"/>
  <c r="G65" i="3" a="1"/>
  <c r="G65" i="3"/>
  <c r="K65" i="3" a="1"/>
  <c r="K65" i="3" s="1"/>
  <c r="J65" i="3" a="1"/>
  <c r="J65" i="3" s="1"/>
  <c r="K80" i="3" a="1"/>
  <c r="K80" i="3" s="1"/>
  <c r="J80" i="3" a="1"/>
  <c r="J80" i="3"/>
  <c r="I80" i="3" a="1"/>
  <c r="I80" i="3" s="1"/>
  <c r="H80" i="3" a="1"/>
  <c r="H80" i="3" s="1"/>
  <c r="G80" i="3" a="1"/>
  <c r="G80" i="3"/>
  <c r="I83" i="3" a="1"/>
  <c r="I83" i="3" s="1"/>
  <c r="H83" i="3" a="1"/>
  <c r="H83" i="3"/>
  <c r="G83" i="3" a="1"/>
  <c r="G83" i="3" s="1"/>
  <c r="K83" i="3" a="1"/>
  <c r="K83" i="3"/>
  <c r="J83" i="3" a="1"/>
  <c r="J83" i="3" s="1"/>
  <c r="I98" i="3" a="1"/>
  <c r="I98" i="3"/>
  <c r="H98" i="3" a="1"/>
  <c r="H98" i="3" s="1"/>
  <c r="G98" i="3" a="1"/>
  <c r="G98" i="3" s="1"/>
  <c r="K98" i="3" a="1"/>
  <c r="K98" i="3"/>
  <c r="J98" i="3" a="1"/>
  <c r="J98" i="3" s="1"/>
  <c r="K59" i="3" a="1"/>
  <c r="K59" i="3" s="1"/>
  <c r="J59" i="3" a="1"/>
  <c r="J59" i="3" s="1"/>
  <c r="I59" i="3" a="1"/>
  <c r="I59" i="3"/>
  <c r="H59" i="3" a="1"/>
  <c r="H59" i="3" s="1"/>
  <c r="G59" i="3" a="1"/>
  <c r="G59" i="3" s="1"/>
  <c r="H54" i="3" a="1"/>
  <c r="H54" i="3"/>
  <c r="G54" i="3" a="1"/>
  <c r="G54" i="3" s="1"/>
  <c r="K54" i="3" a="1"/>
  <c r="K54" i="3"/>
  <c r="J54" i="3" a="1"/>
  <c r="J54" i="3" s="1"/>
  <c r="I54" i="3" a="1"/>
  <c r="I54" i="3"/>
  <c r="K40" i="3" a="1"/>
  <c r="K40" i="3" s="1"/>
  <c r="J40" i="3" a="1"/>
  <c r="J40" i="3"/>
  <c r="I40" i="3" a="1"/>
  <c r="I40" i="3" s="1"/>
  <c r="H40" i="3" a="1"/>
  <c r="H40" i="3" s="1"/>
  <c r="G40" i="3" a="1"/>
  <c r="G40" i="3"/>
  <c r="G34" i="3" a="1"/>
  <c r="G34" i="3" s="1"/>
  <c r="K34" i="3" a="1"/>
  <c r="K34" i="3" s="1"/>
  <c r="J34" i="3" a="1"/>
  <c r="J34" i="3" s="1"/>
  <c r="I34" i="3" a="1"/>
  <c r="I34" i="3"/>
  <c r="H34" i="3" a="1"/>
  <c r="H34" i="3" s="1"/>
  <c r="J29" i="3" a="1"/>
  <c r="J29" i="3" s="1"/>
  <c r="I29" i="3" a="1"/>
  <c r="I29" i="3"/>
  <c r="H29" i="3" a="1"/>
  <c r="H29" i="3" s="1"/>
  <c r="G29" i="3" a="1"/>
  <c r="G29" i="3"/>
  <c r="K29" i="3" a="1"/>
  <c r="K29" i="3" s="1"/>
  <c r="K18" i="3" a="1"/>
  <c r="K18" i="3"/>
  <c r="J18" i="3" a="1"/>
  <c r="J18" i="3" s="1"/>
  <c r="I18" i="3" a="1"/>
  <c r="I18" i="3"/>
  <c r="H18" i="3" a="1"/>
  <c r="H18" i="3" s="1"/>
  <c r="G18" i="3" a="1"/>
  <c r="G18" i="3" s="1"/>
  <c r="K10" i="3" a="1"/>
  <c r="K10" i="3"/>
  <c r="J10" i="3" a="1"/>
  <c r="J10" i="3" s="1"/>
  <c r="I10" i="3" a="1"/>
  <c r="I10" i="3" s="1"/>
  <c r="H10" i="3" a="1"/>
  <c r="H10" i="3" s="1"/>
  <c r="G10" i="3" a="1"/>
  <c r="G10" i="3"/>
  <c r="K969" i="3" a="1"/>
  <c r="K969" i="3" s="1"/>
  <c r="J969" i="3" a="1"/>
  <c r="J969" i="3" s="1"/>
  <c r="I969" i="3" a="1"/>
  <c r="I969" i="3"/>
  <c r="H969" i="3" a="1"/>
  <c r="H969" i="3" s="1"/>
  <c r="G969" i="3" a="1"/>
  <c r="G969" i="3"/>
  <c r="K945" i="3" a="1"/>
  <c r="K945" i="3" s="1"/>
  <c r="J945" i="3" a="1"/>
  <c r="J945" i="3"/>
  <c r="I945" i="3" a="1"/>
  <c r="I945" i="3" s="1"/>
  <c r="H945" i="3" a="1"/>
  <c r="H945" i="3"/>
  <c r="G945" i="3" a="1"/>
  <c r="G945" i="3" s="1"/>
  <c r="K937" i="3" a="1"/>
  <c r="K937" i="3" s="1"/>
  <c r="J937" i="3" a="1"/>
  <c r="J937" i="3"/>
  <c r="I937" i="3" a="1"/>
  <c r="I937" i="3" s="1"/>
  <c r="H937" i="3" a="1"/>
  <c r="H937" i="3" s="1"/>
  <c r="G937" i="3" a="1"/>
  <c r="G937" i="3" s="1"/>
  <c r="H929" i="3" a="1"/>
  <c r="H929" i="3"/>
  <c r="G929" i="3" a="1"/>
  <c r="G929" i="3" s="1"/>
  <c r="K929" i="3" a="1"/>
  <c r="K929" i="3" s="1"/>
  <c r="J929" i="3" a="1"/>
  <c r="J929" i="3"/>
  <c r="I929" i="3" a="1"/>
  <c r="I929" i="3" s="1"/>
  <c r="K921" i="3" a="1"/>
  <c r="K921" i="3"/>
  <c r="J921" i="3" a="1"/>
  <c r="J921" i="3" s="1"/>
  <c r="I921" i="3" a="1"/>
  <c r="I921" i="3"/>
  <c r="H921" i="3" a="1"/>
  <c r="H921" i="3" s="1"/>
  <c r="G921" i="3" a="1"/>
  <c r="G921" i="3"/>
  <c r="H913" i="3" a="1"/>
  <c r="H913" i="3" s="1"/>
  <c r="G913" i="3" a="1"/>
  <c r="G913" i="3" s="1"/>
  <c r="K913" i="3" a="1"/>
  <c r="K913" i="3"/>
  <c r="J913" i="3" a="1"/>
  <c r="J913" i="3" s="1"/>
  <c r="I913" i="3" a="1"/>
  <c r="I913" i="3" s="1"/>
  <c r="K905" i="3" a="1"/>
  <c r="K905" i="3" s="1"/>
  <c r="J905" i="3" a="1"/>
  <c r="J905" i="3"/>
  <c r="I905" i="3" a="1"/>
  <c r="I905" i="3" s="1"/>
  <c r="H905" i="3" a="1"/>
  <c r="H905" i="3" s="1"/>
  <c r="G905" i="3" a="1"/>
  <c r="G905" i="3"/>
  <c r="K897" i="3" a="1"/>
  <c r="K897" i="3" s="1"/>
  <c r="J897" i="3" a="1"/>
  <c r="J897" i="3"/>
  <c r="I897" i="3" a="1"/>
  <c r="I897" i="3" s="1"/>
  <c r="H897" i="3" a="1"/>
  <c r="H897" i="3"/>
  <c r="G897" i="3" a="1"/>
  <c r="G897" i="3" s="1"/>
  <c r="H889" i="3" a="1"/>
  <c r="H889" i="3"/>
  <c r="G889" i="3" a="1"/>
  <c r="G889" i="3" s="1"/>
  <c r="K889" i="3" a="1"/>
  <c r="K889" i="3" s="1"/>
  <c r="J889" i="3" a="1"/>
  <c r="J889" i="3"/>
  <c r="I889" i="3" a="1"/>
  <c r="I889" i="3" s="1"/>
  <c r="K881" i="3" a="1"/>
  <c r="K881" i="3" s="1"/>
  <c r="J881" i="3" a="1"/>
  <c r="J881" i="3" s="1"/>
  <c r="I881" i="3" a="1"/>
  <c r="I881" i="3"/>
  <c r="H881" i="3" a="1"/>
  <c r="H881" i="3" s="1"/>
  <c r="G881" i="3" a="1"/>
  <c r="G881" i="3" s="1"/>
  <c r="K873" i="3" a="1"/>
  <c r="K873" i="3"/>
  <c r="I873" i="3" a="1"/>
  <c r="I873" i="3" s="1"/>
  <c r="G873" i="3" a="1"/>
  <c r="G873" i="3"/>
  <c r="J873" i="3" a="1"/>
  <c r="J873" i="3" s="1"/>
  <c r="H873" i="3" a="1"/>
  <c r="H873" i="3"/>
  <c r="H833" i="3" a="1"/>
  <c r="H833" i="3" s="1"/>
  <c r="G833" i="3" a="1"/>
  <c r="G833" i="3"/>
  <c r="K833" i="3" a="1"/>
  <c r="K833" i="3" s="1"/>
  <c r="J833" i="3" a="1"/>
  <c r="J833" i="3" s="1"/>
  <c r="I833" i="3" a="1"/>
  <c r="I833" i="3"/>
  <c r="H836" i="3" a="1"/>
  <c r="H836" i="3" s="1"/>
  <c r="G836" i="3" a="1"/>
  <c r="G836" i="3" s="1"/>
  <c r="K836" i="3" a="1"/>
  <c r="K836" i="3" s="1"/>
  <c r="J836" i="3" a="1"/>
  <c r="J836" i="3"/>
  <c r="I836" i="3" a="1"/>
  <c r="I836" i="3" s="1"/>
  <c r="K861" i="3" a="1"/>
  <c r="K861" i="3" s="1"/>
  <c r="J861" i="3" a="1"/>
  <c r="J861" i="3"/>
  <c r="I861" i="3" a="1"/>
  <c r="I861" i="3" s="1"/>
  <c r="H861" i="3" a="1"/>
  <c r="H861" i="3"/>
  <c r="G861" i="3" a="1"/>
  <c r="G861" i="3" s="1"/>
  <c r="G848" i="3" a="1"/>
  <c r="G848" i="3"/>
  <c r="K848" i="3" a="1"/>
  <c r="K848" i="3" s="1"/>
  <c r="J848" i="3" a="1"/>
  <c r="J848" i="3"/>
  <c r="I848" i="3" a="1"/>
  <c r="I848" i="3" s="1"/>
  <c r="H848" i="3" a="1"/>
  <c r="H848" i="3" s="1"/>
  <c r="H842" i="3" a="1"/>
  <c r="H842" i="3"/>
  <c r="G842" i="3" a="1"/>
  <c r="G842" i="3" s="1"/>
  <c r="K842" i="3" a="1"/>
  <c r="K842" i="3" s="1"/>
  <c r="J842" i="3" a="1"/>
  <c r="J842" i="3" s="1"/>
  <c r="I842" i="3" a="1"/>
  <c r="I842" i="3"/>
  <c r="G777" i="3" a="1"/>
  <c r="G777" i="3" s="1"/>
  <c r="K777" i="3" a="1"/>
  <c r="K777" i="3" s="1"/>
  <c r="J777" i="3" a="1"/>
  <c r="J777" i="3"/>
  <c r="I777" i="3" a="1"/>
  <c r="I777" i="3" s="1"/>
  <c r="H777" i="3" a="1"/>
  <c r="H777" i="3"/>
  <c r="K791" i="3" a="1"/>
  <c r="K791" i="3" s="1"/>
  <c r="J791" i="3" a="1"/>
  <c r="J791" i="3"/>
  <c r="I791" i="3" a="1"/>
  <c r="I791" i="3" s="1"/>
  <c r="H791" i="3" a="1"/>
  <c r="H791" i="3"/>
  <c r="G791" i="3" a="1"/>
  <c r="G791" i="3" s="1"/>
  <c r="J787" i="3" a="1"/>
  <c r="J787" i="3" s="1"/>
  <c r="I787" i="3" a="1"/>
  <c r="I787" i="3"/>
  <c r="H787" i="3" a="1"/>
  <c r="H787" i="3" s="1"/>
  <c r="G787" i="3" a="1"/>
  <c r="G787" i="3" s="1"/>
  <c r="K787" i="3" a="1"/>
  <c r="K787" i="3" s="1"/>
  <c r="J796" i="3" a="1"/>
  <c r="J796" i="3"/>
  <c r="I796" i="3" a="1"/>
  <c r="I796" i="3" s="1"/>
  <c r="H796" i="3" a="1"/>
  <c r="H796" i="3" s="1"/>
  <c r="G796" i="3" a="1"/>
  <c r="G796" i="3"/>
  <c r="K796" i="3" a="1"/>
  <c r="K796" i="3" s="1"/>
  <c r="K808" i="3" a="1"/>
  <c r="K808" i="3"/>
  <c r="J808" i="3" a="1"/>
  <c r="J808" i="3" s="1"/>
  <c r="I808" i="3" a="1"/>
  <c r="I808" i="3"/>
  <c r="H808" i="3" a="1"/>
  <c r="H808" i="3" s="1"/>
  <c r="G808" i="3" a="1"/>
  <c r="G808" i="3"/>
  <c r="G817" i="3" a="1"/>
  <c r="G817" i="3" s="1"/>
  <c r="K817" i="3" a="1"/>
  <c r="K817" i="3" s="1"/>
  <c r="J817" i="3" a="1"/>
  <c r="J817" i="3"/>
  <c r="I817" i="3" a="1"/>
  <c r="I817" i="3" s="1"/>
  <c r="H817" i="3" a="1"/>
  <c r="H817" i="3" s="1"/>
  <c r="K825" i="3" a="1"/>
  <c r="K825" i="3" s="1"/>
  <c r="J825" i="3" a="1"/>
  <c r="J825" i="3"/>
  <c r="I825" i="3" a="1"/>
  <c r="I825" i="3" s="1"/>
  <c r="H825" i="3" a="1"/>
  <c r="H825" i="3" s="1"/>
  <c r="G825" i="3" a="1"/>
  <c r="G825" i="3"/>
  <c r="K756" i="3" a="1"/>
  <c r="K756" i="3" s="1"/>
  <c r="J756" i="3" a="1"/>
  <c r="J756" i="3"/>
  <c r="H756" i="3" a="1"/>
  <c r="H756" i="3" s="1"/>
  <c r="G756" i="3" a="1"/>
  <c r="G756" i="3"/>
  <c r="I756" i="3" a="1"/>
  <c r="I756" i="3" s="1"/>
  <c r="K764" i="3" a="1"/>
  <c r="K764" i="3"/>
  <c r="J764" i="3" a="1"/>
  <c r="J764" i="3" s="1"/>
  <c r="I764" i="3" a="1"/>
  <c r="I764" i="3" s="1"/>
  <c r="H764" i="3" a="1"/>
  <c r="H764" i="3"/>
  <c r="G764" i="3" a="1"/>
  <c r="G764" i="3" s="1"/>
  <c r="G754" i="3" a="1"/>
  <c r="G754" i="3" s="1"/>
  <c r="K754" i="3" a="1"/>
  <c r="K754" i="3" s="1"/>
  <c r="J754" i="3" a="1"/>
  <c r="J754" i="3"/>
  <c r="I754" i="3" a="1"/>
  <c r="I754" i="3" s="1"/>
  <c r="H754" i="3" a="1"/>
  <c r="H754" i="3" s="1"/>
  <c r="J700" i="3" a="1"/>
  <c r="J700" i="3"/>
  <c r="I700" i="3" a="1"/>
  <c r="I700" i="3" s="1"/>
  <c r="H700" i="3" a="1"/>
  <c r="H700" i="3"/>
  <c r="G700" i="3" a="1"/>
  <c r="G700" i="3" s="1"/>
  <c r="K700" i="3" a="1"/>
  <c r="K700" i="3"/>
  <c r="K711" i="3" a="1"/>
  <c r="K711" i="3" s="1"/>
  <c r="J711" i="3" a="1"/>
  <c r="J711" i="3"/>
  <c r="I711" i="3" a="1"/>
  <c r="I711" i="3" s="1"/>
  <c r="H711" i="3" a="1"/>
  <c r="H711" i="3" s="1"/>
  <c r="G711" i="3" a="1"/>
  <c r="G711" i="3"/>
  <c r="K719" i="3" a="1"/>
  <c r="K719" i="3" s="1"/>
  <c r="J719" i="3" a="1"/>
  <c r="J719" i="3" s="1"/>
  <c r="I719" i="3" a="1"/>
  <c r="I719" i="3" s="1"/>
  <c r="H719" i="3" a="1"/>
  <c r="H719" i="3"/>
  <c r="G719" i="3" a="1"/>
  <c r="G719" i="3" s="1"/>
  <c r="I709" i="3" a="1"/>
  <c r="I709" i="3" s="1"/>
  <c r="H709" i="3" a="1"/>
  <c r="H709" i="3"/>
  <c r="G709" i="3" a="1"/>
  <c r="G709" i="3" s="1"/>
  <c r="K709" i="3" a="1"/>
  <c r="K709" i="3"/>
  <c r="J709" i="3" a="1"/>
  <c r="J709" i="3" s="1"/>
  <c r="K734" i="3" a="1"/>
  <c r="K734" i="3"/>
  <c r="J734" i="3" a="1"/>
  <c r="J734" i="3" s="1"/>
  <c r="I734" i="3" a="1"/>
  <c r="I734" i="3"/>
  <c r="H734" i="3" a="1"/>
  <c r="H734" i="3" s="1"/>
  <c r="G734" i="3" a="1"/>
  <c r="G734" i="3" s="1"/>
  <c r="K737" i="3" a="1"/>
  <c r="K737" i="3"/>
  <c r="J737" i="3" a="1"/>
  <c r="J737" i="3" s="1"/>
  <c r="I737" i="3" a="1"/>
  <c r="I737" i="3" s="1"/>
  <c r="H737" i="3" a="1"/>
  <c r="H737" i="3" s="1"/>
  <c r="G737" i="3" a="1"/>
  <c r="G737" i="3"/>
  <c r="K743" i="3" a="1"/>
  <c r="K743" i="3" s="1"/>
  <c r="J743" i="3" a="1"/>
  <c r="J743" i="3" s="1"/>
  <c r="I743" i="3" a="1"/>
  <c r="I743" i="3"/>
  <c r="H743" i="3" a="1"/>
  <c r="H743" i="3" s="1"/>
  <c r="G743" i="3" a="1"/>
  <c r="G743" i="3"/>
  <c r="I456" i="3" a="1"/>
  <c r="I456" i="3" s="1"/>
  <c r="H456" i="3" a="1"/>
  <c r="H456" i="3"/>
  <c r="G456" i="3" a="1"/>
  <c r="G456" i="3" s="1"/>
  <c r="K456" i="3" a="1"/>
  <c r="K456" i="3"/>
  <c r="J456" i="3" a="1"/>
  <c r="J456" i="3" s="1"/>
  <c r="K454" i="3" a="1"/>
  <c r="K454" i="3" s="1"/>
  <c r="J454" i="3" a="1"/>
  <c r="J454" i="3"/>
  <c r="I454" i="3" a="1"/>
  <c r="I454" i="3" s="1"/>
  <c r="H454" i="3" a="1"/>
  <c r="H454" i="3" s="1"/>
  <c r="G454" i="3" a="1"/>
  <c r="G454" i="3" s="1"/>
  <c r="H464" i="3" a="1"/>
  <c r="H464" i="3"/>
  <c r="G464" i="3" a="1"/>
  <c r="G464" i="3" s="1"/>
  <c r="K464" i="3" a="1"/>
  <c r="K464" i="3" s="1"/>
  <c r="J464" i="3" a="1"/>
  <c r="J464" i="3"/>
  <c r="I464" i="3" a="1"/>
  <c r="I464" i="3" s="1"/>
  <c r="K471" i="3" a="1"/>
  <c r="K471" i="3"/>
  <c r="J471" i="3" a="1"/>
  <c r="J471" i="3" s="1"/>
  <c r="I471" i="3" a="1"/>
  <c r="I471" i="3"/>
  <c r="H471" i="3" a="1"/>
  <c r="H471" i="3" s="1"/>
  <c r="G471" i="3" a="1"/>
  <c r="G471" i="3"/>
  <c r="I531" i="3" a="1"/>
  <c r="I531" i="3" s="1"/>
  <c r="H531" i="3" a="1"/>
  <c r="H531" i="3" s="1"/>
  <c r="G531" i="3" a="1"/>
  <c r="G531" i="3"/>
  <c r="K531" i="3" a="1"/>
  <c r="K531" i="3" s="1"/>
  <c r="J531" i="3" a="1"/>
  <c r="J531" i="3" s="1"/>
  <c r="K538" i="3" a="1"/>
  <c r="K538" i="3" s="1"/>
  <c r="J538" i="3" a="1"/>
  <c r="J538" i="3"/>
  <c r="I538" i="3" a="1"/>
  <c r="I538" i="3" s="1"/>
  <c r="H538" i="3" a="1"/>
  <c r="H538" i="3" s="1"/>
  <c r="G538" i="3" a="1"/>
  <c r="G538" i="3"/>
  <c r="J516" i="3" a="1"/>
  <c r="J516" i="3" s="1"/>
  <c r="I516" i="3" a="1"/>
  <c r="I516" i="3"/>
  <c r="H516" i="3" a="1"/>
  <c r="H516" i="3" s="1"/>
  <c r="G516" i="3" a="1"/>
  <c r="G516" i="3"/>
  <c r="K516" i="3" a="1"/>
  <c r="K516" i="3" s="1"/>
  <c r="I511" i="3" a="1"/>
  <c r="I511" i="3"/>
  <c r="K511" i="3" a="1"/>
  <c r="K511" i="3" s="1"/>
  <c r="J511" i="3" a="1"/>
  <c r="J511" i="3" s="1"/>
  <c r="H511" i="3" a="1"/>
  <c r="H511" i="3"/>
  <c r="G511" i="3" a="1"/>
  <c r="G511" i="3" s="1"/>
  <c r="K525" i="3" a="1"/>
  <c r="K525" i="3" s="1"/>
  <c r="J525" i="3" a="1"/>
  <c r="J525" i="3" s="1"/>
  <c r="I525" i="3" a="1"/>
  <c r="I525" i="3"/>
  <c r="H525" i="3" a="1"/>
  <c r="H525" i="3" s="1"/>
  <c r="G525" i="3" a="1"/>
  <c r="G525" i="3" s="1"/>
  <c r="J528" i="3" a="1"/>
  <c r="J528" i="3"/>
  <c r="I528" i="3" a="1"/>
  <c r="I528" i="3" s="1"/>
  <c r="H528" i="3" a="1"/>
  <c r="H528" i="3"/>
  <c r="G528" i="3" a="1"/>
  <c r="G528" i="3" s="1"/>
  <c r="K528" i="3" a="1"/>
  <c r="K528" i="3"/>
  <c r="H520" i="3" a="1"/>
  <c r="H520" i="3" s="1"/>
  <c r="G520" i="3" a="1"/>
  <c r="G520" i="3"/>
  <c r="K520" i="3" a="1"/>
  <c r="K520" i="3" s="1"/>
  <c r="J520" i="3" a="1"/>
  <c r="J520" i="3" s="1"/>
  <c r="I520" i="3" a="1"/>
  <c r="I520" i="3"/>
  <c r="H480" i="3" a="1"/>
  <c r="H480" i="3" s="1"/>
  <c r="G480" i="3" a="1"/>
  <c r="G480" i="3" s="1"/>
  <c r="K480" i="3" a="1"/>
  <c r="K480" i="3" s="1"/>
  <c r="J480" i="3" a="1"/>
  <c r="J480" i="3"/>
  <c r="I480" i="3" a="1"/>
  <c r="I480" i="3" s="1"/>
  <c r="K541" i="3" a="1"/>
  <c r="K541" i="3" s="1"/>
  <c r="J541" i="3" a="1"/>
  <c r="J541" i="3"/>
  <c r="I541" i="3" a="1"/>
  <c r="I541" i="3" s="1"/>
  <c r="H541" i="3" a="1"/>
  <c r="H541" i="3"/>
  <c r="G541" i="3" a="1"/>
  <c r="G541" i="3" s="1"/>
  <c r="K550" i="3" a="1"/>
  <c r="K550" i="3"/>
  <c r="J550" i="3" a="1"/>
  <c r="J550" i="3" s="1"/>
  <c r="I550" i="3" a="1"/>
  <c r="I550" i="3"/>
  <c r="H550" i="3" a="1"/>
  <c r="H550" i="3" s="1"/>
  <c r="G550" i="3" a="1"/>
  <c r="G550" i="3" s="1"/>
  <c r="G562" i="3" a="1"/>
  <c r="G562" i="3"/>
  <c r="K562" i="3" a="1"/>
  <c r="K562" i="3" s="1"/>
  <c r="J562" i="3" a="1"/>
  <c r="J562" i="3" s="1"/>
  <c r="I562" i="3" a="1"/>
  <c r="I562" i="3" s="1"/>
  <c r="H562" i="3" a="1"/>
  <c r="H562" i="3"/>
  <c r="G570" i="3" a="1"/>
  <c r="G570" i="3" s="1"/>
  <c r="K570" i="3" a="1"/>
  <c r="K570" i="3" s="1"/>
  <c r="J570" i="3" a="1"/>
  <c r="J570" i="3"/>
  <c r="I570" i="3" a="1"/>
  <c r="I570" i="3" s="1"/>
  <c r="H570" i="3" a="1"/>
  <c r="H570" i="3"/>
  <c r="J574" i="3" a="1"/>
  <c r="J574" i="3" s="1"/>
  <c r="I574" i="3" a="1"/>
  <c r="I574" i="3"/>
  <c r="H574" i="3" a="1"/>
  <c r="H574" i="3" s="1"/>
  <c r="G574" i="3" a="1"/>
  <c r="G574" i="3"/>
  <c r="K574" i="3" a="1"/>
  <c r="K574" i="3" s="1"/>
  <c r="I579" i="3" a="1"/>
  <c r="I579" i="3" s="1"/>
  <c r="H579" i="3" a="1"/>
  <c r="H579" i="3"/>
  <c r="G579" i="3" a="1"/>
  <c r="G579" i="3" s="1"/>
  <c r="K579" i="3" a="1"/>
  <c r="K579" i="3" s="1"/>
  <c r="J579" i="3" a="1"/>
  <c r="J579" i="3" s="1"/>
  <c r="G594" i="3" a="1"/>
  <c r="G594" i="3"/>
  <c r="K594" i="3" a="1"/>
  <c r="K594" i="3" s="1"/>
  <c r="J594" i="3" a="1"/>
  <c r="J594" i="3" s="1"/>
  <c r="I594" i="3" a="1"/>
  <c r="I594" i="3"/>
  <c r="H594" i="3" a="1"/>
  <c r="H594" i="3" s="1"/>
  <c r="K599" i="3" a="1"/>
  <c r="K599" i="3"/>
  <c r="J599" i="3" a="1"/>
  <c r="J599" i="3" s="1"/>
  <c r="I599" i="3" a="1"/>
  <c r="I599" i="3"/>
  <c r="H599" i="3" a="1"/>
  <c r="H599" i="3" s="1"/>
  <c r="G599" i="3" a="1"/>
  <c r="G599" i="3"/>
  <c r="G606" i="3" a="1"/>
  <c r="G606" i="3" s="1"/>
  <c r="K606" i="3" a="1"/>
  <c r="K606" i="3" s="1"/>
  <c r="J606" i="3" a="1"/>
  <c r="J606" i="3"/>
  <c r="I606" i="3" a="1"/>
  <c r="I606" i="3" s="1"/>
  <c r="H606" i="3" a="1"/>
  <c r="H606" i="3" s="1"/>
  <c r="K611" i="3" a="1"/>
  <c r="K611" i="3" s="1"/>
  <c r="J611" i="3" a="1"/>
  <c r="J611" i="3"/>
  <c r="I611" i="3" a="1"/>
  <c r="I611" i="3" s="1"/>
  <c r="H611" i="3" a="1"/>
  <c r="H611" i="3" s="1"/>
  <c r="G611" i="3" a="1"/>
  <c r="G611" i="3"/>
  <c r="K615" i="3" a="1"/>
  <c r="K615" i="3" s="1"/>
  <c r="J615" i="3" a="1"/>
  <c r="J615" i="3"/>
  <c r="I615" i="3" a="1"/>
  <c r="I615" i="3" s="1"/>
  <c r="H615" i="3" a="1"/>
  <c r="H615" i="3"/>
  <c r="G615" i="3" a="1"/>
  <c r="G615" i="3" s="1"/>
  <c r="J629" i="3" a="1"/>
  <c r="J629" i="3"/>
  <c r="H629" i="3" a="1"/>
  <c r="H629" i="3" s="1"/>
  <c r="G629" i="3" a="1"/>
  <c r="G629" i="3" s="1"/>
  <c r="K629" i="3" a="1"/>
  <c r="K629" i="3"/>
  <c r="I629" i="3" a="1"/>
  <c r="I629" i="3" s="1"/>
  <c r="J627" i="3" a="1"/>
  <c r="J627" i="3" s="1"/>
  <c r="I627" i="3" a="1"/>
  <c r="I627" i="3" s="1"/>
  <c r="H627" i="3" a="1"/>
  <c r="H627" i="3"/>
  <c r="G627" i="3" a="1"/>
  <c r="G627" i="3" s="1"/>
  <c r="K627" i="3" a="1"/>
  <c r="K627" i="3" s="1"/>
  <c r="H643" i="3" a="1"/>
  <c r="H643" i="3"/>
  <c r="G643" i="3" a="1"/>
  <c r="G643" i="3" s="1"/>
  <c r="K643" i="3" a="1"/>
  <c r="K643" i="3"/>
  <c r="J643" i="3" a="1"/>
  <c r="J643" i="3" s="1"/>
  <c r="I643" i="3" a="1"/>
  <c r="I643" i="3"/>
  <c r="I657" i="3" a="1"/>
  <c r="I657" i="3" s="1"/>
  <c r="H657" i="3" a="1"/>
  <c r="H657" i="3"/>
  <c r="G657" i="3" a="1"/>
  <c r="G657" i="3" s="1"/>
  <c r="K657" i="3" a="1"/>
  <c r="K657" i="3" s="1"/>
  <c r="J657" i="3" a="1"/>
  <c r="J657" i="3"/>
  <c r="K645" i="3" a="1"/>
  <c r="K645" i="3" s="1"/>
  <c r="I645" i="3" a="1"/>
  <c r="I645" i="3" s="1"/>
  <c r="H645" i="3" a="1"/>
  <c r="H645" i="3" s="1"/>
  <c r="G645" i="3" a="1"/>
  <c r="G645" i="3"/>
  <c r="J645" i="3" a="1"/>
  <c r="J645" i="3" s="1"/>
  <c r="I674" i="3" a="1"/>
  <c r="I674" i="3" s="1"/>
  <c r="H674" i="3" a="1"/>
  <c r="H674" i="3"/>
  <c r="G674" i="3" a="1"/>
  <c r="G674" i="3" s="1"/>
  <c r="K674" i="3" a="1"/>
  <c r="K674" i="3"/>
  <c r="J674" i="3" a="1"/>
  <c r="J674" i="3" s="1"/>
  <c r="K669" i="3" a="1"/>
  <c r="K669" i="3"/>
  <c r="J669" i="3" a="1"/>
  <c r="J669" i="3" s="1"/>
  <c r="I669" i="3" a="1"/>
  <c r="I669" i="3"/>
  <c r="H669" i="3" a="1"/>
  <c r="H669" i="3" s="1"/>
  <c r="G669" i="3" a="1"/>
  <c r="G669" i="3" s="1"/>
  <c r="J686" i="3" a="1"/>
  <c r="J686" i="3"/>
  <c r="I686" i="3" a="1"/>
  <c r="I686" i="3" s="1"/>
  <c r="H686" i="3" a="1"/>
  <c r="H686" i="3" s="1"/>
  <c r="G686" i="3" a="1"/>
  <c r="G686" i="3" s="1"/>
  <c r="K686" i="3" a="1"/>
  <c r="K686" i="3"/>
  <c r="G691" i="3" a="1"/>
  <c r="G691" i="3" s="1"/>
  <c r="K691" i="3" a="1"/>
  <c r="K691" i="3" s="1"/>
  <c r="J691" i="3" a="1"/>
  <c r="J691" i="3"/>
  <c r="I691" i="3" a="1"/>
  <c r="I691" i="3" s="1"/>
  <c r="H691" i="3" a="1"/>
  <c r="H691" i="3"/>
  <c r="K437" i="3" a="1"/>
  <c r="K437" i="3" s="1"/>
  <c r="J437" i="3" a="1"/>
  <c r="J437" i="3"/>
  <c r="I437" i="3" a="1"/>
  <c r="I437" i="3" s="1"/>
  <c r="H437" i="3" a="1"/>
  <c r="H437" i="3"/>
  <c r="G437" i="3" a="1"/>
  <c r="G437" i="3" s="1"/>
  <c r="K425" i="3" a="1"/>
  <c r="K425" i="3" s="1"/>
  <c r="J425" i="3" a="1"/>
  <c r="J425" i="3"/>
  <c r="I425" i="3" a="1"/>
  <c r="I425" i="3" s="1"/>
  <c r="H425" i="3" a="1"/>
  <c r="H425" i="3" s="1"/>
  <c r="G425" i="3" a="1"/>
  <c r="G425" i="3" s="1"/>
  <c r="K423" i="3" a="1"/>
  <c r="K423" i="3"/>
  <c r="J423" i="3" a="1"/>
  <c r="J423" i="3" s="1"/>
  <c r="I423" i="3" a="1"/>
  <c r="I423" i="3" s="1"/>
  <c r="H423" i="3" a="1"/>
  <c r="H423" i="3"/>
  <c r="G423" i="3" a="1"/>
  <c r="G423" i="3" s="1"/>
  <c r="J418" i="3" a="1"/>
  <c r="J418" i="3"/>
  <c r="I418" i="3" a="1"/>
  <c r="I418" i="3" s="1"/>
  <c r="H418" i="3" a="1"/>
  <c r="H418" i="3"/>
  <c r="G418" i="3" a="1"/>
  <c r="G418" i="3" s="1"/>
  <c r="K418" i="3" a="1"/>
  <c r="K418" i="3"/>
  <c r="J403" i="3" a="1"/>
  <c r="J403" i="3" s="1"/>
  <c r="I403" i="3" a="1"/>
  <c r="I403" i="3" s="1"/>
  <c r="H403" i="3" a="1"/>
  <c r="H403" i="3"/>
  <c r="G403" i="3" a="1"/>
  <c r="G403" i="3" s="1"/>
  <c r="K403" i="3" a="1"/>
  <c r="K403" i="3" s="1"/>
  <c r="G393" i="3" a="1"/>
  <c r="G393" i="3" s="1"/>
  <c r="K393" i="3" a="1"/>
  <c r="K393" i="3"/>
  <c r="J393" i="3" a="1"/>
  <c r="J393" i="3" s="1"/>
  <c r="I393" i="3" a="1"/>
  <c r="I393" i="3" s="1"/>
  <c r="H393" i="3" a="1"/>
  <c r="H393" i="3"/>
  <c r="H372" i="3" a="1"/>
  <c r="H372" i="3" s="1"/>
  <c r="G372" i="3" a="1"/>
  <c r="G372" i="3"/>
  <c r="K372" i="3" a="1"/>
  <c r="K372" i="3" s="1"/>
  <c r="J372" i="3" a="1"/>
  <c r="J372" i="3"/>
  <c r="I372" i="3" a="1"/>
  <c r="I372" i="3" s="1"/>
  <c r="K379" i="3" a="1"/>
  <c r="K379" i="3"/>
  <c r="J379" i="3" a="1"/>
  <c r="J379" i="3" s="1"/>
  <c r="I379" i="3" a="1"/>
  <c r="I379" i="3" s="1"/>
  <c r="H379" i="3" a="1"/>
  <c r="H379" i="3"/>
  <c r="G379" i="3" a="1"/>
  <c r="G379" i="3" s="1"/>
  <c r="G387" i="3" a="1"/>
  <c r="G387" i="3" s="1"/>
  <c r="K387" i="3" a="1"/>
  <c r="K387" i="3" s="1"/>
  <c r="J387" i="3" a="1"/>
  <c r="J387" i="3"/>
  <c r="I387" i="3" a="1"/>
  <c r="I387" i="3" s="1"/>
  <c r="H387" i="3" a="1"/>
  <c r="H387" i="3" s="1"/>
  <c r="K351" i="3" a="1"/>
  <c r="K351" i="3"/>
  <c r="J351" i="3" a="1"/>
  <c r="J351" i="3" s="1"/>
  <c r="I351" i="3" a="1"/>
  <c r="I351" i="3"/>
  <c r="H351" i="3" a="1"/>
  <c r="H351" i="3" s="1"/>
  <c r="G351" i="3" a="1"/>
  <c r="G351" i="3"/>
  <c r="G361" i="3" a="1"/>
  <c r="G361" i="3" s="1"/>
  <c r="K361" i="3" a="1"/>
  <c r="K361" i="3"/>
  <c r="J361" i="3" a="1"/>
  <c r="J361" i="3" s="1"/>
  <c r="I361" i="3" a="1"/>
  <c r="I361" i="3" s="1"/>
  <c r="H361" i="3" a="1"/>
  <c r="H361" i="3"/>
  <c r="K347" i="3" a="1"/>
  <c r="K347" i="3" s="1"/>
  <c r="J347" i="3" a="1"/>
  <c r="J347" i="3" s="1"/>
  <c r="I347" i="3" a="1"/>
  <c r="I347" i="3" s="1"/>
  <c r="H347" i="3" a="1"/>
  <c r="H347" i="3"/>
  <c r="G347" i="3" a="1"/>
  <c r="G347" i="3" s="1"/>
  <c r="K341" i="3" a="1"/>
  <c r="K341" i="3" s="1"/>
  <c r="J341" i="3" a="1"/>
  <c r="J341" i="3"/>
  <c r="I341" i="3" a="1"/>
  <c r="I341" i="3" s="1"/>
  <c r="H341" i="3" a="1"/>
  <c r="H341" i="3"/>
  <c r="G341" i="3" a="1"/>
  <c r="G341" i="3" s="1"/>
  <c r="I317" i="3" a="1"/>
  <c r="I317" i="3"/>
  <c r="H317" i="3" a="1"/>
  <c r="H317" i="3" s="1"/>
  <c r="G317" i="3" a="1"/>
  <c r="G317" i="3"/>
  <c r="K317" i="3" a="1"/>
  <c r="K317" i="3" s="1"/>
  <c r="J317" i="3" a="1"/>
  <c r="J317" i="3" s="1"/>
  <c r="J323" i="3" a="1"/>
  <c r="J323" i="3"/>
  <c r="I323" i="3" a="1"/>
  <c r="I323" i="3" s="1"/>
  <c r="H323" i="3" a="1"/>
  <c r="H323" i="3" s="1"/>
  <c r="G323" i="3" a="1"/>
  <c r="G323" i="3" s="1"/>
  <c r="K323" i="3" a="1"/>
  <c r="K323" i="3"/>
  <c r="G332" i="3" a="1"/>
  <c r="G332" i="3" s="1"/>
  <c r="K332" i="3" a="1"/>
  <c r="K332" i="3" s="1"/>
  <c r="J332" i="3" a="1"/>
  <c r="J332" i="3"/>
  <c r="I332" i="3" a="1"/>
  <c r="I332" i="3" s="1"/>
  <c r="H332" i="3" a="1"/>
  <c r="H332" i="3"/>
  <c r="K299" i="3" a="1"/>
  <c r="K299" i="3" s="1"/>
  <c r="J299" i="3" a="1"/>
  <c r="J299" i="3"/>
  <c r="I299" i="3" a="1"/>
  <c r="I299" i="3" s="1"/>
  <c r="H299" i="3" a="1"/>
  <c r="H299" i="3"/>
  <c r="G299" i="3" a="1"/>
  <c r="G299" i="3" s="1"/>
  <c r="K306" i="3" a="1"/>
  <c r="K306" i="3" s="1"/>
  <c r="J306" i="3" a="1"/>
  <c r="J306" i="3"/>
  <c r="I306" i="3" a="1"/>
  <c r="I306" i="3" s="1"/>
  <c r="H306" i="3" a="1"/>
  <c r="H306" i="3" s="1"/>
  <c r="G306" i="3" a="1"/>
  <c r="G306" i="3" s="1"/>
  <c r="I260" i="3" a="1"/>
  <c r="I260" i="3"/>
  <c r="H260" i="3" a="1"/>
  <c r="H260" i="3" s="1"/>
  <c r="G260" i="3" a="1"/>
  <c r="G260" i="3" s="1"/>
  <c r="K260" i="3" a="1"/>
  <c r="K260" i="3"/>
  <c r="J260" i="3" a="1"/>
  <c r="J260" i="3" s="1"/>
  <c r="J268" i="3" a="1"/>
  <c r="J268" i="3"/>
  <c r="I268" i="3" a="1"/>
  <c r="I268" i="3" s="1"/>
  <c r="H268" i="3" a="1"/>
  <c r="H268" i="3"/>
  <c r="G268" i="3" a="1"/>
  <c r="G268" i="3" s="1"/>
  <c r="K268" i="3" a="1"/>
  <c r="K268" i="3"/>
  <c r="H275" i="3" a="1"/>
  <c r="H275" i="3" s="1"/>
  <c r="G275" i="3" a="1"/>
  <c r="G275" i="3" s="1"/>
  <c r="K275" i="3" a="1"/>
  <c r="K275" i="3"/>
  <c r="J275" i="3" a="1"/>
  <c r="J275" i="3" s="1"/>
  <c r="I275" i="3" a="1"/>
  <c r="I275" i="3" s="1"/>
  <c r="I278" i="3" a="1"/>
  <c r="I278" i="3" s="1"/>
  <c r="H278" i="3" a="1"/>
  <c r="H278" i="3"/>
  <c r="G278" i="3" a="1"/>
  <c r="G278" i="3" s="1"/>
  <c r="K278" i="3" a="1"/>
  <c r="K278" i="3" s="1"/>
  <c r="J278" i="3" a="1"/>
  <c r="J278" i="3"/>
  <c r="H256" i="3" a="1"/>
  <c r="H256" i="3" s="1"/>
  <c r="G256" i="3" a="1"/>
  <c r="G256" i="3"/>
  <c r="K256" i="3" a="1"/>
  <c r="K256" i="3" s="1"/>
  <c r="J256" i="3" a="1"/>
  <c r="J256" i="3"/>
  <c r="I256" i="3" a="1"/>
  <c r="I256" i="3" s="1"/>
  <c r="H249" i="3" a="1"/>
  <c r="H249" i="3"/>
  <c r="G249" i="3" a="1"/>
  <c r="G249" i="3" s="1"/>
  <c r="K249" i="3" a="1"/>
  <c r="K249" i="3" s="1"/>
  <c r="J249" i="3" a="1"/>
  <c r="J249" i="3"/>
  <c r="I249" i="3" a="1"/>
  <c r="I249" i="3" s="1"/>
  <c r="I237" i="3" a="1"/>
  <c r="I237" i="3" s="1"/>
  <c r="H237" i="3" a="1"/>
  <c r="H237" i="3" s="1"/>
  <c r="G237" i="3" a="1"/>
  <c r="G237" i="3"/>
  <c r="K237" i="3" a="1"/>
  <c r="K237" i="3" s="1"/>
  <c r="J237" i="3" a="1"/>
  <c r="J237" i="3" s="1"/>
  <c r="K232" i="3" a="1"/>
  <c r="K232" i="3"/>
  <c r="J232" i="3" a="1"/>
  <c r="J232" i="3" s="1"/>
  <c r="I232" i="3" a="1"/>
  <c r="I232" i="3"/>
  <c r="H232" i="3" a="1"/>
  <c r="H232" i="3" s="1"/>
  <c r="G232" i="3" a="1"/>
  <c r="G232" i="3"/>
  <c r="K223" i="3" a="1"/>
  <c r="K223" i="3" s="1"/>
  <c r="J223" i="3" a="1"/>
  <c r="J223" i="3"/>
  <c r="I223" i="3" a="1"/>
  <c r="I223" i="3" s="1"/>
  <c r="H223" i="3" a="1"/>
  <c r="H223" i="3" s="1"/>
  <c r="G223" i="3" a="1"/>
  <c r="G223" i="3"/>
  <c r="K216" i="3" a="1"/>
  <c r="K216" i="3" s="1"/>
  <c r="J216" i="3" a="1"/>
  <c r="J216" i="3" s="1"/>
  <c r="I216" i="3" a="1"/>
  <c r="I216" i="3" s="1"/>
  <c r="H216" i="3" a="1"/>
  <c r="H216" i="3"/>
  <c r="G216" i="3" a="1"/>
  <c r="G216" i="3" s="1"/>
  <c r="G176" i="3" a="1"/>
  <c r="G176" i="3" s="1"/>
  <c r="K176" i="3" a="1"/>
  <c r="K176" i="3"/>
  <c r="J176" i="3" a="1"/>
  <c r="J176" i="3" s="1"/>
  <c r="I176" i="3" a="1"/>
  <c r="I176" i="3"/>
  <c r="H176" i="3" a="1"/>
  <c r="H176" i="3" s="1"/>
  <c r="K184" i="3" a="1"/>
  <c r="K184" i="3"/>
  <c r="J184" i="3" a="1"/>
  <c r="J184" i="3" s="1"/>
  <c r="I184" i="3" a="1"/>
  <c r="I184" i="3"/>
  <c r="H184" i="3" a="1"/>
  <c r="H184" i="3" s="1"/>
  <c r="G184" i="3" a="1"/>
  <c r="G184" i="3" s="1"/>
  <c r="G192" i="3" a="1"/>
  <c r="G192" i="3"/>
  <c r="K192" i="3" a="1"/>
  <c r="K192" i="3" s="1"/>
  <c r="J192" i="3" a="1"/>
  <c r="J192" i="3" s="1"/>
  <c r="I192" i="3" a="1"/>
  <c r="I192" i="3" s="1"/>
  <c r="H192" i="3" a="1"/>
  <c r="H192" i="3"/>
  <c r="J200" i="3" a="1"/>
  <c r="J200" i="3" s="1"/>
  <c r="I200" i="3" a="1"/>
  <c r="I200" i="3" s="1"/>
  <c r="H200" i="3" a="1"/>
  <c r="H200" i="3"/>
  <c r="G200" i="3" a="1"/>
  <c r="G200" i="3" s="1"/>
  <c r="K200" i="3" a="1"/>
  <c r="K200" i="3"/>
  <c r="K208" i="3" a="1"/>
  <c r="K208" i="3" s="1"/>
  <c r="J208" i="3" a="1"/>
  <c r="J208" i="3"/>
  <c r="I208" i="3" a="1"/>
  <c r="I208" i="3" s="1"/>
  <c r="H208" i="3" a="1"/>
  <c r="H208" i="3"/>
  <c r="G208" i="3" a="1"/>
  <c r="G208" i="3" s="1"/>
  <c r="K174" i="3" a="1"/>
  <c r="K174" i="3"/>
  <c r="J174" i="3" a="1"/>
  <c r="J174" i="3" s="1"/>
  <c r="I174" i="3" a="1"/>
  <c r="I174" i="3"/>
  <c r="H174" i="3" a="1"/>
  <c r="H174" i="3" s="1"/>
  <c r="G174" i="3" a="1"/>
  <c r="G174" i="3" s="1"/>
  <c r="K147" i="3" a="1"/>
  <c r="K147" i="3"/>
  <c r="J147" i="3" a="1"/>
  <c r="J147" i="3"/>
  <c r="I147" i="3" a="1"/>
  <c r="I147" i="3"/>
  <c r="H147" i="3" a="1"/>
  <c r="H147" i="3" s="1"/>
  <c r="G147" i="3" a="1"/>
  <c r="G147" i="3" s="1"/>
  <c r="I154" i="3" a="1"/>
  <c r="I154" i="3"/>
  <c r="H154" i="3" a="1"/>
  <c r="H154" i="3" s="1"/>
  <c r="K154" i="3" a="1"/>
  <c r="K154" i="3" s="1"/>
  <c r="J154" i="3" a="1"/>
  <c r="J154" i="3"/>
  <c r="G154" i="3" a="1"/>
  <c r="G154" i="3"/>
  <c r="K158" i="3" a="1"/>
  <c r="K158" i="3"/>
  <c r="J158" i="3" a="1"/>
  <c r="J158" i="3" s="1"/>
  <c r="I158" i="3" a="1"/>
  <c r="I158" i="3" s="1"/>
  <c r="G158" i="3" a="1"/>
  <c r="G158" i="3"/>
  <c r="H158" i="3" a="1"/>
  <c r="H158" i="3" s="1"/>
  <c r="J108" i="3" a="1"/>
  <c r="J108" i="3" s="1"/>
  <c r="I108" i="3" a="1"/>
  <c r="I108" i="3"/>
  <c r="H108" i="3" a="1"/>
  <c r="H108" i="3" s="1"/>
  <c r="G108" i="3" a="1"/>
  <c r="G108" i="3"/>
  <c r="K108" i="3" a="1"/>
  <c r="K108" i="3" s="1"/>
  <c r="K118" i="3" a="1"/>
  <c r="K118" i="3" s="1"/>
  <c r="J118" i="3" a="1"/>
  <c r="J118" i="3" s="1"/>
  <c r="I118" i="3" a="1"/>
  <c r="I118" i="3" s="1"/>
  <c r="H118" i="3" a="1"/>
  <c r="H118" i="3" s="1"/>
  <c r="G118" i="3" a="1"/>
  <c r="G118" i="3"/>
  <c r="H123" i="3" a="1"/>
  <c r="H123" i="3"/>
  <c r="G123" i="3" a="1"/>
  <c r="G123" i="3" s="1"/>
  <c r="K123" i="3" a="1"/>
  <c r="K123" i="3" s="1"/>
  <c r="J123" i="3" a="1"/>
  <c r="J123" i="3" s="1"/>
  <c r="I123" i="3" a="1"/>
  <c r="I123" i="3" s="1"/>
  <c r="K122" i="3" a="1"/>
  <c r="K122" i="3" s="1"/>
  <c r="J122" i="3" a="1"/>
  <c r="J122" i="3" s="1"/>
  <c r="I122" i="3" a="1"/>
  <c r="I122" i="3"/>
  <c r="H122" i="3" a="1"/>
  <c r="H122" i="3"/>
  <c r="G122" i="3" a="1"/>
  <c r="G122" i="3"/>
  <c r="K134" i="3" a="1"/>
  <c r="K134" i="3" s="1"/>
  <c r="J134" i="3" a="1"/>
  <c r="J134" i="3" s="1"/>
  <c r="I134" i="3" a="1"/>
  <c r="I134" i="3" s="1"/>
  <c r="H134" i="3" a="1"/>
  <c r="H134" i="3" s="1"/>
  <c r="G134" i="3" a="1"/>
  <c r="G134" i="3" s="1"/>
  <c r="K66" i="3" a="1"/>
  <c r="K66" i="3"/>
  <c r="J66" i="3" a="1"/>
  <c r="J66" i="3"/>
  <c r="I66" i="3" a="1"/>
  <c r="I66" i="3"/>
  <c r="H66" i="3" a="1"/>
  <c r="H66" i="3" s="1"/>
  <c r="G66" i="3" a="1"/>
  <c r="G66" i="3" s="1"/>
  <c r="K76" i="3" a="1"/>
  <c r="K76" i="3" s="1"/>
  <c r="J76" i="3" a="1"/>
  <c r="J76" i="3" s="1"/>
  <c r="I76" i="3" a="1"/>
  <c r="I76" i="3" s="1"/>
  <c r="H76" i="3" a="1"/>
  <c r="H76" i="3"/>
  <c r="G76" i="3" a="1"/>
  <c r="G76" i="3"/>
  <c r="I75" i="3" a="1"/>
  <c r="I75" i="3"/>
  <c r="H75" i="3" a="1"/>
  <c r="H75" i="3" s="1"/>
  <c r="G75" i="3" a="1"/>
  <c r="G75" i="3" s="1"/>
  <c r="K75" i="3" a="1"/>
  <c r="K75" i="3" s="1"/>
  <c r="J75" i="3" a="1"/>
  <c r="J75" i="3" s="1"/>
  <c r="G82" i="3" a="1"/>
  <c r="G82" i="3" s="1"/>
  <c r="K82" i="3" a="1"/>
  <c r="K82" i="3"/>
  <c r="J82" i="3" a="1"/>
  <c r="J82" i="3"/>
  <c r="I82" i="3" a="1"/>
  <c r="I82" i="3" s="1"/>
  <c r="H82" i="3" a="1"/>
  <c r="H82" i="3" s="1"/>
  <c r="J94" i="3" a="1"/>
  <c r="J94" i="3" s="1"/>
  <c r="I94" i="3" a="1"/>
  <c r="I94" i="3" s="1"/>
  <c r="H94" i="3" a="1"/>
  <c r="H94" i="3" s="1"/>
  <c r="G94" i="3" a="1"/>
  <c r="G94" i="3" s="1"/>
  <c r="K94" i="3" a="1"/>
  <c r="K94" i="3"/>
  <c r="K56" i="3" a="1"/>
  <c r="K56" i="3"/>
  <c r="J56" i="3" a="1"/>
  <c r="J56" i="3"/>
  <c r="I56" i="3" a="1"/>
  <c r="I56" i="3" s="1"/>
  <c r="H56" i="3" a="1"/>
  <c r="H56" i="3" s="1"/>
  <c r="G56" i="3" a="1"/>
  <c r="G56" i="3" s="1"/>
  <c r="G44" i="3" a="1"/>
  <c r="G44" i="3" s="1"/>
  <c r="K44" i="3" a="1"/>
  <c r="K44" i="3" s="1"/>
  <c r="J44" i="3" a="1"/>
  <c r="J44" i="3"/>
  <c r="I44" i="3" a="1"/>
  <c r="I44" i="3"/>
  <c r="H44" i="3" a="1"/>
  <c r="H44" i="3"/>
  <c r="K53" i="3" a="1"/>
  <c r="K53" i="3" s="1"/>
  <c r="J53" i="3" a="1"/>
  <c r="J53" i="3" s="1"/>
  <c r="I53" i="3" a="1"/>
  <c r="I53" i="3" s="1"/>
  <c r="H53" i="3" a="1"/>
  <c r="H53" i="3" s="1"/>
  <c r="G53" i="3" a="1"/>
  <c r="G53" i="3" s="1"/>
  <c r="G31" i="3" a="1"/>
  <c r="G31" i="3"/>
  <c r="K31" i="3" a="1"/>
  <c r="K31" i="3"/>
  <c r="J31" i="3" a="1"/>
  <c r="J31" i="3"/>
  <c r="I31" i="3" a="1"/>
  <c r="I31" i="3" s="1"/>
  <c r="H31" i="3" a="1"/>
  <c r="H31" i="3" s="1"/>
  <c r="G24" i="3" a="1"/>
  <c r="G24" i="3" s="1"/>
  <c r="K24" i="3" a="1"/>
  <c r="K24" i="3" s="1"/>
  <c r="J24" i="3" a="1"/>
  <c r="J24" i="3" s="1"/>
  <c r="I24" i="3" a="1"/>
  <c r="I24" i="3"/>
  <c r="H24" i="3" a="1"/>
  <c r="H24" i="3"/>
  <c r="K17" i="3" a="1"/>
  <c r="K17" i="3" s="1"/>
  <c r="J17" i="3" a="1"/>
  <c r="J17" i="3" s="1"/>
  <c r="I17" i="3" a="1"/>
  <c r="I17" i="3" s="1"/>
  <c r="H17" i="3" a="1"/>
  <c r="H17" i="3" s="1"/>
  <c r="G17" i="3" a="1"/>
  <c r="G17" i="3" s="1"/>
  <c r="K977" i="3" a="1"/>
  <c r="K977" i="3" s="1"/>
  <c r="J977" i="3" a="1"/>
  <c r="J977" i="3"/>
  <c r="H977" i="3" a="1"/>
  <c r="H977" i="3"/>
  <c r="G977" i="3" a="1"/>
  <c r="G977" i="3"/>
  <c r="I977" i="3" a="1"/>
  <c r="I977" i="3" s="1"/>
  <c r="J960" i="3" a="1"/>
  <c r="J960" i="3" s="1"/>
  <c r="I960" i="3" a="1"/>
  <c r="I960" i="3" s="1"/>
  <c r="H960" i="3" a="1"/>
  <c r="H960" i="3" s="1"/>
  <c r="G960" i="3" a="1"/>
  <c r="G960" i="3" s="1"/>
  <c r="K960" i="3" a="1"/>
  <c r="K960" i="3" s="1"/>
  <c r="J936" i="3" a="1"/>
  <c r="J936" i="3"/>
  <c r="I936" i="3" a="1"/>
  <c r="I936" i="3"/>
  <c r="H936" i="3" a="1"/>
  <c r="H936" i="3" s="1"/>
  <c r="G936" i="3" a="1"/>
  <c r="G936" i="3" s="1"/>
  <c r="K936" i="3" a="1"/>
  <c r="K936" i="3" s="1"/>
  <c r="G928" i="3" a="1"/>
  <c r="G928" i="3" s="1"/>
  <c r="K928" i="3" a="1"/>
  <c r="K928" i="3" s="1"/>
  <c r="J928" i="3" a="1"/>
  <c r="J928" i="3"/>
  <c r="I928" i="3" a="1"/>
  <c r="I928" i="3"/>
  <c r="H928" i="3" a="1"/>
  <c r="H928" i="3"/>
  <c r="J920" i="3" a="1"/>
  <c r="J920" i="3" s="1"/>
  <c r="I920" i="3" a="1"/>
  <c r="I920" i="3" s="1"/>
  <c r="H920" i="3" a="1"/>
  <c r="H920" i="3" s="1"/>
  <c r="G920" i="3" a="1"/>
  <c r="G920" i="3" s="1"/>
  <c r="K920" i="3" a="1"/>
  <c r="K920" i="3" s="1"/>
  <c r="K912" i="3" a="1"/>
  <c r="K912" i="3"/>
  <c r="J912" i="3" a="1"/>
  <c r="J912" i="3"/>
  <c r="I912" i="3" a="1"/>
  <c r="I912" i="3"/>
  <c r="H912" i="3" a="1"/>
  <c r="H912" i="3" s="1"/>
  <c r="G912" i="3" a="1"/>
  <c r="G912" i="3" s="1"/>
  <c r="H904" i="3" a="1"/>
  <c r="H904" i="3" s="1"/>
  <c r="G904" i="3" a="1"/>
  <c r="G904" i="3" s="1"/>
  <c r="K904" i="3" a="1"/>
  <c r="K904" i="3" s="1"/>
  <c r="J904" i="3" a="1"/>
  <c r="J904" i="3"/>
  <c r="I904" i="3" a="1"/>
  <c r="I904" i="3"/>
  <c r="J896" i="3" a="1"/>
  <c r="J896" i="3"/>
  <c r="I896" i="3" a="1"/>
  <c r="I896" i="3" s="1"/>
  <c r="H896" i="3" a="1"/>
  <c r="H896" i="3" s="1"/>
  <c r="G896" i="3" a="1"/>
  <c r="G896" i="3" s="1"/>
  <c r="K896" i="3" a="1"/>
  <c r="K896" i="3" s="1"/>
  <c r="K888" i="3" a="1"/>
  <c r="K888" i="3" s="1"/>
  <c r="J888" i="3" a="1"/>
  <c r="J888" i="3"/>
  <c r="I888" i="3" a="1"/>
  <c r="I888" i="3"/>
  <c r="H888" i="3" a="1"/>
  <c r="H888" i="3"/>
  <c r="G888" i="3" a="1"/>
  <c r="G888" i="3" s="1"/>
  <c r="J880" i="3" a="1"/>
  <c r="J880" i="3" s="1"/>
  <c r="I880" i="3" a="1"/>
  <c r="I880" i="3" s="1"/>
  <c r="H880" i="3" a="1"/>
  <c r="H880" i="3" s="1"/>
  <c r="G880" i="3" a="1"/>
  <c r="G880" i="3" s="1"/>
  <c r="K880" i="3" a="1"/>
  <c r="K880" i="3"/>
  <c r="K872" i="3" a="1"/>
  <c r="K872" i="3"/>
  <c r="J872" i="3" a="1"/>
  <c r="J872" i="3"/>
  <c r="I872" i="3" a="1"/>
  <c r="I872" i="3" s="1"/>
  <c r="H872" i="3" a="1"/>
  <c r="H872" i="3" s="1"/>
  <c r="G872" i="3" a="1"/>
  <c r="G872" i="3" s="1"/>
  <c r="I827" i="3" a="1"/>
  <c r="I827" i="3" s="1"/>
  <c r="H827" i="3" a="1"/>
  <c r="H827" i="3" s="1"/>
  <c r="G827" i="3" a="1"/>
  <c r="G827" i="3"/>
  <c r="K827" i="3" a="1"/>
  <c r="K827" i="3"/>
  <c r="J827" i="3" a="1"/>
  <c r="J827" i="3"/>
  <c r="K835" i="3" a="1"/>
  <c r="K835" i="3" s="1"/>
  <c r="J835" i="3" a="1"/>
  <c r="J835" i="3" s="1"/>
  <c r="I835" i="3" a="1"/>
  <c r="I835" i="3" s="1"/>
  <c r="H835" i="3" a="1"/>
  <c r="H835" i="3" s="1"/>
  <c r="G835" i="3" a="1"/>
  <c r="G835" i="3" s="1"/>
  <c r="J860" i="3" a="1"/>
  <c r="J860" i="3"/>
  <c r="I860" i="3" a="1"/>
  <c r="I860" i="3"/>
  <c r="H860" i="3" a="1"/>
  <c r="H860" i="3"/>
  <c r="G860" i="3" a="1"/>
  <c r="G860" i="3" s="1"/>
  <c r="K860" i="3" a="1"/>
  <c r="K860" i="3" s="1"/>
  <c r="K847" i="3" a="1"/>
  <c r="K847" i="3" s="1"/>
  <c r="J847" i="3" a="1"/>
  <c r="J847" i="3"/>
  <c r="I847" i="3" a="1"/>
  <c r="I847" i="3" s="1"/>
  <c r="H847" i="3" a="1"/>
  <c r="H847" i="3"/>
  <c r="G847" i="3" a="1"/>
  <c r="G847" i="3"/>
  <c r="H853" i="3" a="1"/>
  <c r="H853" i="3"/>
  <c r="G853" i="3" a="1"/>
  <c r="G853" i="3" s="1"/>
  <c r="K853" i="3" a="1"/>
  <c r="K853" i="3" s="1"/>
  <c r="J853" i="3" a="1"/>
  <c r="J853" i="3" s="1"/>
  <c r="I853" i="3" a="1"/>
  <c r="I853" i="3" s="1"/>
  <c r="K779" i="3" a="1"/>
  <c r="K779" i="3" s="1"/>
  <c r="J779" i="3" a="1"/>
  <c r="J779" i="3"/>
  <c r="I779" i="3" a="1"/>
  <c r="I779" i="3"/>
  <c r="H779" i="3" a="1"/>
  <c r="H779" i="3"/>
  <c r="G779" i="3" a="1"/>
  <c r="G779" i="3" s="1"/>
  <c r="K785" i="3" a="1"/>
  <c r="K785" i="3"/>
  <c r="J785" i="3" a="1"/>
  <c r="J785" i="3" s="1"/>
  <c r="I785" i="3" a="1"/>
  <c r="I785" i="3" s="1"/>
  <c r="H785" i="3" a="1"/>
  <c r="H785" i="3" s="1"/>
  <c r="G785" i="3" a="1"/>
  <c r="G785" i="3"/>
  <c r="K790" i="3" a="1"/>
  <c r="K790" i="3"/>
  <c r="J790" i="3" a="1"/>
  <c r="J790" i="3"/>
  <c r="I790" i="3" a="1"/>
  <c r="I790" i="3" s="1"/>
  <c r="H790" i="3" a="1"/>
  <c r="H790" i="3" s="1"/>
  <c r="G790" i="3" a="1"/>
  <c r="G790" i="3"/>
  <c r="K802" i="3" a="1"/>
  <c r="K802" i="3" s="1"/>
  <c r="J802" i="3" a="1"/>
  <c r="J802" i="3" s="1"/>
  <c r="I802" i="3" a="1"/>
  <c r="I802" i="3"/>
  <c r="H802" i="3" a="1"/>
  <c r="H802" i="3"/>
  <c r="G802" i="3" a="1"/>
  <c r="G802" i="3"/>
  <c r="K811" i="3" a="1"/>
  <c r="K811" i="3" s="1"/>
  <c r="J811" i="3" a="1"/>
  <c r="J811" i="3" s="1"/>
  <c r="I811" i="3" a="1"/>
  <c r="I811" i="3" s="1"/>
  <c r="H811" i="3" a="1"/>
  <c r="H811" i="3"/>
  <c r="G811" i="3" a="1"/>
  <c r="G811" i="3" s="1"/>
  <c r="J818" i="3" a="1"/>
  <c r="J818" i="3"/>
  <c r="I818" i="3" a="1"/>
  <c r="I818" i="3"/>
  <c r="H818" i="3" a="1"/>
  <c r="H818" i="3"/>
  <c r="G818" i="3" a="1"/>
  <c r="G818" i="3" s="1"/>
  <c r="K818" i="3" a="1"/>
  <c r="K818" i="3" s="1"/>
  <c r="K776" i="3" a="1"/>
  <c r="K776" i="3" s="1"/>
  <c r="J776" i="3" a="1"/>
  <c r="J776" i="3" s="1"/>
  <c r="I776" i="3" a="1"/>
  <c r="I776" i="3" s="1"/>
  <c r="H776" i="3" a="1"/>
  <c r="H776" i="3"/>
  <c r="G776" i="3" a="1"/>
  <c r="G776" i="3"/>
  <c r="K765" i="3" a="1"/>
  <c r="K765" i="3"/>
  <c r="J765" i="3" a="1"/>
  <c r="J765" i="3" s="1"/>
  <c r="I765" i="3" a="1"/>
  <c r="I765" i="3"/>
  <c r="H765" i="3" a="1"/>
  <c r="H765" i="3" s="1"/>
  <c r="G765" i="3" a="1"/>
  <c r="G765" i="3" s="1"/>
  <c r="K767" i="3" a="1"/>
  <c r="K767" i="3" s="1"/>
  <c r="J767" i="3" a="1"/>
  <c r="J767" i="3"/>
  <c r="I767" i="3" a="1"/>
  <c r="I767" i="3"/>
  <c r="H767" i="3" a="1"/>
  <c r="H767" i="3"/>
  <c r="G767" i="3" a="1"/>
  <c r="G767" i="3" s="1"/>
  <c r="J753" i="3" a="1"/>
  <c r="J753" i="3" s="1"/>
  <c r="H753" i="3" a="1"/>
  <c r="H753" i="3"/>
  <c r="G753" i="3" a="1"/>
  <c r="G753" i="3" s="1"/>
  <c r="K753" i="3" a="1"/>
  <c r="K753" i="3" s="1"/>
  <c r="I753" i="3" a="1"/>
  <c r="I753" i="3"/>
  <c r="K701" i="3" a="1"/>
  <c r="K701" i="3"/>
  <c r="J701" i="3" a="1"/>
  <c r="J701" i="3"/>
  <c r="I701" i="3" a="1"/>
  <c r="I701" i="3" s="1"/>
  <c r="H701" i="3" a="1"/>
  <c r="H701" i="3" s="1"/>
  <c r="G701" i="3" a="1"/>
  <c r="G701" i="3" s="1"/>
  <c r="I706" i="3" a="1"/>
  <c r="I706" i="3"/>
  <c r="H706" i="3" a="1"/>
  <c r="H706" i="3" s="1"/>
  <c r="G706" i="3" a="1"/>
  <c r="G706" i="3"/>
  <c r="K706" i="3" a="1"/>
  <c r="K706" i="3"/>
  <c r="J706" i="3" a="1"/>
  <c r="J706" i="3"/>
  <c r="K723" i="3" a="1"/>
  <c r="K723" i="3" s="1"/>
  <c r="J723" i="3" a="1"/>
  <c r="J723" i="3" s="1"/>
  <c r="I723" i="3" a="1"/>
  <c r="I723" i="3" s="1"/>
  <c r="H723" i="3" a="1"/>
  <c r="H723" i="3" s="1"/>
  <c r="G723" i="3" a="1"/>
  <c r="G723" i="3" s="1"/>
  <c r="K725" i="3" a="1"/>
  <c r="K725" i="3"/>
  <c r="J725" i="3" a="1"/>
  <c r="J725" i="3"/>
  <c r="I725" i="3" a="1"/>
  <c r="I725" i="3"/>
  <c r="H725" i="3" a="1"/>
  <c r="H725" i="3" s="1"/>
  <c r="G725" i="3" a="1"/>
  <c r="G725" i="3"/>
  <c r="J730" i="3" a="1"/>
  <c r="J730" i="3" s="1"/>
  <c r="I730" i="3" a="1"/>
  <c r="I730" i="3" s="1"/>
  <c r="H730" i="3" a="1"/>
  <c r="H730" i="3" s="1"/>
  <c r="G730" i="3" a="1"/>
  <c r="G730" i="3"/>
  <c r="K730" i="3" a="1"/>
  <c r="K730" i="3"/>
  <c r="J742" i="3" a="1"/>
  <c r="J742" i="3"/>
  <c r="I742" i="3" a="1"/>
  <c r="I742" i="3" s="1"/>
  <c r="H742" i="3" a="1"/>
  <c r="H742" i="3" s="1"/>
  <c r="G742" i="3" a="1"/>
  <c r="G742" i="3"/>
  <c r="K742" i="3" a="1"/>
  <c r="K742" i="3" s="1"/>
  <c r="H747" i="3" a="1"/>
  <c r="H747" i="3" s="1"/>
  <c r="G747" i="3" a="1"/>
  <c r="G747" i="3"/>
  <c r="K747" i="3" a="1"/>
  <c r="K747" i="3"/>
  <c r="J747" i="3" a="1"/>
  <c r="J747" i="3"/>
  <c r="I747" i="3" a="1"/>
  <c r="I747" i="3" s="1"/>
  <c r="J445" i="3" a="1"/>
  <c r="J445" i="3" s="1"/>
  <c r="I445" i="3" a="1"/>
  <c r="I445" i="3" s="1"/>
  <c r="H445" i="3" a="1"/>
  <c r="H445" i="3"/>
  <c r="G445" i="3" a="1"/>
  <c r="G445" i="3" s="1"/>
  <c r="K445" i="3" a="1"/>
  <c r="K445" i="3"/>
  <c r="K449" i="3" a="1"/>
  <c r="K449" i="3"/>
  <c r="J449" i="3" a="1"/>
  <c r="J449" i="3"/>
  <c r="I449" i="3" a="1"/>
  <c r="I449" i="3" s="1"/>
  <c r="H449" i="3" a="1"/>
  <c r="H449" i="3" s="1"/>
  <c r="G449" i="3" a="1"/>
  <c r="G449" i="3" s="1"/>
  <c r="K466" i="3" a="1"/>
  <c r="K466" i="3" s="1"/>
  <c r="J466" i="3" a="1"/>
  <c r="J466" i="3" s="1"/>
  <c r="I466" i="3" a="1"/>
  <c r="I466" i="3"/>
  <c r="H466" i="3" a="1"/>
  <c r="H466" i="3"/>
  <c r="G466" i="3" a="1"/>
  <c r="G466" i="3"/>
  <c r="G469" i="3" a="1"/>
  <c r="G469" i="3" s="1"/>
  <c r="K469" i="3" a="1"/>
  <c r="K469" i="3"/>
  <c r="J469" i="3" a="1"/>
  <c r="J469" i="3" s="1"/>
  <c r="I469" i="3" a="1"/>
  <c r="I469" i="3" s="1"/>
  <c r="H469" i="3" a="1"/>
  <c r="H469" i="3" s="1"/>
  <c r="G539" i="3" a="1"/>
  <c r="G539" i="3"/>
  <c r="K539" i="3" a="1"/>
  <c r="K539" i="3"/>
  <c r="J539" i="3" a="1"/>
  <c r="J539" i="3"/>
  <c r="I539" i="3" a="1"/>
  <c r="I539" i="3" s="1"/>
  <c r="H539" i="3" a="1"/>
  <c r="H539" i="3" s="1"/>
  <c r="J537" i="3" a="1"/>
  <c r="J537" i="3"/>
  <c r="I537" i="3" a="1"/>
  <c r="I537" i="3" s="1"/>
  <c r="H537" i="3" a="1"/>
  <c r="H537" i="3" s="1"/>
  <c r="G537" i="3" a="1"/>
  <c r="G537" i="3"/>
  <c r="K537" i="3" a="1"/>
  <c r="K537" i="3"/>
  <c r="K513" i="3" a="1"/>
  <c r="K513" i="3"/>
  <c r="I513" i="3" a="1"/>
  <c r="I513" i="3" s="1"/>
  <c r="G513" i="3" a="1"/>
  <c r="G513" i="3" s="1"/>
  <c r="J513" i="3" a="1"/>
  <c r="J513" i="3" s="1"/>
  <c r="H513" i="3" a="1"/>
  <c r="H513" i="3"/>
  <c r="J518" i="3" a="1"/>
  <c r="J518" i="3" s="1"/>
  <c r="H518" i="3" a="1"/>
  <c r="H518" i="3"/>
  <c r="G518" i="3" a="1"/>
  <c r="G518" i="3"/>
  <c r="K518" i="3" a="1"/>
  <c r="K518" i="3"/>
  <c r="I518" i="3" a="1"/>
  <c r="I518" i="3" s="1"/>
  <c r="K482" i="3" a="1"/>
  <c r="K482" i="3" s="1"/>
  <c r="J482" i="3" a="1"/>
  <c r="J482" i="3" s="1"/>
  <c r="I482" i="3" a="1"/>
  <c r="I482" i="3" s="1"/>
  <c r="H482" i="3" a="1"/>
  <c r="H482" i="3" s="1"/>
  <c r="G482" i="3" a="1"/>
  <c r="G482" i="3"/>
  <c r="K499" i="3" a="1"/>
  <c r="K499" i="3"/>
  <c r="J499" i="3" a="1"/>
  <c r="J499" i="3"/>
  <c r="I499" i="3" a="1"/>
  <c r="I499" i="3" s="1"/>
  <c r="H499" i="3" a="1"/>
  <c r="H499" i="3" s="1"/>
  <c r="G499" i="3" a="1"/>
  <c r="G499" i="3" s="1"/>
  <c r="I489" i="3" a="1"/>
  <c r="I489" i="3" s="1"/>
  <c r="H489" i="3" a="1"/>
  <c r="H489" i="3" s="1"/>
  <c r="G489" i="3" a="1"/>
  <c r="G489" i="3"/>
  <c r="K489" i="3" a="1"/>
  <c r="K489" i="3"/>
  <c r="J489" i="3" a="1"/>
  <c r="J489" i="3" s="1"/>
  <c r="K501" i="3" a="1"/>
  <c r="K501" i="3" s="1"/>
  <c r="J501" i="3" a="1"/>
  <c r="J501" i="3" s="1"/>
  <c r="I501" i="3" a="1"/>
  <c r="I501" i="3" s="1"/>
  <c r="H501" i="3" a="1"/>
  <c r="H501" i="3" s="1"/>
  <c r="G501" i="3" a="1"/>
  <c r="G501" i="3" s="1"/>
  <c r="K544" i="3" a="1"/>
  <c r="K544" i="3"/>
  <c r="J544" i="3" a="1"/>
  <c r="J544" i="3" s="1"/>
  <c r="I544" i="3" a="1"/>
  <c r="I544" i="3"/>
  <c r="H544" i="3" a="1"/>
  <c r="H544" i="3" s="1"/>
  <c r="G544" i="3" a="1"/>
  <c r="G544" i="3" s="1"/>
  <c r="I549" i="3" a="1"/>
  <c r="I549" i="3"/>
  <c r="H549" i="3" a="1"/>
  <c r="H549" i="3" s="1"/>
  <c r="G549" i="3" a="1"/>
  <c r="G549" i="3" s="1"/>
  <c r="K549" i="3" a="1"/>
  <c r="K549" i="3" s="1"/>
  <c r="J549" i="3" a="1"/>
  <c r="J549" i="3"/>
  <c r="K554" i="3" a="1"/>
  <c r="K554" i="3" s="1"/>
  <c r="J554" i="3" a="1"/>
  <c r="J554" i="3" s="1"/>
  <c r="I554" i="3" a="1"/>
  <c r="I554" i="3" s="1"/>
  <c r="H554" i="3" a="1"/>
  <c r="H554" i="3" s="1"/>
  <c r="G554" i="3" a="1"/>
  <c r="G554" i="3"/>
  <c r="I568" i="3" a="1"/>
  <c r="I568" i="3" s="1"/>
  <c r="H568" i="3" a="1"/>
  <c r="H568" i="3"/>
  <c r="G568" i="3" a="1"/>
  <c r="G568" i="3" s="1"/>
  <c r="K568" i="3" a="1"/>
  <c r="K568" i="3"/>
  <c r="J568" i="3" a="1"/>
  <c r="J568" i="3" s="1"/>
  <c r="H576" i="3" a="1"/>
  <c r="H576" i="3"/>
  <c r="G576" i="3" a="1"/>
  <c r="G576" i="3" s="1"/>
  <c r="K576" i="3" a="1"/>
  <c r="K576" i="3" s="1"/>
  <c r="J576" i="3" a="1"/>
  <c r="J576" i="3" s="1"/>
  <c r="I576" i="3" a="1"/>
  <c r="I576" i="3" s="1"/>
  <c r="J583" i="3" a="1"/>
  <c r="J583" i="3" s="1"/>
  <c r="I583" i="3" a="1"/>
  <c r="I583" i="3" s="1"/>
  <c r="H583" i="3" a="1"/>
  <c r="H583" i="3" s="1"/>
  <c r="G583" i="3" a="1"/>
  <c r="G583" i="3"/>
  <c r="K583" i="3" a="1"/>
  <c r="K583" i="3"/>
  <c r="K590" i="3" a="1"/>
  <c r="K590" i="3" s="1"/>
  <c r="J590" i="3" a="1"/>
  <c r="J590" i="3" s="1"/>
  <c r="I590" i="3" a="1"/>
  <c r="I590" i="3"/>
  <c r="H590" i="3" a="1"/>
  <c r="H590" i="3" s="1"/>
  <c r="G590" i="3" a="1"/>
  <c r="G590" i="3" s="1"/>
  <c r="H598" i="3" a="1"/>
  <c r="H598" i="3" s="1"/>
  <c r="G598" i="3" a="1"/>
  <c r="G598" i="3" s="1"/>
  <c r="K598" i="3" a="1"/>
  <c r="K598" i="3"/>
  <c r="J598" i="3" a="1"/>
  <c r="J598" i="3"/>
  <c r="I598" i="3" a="1"/>
  <c r="I598" i="3" s="1"/>
  <c r="K605" i="3" a="1"/>
  <c r="K605" i="3" s="1"/>
  <c r="J605" i="3" a="1"/>
  <c r="J605" i="3"/>
  <c r="I605" i="3" a="1"/>
  <c r="I605" i="3" s="1"/>
  <c r="H605" i="3" a="1"/>
  <c r="H605" i="3" s="1"/>
  <c r="G605" i="3" a="1"/>
  <c r="G605" i="3"/>
  <c r="G662" i="3" a="1"/>
  <c r="G662" i="3" s="1"/>
  <c r="K662" i="3" a="1"/>
  <c r="K662" i="3"/>
  <c r="J662" i="3" a="1"/>
  <c r="J662" i="3" s="1"/>
  <c r="I662" i="3" a="1"/>
  <c r="I662" i="3" s="1"/>
  <c r="H662" i="3" a="1"/>
  <c r="H662" i="3" s="1"/>
  <c r="H619" i="3" a="1"/>
  <c r="H619" i="3"/>
  <c r="G619" i="3" a="1"/>
  <c r="G619" i="3" s="1"/>
  <c r="K619" i="3" a="1"/>
  <c r="K619" i="3"/>
  <c r="J619" i="3" a="1"/>
  <c r="J619" i="3"/>
  <c r="I619" i="3" a="1"/>
  <c r="I619" i="3" s="1"/>
  <c r="K633" i="3" a="1"/>
  <c r="K633" i="3" s="1"/>
  <c r="J633" i="3" a="1"/>
  <c r="J633" i="3" s="1"/>
  <c r="H633" i="3" a="1"/>
  <c r="H633" i="3" s="1"/>
  <c r="G633" i="3" a="1"/>
  <c r="G633" i="3" s="1"/>
  <c r="I633" i="3" a="1"/>
  <c r="I633" i="3" s="1"/>
  <c r="K632" i="3" a="1"/>
  <c r="K632" i="3" s="1"/>
  <c r="J632" i="3" a="1"/>
  <c r="J632" i="3"/>
  <c r="I632" i="3" a="1"/>
  <c r="I632" i="3"/>
  <c r="G632" i="3" a="1"/>
  <c r="G632" i="3" s="1"/>
  <c r="H632" i="3" a="1"/>
  <c r="H632" i="3"/>
  <c r="K644" i="3" a="1"/>
  <c r="K644" i="3" s="1"/>
  <c r="J644" i="3" a="1"/>
  <c r="J644" i="3" s="1"/>
  <c r="I644" i="3" a="1"/>
  <c r="I644" i="3" s="1"/>
  <c r="H644" i="3" a="1"/>
  <c r="H644" i="3"/>
  <c r="G644" i="3" a="1"/>
  <c r="G644" i="3" s="1"/>
  <c r="I660" i="3" a="1"/>
  <c r="I660" i="3"/>
  <c r="H660" i="3" a="1"/>
  <c r="H660" i="3" s="1"/>
  <c r="G660" i="3" a="1"/>
  <c r="G660" i="3" s="1"/>
  <c r="K660" i="3" a="1"/>
  <c r="K660" i="3"/>
  <c r="J660" i="3" a="1"/>
  <c r="J660" i="3" s="1"/>
  <c r="I646" i="3" a="1"/>
  <c r="I646" i="3" s="1"/>
  <c r="H646" i="3" a="1"/>
  <c r="H646" i="3"/>
  <c r="G646" i="3" a="1"/>
  <c r="G646" i="3"/>
  <c r="K646" i="3" a="1"/>
  <c r="K646" i="3" s="1"/>
  <c r="J646" i="3" a="1"/>
  <c r="J646" i="3" s="1"/>
  <c r="I677" i="3" a="1"/>
  <c r="I677" i="3" s="1"/>
  <c r="H677" i="3" a="1"/>
  <c r="H677" i="3" s="1"/>
  <c r="G677" i="3" a="1"/>
  <c r="G677" i="3"/>
  <c r="K677" i="3" a="1"/>
  <c r="K677" i="3" s="1"/>
  <c r="J677" i="3" a="1"/>
  <c r="J677" i="3"/>
  <c r="K670" i="3" a="1"/>
  <c r="K670" i="3"/>
  <c r="J670" i="3" a="1"/>
  <c r="J670" i="3"/>
  <c r="I670" i="3" a="1"/>
  <c r="I670" i="3" s="1"/>
  <c r="H670" i="3" a="1"/>
  <c r="H670" i="3" s="1"/>
  <c r="G670" i="3" a="1"/>
  <c r="G670" i="3" s="1"/>
  <c r="K690" i="3" a="1"/>
  <c r="K690" i="3" s="1"/>
  <c r="J690" i="3" a="1"/>
  <c r="J690" i="3" s="1"/>
  <c r="I690" i="3" a="1"/>
  <c r="I690" i="3" s="1"/>
  <c r="H690" i="3" a="1"/>
  <c r="H690" i="3"/>
  <c r="G690" i="3" a="1"/>
  <c r="G690" i="3"/>
  <c r="K440" i="3" a="1"/>
  <c r="K440" i="3" s="1"/>
  <c r="J440" i="3" a="1"/>
  <c r="J440" i="3"/>
  <c r="I440" i="3" a="1"/>
  <c r="I440" i="3" s="1"/>
  <c r="H440" i="3" a="1"/>
  <c r="H440" i="3" s="1"/>
  <c r="G440" i="3" a="1"/>
  <c r="G440" i="3" s="1"/>
  <c r="G432" i="3" a="1"/>
  <c r="G432" i="3"/>
  <c r="K432" i="3" a="1"/>
  <c r="K432" i="3" s="1"/>
  <c r="J432" i="3" a="1"/>
  <c r="J432" i="3"/>
  <c r="I432" i="3" a="1"/>
  <c r="I432" i="3" s="1"/>
  <c r="H432" i="3" a="1"/>
  <c r="H432" i="3" s="1"/>
  <c r="K406" i="3" a="1"/>
  <c r="K406" i="3"/>
  <c r="J406" i="3" a="1"/>
  <c r="J406" i="3" s="1"/>
  <c r="I406" i="3" a="1"/>
  <c r="I406" i="3" s="1"/>
  <c r="H406" i="3" a="1"/>
  <c r="H406" i="3"/>
  <c r="G406" i="3" a="1"/>
  <c r="G406" i="3"/>
  <c r="K412" i="3" a="1"/>
  <c r="K412" i="3" s="1"/>
  <c r="J412" i="3" a="1"/>
  <c r="J412" i="3" s="1"/>
  <c r="I412" i="3" a="1"/>
  <c r="I412" i="3" s="1"/>
  <c r="H412" i="3" a="1"/>
  <c r="H412" i="3" s="1"/>
  <c r="G412" i="3" a="1"/>
  <c r="G412" i="3"/>
  <c r="I421" i="3" a="1"/>
  <c r="I421" i="3" s="1"/>
  <c r="H421" i="3" a="1"/>
  <c r="H421" i="3"/>
  <c r="G421" i="3" a="1"/>
  <c r="G421" i="3"/>
  <c r="K421" i="3" a="1"/>
  <c r="K421" i="3"/>
  <c r="J421" i="3" a="1"/>
  <c r="J421" i="3" s="1"/>
  <c r="J400" i="3" a="1"/>
  <c r="J400" i="3" s="1"/>
  <c r="I400" i="3" a="1"/>
  <c r="I400" i="3" s="1"/>
  <c r="H400" i="3" a="1"/>
  <c r="H400" i="3" s="1"/>
  <c r="G400" i="3" a="1"/>
  <c r="G400" i="3" s="1"/>
  <c r="K400" i="3" a="1"/>
  <c r="K400" i="3" s="1"/>
  <c r="I367" i="3" a="1"/>
  <c r="I367" i="3"/>
  <c r="H367" i="3" a="1"/>
  <c r="H367" i="3"/>
  <c r="G367" i="3" a="1"/>
  <c r="G367" i="3" s="1"/>
  <c r="K367" i="3" a="1"/>
  <c r="K367" i="3"/>
  <c r="J367" i="3" a="1"/>
  <c r="J367" i="3" s="1"/>
  <c r="J370" i="3" a="1"/>
  <c r="J370" i="3" s="1"/>
  <c r="I370" i="3" a="1"/>
  <c r="I370" i="3" s="1"/>
  <c r="H370" i="3" a="1"/>
  <c r="H370" i="3"/>
  <c r="G370" i="3" a="1"/>
  <c r="G370" i="3" s="1"/>
  <c r="K370" i="3" a="1"/>
  <c r="K370" i="3"/>
  <c r="K380" i="3" a="1"/>
  <c r="K380" i="3" s="1"/>
  <c r="J380" i="3" a="1"/>
  <c r="J380" i="3" s="1"/>
  <c r="I380" i="3" a="1"/>
  <c r="I380" i="3"/>
  <c r="H380" i="3" a="1"/>
  <c r="H380" i="3" s="1"/>
  <c r="G380" i="3" a="1"/>
  <c r="G380" i="3" s="1"/>
  <c r="H382" i="3" a="1"/>
  <c r="H382" i="3"/>
  <c r="K382" i="3" a="1"/>
  <c r="K382" i="3"/>
  <c r="J382" i="3" a="1"/>
  <c r="J382" i="3" s="1"/>
  <c r="I382" i="3" a="1"/>
  <c r="I382" i="3" s="1"/>
  <c r="G382" i="3" a="1"/>
  <c r="G382" i="3" s="1"/>
  <c r="H352" i="3" a="1"/>
  <c r="H352" i="3" s="1"/>
  <c r="G352" i="3" a="1"/>
  <c r="G352" i="3"/>
  <c r="K352" i="3" a="1"/>
  <c r="K352" i="3" s="1"/>
  <c r="J352" i="3" a="1"/>
  <c r="J352" i="3"/>
  <c r="I352" i="3" a="1"/>
  <c r="I352" i="3"/>
  <c r="K357" i="3" a="1"/>
  <c r="K357" i="3"/>
  <c r="J357" i="3" a="1"/>
  <c r="J357" i="3" s="1"/>
  <c r="I357" i="3" a="1"/>
  <c r="I357" i="3" s="1"/>
  <c r="H357" i="3" a="1"/>
  <c r="H357" i="3" s="1"/>
  <c r="G357" i="3" a="1"/>
  <c r="G357" i="3" s="1"/>
  <c r="K348" i="3" a="1"/>
  <c r="K348" i="3" s="1"/>
  <c r="J348" i="3" a="1"/>
  <c r="J348" i="3" s="1"/>
  <c r="I348" i="3" a="1"/>
  <c r="I348" i="3"/>
  <c r="H348" i="3" a="1"/>
  <c r="H348" i="3"/>
  <c r="G348" i="3" a="1"/>
  <c r="G348" i="3" s="1"/>
  <c r="K342" i="3" a="1"/>
  <c r="K342" i="3"/>
  <c r="J342" i="3" a="1"/>
  <c r="J342" i="3" s="1"/>
  <c r="I342" i="3" a="1"/>
  <c r="I342" i="3" s="1"/>
  <c r="H342" i="3" a="1"/>
  <c r="H342" i="3" s="1"/>
  <c r="G342" i="3" a="1"/>
  <c r="G342" i="3"/>
  <c r="K334" i="3" a="1"/>
  <c r="K334" i="3" s="1"/>
  <c r="J334" i="3" a="1"/>
  <c r="J334" i="3"/>
  <c r="I334" i="3" a="1"/>
  <c r="I334" i="3" s="1"/>
  <c r="H334" i="3" a="1"/>
  <c r="H334" i="3" s="1"/>
  <c r="G334" i="3" a="1"/>
  <c r="G334" i="3"/>
  <c r="H322" i="3" a="1"/>
  <c r="H322" i="3" s="1"/>
  <c r="G322" i="3" a="1"/>
  <c r="G322" i="3" s="1"/>
  <c r="K322" i="3" a="1"/>
  <c r="K322" i="3"/>
  <c r="J322" i="3" a="1"/>
  <c r="J322" i="3"/>
  <c r="I322" i="3" a="1"/>
  <c r="I322" i="3" s="1"/>
  <c r="H325" i="3" a="1"/>
  <c r="H325" i="3" s="1"/>
  <c r="G325" i="3" a="1"/>
  <c r="G325" i="3" s="1"/>
  <c r="K325" i="3" a="1"/>
  <c r="K325" i="3" s="1"/>
  <c r="J325" i="3" a="1"/>
  <c r="J325" i="3"/>
  <c r="I325" i="3" a="1"/>
  <c r="I325" i="3" s="1"/>
  <c r="J298" i="3" a="1"/>
  <c r="J298" i="3"/>
  <c r="I298" i="3" a="1"/>
  <c r="I298" i="3"/>
  <c r="H298" i="3" a="1"/>
  <c r="H298" i="3"/>
  <c r="G298" i="3" a="1"/>
  <c r="G298" i="3" s="1"/>
  <c r="K298" i="3" a="1"/>
  <c r="K298" i="3" s="1"/>
  <c r="I308" i="3" a="1"/>
  <c r="I308" i="3" s="1"/>
  <c r="H308" i="3" a="1"/>
  <c r="H308" i="3" s="1"/>
  <c r="G308" i="3" a="1"/>
  <c r="G308" i="3" s="1"/>
  <c r="K308" i="3" a="1"/>
  <c r="K308" i="3" s="1"/>
  <c r="J308" i="3" a="1"/>
  <c r="J308" i="3"/>
  <c r="H263" i="3" a="1"/>
  <c r="H263" i="3"/>
  <c r="G263" i="3" a="1"/>
  <c r="G263" i="3" s="1"/>
  <c r="K263" i="3" a="1"/>
  <c r="K263" i="3"/>
  <c r="J263" i="3" a="1"/>
  <c r="J263" i="3" s="1"/>
  <c r="I263" i="3" a="1"/>
  <c r="I263" i="3" s="1"/>
  <c r="G271" i="3" a="1"/>
  <c r="G271" i="3" s="1"/>
  <c r="K271" i="3" a="1"/>
  <c r="K271" i="3"/>
  <c r="J271" i="3" a="1"/>
  <c r="J271" i="3" s="1"/>
  <c r="I271" i="3" a="1"/>
  <c r="I271" i="3"/>
  <c r="H271" i="3" a="1"/>
  <c r="H271" i="3" s="1"/>
  <c r="K291" i="3" a="1"/>
  <c r="K291" i="3" s="1"/>
  <c r="J291" i="3" a="1"/>
  <c r="J291" i="3"/>
  <c r="I291" i="3" a="1"/>
  <c r="I291" i="3" s="1"/>
  <c r="H291" i="3" a="1"/>
  <c r="H291" i="3" s="1"/>
  <c r="G291" i="3" a="1"/>
  <c r="G291" i="3"/>
  <c r="G282" i="3" a="1"/>
  <c r="G282" i="3"/>
  <c r="K282" i="3" a="1"/>
  <c r="K282" i="3" s="1"/>
  <c r="J282" i="3" a="1"/>
  <c r="J282" i="3" s="1"/>
  <c r="I282" i="3" a="1"/>
  <c r="I282" i="3" s="1"/>
  <c r="H282" i="3" a="1"/>
  <c r="H282" i="3" s="1"/>
  <c r="J257" i="3" a="1"/>
  <c r="J257" i="3"/>
  <c r="I257" i="3" a="1"/>
  <c r="I257" i="3" s="1"/>
  <c r="H257" i="3" a="1"/>
  <c r="H257" i="3"/>
  <c r="G257" i="3" a="1"/>
  <c r="G257" i="3"/>
  <c r="K257" i="3" a="1"/>
  <c r="K257" i="3"/>
  <c r="J245" i="3" a="1"/>
  <c r="J245" i="3" s="1"/>
  <c r="I245" i="3" a="1"/>
  <c r="I245" i="3" s="1"/>
  <c r="H245" i="3" a="1"/>
  <c r="H245" i="3" s="1"/>
  <c r="G245" i="3" a="1"/>
  <c r="G245" i="3" s="1"/>
  <c r="K245" i="3" a="1"/>
  <c r="K245" i="3" s="1"/>
  <c r="K239" i="3" a="1"/>
  <c r="K239" i="3" s="1"/>
  <c r="J239" i="3" a="1"/>
  <c r="J239" i="3"/>
  <c r="I239" i="3" a="1"/>
  <c r="I239" i="3"/>
  <c r="H239" i="3" a="1"/>
  <c r="H239" i="3" s="1"/>
  <c r="G239" i="3" a="1"/>
  <c r="G239" i="3"/>
  <c r="K235" i="3" a="1"/>
  <c r="K235" i="3" s="1"/>
  <c r="J235" i="3" a="1"/>
  <c r="J235" i="3" s="1"/>
  <c r="I235" i="3" a="1"/>
  <c r="I235" i="3" s="1"/>
  <c r="H235" i="3" a="1"/>
  <c r="H235" i="3"/>
  <c r="G235" i="3" a="1"/>
  <c r="G235" i="3" s="1"/>
  <c r="K227" i="3" a="1"/>
  <c r="K227" i="3"/>
  <c r="J227" i="3" a="1"/>
  <c r="J227" i="3" s="1"/>
  <c r="I227" i="3" a="1"/>
  <c r="I227" i="3" s="1"/>
  <c r="H227" i="3" a="1"/>
  <c r="H227" i="3"/>
  <c r="G227" i="3" a="1"/>
  <c r="G227" i="3" s="1"/>
  <c r="I218" i="3" a="1"/>
  <c r="I218" i="3" s="1"/>
  <c r="H218" i="3" a="1"/>
  <c r="H218" i="3"/>
  <c r="G218" i="3" a="1"/>
  <c r="G218" i="3"/>
  <c r="K218" i="3" a="1"/>
  <c r="K218" i="3" s="1"/>
  <c r="J218" i="3" a="1"/>
  <c r="J218" i="3" s="1"/>
  <c r="I177" i="3" a="1"/>
  <c r="I177" i="3" s="1"/>
  <c r="H177" i="3" a="1"/>
  <c r="H177" i="3" s="1"/>
  <c r="G177" i="3" a="1"/>
  <c r="G177" i="3"/>
  <c r="K177" i="3" a="1"/>
  <c r="K177" i="3" s="1"/>
  <c r="J177" i="3" a="1"/>
  <c r="J177" i="3"/>
  <c r="G185" i="3" a="1"/>
  <c r="G185" i="3"/>
  <c r="K185" i="3" a="1"/>
  <c r="K185" i="3"/>
  <c r="J185" i="3" a="1"/>
  <c r="J185" i="3" s="1"/>
  <c r="I185" i="3" a="1"/>
  <c r="I185" i="3" s="1"/>
  <c r="H185" i="3" a="1"/>
  <c r="H185" i="3" s="1"/>
  <c r="H193" i="3" a="1"/>
  <c r="H193" i="3" s="1"/>
  <c r="G193" i="3" a="1"/>
  <c r="G193" i="3" s="1"/>
  <c r="K193" i="3" a="1"/>
  <c r="K193" i="3" s="1"/>
  <c r="J193" i="3" a="1"/>
  <c r="J193" i="3"/>
  <c r="I193" i="3" a="1"/>
  <c r="I193" i="3"/>
  <c r="K201" i="3" a="1"/>
  <c r="K201" i="3" s="1"/>
  <c r="J201" i="3" a="1"/>
  <c r="J201" i="3"/>
  <c r="I201" i="3" a="1"/>
  <c r="I201" i="3" s="1"/>
  <c r="H201" i="3" a="1"/>
  <c r="H201" i="3" s="1"/>
  <c r="G201" i="3" a="1"/>
  <c r="G201" i="3" s="1"/>
  <c r="K209" i="3" a="1"/>
  <c r="K209" i="3"/>
  <c r="J209" i="3" a="1"/>
  <c r="J209" i="3" s="1"/>
  <c r="I209" i="3" a="1"/>
  <c r="I209" i="3"/>
  <c r="H209" i="3" a="1"/>
  <c r="H209" i="3" s="1"/>
  <c r="G209" i="3" a="1"/>
  <c r="G209" i="3" s="1"/>
  <c r="H172" i="3" a="1"/>
  <c r="H172" i="3"/>
  <c r="G172" i="3" a="1"/>
  <c r="G172" i="3" s="1"/>
  <c r="K172" i="3" a="1"/>
  <c r="K172" i="3" s="1"/>
  <c r="J172" i="3" a="1"/>
  <c r="J172" i="3"/>
  <c r="I172" i="3" a="1"/>
  <c r="I172" i="3"/>
  <c r="K145" i="3" a="1"/>
  <c r="K145" i="3" s="1"/>
  <c r="J145" i="3" a="1"/>
  <c r="J145" i="3" s="1"/>
  <c r="I145" i="3" a="1"/>
  <c r="I145" i="3" s="1"/>
  <c r="H145" i="3" a="1"/>
  <c r="H145" i="3" s="1"/>
  <c r="G145" i="3" a="1"/>
  <c r="G145" i="3"/>
  <c r="G155" i="3" a="1"/>
  <c r="G155" i="3" s="1"/>
  <c r="K155" i="3" a="1"/>
  <c r="K155" i="3"/>
  <c r="J155" i="3" a="1"/>
  <c r="J155" i="3"/>
  <c r="I155" i="3" a="1"/>
  <c r="I155" i="3" s="1"/>
  <c r="H155" i="3" a="1"/>
  <c r="H155" i="3" s="1"/>
  <c r="H162" i="3" a="1"/>
  <c r="H162" i="3" s="1"/>
  <c r="G162" i="3" a="1"/>
  <c r="G162" i="3" s="1"/>
  <c r="I162" i="3" a="1"/>
  <c r="I162" i="3"/>
  <c r="K162" i="3" a="1"/>
  <c r="K162" i="3" s="1"/>
  <c r="J162" i="3" a="1"/>
  <c r="J162" i="3" s="1"/>
  <c r="I105" i="3" a="1"/>
  <c r="I105" i="3"/>
  <c r="H105" i="3" a="1"/>
  <c r="H105" i="3"/>
  <c r="G105" i="3" a="1"/>
  <c r="G105" i="3" s="1"/>
  <c r="K105" i="3" a="1"/>
  <c r="K105" i="3"/>
  <c r="J105" i="3" a="1"/>
  <c r="J105" i="3" s="1"/>
  <c r="K113" i="3" a="1"/>
  <c r="K113" i="3" s="1"/>
  <c r="J113" i="3" a="1"/>
  <c r="J113" i="3" s="1"/>
  <c r="I113" i="3" a="1"/>
  <c r="I113" i="3" s="1"/>
  <c r="H113" i="3" a="1"/>
  <c r="H113" i="3" s="1"/>
  <c r="G113" i="3" a="1"/>
  <c r="G113" i="3"/>
  <c r="K130" i="3" a="1"/>
  <c r="K130" i="3" s="1"/>
  <c r="J130" i="3" a="1"/>
  <c r="J130" i="3"/>
  <c r="I130" i="3" a="1"/>
  <c r="I130" i="3"/>
  <c r="H130" i="3" a="1"/>
  <c r="H130" i="3" s="1"/>
  <c r="G130" i="3" a="1"/>
  <c r="G130" i="3" s="1"/>
  <c r="G115" i="3" a="1"/>
  <c r="G115" i="3"/>
  <c r="K115" i="3" a="1"/>
  <c r="K115" i="3" s="1"/>
  <c r="J115" i="3" a="1"/>
  <c r="J115" i="3" s="1"/>
  <c r="I115" i="3" a="1"/>
  <c r="I115" i="3" s="1"/>
  <c r="H115" i="3" a="1"/>
  <c r="H115" i="3" s="1"/>
  <c r="G135" i="3" a="1"/>
  <c r="G135" i="3"/>
  <c r="K135" i="3" a="1"/>
  <c r="K135" i="3"/>
  <c r="J135" i="3" a="1"/>
  <c r="J135" i="3" s="1"/>
  <c r="I135" i="3" a="1"/>
  <c r="I135" i="3"/>
  <c r="H135" i="3" a="1"/>
  <c r="H135" i="3"/>
  <c r="G67" i="3" a="1"/>
  <c r="G67" i="3" s="1"/>
  <c r="K67" i="3" a="1"/>
  <c r="K67" i="3" s="1"/>
  <c r="J67" i="3" a="1"/>
  <c r="J67" i="3" s="1"/>
  <c r="I67" i="3" a="1"/>
  <c r="I67" i="3" s="1"/>
  <c r="H67" i="3" a="1"/>
  <c r="H67" i="3"/>
  <c r="K74" i="3" a="1"/>
  <c r="K74" i="3" s="1"/>
  <c r="J74" i="3" a="1"/>
  <c r="J74" i="3" s="1"/>
  <c r="I74" i="3" a="1"/>
  <c r="I74" i="3"/>
  <c r="H74" i="3" a="1"/>
  <c r="H74" i="3"/>
  <c r="G74" i="3" a="1"/>
  <c r="G74" i="3" s="1"/>
  <c r="H93" i="3" a="1"/>
  <c r="H93" i="3"/>
  <c r="G93" i="3" a="1"/>
  <c r="G93" i="3" s="1"/>
  <c r="K93" i="3" a="1"/>
  <c r="K93" i="3" s="1"/>
  <c r="J93" i="3" a="1"/>
  <c r="J93" i="3" s="1"/>
  <c r="I93" i="3" a="1"/>
  <c r="I93" i="3" s="1"/>
  <c r="J91" i="3" a="1"/>
  <c r="J91" i="3" s="1"/>
  <c r="I91" i="3" a="1"/>
  <c r="I91" i="3"/>
  <c r="H91" i="3" a="1"/>
  <c r="H91" i="3" s="1"/>
  <c r="G91" i="3" a="1"/>
  <c r="G91" i="3"/>
  <c r="K91" i="3" a="1"/>
  <c r="K91" i="3"/>
  <c r="K96" i="3" a="1"/>
  <c r="K96" i="3" s="1"/>
  <c r="J96" i="3" a="1"/>
  <c r="J96" i="3" s="1"/>
  <c r="I96" i="3" a="1"/>
  <c r="I96" i="3"/>
  <c r="H96" i="3" a="1"/>
  <c r="H96" i="3" s="1"/>
  <c r="G96" i="3" a="1"/>
  <c r="G96" i="3" s="1"/>
  <c r="I58" i="3" a="1"/>
  <c r="I58" i="3" s="1"/>
  <c r="H58" i="3" a="1"/>
  <c r="H58" i="3" s="1"/>
  <c r="G58" i="3" a="1"/>
  <c r="G58" i="3"/>
  <c r="K58" i="3" a="1"/>
  <c r="K58" i="3"/>
  <c r="J58" i="3" a="1"/>
  <c r="J58" i="3" s="1"/>
  <c r="K50" i="3" a="1"/>
  <c r="K50" i="3"/>
  <c r="J50" i="3" a="1"/>
  <c r="J50" i="3"/>
  <c r="I50" i="3" a="1"/>
  <c r="I50" i="3" s="1"/>
  <c r="H50" i="3" a="1"/>
  <c r="H50" i="3" s="1"/>
  <c r="G50" i="3" a="1"/>
  <c r="G50" i="3" s="1"/>
  <c r="J39" i="3" a="1"/>
  <c r="J39" i="3" s="1"/>
  <c r="I39" i="3" a="1"/>
  <c r="I39" i="3"/>
  <c r="H39" i="3" a="1"/>
  <c r="H39" i="3" s="1"/>
  <c r="G39" i="3" a="1"/>
  <c r="G39" i="3"/>
  <c r="K39" i="3" a="1"/>
  <c r="K39" i="3"/>
  <c r="I32" i="3" a="1"/>
  <c r="I32" i="3"/>
  <c r="H32" i="3" a="1"/>
  <c r="H32" i="3" s="1"/>
  <c r="G32" i="3" a="1"/>
  <c r="G32" i="3" s="1"/>
  <c r="K32" i="3" a="1"/>
  <c r="K32" i="3" s="1"/>
  <c r="J32" i="3" a="1"/>
  <c r="J32" i="3" s="1"/>
  <c r="I28" i="3" a="1"/>
  <c r="I28" i="3" s="1"/>
  <c r="H28" i="3" a="1"/>
  <c r="H28" i="3" s="1"/>
  <c r="G28" i="3" a="1"/>
  <c r="G28" i="3" s="1"/>
  <c r="K28" i="3" a="1"/>
  <c r="K28" i="3"/>
  <c r="J28" i="3" a="1"/>
  <c r="J28" i="3"/>
  <c r="J16" i="3" a="1"/>
  <c r="J16" i="3" s="1"/>
  <c r="I16" i="3" a="1"/>
  <c r="I16" i="3" s="1"/>
  <c r="H16" i="3" a="1"/>
  <c r="H16" i="3"/>
  <c r="G16" i="3" a="1"/>
  <c r="G16" i="3" s="1"/>
  <c r="K16" i="3" a="1"/>
  <c r="K16" i="3"/>
  <c r="G8" i="3" a="1"/>
  <c r="G8" i="3"/>
  <c r="K8" i="3" a="1"/>
  <c r="K8" i="3" s="1"/>
  <c r="J8" i="3" a="1"/>
  <c r="J8" i="3" s="1"/>
  <c r="I8" i="3" a="1"/>
  <c r="I8" i="3" s="1"/>
  <c r="H8" i="3" a="1"/>
  <c r="H8" i="3" s="1"/>
  <c r="H992" i="3" a="1"/>
  <c r="H992" i="3" s="1"/>
  <c r="G992" i="3" a="1"/>
  <c r="G992" i="3" s="1"/>
  <c r="K992" i="3" a="1"/>
  <c r="K992" i="3" s="1"/>
  <c r="J992" i="3" a="1"/>
  <c r="J992" i="3"/>
  <c r="I992" i="3" a="1"/>
  <c r="I992" i="3"/>
  <c r="K991" i="3" a="1"/>
  <c r="K991" i="3" s="1"/>
  <c r="J991" i="3" a="1"/>
  <c r="J991" i="3"/>
  <c r="I991" i="3" a="1"/>
  <c r="I991" i="3" s="1"/>
  <c r="H991" i="3" a="1"/>
  <c r="H991" i="3" s="1"/>
  <c r="G991" i="3" a="1"/>
  <c r="G991" i="3" s="1"/>
  <c r="H975" i="3" a="1"/>
  <c r="H975" i="3" s="1"/>
  <c r="G975" i="3" a="1"/>
  <c r="G975" i="3" s="1"/>
  <c r="J975" i="3" a="1"/>
  <c r="J975" i="3"/>
  <c r="K975" i="3" a="1"/>
  <c r="K975" i="3" s="1"/>
  <c r="I975" i="3" a="1"/>
  <c r="I975" i="3" s="1"/>
  <c r="I967" i="3" a="1"/>
  <c r="I967" i="3"/>
  <c r="H967" i="3" a="1"/>
  <c r="H967" i="3" s="1"/>
  <c r="G967" i="3" a="1"/>
  <c r="G967" i="3" s="1"/>
  <c r="K967" i="3" a="1"/>
  <c r="K967" i="3"/>
  <c r="J967" i="3" a="1"/>
  <c r="J967" i="3" s="1"/>
  <c r="I959" i="3" a="1"/>
  <c r="I959" i="3" s="1"/>
  <c r="H959" i="3" a="1"/>
  <c r="H959" i="3" s="1"/>
  <c r="G959" i="3" a="1"/>
  <c r="G959" i="3" s="1"/>
  <c r="K959" i="3" a="1"/>
  <c r="K959" i="3" s="1"/>
  <c r="J959" i="3" a="1"/>
  <c r="J959" i="3"/>
  <c r="K951" i="3" a="1"/>
  <c r="K951" i="3" s="1"/>
  <c r="J951" i="3" a="1"/>
  <c r="J951" i="3"/>
  <c r="I951" i="3" a="1"/>
  <c r="I951" i="3"/>
  <c r="H951" i="3" a="1"/>
  <c r="H951" i="3" s="1"/>
  <c r="G951" i="3" a="1"/>
  <c r="G951" i="3" s="1"/>
  <c r="K943" i="3" a="1"/>
  <c r="K943" i="3" s="1"/>
  <c r="J943" i="3" a="1"/>
  <c r="J943" i="3" s="1"/>
  <c r="I943" i="3" a="1"/>
  <c r="I943" i="3" s="1"/>
  <c r="H943" i="3" a="1"/>
  <c r="H943" i="3" s="1"/>
  <c r="G943" i="3" a="1"/>
  <c r="G943" i="3" s="1"/>
  <c r="H935" i="3" a="1"/>
  <c r="H935" i="3"/>
  <c r="G935" i="3" a="1"/>
  <c r="G935" i="3"/>
  <c r="K935" i="3" a="1"/>
  <c r="K935" i="3" s="1"/>
  <c r="J935" i="3" a="1"/>
  <c r="J935" i="3"/>
  <c r="I935" i="3" a="1"/>
  <c r="I935" i="3" s="1"/>
  <c r="K927" i="3" a="1"/>
  <c r="K927" i="3" s="1"/>
  <c r="J927" i="3" a="1"/>
  <c r="J927" i="3" s="1"/>
  <c r="I927" i="3" a="1"/>
  <c r="I927" i="3" s="1"/>
  <c r="H927" i="3" a="1"/>
  <c r="H927" i="3" s="1"/>
  <c r="G927" i="3" a="1"/>
  <c r="G927" i="3"/>
  <c r="G919" i="3" a="1"/>
  <c r="G919" i="3" s="1"/>
  <c r="K919" i="3" a="1"/>
  <c r="K919" i="3" s="1"/>
  <c r="J919" i="3" a="1"/>
  <c r="J919" i="3"/>
  <c r="I919" i="3" a="1"/>
  <c r="I919" i="3" s="1"/>
  <c r="H919" i="3" a="1"/>
  <c r="H919" i="3" s="1"/>
  <c r="K911" i="3" a="1"/>
  <c r="K911" i="3"/>
  <c r="J911" i="3" a="1"/>
  <c r="J911" i="3" s="1"/>
  <c r="I911" i="3" a="1"/>
  <c r="I911" i="3" s="1"/>
  <c r="H911" i="3" a="1"/>
  <c r="H911" i="3" s="1"/>
  <c r="G911" i="3" a="1"/>
  <c r="G911" i="3" s="1"/>
  <c r="K903" i="3" a="1"/>
  <c r="K903" i="3" s="1"/>
  <c r="J903" i="3" a="1"/>
  <c r="J903" i="3"/>
  <c r="I903" i="3" a="1"/>
  <c r="I903" i="3" s="1"/>
  <c r="H903" i="3" a="1"/>
  <c r="H903" i="3"/>
  <c r="G903" i="3" a="1"/>
  <c r="G903" i="3"/>
  <c r="G895" i="3" a="1"/>
  <c r="G895" i="3" s="1"/>
  <c r="K895" i="3" a="1"/>
  <c r="K895" i="3" s="1"/>
  <c r="J895" i="3" a="1"/>
  <c r="J895" i="3" s="1"/>
  <c r="I895" i="3" a="1"/>
  <c r="I895" i="3" s="1"/>
  <c r="H895" i="3" a="1"/>
  <c r="H895" i="3" s="1"/>
  <c r="K887" i="3" a="1"/>
  <c r="K887" i="3" s="1"/>
  <c r="J887" i="3" a="1"/>
  <c r="J887" i="3" s="1"/>
  <c r="I887" i="3" a="1"/>
  <c r="I887" i="3"/>
  <c r="H887" i="3" a="1"/>
  <c r="H887" i="3"/>
  <c r="G887" i="3" a="1"/>
  <c r="G887" i="3" s="1"/>
  <c r="G879" i="3" a="1"/>
  <c r="G879" i="3"/>
  <c r="K879" i="3" a="1"/>
  <c r="K879" i="3" s="1"/>
  <c r="J879" i="3" a="1"/>
  <c r="J879" i="3" s="1"/>
  <c r="I879" i="3" a="1"/>
  <c r="I879" i="3" s="1"/>
  <c r="H879" i="3" a="1"/>
  <c r="H879" i="3" s="1"/>
  <c r="H871" i="3" a="1"/>
  <c r="H871" i="3" s="1"/>
  <c r="G871" i="3" a="1"/>
  <c r="G871" i="3"/>
  <c r="K871" i="3" a="1"/>
  <c r="K871" i="3" s="1"/>
  <c r="J871" i="3" a="1"/>
  <c r="J871" i="3" s="1"/>
  <c r="I871" i="3" a="1"/>
  <c r="I871" i="3"/>
  <c r="K828" i="3" a="1"/>
  <c r="K828" i="3" s="1"/>
  <c r="J828" i="3" a="1"/>
  <c r="J828" i="3" s="1"/>
  <c r="I828" i="3" a="1"/>
  <c r="I828" i="3"/>
  <c r="H828" i="3" a="1"/>
  <c r="H828" i="3" s="1"/>
  <c r="G828" i="3" a="1"/>
  <c r="G828" i="3" s="1"/>
  <c r="K834" i="3" a="1"/>
  <c r="K834" i="3" s="1"/>
  <c r="J834" i="3" a="1"/>
  <c r="J834" i="3" s="1"/>
  <c r="I834" i="3" a="1"/>
  <c r="I834" i="3" s="1"/>
  <c r="H834" i="3" a="1"/>
  <c r="H834" i="3"/>
  <c r="G834" i="3" a="1"/>
  <c r="G834" i="3" s="1"/>
  <c r="H857" i="3" a="1"/>
  <c r="H857" i="3"/>
  <c r="K857" i="3" a="1"/>
  <c r="K857" i="3"/>
  <c r="J857" i="3" a="1"/>
  <c r="J857" i="3" s="1"/>
  <c r="I857" i="3" a="1"/>
  <c r="I857" i="3" s="1"/>
  <c r="G857" i="3" a="1"/>
  <c r="G857" i="3" s="1"/>
  <c r="G862" i="3" a="1"/>
  <c r="G862" i="3" s="1"/>
  <c r="I862" i="3" a="1"/>
  <c r="I862" i="3" s="1"/>
  <c r="H862" i="3" a="1"/>
  <c r="H862" i="3" s="1"/>
  <c r="K862" i="3" a="1"/>
  <c r="K862" i="3" s="1"/>
  <c r="J862" i="3" a="1"/>
  <c r="J862" i="3"/>
  <c r="J855" i="3" a="1"/>
  <c r="J855" i="3"/>
  <c r="G855" i="3" a="1"/>
  <c r="G855" i="3" s="1"/>
  <c r="K855" i="3" a="1"/>
  <c r="K855" i="3"/>
  <c r="I855" i="3" a="1"/>
  <c r="I855" i="3" s="1"/>
  <c r="H855" i="3" a="1"/>
  <c r="H855" i="3" s="1"/>
  <c r="I778" i="3" a="1"/>
  <c r="I778" i="3" s="1"/>
  <c r="H778" i="3" a="1"/>
  <c r="H778" i="3" s="1"/>
  <c r="G778" i="3" a="1"/>
  <c r="G778" i="3" s="1"/>
  <c r="K778" i="3" a="1"/>
  <c r="K778" i="3"/>
  <c r="J778" i="3" a="1"/>
  <c r="J778" i="3" s="1"/>
  <c r="K788" i="3" a="1"/>
  <c r="K788" i="3" s="1"/>
  <c r="J788" i="3" a="1"/>
  <c r="J788" i="3"/>
  <c r="I788" i="3" a="1"/>
  <c r="I788" i="3" s="1"/>
  <c r="H788" i="3" a="1"/>
  <c r="H788" i="3" s="1"/>
  <c r="G788" i="3" a="1"/>
  <c r="G788" i="3"/>
  <c r="J801" i="3" a="1"/>
  <c r="J801" i="3" s="1"/>
  <c r="I801" i="3" a="1"/>
  <c r="I801" i="3" s="1"/>
  <c r="H801" i="3" a="1"/>
  <c r="H801" i="3" s="1"/>
  <c r="G801" i="3" a="1"/>
  <c r="G801" i="3" s="1"/>
  <c r="K801" i="3" a="1"/>
  <c r="K801" i="3" s="1"/>
  <c r="H803" i="3" a="1"/>
  <c r="H803" i="3"/>
  <c r="G803" i="3" a="1"/>
  <c r="G803" i="3" s="1"/>
  <c r="K803" i="3" a="1"/>
  <c r="K803" i="3"/>
  <c r="J803" i="3" a="1"/>
  <c r="J803" i="3"/>
  <c r="I803" i="3" a="1"/>
  <c r="I803" i="3" s="1"/>
  <c r="K810" i="3" a="1"/>
  <c r="K810" i="3" s="1"/>
  <c r="J810" i="3" a="1"/>
  <c r="J810" i="3" s="1"/>
  <c r="I810" i="3" a="1"/>
  <c r="I810" i="3" s="1"/>
  <c r="H810" i="3" a="1"/>
  <c r="H810" i="3" s="1"/>
  <c r="G810" i="3" a="1"/>
  <c r="G810" i="3" s="1"/>
  <c r="K819" i="3" a="1"/>
  <c r="K819" i="3" s="1"/>
  <c r="J819" i="3" a="1"/>
  <c r="J819" i="3"/>
  <c r="I819" i="3" a="1"/>
  <c r="I819" i="3"/>
  <c r="H819" i="3" a="1"/>
  <c r="H819" i="3" s="1"/>
  <c r="G819" i="3" a="1"/>
  <c r="G819" i="3"/>
  <c r="K762" i="3" a="1"/>
  <c r="K762" i="3" s="1"/>
  <c r="J762" i="3" a="1"/>
  <c r="J762" i="3" s="1"/>
  <c r="I762" i="3" a="1"/>
  <c r="I762" i="3" s="1"/>
  <c r="H762" i="3" a="1"/>
  <c r="H762" i="3" s="1"/>
  <c r="G762" i="3" a="1"/>
  <c r="G762" i="3" s="1"/>
  <c r="H763" i="3" a="1"/>
  <c r="H763" i="3"/>
  <c r="G763" i="3" a="1"/>
  <c r="G763" i="3" s="1"/>
  <c r="K763" i="3" a="1"/>
  <c r="K763" i="3" s="1"/>
  <c r="J763" i="3" a="1"/>
  <c r="J763" i="3"/>
  <c r="I763" i="3" a="1"/>
  <c r="I763" i="3" s="1"/>
  <c r="K771" i="3" a="1"/>
  <c r="K771" i="3" s="1"/>
  <c r="J771" i="3" a="1"/>
  <c r="J771" i="3"/>
  <c r="I771" i="3" a="1"/>
  <c r="I771" i="3" s="1"/>
  <c r="H771" i="3" a="1"/>
  <c r="H771" i="3" s="1"/>
  <c r="G771" i="3" a="1"/>
  <c r="G771" i="3" s="1"/>
  <c r="K751" i="3" a="1"/>
  <c r="K751" i="3" s="1"/>
  <c r="J751" i="3" a="1"/>
  <c r="J751" i="3" s="1"/>
  <c r="I751" i="3" a="1"/>
  <c r="I751" i="3"/>
  <c r="H751" i="3" a="1"/>
  <c r="H751" i="3" s="1"/>
  <c r="G751" i="3" a="1"/>
  <c r="G751" i="3"/>
  <c r="K698" i="3" a="1"/>
  <c r="K698" i="3"/>
  <c r="J698" i="3" a="1"/>
  <c r="J698" i="3" s="1"/>
  <c r="I698" i="3" a="1"/>
  <c r="I698" i="3" s="1"/>
  <c r="H698" i="3" a="1"/>
  <c r="H698" i="3" s="1"/>
  <c r="G698" i="3" a="1"/>
  <c r="G698" i="3" s="1"/>
  <c r="I715" i="3" a="1"/>
  <c r="I715" i="3" s="1"/>
  <c r="H715" i="3" a="1"/>
  <c r="H715" i="3" s="1"/>
  <c r="G715" i="3" a="1"/>
  <c r="G715" i="3" s="1"/>
  <c r="K715" i="3" a="1"/>
  <c r="K715" i="3"/>
  <c r="J715" i="3" a="1"/>
  <c r="J715" i="3"/>
  <c r="K704" i="3" a="1"/>
  <c r="K704" i="3" s="1"/>
  <c r="J704" i="3" a="1"/>
  <c r="J704" i="3"/>
  <c r="I704" i="3" a="1"/>
  <c r="I704" i="3" s="1"/>
  <c r="H704" i="3" a="1"/>
  <c r="H704" i="3" s="1"/>
  <c r="G704" i="3" a="1"/>
  <c r="G704" i="3" s="1"/>
  <c r="G726" i="3" a="1"/>
  <c r="G726" i="3" s="1"/>
  <c r="K726" i="3" a="1"/>
  <c r="K726" i="3" s="1"/>
  <c r="J726" i="3" a="1"/>
  <c r="J726" i="3"/>
  <c r="I726" i="3" a="1"/>
  <c r="I726" i="3" s="1"/>
  <c r="H726" i="3" a="1"/>
  <c r="H726" i="3" s="1"/>
  <c r="H738" i="3" a="1"/>
  <c r="H738" i="3"/>
  <c r="G738" i="3" a="1"/>
  <c r="G738" i="3" s="1"/>
  <c r="K738" i="3" a="1"/>
  <c r="K738" i="3" s="1"/>
  <c r="J738" i="3" a="1"/>
  <c r="J738" i="3"/>
  <c r="I738" i="3" a="1"/>
  <c r="I738" i="3" s="1"/>
  <c r="G741" i="3" a="1"/>
  <c r="G741" i="3" s="1"/>
  <c r="K741" i="3" a="1"/>
  <c r="K741" i="3" s="1"/>
  <c r="J741" i="3" a="1"/>
  <c r="J741" i="3" s="1"/>
  <c r="I741" i="3" a="1"/>
  <c r="I741" i="3" s="1"/>
  <c r="H741" i="3" a="1"/>
  <c r="H741" i="3"/>
  <c r="K746" i="3" a="1"/>
  <c r="K746" i="3" s="1"/>
  <c r="J746" i="3" a="1"/>
  <c r="J746" i="3"/>
  <c r="I746" i="3" a="1"/>
  <c r="I746" i="3"/>
  <c r="H746" i="3" a="1"/>
  <c r="H746" i="3" s="1"/>
  <c r="G746" i="3" a="1"/>
  <c r="G746" i="3" s="1"/>
  <c r="K451" i="3" a="1"/>
  <c r="K451" i="3" s="1"/>
  <c r="J451" i="3" a="1"/>
  <c r="J451" i="3" s="1"/>
  <c r="I451" i="3" a="1"/>
  <c r="I451" i="3" s="1"/>
  <c r="H451" i="3" a="1"/>
  <c r="H451" i="3" s="1"/>
  <c r="G451" i="3" a="1"/>
  <c r="G451" i="3" s="1"/>
  <c r="G455" i="3" a="1"/>
  <c r="G455" i="3"/>
  <c r="K455" i="3" a="1"/>
  <c r="K455" i="3"/>
  <c r="J455" i="3" a="1"/>
  <c r="J455" i="3" s="1"/>
  <c r="I455" i="3" a="1"/>
  <c r="I455" i="3"/>
  <c r="H455" i="3" a="1"/>
  <c r="H455" i="3" s="1"/>
  <c r="K468" i="3" a="1"/>
  <c r="K468" i="3" s="1"/>
  <c r="J468" i="3" a="1"/>
  <c r="J468" i="3" s="1"/>
  <c r="I468" i="3" a="1"/>
  <c r="I468" i="3" s="1"/>
  <c r="H468" i="3" a="1"/>
  <c r="H468" i="3" s="1"/>
  <c r="G468" i="3" a="1"/>
  <c r="G468" i="3"/>
  <c r="J470" i="3" a="1"/>
  <c r="J470" i="3" s="1"/>
  <c r="I470" i="3" a="1"/>
  <c r="I470" i="3" s="1"/>
  <c r="H470" i="3" a="1"/>
  <c r="H470" i="3"/>
  <c r="G470" i="3" a="1"/>
  <c r="G470" i="3" s="1"/>
  <c r="K470" i="3" a="1"/>
  <c r="K470" i="3" s="1"/>
  <c r="K532" i="3" a="1"/>
  <c r="K532" i="3"/>
  <c r="J532" i="3" a="1"/>
  <c r="J532" i="3" s="1"/>
  <c r="I532" i="3" a="1"/>
  <c r="I532" i="3" s="1"/>
  <c r="H532" i="3" a="1"/>
  <c r="H532" i="3" s="1"/>
  <c r="G532" i="3" a="1"/>
  <c r="G532" i="3" s="1"/>
  <c r="K529" i="3" a="1"/>
  <c r="K529" i="3" s="1"/>
  <c r="J529" i="3" a="1"/>
  <c r="J529" i="3"/>
  <c r="I529" i="3" a="1"/>
  <c r="I529" i="3" s="1"/>
  <c r="H529" i="3" a="1"/>
  <c r="H529" i="3"/>
  <c r="G529" i="3" a="1"/>
  <c r="G529" i="3"/>
  <c r="J509" i="3" a="1"/>
  <c r="J509" i="3" s="1"/>
  <c r="I509" i="3" a="1"/>
  <c r="I509" i="3" s="1"/>
  <c r="K509" i="3" a="1"/>
  <c r="K509" i="3" s="1"/>
  <c r="H509" i="3" a="1"/>
  <c r="H509" i="3" s="1"/>
  <c r="G509" i="3" a="1"/>
  <c r="G509" i="3" s="1"/>
  <c r="G514" i="3" a="1"/>
  <c r="G514" i="3" s="1"/>
  <c r="K514" i="3" a="1"/>
  <c r="K514" i="3" s="1"/>
  <c r="J514" i="3" a="1"/>
  <c r="J514" i="3"/>
  <c r="I514" i="3" a="1"/>
  <c r="I514" i="3"/>
  <c r="H514" i="3" a="1"/>
  <c r="H514" i="3" s="1"/>
  <c r="G477" i="3" a="1"/>
  <c r="G477" i="3"/>
  <c r="K477" i="3" a="1"/>
  <c r="K477" i="3" s="1"/>
  <c r="J477" i="3" a="1"/>
  <c r="J477" i="3" s="1"/>
  <c r="I477" i="3" a="1"/>
  <c r="I477" i="3" s="1"/>
  <c r="H477" i="3" a="1"/>
  <c r="H477" i="3" s="1"/>
  <c r="K491" i="3" a="1"/>
  <c r="K491" i="3" s="1"/>
  <c r="J491" i="3" a="1"/>
  <c r="J491" i="3"/>
  <c r="I491" i="3" a="1"/>
  <c r="I491" i="3" s="1"/>
  <c r="H491" i="3" a="1"/>
  <c r="H491" i="3" s="1"/>
  <c r="G491" i="3" a="1"/>
  <c r="G491" i="3"/>
  <c r="K522" i="3" a="1"/>
  <c r="K522" i="3" s="1"/>
  <c r="J522" i="3" a="1"/>
  <c r="J522" i="3" s="1"/>
  <c r="I522" i="3" a="1"/>
  <c r="I522" i="3"/>
  <c r="H522" i="3" a="1"/>
  <c r="H522" i="3" s="1"/>
  <c r="G522" i="3" a="1"/>
  <c r="G522" i="3" s="1"/>
  <c r="H486" i="3" a="1"/>
  <c r="H486" i="3" s="1"/>
  <c r="G486" i="3" a="1"/>
  <c r="G486" i="3" s="1"/>
  <c r="K486" i="3" a="1"/>
  <c r="K486" i="3" s="1"/>
  <c r="J486" i="3" a="1"/>
  <c r="J486" i="3"/>
  <c r="I486" i="3" a="1"/>
  <c r="I486" i="3" s="1"/>
  <c r="J543" i="3" a="1"/>
  <c r="J543" i="3"/>
  <c r="I543" i="3" a="1"/>
  <c r="I543" i="3"/>
  <c r="H543" i="3" a="1"/>
  <c r="H543" i="3" s="1"/>
  <c r="G543" i="3" a="1"/>
  <c r="G543" i="3" s="1"/>
  <c r="K543" i="3" a="1"/>
  <c r="K543" i="3" s="1"/>
  <c r="H552" i="3" a="1"/>
  <c r="H552" i="3" s="1"/>
  <c r="G552" i="3" a="1"/>
  <c r="G552" i="3" s="1"/>
  <c r="K552" i="3" a="1"/>
  <c r="K552" i="3" s="1"/>
  <c r="J552" i="3" a="1"/>
  <c r="J552" i="3" s="1"/>
  <c r="I552" i="3" a="1"/>
  <c r="I552" i="3"/>
  <c r="K555" i="3" a="1"/>
  <c r="K555" i="3"/>
  <c r="J555" i="3" a="1"/>
  <c r="J555" i="3" s="1"/>
  <c r="I555" i="3" a="1"/>
  <c r="I555" i="3"/>
  <c r="H555" i="3" a="1"/>
  <c r="H555" i="3" s="1"/>
  <c r="G555" i="3" a="1"/>
  <c r="G555" i="3" s="1"/>
  <c r="K567" i="3" a="1"/>
  <c r="K567" i="3" s="1"/>
  <c r="J567" i="3" a="1"/>
  <c r="J567" i="3" s="1"/>
  <c r="I567" i="3" a="1"/>
  <c r="I567" i="3" s="1"/>
  <c r="H567" i="3" a="1"/>
  <c r="H567" i="3"/>
  <c r="G567" i="3" a="1"/>
  <c r="G567" i="3" s="1"/>
  <c r="K572" i="3" a="1"/>
  <c r="K572" i="3" s="1"/>
  <c r="J572" i="3" a="1"/>
  <c r="J572" i="3"/>
  <c r="I572" i="3" a="1"/>
  <c r="I572" i="3" s="1"/>
  <c r="H572" i="3" a="1"/>
  <c r="H572" i="3" s="1"/>
  <c r="G572" i="3" a="1"/>
  <c r="G572" i="3"/>
  <c r="G582" i="3" a="1"/>
  <c r="G582" i="3" s="1"/>
  <c r="K582" i="3" a="1"/>
  <c r="K582" i="3" s="1"/>
  <c r="J582" i="3" a="1"/>
  <c r="J582" i="3" s="1"/>
  <c r="I582" i="3" a="1"/>
  <c r="I582" i="3" s="1"/>
  <c r="H582" i="3" a="1"/>
  <c r="H582" i="3" s="1"/>
  <c r="I589" i="3" a="1"/>
  <c r="I589" i="3"/>
  <c r="H589" i="3" a="1"/>
  <c r="H589" i="3" s="1"/>
  <c r="G589" i="3" a="1"/>
  <c r="G589" i="3"/>
  <c r="K589" i="3" a="1"/>
  <c r="K589" i="3"/>
  <c r="J589" i="3" a="1"/>
  <c r="J589" i="3" s="1"/>
  <c r="K597" i="3" a="1"/>
  <c r="K597" i="3" s="1"/>
  <c r="J597" i="3" a="1"/>
  <c r="J597" i="3"/>
  <c r="I597" i="3" a="1"/>
  <c r="I597" i="3" s="1"/>
  <c r="H597" i="3" a="1"/>
  <c r="H597" i="3" s="1"/>
  <c r="G597" i="3" a="1"/>
  <c r="G597" i="3" s="1"/>
  <c r="I607" i="3" a="1"/>
  <c r="I607" i="3" s="1"/>
  <c r="H607" i="3" a="1"/>
  <c r="H607" i="3"/>
  <c r="G607" i="3" a="1"/>
  <c r="G607" i="3"/>
  <c r="K607" i="3" a="1"/>
  <c r="K607" i="3" s="1"/>
  <c r="J607" i="3" a="1"/>
  <c r="J607" i="3"/>
  <c r="J663" i="3" a="1"/>
  <c r="J663" i="3"/>
  <c r="I663" i="3" a="1"/>
  <c r="I663" i="3" s="1"/>
  <c r="H663" i="3" a="1"/>
  <c r="H663" i="3" s="1"/>
  <c r="G663" i="3" a="1"/>
  <c r="G663" i="3" s="1"/>
  <c r="K663" i="3" a="1"/>
  <c r="K663" i="3" s="1"/>
  <c r="K614" i="3" a="1"/>
  <c r="K614" i="3"/>
  <c r="J614" i="3" a="1"/>
  <c r="J614" i="3" s="1"/>
  <c r="I614" i="3" a="1"/>
  <c r="I614" i="3" s="1"/>
  <c r="H614" i="3" a="1"/>
  <c r="H614" i="3"/>
  <c r="G614" i="3" a="1"/>
  <c r="G614" i="3"/>
  <c r="H637" i="3" a="1"/>
  <c r="H637" i="3" s="1"/>
  <c r="G637" i="3" a="1"/>
  <c r="G637" i="3"/>
  <c r="J637" i="3" a="1"/>
  <c r="J637" i="3" s="1"/>
  <c r="I637" i="3" a="1"/>
  <c r="I637" i="3" s="1"/>
  <c r="K637" i="3" a="1"/>
  <c r="K637" i="3" s="1"/>
  <c r="J638" i="3" a="1"/>
  <c r="J638" i="3" s="1"/>
  <c r="I638" i="3" a="1"/>
  <c r="I638" i="3" s="1"/>
  <c r="H638" i="3" a="1"/>
  <c r="H638" i="3"/>
  <c r="G638" i="3" a="1"/>
  <c r="G638" i="3" s="1"/>
  <c r="K638" i="3" a="1"/>
  <c r="K638" i="3"/>
  <c r="K642" i="3" a="1"/>
  <c r="K642" i="3"/>
  <c r="J642" i="3" a="1"/>
  <c r="J642" i="3" s="1"/>
  <c r="H642" i="3" a="1"/>
  <c r="H642" i="3" s="1"/>
  <c r="G642" i="3" a="1"/>
  <c r="G642" i="3"/>
  <c r="I642" i="3" a="1"/>
  <c r="I642" i="3" s="1"/>
  <c r="K656" i="3" a="1"/>
  <c r="K656" i="3" s="1"/>
  <c r="J656" i="3" a="1"/>
  <c r="J656" i="3" s="1"/>
  <c r="I656" i="3" a="1"/>
  <c r="I656" i="3" s="1"/>
  <c r="H656" i="3" a="1"/>
  <c r="H656" i="3"/>
  <c r="G656" i="3" a="1"/>
  <c r="G656" i="3"/>
  <c r="H654" i="3" a="1"/>
  <c r="H654" i="3" s="1"/>
  <c r="G654" i="3" a="1"/>
  <c r="G654" i="3"/>
  <c r="K654" i="3" a="1"/>
  <c r="K654" i="3"/>
  <c r="J654" i="3" a="1"/>
  <c r="J654" i="3" s="1"/>
  <c r="I654" i="3" a="1"/>
  <c r="I654" i="3" s="1"/>
  <c r="K673" i="3" a="1"/>
  <c r="K673" i="3" s="1"/>
  <c r="J673" i="3" a="1"/>
  <c r="J673" i="3" s="1"/>
  <c r="I673" i="3" a="1"/>
  <c r="I673" i="3"/>
  <c r="H673" i="3" a="1"/>
  <c r="H673" i="3" s="1"/>
  <c r="G673" i="3" a="1"/>
  <c r="G673" i="3" s="1"/>
  <c r="I680" i="3" a="1"/>
  <c r="I680" i="3"/>
  <c r="H680" i="3" a="1"/>
  <c r="H680" i="3"/>
  <c r="G680" i="3" a="1"/>
  <c r="G680" i="3" s="1"/>
  <c r="K680" i="3" a="1"/>
  <c r="K680" i="3"/>
  <c r="J680" i="3" a="1"/>
  <c r="J680" i="3" s="1"/>
  <c r="I689" i="3" a="1"/>
  <c r="I689" i="3" s="1"/>
  <c r="H689" i="3" a="1"/>
  <c r="H689" i="3" s="1"/>
  <c r="G689" i="3" a="1"/>
  <c r="G689" i="3" s="1"/>
  <c r="K689" i="3" a="1"/>
  <c r="K689" i="3" s="1"/>
  <c r="J689" i="3" a="1"/>
  <c r="J689" i="3"/>
  <c r="K434" i="3" a="1"/>
  <c r="K434" i="3" s="1"/>
  <c r="J434" i="3" a="1"/>
  <c r="J434" i="3"/>
  <c r="I434" i="3" a="1"/>
  <c r="I434" i="3"/>
  <c r="H434" i="3" a="1"/>
  <c r="H434" i="3" s="1"/>
  <c r="G434" i="3" a="1"/>
  <c r="G434" i="3" s="1"/>
  <c r="I430" i="3" a="1"/>
  <c r="I430" i="3"/>
  <c r="H430" i="3" a="1"/>
  <c r="H430" i="3" s="1"/>
  <c r="G430" i="3" a="1"/>
  <c r="G430" i="3" s="1"/>
  <c r="K430" i="3" a="1"/>
  <c r="K430" i="3" s="1"/>
  <c r="J430" i="3" a="1"/>
  <c r="J430" i="3" s="1"/>
  <c r="K407" i="3" a="1"/>
  <c r="K407" i="3"/>
  <c r="J407" i="3" a="1"/>
  <c r="J407" i="3"/>
  <c r="I407" i="3" a="1"/>
  <c r="I407" i="3" s="1"/>
  <c r="H407" i="3" a="1"/>
  <c r="H407" i="3"/>
  <c r="G407" i="3" a="1"/>
  <c r="G407" i="3"/>
  <c r="K422" i="3" a="1"/>
  <c r="K422" i="3" s="1"/>
  <c r="J422" i="3" a="1"/>
  <c r="J422" i="3" s="1"/>
  <c r="I422" i="3" a="1"/>
  <c r="I422" i="3" s="1"/>
  <c r="H422" i="3" a="1"/>
  <c r="H422" i="3" s="1"/>
  <c r="G422" i="3" a="1"/>
  <c r="G422" i="3"/>
  <c r="K420" i="3" a="1"/>
  <c r="K420" i="3" s="1"/>
  <c r="J420" i="3" a="1"/>
  <c r="J420" i="3" s="1"/>
  <c r="I420" i="3" a="1"/>
  <c r="I420" i="3"/>
  <c r="H420" i="3" a="1"/>
  <c r="H420" i="3"/>
  <c r="G420" i="3" a="1"/>
  <c r="G420" i="3" s="1"/>
  <c r="K401" i="3" a="1"/>
  <c r="K401" i="3"/>
  <c r="J401" i="3" a="1"/>
  <c r="J401" i="3" s="1"/>
  <c r="I401" i="3" a="1"/>
  <c r="I401" i="3" s="1"/>
  <c r="H401" i="3" a="1"/>
  <c r="H401" i="3" s="1"/>
  <c r="G401" i="3" a="1"/>
  <c r="G401" i="3" s="1"/>
  <c r="K368" i="3" a="1"/>
  <c r="K368" i="3" s="1"/>
  <c r="J368" i="3" a="1"/>
  <c r="J368" i="3"/>
  <c r="I368" i="3" a="1"/>
  <c r="I368" i="3" s="1"/>
  <c r="H368" i="3" a="1"/>
  <c r="H368" i="3"/>
  <c r="G368" i="3" a="1"/>
  <c r="G368" i="3"/>
  <c r="K371" i="3" a="1"/>
  <c r="K371" i="3" s="1"/>
  <c r="J371" i="3" a="1"/>
  <c r="J371" i="3" s="1"/>
  <c r="I371" i="3" a="1"/>
  <c r="I371" i="3"/>
  <c r="H371" i="3" a="1"/>
  <c r="H371" i="3" s="1"/>
  <c r="G371" i="3" a="1"/>
  <c r="G371" i="3" s="1"/>
  <c r="K381" i="3" a="1"/>
  <c r="K381" i="3" s="1"/>
  <c r="H381" i="3" a="1"/>
  <c r="H381" i="3" s="1"/>
  <c r="J381" i="3" a="1"/>
  <c r="J381" i="3"/>
  <c r="I381" i="3" a="1"/>
  <c r="I381" i="3"/>
  <c r="G381" i="3" a="1"/>
  <c r="G381" i="3" s="1"/>
  <c r="J388" i="3" a="1"/>
  <c r="J388" i="3"/>
  <c r="H388" i="3" a="1"/>
  <c r="H388" i="3"/>
  <c r="G388" i="3" a="1"/>
  <c r="G388" i="3" s="1"/>
  <c r="K388" i="3" a="1"/>
  <c r="K388" i="3" s="1"/>
  <c r="I388" i="3" a="1"/>
  <c r="I388" i="3" s="1"/>
  <c r="I353" i="3" a="1"/>
  <c r="I353" i="3" s="1"/>
  <c r="H353" i="3" a="1"/>
  <c r="H353" i="3"/>
  <c r="G353" i="3" a="1"/>
  <c r="G353" i="3" s="1"/>
  <c r="K353" i="3" a="1"/>
  <c r="K353" i="3" s="1"/>
  <c r="J353" i="3" a="1"/>
  <c r="J353" i="3"/>
  <c r="K360" i="3" a="1"/>
  <c r="K360" i="3"/>
  <c r="J360" i="3" a="1"/>
  <c r="J360" i="3" s="1"/>
  <c r="I360" i="3" a="1"/>
  <c r="I360" i="3"/>
  <c r="H360" i="3" a="1"/>
  <c r="H360" i="3" s="1"/>
  <c r="G360" i="3" a="1"/>
  <c r="G360" i="3" s="1"/>
  <c r="J340" i="3" a="1"/>
  <c r="J340" i="3" s="1"/>
  <c r="I340" i="3" a="1"/>
  <c r="I340" i="3" s="1"/>
  <c r="H340" i="3" a="1"/>
  <c r="H340" i="3" s="1"/>
  <c r="G340" i="3" a="1"/>
  <c r="G340" i="3"/>
  <c r="K340" i="3" a="1"/>
  <c r="K340" i="3" s="1"/>
  <c r="G335" i="3" a="1"/>
  <c r="G335" i="3"/>
  <c r="K335" i="3" a="1"/>
  <c r="K335" i="3"/>
  <c r="J335" i="3" a="1"/>
  <c r="J335" i="3" s="1"/>
  <c r="I335" i="3" a="1"/>
  <c r="I335" i="3" s="1"/>
  <c r="H335" i="3" a="1"/>
  <c r="H335" i="3"/>
  <c r="I329" i="3" a="1"/>
  <c r="I329" i="3" s="1"/>
  <c r="H329" i="3" a="1"/>
  <c r="H329" i="3" s="1"/>
  <c r="G329" i="3" a="1"/>
  <c r="G329" i="3" s="1"/>
  <c r="K329" i="3" a="1"/>
  <c r="K329" i="3" s="1"/>
  <c r="J329" i="3" a="1"/>
  <c r="J329" i="3"/>
  <c r="G319" i="3" a="1"/>
  <c r="G319" i="3"/>
  <c r="K319" i="3" a="1"/>
  <c r="K319" i="3" s="1"/>
  <c r="J319" i="3" a="1"/>
  <c r="J319" i="3"/>
  <c r="I319" i="3" a="1"/>
  <c r="I319" i="3"/>
  <c r="H319" i="3" a="1"/>
  <c r="H319" i="3" s="1"/>
  <c r="G311" i="3" a="1"/>
  <c r="G311" i="3" s="1"/>
  <c r="K311" i="3" a="1"/>
  <c r="K311" i="3" s="1"/>
  <c r="J311" i="3" a="1"/>
  <c r="J311" i="3" s="1"/>
  <c r="I311" i="3" a="1"/>
  <c r="I311" i="3"/>
  <c r="H311" i="3" a="1"/>
  <c r="H311" i="3" s="1"/>
  <c r="G300" i="3" a="1"/>
  <c r="G300" i="3" s="1"/>
  <c r="K300" i="3" a="1"/>
  <c r="K300" i="3"/>
  <c r="J300" i="3" a="1"/>
  <c r="J300" i="3"/>
  <c r="I300" i="3" a="1"/>
  <c r="I300" i="3" s="1"/>
  <c r="H300" i="3" a="1"/>
  <c r="H300" i="3"/>
  <c r="K307" i="3" a="1"/>
  <c r="K307" i="3" s="1"/>
  <c r="J307" i="3" a="1"/>
  <c r="J307" i="3" s="1"/>
  <c r="I307" i="3" a="1"/>
  <c r="I307" i="3" s="1"/>
  <c r="H307" i="3" a="1"/>
  <c r="H307" i="3" s="1"/>
  <c r="G307" i="3" a="1"/>
  <c r="G307" i="3" s="1"/>
  <c r="K264" i="3" a="1"/>
  <c r="K264" i="3"/>
  <c r="J264" i="3" a="1"/>
  <c r="J264" i="3" s="1"/>
  <c r="I264" i="3" a="1"/>
  <c r="I264" i="3"/>
  <c r="H264" i="3" a="1"/>
  <c r="H264" i="3"/>
  <c r="G264" i="3" a="1"/>
  <c r="G264" i="3" s="1"/>
  <c r="G270" i="3" a="1"/>
  <c r="G270" i="3" s="1"/>
  <c r="K270" i="3" a="1"/>
  <c r="K270" i="3"/>
  <c r="J270" i="3" a="1"/>
  <c r="J270" i="3" s="1"/>
  <c r="I270" i="3" a="1"/>
  <c r="I270" i="3" s="1"/>
  <c r="H270" i="3" a="1"/>
  <c r="H270" i="3" s="1"/>
  <c r="J279" i="3" a="1"/>
  <c r="J279" i="3" s="1"/>
  <c r="I279" i="3" a="1"/>
  <c r="I279" i="3"/>
  <c r="H279" i="3" a="1"/>
  <c r="H279" i="3"/>
  <c r="G279" i="3" a="1"/>
  <c r="G279" i="3" s="1"/>
  <c r="K279" i="3" a="1"/>
  <c r="K279" i="3"/>
  <c r="J283" i="3" a="1"/>
  <c r="J283" i="3"/>
  <c r="I283" i="3" a="1"/>
  <c r="I283" i="3" s="1"/>
  <c r="H283" i="3" a="1"/>
  <c r="H283" i="3" s="1"/>
  <c r="G283" i="3" a="1"/>
  <c r="G283" i="3" s="1"/>
  <c r="K283" i="3" a="1"/>
  <c r="K283" i="3" s="1"/>
  <c r="J250" i="3" a="1"/>
  <c r="J250" i="3"/>
  <c r="I250" i="3" a="1"/>
  <c r="I250" i="3" s="1"/>
  <c r="H250" i="3" a="1"/>
  <c r="H250" i="3" s="1"/>
  <c r="G250" i="3" a="1"/>
  <c r="G250" i="3"/>
  <c r="K250" i="3" a="1"/>
  <c r="K250" i="3"/>
  <c r="K251" i="3" a="1"/>
  <c r="K251" i="3" s="1"/>
  <c r="J251" i="3" a="1"/>
  <c r="J251" i="3"/>
  <c r="I251" i="3" a="1"/>
  <c r="I251" i="3" s="1"/>
  <c r="H251" i="3" a="1"/>
  <c r="H251" i="3" s="1"/>
  <c r="G251" i="3" a="1"/>
  <c r="G251" i="3" s="1"/>
  <c r="K238" i="3" a="1"/>
  <c r="K238" i="3" s="1"/>
  <c r="J238" i="3" a="1"/>
  <c r="J238" i="3" s="1"/>
  <c r="I238" i="3" a="1"/>
  <c r="I238" i="3"/>
  <c r="H238" i="3" a="1"/>
  <c r="H238" i="3" s="1"/>
  <c r="G238" i="3" a="1"/>
  <c r="G238" i="3"/>
  <c r="I230" i="3" a="1"/>
  <c r="I230" i="3"/>
  <c r="H230" i="3" a="1"/>
  <c r="H230" i="3" s="1"/>
  <c r="G230" i="3" a="1"/>
  <c r="G230" i="3" s="1"/>
  <c r="K230" i="3" a="1"/>
  <c r="K230" i="3"/>
  <c r="J230" i="3" a="1"/>
  <c r="J230" i="3" s="1"/>
  <c r="J226" i="3" a="1"/>
  <c r="J226" i="3" s="1"/>
  <c r="I226" i="3" a="1"/>
  <c r="I226" i="3" s="1"/>
  <c r="H226" i="3" a="1"/>
  <c r="H226" i="3" s="1"/>
  <c r="G226" i="3" a="1"/>
  <c r="G226" i="3"/>
  <c r="K226" i="3" a="1"/>
  <c r="K226" i="3"/>
  <c r="H217" i="3" a="1"/>
  <c r="H217" i="3" s="1"/>
  <c r="G217" i="3" a="1"/>
  <c r="G217" i="3"/>
  <c r="K217" i="3" a="1"/>
  <c r="K217" i="3"/>
  <c r="J217" i="3" a="1"/>
  <c r="J217" i="3" s="1"/>
  <c r="I217" i="3" a="1"/>
  <c r="I217" i="3" s="1"/>
  <c r="K178" i="3" a="1"/>
  <c r="K178" i="3" s="1"/>
  <c r="J178" i="3" a="1"/>
  <c r="J178" i="3" s="1"/>
  <c r="I178" i="3" a="1"/>
  <c r="I178" i="3"/>
  <c r="H178" i="3" a="1"/>
  <c r="H178" i="3" s="1"/>
  <c r="G178" i="3" a="1"/>
  <c r="G178" i="3" s="1"/>
  <c r="I186" i="3" a="1"/>
  <c r="I186" i="3"/>
  <c r="H186" i="3" a="1"/>
  <c r="H186" i="3"/>
  <c r="G186" i="3" a="1"/>
  <c r="G186" i="3" s="1"/>
  <c r="K186" i="3" a="1"/>
  <c r="K186" i="3"/>
  <c r="J186" i="3" a="1"/>
  <c r="J186" i="3" s="1"/>
  <c r="K194" i="3" a="1"/>
  <c r="K194" i="3" s="1"/>
  <c r="J194" i="3" a="1"/>
  <c r="J194" i="3" s="1"/>
  <c r="I194" i="3" a="1"/>
  <c r="I194" i="3" s="1"/>
  <c r="H194" i="3" a="1"/>
  <c r="H194" i="3" s="1"/>
  <c r="G194" i="3" a="1"/>
  <c r="G194" i="3"/>
  <c r="G202" i="3" a="1"/>
  <c r="G202" i="3" s="1"/>
  <c r="K202" i="3" a="1"/>
  <c r="K202" i="3"/>
  <c r="J202" i="3" a="1"/>
  <c r="J202" i="3"/>
  <c r="I202" i="3" a="1"/>
  <c r="I202" i="3" s="1"/>
  <c r="H202" i="3" a="1"/>
  <c r="H202" i="3" s="1"/>
  <c r="K175" i="3" a="1"/>
  <c r="K175" i="3"/>
  <c r="J175" i="3" a="1"/>
  <c r="J175" i="3" s="1"/>
  <c r="I175" i="3" a="1"/>
  <c r="I175" i="3" s="1"/>
  <c r="H175" i="3" a="1"/>
  <c r="H175" i="3" s="1"/>
  <c r="G175" i="3" a="1"/>
  <c r="G175" i="3" s="1"/>
  <c r="K171" i="3" a="1"/>
  <c r="K171" i="3"/>
  <c r="J171" i="3" a="1"/>
  <c r="J171" i="3"/>
  <c r="I171" i="3" a="1"/>
  <c r="I171" i="3" s="1"/>
  <c r="H171" i="3" a="1"/>
  <c r="H171" i="3"/>
  <c r="G171" i="3" a="1"/>
  <c r="G171" i="3"/>
  <c r="G142" i="3" a="1"/>
  <c r="G142" i="3" s="1"/>
  <c r="K142" i="3" a="1"/>
  <c r="K142" i="3" s="1"/>
  <c r="J142" i="3" a="1"/>
  <c r="J142" i="3" s="1"/>
  <c r="I142" i="3" a="1"/>
  <c r="I142" i="3" s="1"/>
  <c r="H142" i="3" a="1"/>
  <c r="H142" i="3"/>
  <c r="I153" i="3" a="1"/>
  <c r="I153" i="3" s="1"/>
  <c r="H153" i="3" a="1"/>
  <c r="H153" i="3" s="1"/>
  <c r="K153" i="3" a="1"/>
  <c r="K153" i="3"/>
  <c r="J153" i="3" a="1"/>
  <c r="J153" i="3"/>
  <c r="G153" i="3" a="1"/>
  <c r="G153" i="3" s="1"/>
  <c r="K161" i="3" a="1"/>
  <c r="K161" i="3"/>
  <c r="J161" i="3" a="1"/>
  <c r="J161" i="3" s="1"/>
  <c r="I161" i="3" a="1"/>
  <c r="I161" i="3" s="1"/>
  <c r="H161" i="3" a="1"/>
  <c r="H161" i="3" s="1"/>
  <c r="G161" i="3" a="1"/>
  <c r="G161" i="3" s="1"/>
  <c r="K106" i="3" a="1"/>
  <c r="K106" i="3" s="1"/>
  <c r="J106" i="3" a="1"/>
  <c r="J106" i="3"/>
  <c r="I106" i="3" a="1"/>
  <c r="I106" i="3" s="1"/>
  <c r="H106" i="3" a="1"/>
  <c r="H106" i="3"/>
  <c r="G106" i="3" a="1"/>
  <c r="G106" i="3"/>
  <c r="K121" i="3" a="1"/>
  <c r="K121" i="3" s="1"/>
  <c r="J121" i="3" a="1"/>
  <c r="J121" i="3" s="1"/>
  <c r="I121" i="3" a="1"/>
  <c r="I121" i="3"/>
  <c r="H121" i="3" a="1"/>
  <c r="H121" i="3" s="1"/>
  <c r="G121" i="3" a="1"/>
  <c r="G121" i="3" s="1"/>
  <c r="H132" i="3" a="1"/>
  <c r="H132" i="3" s="1"/>
  <c r="G132" i="3" a="1"/>
  <c r="G132" i="3" s="1"/>
  <c r="K132" i="3" a="1"/>
  <c r="K132" i="3"/>
  <c r="J132" i="3" a="1"/>
  <c r="J132" i="3"/>
  <c r="I132" i="3" a="1"/>
  <c r="I132" i="3" s="1"/>
  <c r="K125" i="3" a="1"/>
  <c r="K125" i="3"/>
  <c r="J125" i="3" a="1"/>
  <c r="J125" i="3"/>
  <c r="I125" i="3" a="1"/>
  <c r="I125" i="3" s="1"/>
  <c r="H125" i="3" a="1"/>
  <c r="H125" i="3" s="1"/>
  <c r="G125" i="3" a="1"/>
  <c r="G125" i="3" s="1"/>
  <c r="K103" i="3" a="1"/>
  <c r="K103" i="3" s="1"/>
  <c r="J103" i="3" a="1"/>
  <c r="J103" i="3"/>
  <c r="I103" i="3" a="1"/>
  <c r="I103" i="3" s="1"/>
  <c r="H103" i="3" a="1"/>
  <c r="H103" i="3" s="1"/>
  <c r="G103" i="3" a="1"/>
  <c r="G103" i="3"/>
  <c r="H71" i="3" a="1"/>
  <c r="H71" i="3"/>
  <c r="G71" i="3" a="1"/>
  <c r="G71" i="3" s="1"/>
  <c r="K71" i="3" a="1"/>
  <c r="K71" i="3"/>
  <c r="J71" i="3" a="1"/>
  <c r="J71" i="3" s="1"/>
  <c r="I71" i="3" a="1"/>
  <c r="I71" i="3" s="1"/>
  <c r="I79" i="3" a="1"/>
  <c r="I79" i="3" s="1"/>
  <c r="H79" i="3" a="1"/>
  <c r="H79" i="3" s="1"/>
  <c r="G79" i="3" a="1"/>
  <c r="G79" i="3" s="1"/>
  <c r="K79" i="3" a="1"/>
  <c r="K79" i="3"/>
  <c r="J79" i="3" a="1"/>
  <c r="J79" i="3" s="1"/>
  <c r="G86" i="3" a="1"/>
  <c r="G86" i="3"/>
  <c r="K86" i="3" a="1"/>
  <c r="K86" i="3"/>
  <c r="J86" i="3" a="1"/>
  <c r="J86" i="3" s="1"/>
  <c r="I86" i="3" a="1"/>
  <c r="I86" i="3" s="1"/>
  <c r="H86" i="3" a="1"/>
  <c r="H86" i="3"/>
  <c r="G90" i="3" a="1"/>
  <c r="G90" i="3" s="1"/>
  <c r="K90" i="3" a="1"/>
  <c r="K90" i="3" s="1"/>
  <c r="J90" i="3" a="1"/>
  <c r="J90" i="3" s="1"/>
  <c r="I90" i="3" a="1"/>
  <c r="I90" i="3" s="1"/>
  <c r="H90" i="3" a="1"/>
  <c r="H90" i="3"/>
  <c r="K63" i="3" a="1"/>
  <c r="K63" i="3"/>
  <c r="J63" i="3" a="1"/>
  <c r="J63" i="3" s="1"/>
  <c r="I63" i="3" a="1"/>
  <c r="I63" i="3"/>
  <c r="H63" i="3" a="1"/>
  <c r="H63" i="3"/>
  <c r="G63" i="3" a="1"/>
  <c r="G63" i="3" s="1"/>
  <c r="J55" i="3" a="1"/>
  <c r="J55" i="3" s="1"/>
  <c r="I55" i="3" a="1"/>
  <c r="I55" i="3" s="1"/>
  <c r="H55" i="3" a="1"/>
  <c r="H55" i="3" s="1"/>
  <c r="G55" i="3" a="1"/>
  <c r="G55" i="3"/>
  <c r="K55" i="3" a="1"/>
  <c r="K55" i="3" s="1"/>
  <c r="K43" i="3" a="1"/>
  <c r="K43" i="3" s="1"/>
  <c r="J43" i="3" a="1"/>
  <c r="J43" i="3"/>
  <c r="I43" i="3" a="1"/>
  <c r="I43" i="3"/>
  <c r="H43" i="3" a="1"/>
  <c r="H43" i="3" s="1"/>
  <c r="G43" i="3" a="1"/>
  <c r="G43" i="3"/>
  <c r="K52" i="3" a="1"/>
  <c r="K52" i="3" s="1"/>
  <c r="J52" i="3" a="1"/>
  <c r="J52" i="3" s="1"/>
  <c r="I52" i="3" a="1"/>
  <c r="I52" i="3" s="1"/>
  <c r="H52" i="3" a="1"/>
  <c r="H52" i="3" s="1"/>
  <c r="G52" i="3" a="1"/>
  <c r="G52" i="3" s="1"/>
  <c r="K33" i="3" a="1"/>
  <c r="K33" i="3"/>
  <c r="J33" i="3" a="1"/>
  <c r="J33" i="3" s="1"/>
  <c r="I33" i="3" a="1"/>
  <c r="I33" i="3"/>
  <c r="H33" i="3" a="1"/>
  <c r="H33" i="3"/>
  <c r="G33" i="3" a="1"/>
  <c r="G33" i="3" s="1"/>
  <c r="K23" i="3" a="1"/>
  <c r="K23" i="3" s="1"/>
  <c r="J23" i="3" a="1"/>
  <c r="J23" i="3"/>
  <c r="I23" i="3" a="1"/>
  <c r="I23" i="3" s="1"/>
  <c r="H23" i="3" a="1"/>
  <c r="H23" i="3" s="1"/>
  <c r="G23" i="3" a="1"/>
  <c r="G23" i="3" s="1"/>
  <c r="H15" i="3" a="1"/>
  <c r="H15" i="3" s="1"/>
  <c r="G15" i="3" a="1"/>
  <c r="G15" i="3"/>
  <c r="K15" i="3" a="1"/>
  <c r="K15" i="3"/>
  <c r="J15" i="3" a="1"/>
  <c r="J15" i="3" s="1"/>
  <c r="I15" i="3" a="1"/>
  <c r="I15" i="3"/>
  <c r="J9" i="3" a="1"/>
  <c r="J9" i="3"/>
  <c r="I9" i="3" a="1"/>
  <c r="I9" i="3" s="1"/>
  <c r="H9" i="3" a="1"/>
  <c r="H9" i="3" s="1"/>
  <c r="G9" i="3" a="1"/>
  <c r="G9" i="3" s="1"/>
  <c r="K9" i="3" a="1"/>
  <c r="K9" i="3" s="1"/>
  <c r="G985" i="3" a="1"/>
  <c r="G985" i="3"/>
  <c r="K985" i="3" a="1"/>
  <c r="K985" i="3" s="1"/>
  <c r="J985" i="3" a="1"/>
  <c r="J985" i="3" s="1"/>
  <c r="I985" i="3" a="1"/>
  <c r="I985" i="3"/>
  <c r="H985" i="3" a="1"/>
  <c r="H985" i="3"/>
  <c r="K968" i="3" a="1"/>
  <c r="K968" i="3" s="1"/>
  <c r="J968" i="3" a="1"/>
  <c r="J968" i="3"/>
  <c r="I968" i="3" a="1"/>
  <c r="I968" i="3" s="1"/>
  <c r="H968" i="3" a="1"/>
  <c r="H968" i="3" s="1"/>
  <c r="G968" i="3" a="1"/>
  <c r="G968" i="3" s="1"/>
  <c r="G982" i="3" a="1"/>
  <c r="G982" i="3" s="1"/>
  <c r="K982" i="3" a="1"/>
  <c r="K982" i="3" s="1"/>
  <c r="J982" i="3" a="1"/>
  <c r="J982" i="3"/>
  <c r="I982" i="3" a="1"/>
  <c r="I982" i="3" s="1"/>
  <c r="H982" i="3" a="1"/>
  <c r="H982" i="3"/>
  <c r="K974" i="3" a="1"/>
  <c r="K974" i="3"/>
  <c r="H974" i="3" a="1"/>
  <c r="H974" i="3" s="1"/>
  <c r="J974" i="3" a="1"/>
  <c r="J974" i="3" s="1"/>
  <c r="I974" i="3" a="1"/>
  <c r="I974" i="3"/>
  <c r="G974" i="3" a="1"/>
  <c r="G974" i="3" s="1"/>
  <c r="G966" i="3" a="1"/>
  <c r="G966" i="3" s="1"/>
  <c r="K966" i="3" a="1"/>
  <c r="K966" i="3" s="1"/>
  <c r="J966" i="3" a="1"/>
  <c r="J966" i="3" s="1"/>
  <c r="I966" i="3" a="1"/>
  <c r="I966" i="3"/>
  <c r="H966" i="3" a="1"/>
  <c r="H966" i="3"/>
  <c r="G958" i="3" a="1"/>
  <c r="G958" i="3" s="1"/>
  <c r="K958" i="3" a="1"/>
  <c r="K958" i="3"/>
  <c r="J958" i="3" a="1"/>
  <c r="J958" i="3"/>
  <c r="I958" i="3" a="1"/>
  <c r="I958" i="3" s="1"/>
  <c r="H958" i="3" a="1"/>
  <c r="H958" i="3" s="1"/>
  <c r="K950" i="3" a="1"/>
  <c r="K950" i="3" s="1"/>
  <c r="J950" i="3" a="1"/>
  <c r="J950" i="3" s="1"/>
  <c r="I950" i="3" a="1"/>
  <c r="I950" i="3"/>
  <c r="H950" i="3" a="1"/>
  <c r="H950" i="3" s="1"/>
  <c r="G950" i="3" a="1"/>
  <c r="G950" i="3" s="1"/>
  <c r="K942" i="3" a="1"/>
  <c r="K942" i="3"/>
  <c r="J942" i="3" a="1"/>
  <c r="J942" i="3"/>
  <c r="I942" i="3" a="1"/>
  <c r="I942" i="3" s="1"/>
  <c r="H942" i="3" a="1"/>
  <c r="H942" i="3"/>
  <c r="G942" i="3" a="1"/>
  <c r="G942" i="3" s="1"/>
  <c r="K934" i="3" a="1"/>
  <c r="K934" i="3" s="1"/>
  <c r="J934" i="3" a="1"/>
  <c r="J934" i="3" s="1"/>
  <c r="I934" i="3" a="1"/>
  <c r="I934" i="3" s="1"/>
  <c r="H934" i="3" a="1"/>
  <c r="H934" i="3" s="1"/>
  <c r="G934" i="3" a="1"/>
  <c r="G934" i="3"/>
  <c r="I926" i="3" a="1"/>
  <c r="I926" i="3" s="1"/>
  <c r="H926" i="3" a="1"/>
  <c r="H926" i="3"/>
  <c r="G926" i="3" a="1"/>
  <c r="G926" i="3"/>
  <c r="K926" i="3" a="1"/>
  <c r="K926" i="3" s="1"/>
  <c r="J926" i="3" a="1"/>
  <c r="J926" i="3" s="1"/>
  <c r="K918" i="3" a="1"/>
  <c r="K918" i="3"/>
  <c r="J918" i="3" a="1"/>
  <c r="J918" i="3" s="1"/>
  <c r="I918" i="3" a="1"/>
  <c r="I918" i="3" s="1"/>
  <c r="H918" i="3" a="1"/>
  <c r="H918" i="3" s="1"/>
  <c r="G918" i="3" a="1"/>
  <c r="G918" i="3" s="1"/>
  <c r="I910" i="3" a="1"/>
  <c r="I910" i="3"/>
  <c r="H910" i="3" a="1"/>
  <c r="H910" i="3"/>
  <c r="G910" i="3" a="1"/>
  <c r="G910" i="3" s="1"/>
  <c r="K910" i="3" a="1"/>
  <c r="K910" i="3"/>
  <c r="J910" i="3" a="1"/>
  <c r="J910" i="3"/>
  <c r="K902" i="3" a="1"/>
  <c r="K902" i="3" s="1"/>
  <c r="J902" i="3" a="1"/>
  <c r="J902" i="3" s="1"/>
  <c r="I902" i="3" a="1"/>
  <c r="I902" i="3" s="1"/>
  <c r="H902" i="3" a="1"/>
  <c r="H902" i="3" s="1"/>
  <c r="G902" i="3" a="1"/>
  <c r="G902" i="3"/>
  <c r="K894" i="3" a="1"/>
  <c r="K894" i="3" s="1"/>
  <c r="J894" i="3" a="1"/>
  <c r="J894" i="3" s="1"/>
  <c r="I894" i="3" a="1"/>
  <c r="I894" i="3"/>
  <c r="H894" i="3" a="1"/>
  <c r="H894" i="3"/>
  <c r="G894" i="3" a="1"/>
  <c r="G894" i="3" s="1"/>
  <c r="I886" i="3" a="1"/>
  <c r="I886" i="3"/>
  <c r="H886" i="3" a="1"/>
  <c r="H886" i="3" s="1"/>
  <c r="G886" i="3" a="1"/>
  <c r="G886" i="3" s="1"/>
  <c r="K886" i="3" a="1"/>
  <c r="K886" i="3" s="1"/>
  <c r="J886" i="3" a="1"/>
  <c r="J886" i="3" s="1"/>
  <c r="K878" i="3" a="1"/>
  <c r="K878" i="3" s="1"/>
  <c r="J878" i="3" a="1"/>
  <c r="J878" i="3"/>
  <c r="I878" i="3" a="1"/>
  <c r="I878" i="3" s="1"/>
  <c r="H878" i="3" a="1"/>
  <c r="H878" i="3"/>
  <c r="G878" i="3" a="1"/>
  <c r="G878" i="3"/>
  <c r="K870" i="3" a="1"/>
  <c r="K870" i="3" s="1"/>
  <c r="J870" i="3" a="1"/>
  <c r="J870" i="3" s="1"/>
  <c r="I870" i="3" a="1"/>
  <c r="I870" i="3"/>
  <c r="H870" i="3" a="1"/>
  <c r="H870" i="3" s="1"/>
  <c r="G870" i="3" a="1"/>
  <c r="G870" i="3" s="1"/>
  <c r="H830" i="3" a="1"/>
  <c r="H830" i="3" s="1"/>
  <c r="G830" i="3" a="1"/>
  <c r="G830" i="3" s="1"/>
  <c r="K830" i="3" a="1"/>
  <c r="K830" i="3"/>
  <c r="J830" i="3" a="1"/>
  <c r="J830" i="3"/>
  <c r="I830" i="3" a="1"/>
  <c r="I830" i="3" s="1"/>
  <c r="J852" i="3" a="1"/>
  <c r="J852" i="3"/>
  <c r="K852" i="3" a="1"/>
  <c r="K852" i="3"/>
  <c r="I852" i="3" a="1"/>
  <c r="I852" i="3" s="1"/>
  <c r="H852" i="3" a="1"/>
  <c r="H852" i="3" s="1"/>
  <c r="G852" i="3" a="1"/>
  <c r="G852" i="3" s="1"/>
  <c r="J856" i="3" a="1"/>
  <c r="J856" i="3" s="1"/>
  <c r="I856" i="3" a="1"/>
  <c r="I856" i="3"/>
  <c r="H856" i="3" a="1"/>
  <c r="H856" i="3" s="1"/>
  <c r="G856" i="3" a="1"/>
  <c r="G856" i="3" s="1"/>
  <c r="K856" i="3" a="1"/>
  <c r="K856" i="3"/>
  <c r="G865" i="3" a="1"/>
  <c r="G865" i="3"/>
  <c r="K865" i="3" a="1"/>
  <c r="K865" i="3" s="1"/>
  <c r="J865" i="3" a="1"/>
  <c r="J865" i="3"/>
  <c r="I865" i="3" a="1"/>
  <c r="I865" i="3" s="1"/>
  <c r="H865" i="3" a="1"/>
  <c r="H865" i="3" s="1"/>
  <c r="I851" i="3" a="1"/>
  <c r="I851" i="3" s="1"/>
  <c r="H851" i="3" a="1"/>
  <c r="H851" i="3" s="1"/>
  <c r="G851" i="3" a="1"/>
  <c r="G851" i="3" s="1"/>
  <c r="K851" i="3" a="1"/>
  <c r="K851" i="3"/>
  <c r="J851" i="3" a="1"/>
  <c r="J851" i="3" s="1"/>
  <c r="G780" i="3" a="1"/>
  <c r="G780" i="3"/>
  <c r="K780" i="3" a="1"/>
  <c r="K780" i="3"/>
  <c r="J780" i="3" a="1"/>
  <c r="J780" i="3" s="1"/>
  <c r="I780" i="3" a="1"/>
  <c r="I780" i="3" s="1"/>
  <c r="H780" i="3" a="1"/>
  <c r="H780" i="3"/>
  <c r="G786" i="3" a="1"/>
  <c r="G786" i="3" s="1"/>
  <c r="K786" i="3" a="1"/>
  <c r="K786" i="3" s="1"/>
  <c r="J786" i="3" a="1"/>
  <c r="J786" i="3" s="1"/>
  <c r="I786" i="3" a="1"/>
  <c r="I786" i="3" s="1"/>
  <c r="H786" i="3" a="1"/>
  <c r="H786" i="3"/>
  <c r="H795" i="3" a="1"/>
  <c r="H795" i="3"/>
  <c r="G795" i="3" a="1"/>
  <c r="G795" i="3" s="1"/>
  <c r="K795" i="3" a="1"/>
  <c r="K795" i="3"/>
  <c r="J795" i="3" a="1"/>
  <c r="J795" i="3"/>
  <c r="I795" i="3" a="1"/>
  <c r="I795" i="3" s="1"/>
  <c r="J804" i="3" a="1"/>
  <c r="J804" i="3" s="1"/>
  <c r="I804" i="3" a="1"/>
  <c r="I804" i="3" s="1"/>
  <c r="H804" i="3" a="1"/>
  <c r="H804" i="3" s="1"/>
  <c r="G804" i="3" a="1"/>
  <c r="G804" i="3"/>
  <c r="K804" i="3" a="1"/>
  <c r="K804" i="3" s="1"/>
  <c r="I812" i="3" a="1"/>
  <c r="I812" i="3" s="1"/>
  <c r="H812" i="3" a="1"/>
  <c r="H812" i="3"/>
  <c r="G812" i="3" a="1"/>
  <c r="G812" i="3"/>
  <c r="K812" i="3" a="1"/>
  <c r="K812" i="3" s="1"/>
  <c r="J812" i="3" a="1"/>
  <c r="J812" i="3"/>
  <c r="H820" i="3" a="1"/>
  <c r="H820" i="3" s="1"/>
  <c r="G820" i="3" a="1"/>
  <c r="G820" i="3" s="1"/>
  <c r="K820" i="3" a="1"/>
  <c r="K820" i="3" s="1"/>
  <c r="J820" i="3" a="1"/>
  <c r="J820" i="3" s="1"/>
  <c r="I820" i="3" a="1"/>
  <c r="I820" i="3" s="1"/>
  <c r="K759" i="3" a="1"/>
  <c r="K759" i="3"/>
  <c r="J759" i="3" a="1"/>
  <c r="J759" i="3" s="1"/>
  <c r="H759" i="3" a="1"/>
  <c r="H759" i="3"/>
  <c r="G759" i="3" a="1"/>
  <c r="G759" i="3"/>
  <c r="I759" i="3" a="1"/>
  <c r="I759" i="3" s="1"/>
  <c r="H766" i="3" a="1"/>
  <c r="H766" i="3" s="1"/>
  <c r="G766" i="3" a="1"/>
  <c r="G766" i="3"/>
  <c r="K766" i="3" a="1"/>
  <c r="K766" i="3" s="1"/>
  <c r="J766" i="3" a="1"/>
  <c r="J766" i="3" s="1"/>
  <c r="I766" i="3" a="1"/>
  <c r="I766" i="3" s="1"/>
  <c r="K774" i="3" a="1"/>
  <c r="K774" i="3" s="1"/>
  <c r="J774" i="3" a="1"/>
  <c r="J774" i="3"/>
  <c r="I774" i="3" a="1"/>
  <c r="I774" i="3"/>
  <c r="H774" i="3" a="1"/>
  <c r="H774" i="3" s="1"/>
  <c r="G774" i="3" a="1"/>
  <c r="G774" i="3"/>
  <c r="H750" i="3" a="1"/>
  <c r="H750" i="3"/>
  <c r="G750" i="3" a="1"/>
  <c r="G750" i="3" s="1"/>
  <c r="K750" i="3" a="1"/>
  <c r="K750" i="3" s="1"/>
  <c r="J750" i="3" a="1"/>
  <c r="J750" i="3" s="1"/>
  <c r="I750" i="3" a="1"/>
  <c r="I750" i="3" s="1"/>
  <c r="K716" i="3" a="1"/>
  <c r="K716" i="3"/>
  <c r="J716" i="3" a="1"/>
  <c r="J716" i="3" s="1"/>
  <c r="I716" i="3" a="1"/>
  <c r="I716" i="3" s="1"/>
  <c r="H716" i="3" a="1"/>
  <c r="H716" i="3"/>
  <c r="G716" i="3" a="1"/>
  <c r="G716" i="3"/>
  <c r="I721" i="3" a="1"/>
  <c r="I721" i="3" s="1"/>
  <c r="H721" i="3" a="1"/>
  <c r="H721" i="3"/>
  <c r="G721" i="3" a="1"/>
  <c r="G721" i="3" s="1"/>
  <c r="K721" i="3" a="1"/>
  <c r="K721" i="3" s="1"/>
  <c r="J721" i="3" a="1"/>
  <c r="J721" i="3" s="1"/>
  <c r="K705" i="3" a="1"/>
  <c r="K705" i="3" s="1"/>
  <c r="J705" i="3" a="1"/>
  <c r="J705" i="3" s="1"/>
  <c r="I705" i="3" a="1"/>
  <c r="I705" i="3"/>
  <c r="H705" i="3" a="1"/>
  <c r="H705" i="3" s="1"/>
  <c r="G705" i="3" a="1"/>
  <c r="G705" i="3"/>
  <c r="I724" i="3" a="1"/>
  <c r="I724" i="3"/>
  <c r="H724" i="3" a="1"/>
  <c r="H724" i="3" s="1"/>
  <c r="G724" i="3" a="1"/>
  <c r="G724" i="3" s="1"/>
  <c r="K724" i="3" a="1"/>
  <c r="K724" i="3"/>
  <c r="J724" i="3" a="1"/>
  <c r="J724" i="3" s="1"/>
  <c r="K731" i="3" a="1"/>
  <c r="K731" i="3" s="1"/>
  <c r="J731" i="3" a="1"/>
  <c r="J731" i="3" s="1"/>
  <c r="I731" i="3" a="1"/>
  <c r="I731" i="3" s="1"/>
  <c r="H731" i="3" a="1"/>
  <c r="H731" i="3"/>
  <c r="G731" i="3" a="1"/>
  <c r="G731" i="3"/>
  <c r="J748" i="3" a="1"/>
  <c r="J748" i="3" s="1"/>
  <c r="I748" i="3" a="1"/>
  <c r="I748" i="3"/>
  <c r="H748" i="3" a="1"/>
  <c r="H748" i="3"/>
  <c r="G748" i="3" a="1"/>
  <c r="G748" i="3" s="1"/>
  <c r="K748" i="3" a="1"/>
  <c r="K748" i="3" s="1"/>
  <c r="H694" i="3" a="1"/>
  <c r="H694" i="3" s="1"/>
  <c r="G694" i="3" a="1"/>
  <c r="G694" i="3" s="1"/>
  <c r="K694" i="3" a="1"/>
  <c r="K694" i="3"/>
  <c r="J694" i="3" a="1"/>
  <c r="J694" i="3" s="1"/>
  <c r="I694" i="3" a="1"/>
  <c r="I694" i="3" s="1"/>
  <c r="K446" i="3" a="1"/>
  <c r="K446" i="3"/>
  <c r="J446" i="3" a="1"/>
  <c r="J446" i="3"/>
  <c r="I446" i="3" a="1"/>
  <c r="I446" i="3" s="1"/>
  <c r="H446" i="3" a="1"/>
  <c r="H446" i="3"/>
  <c r="G446" i="3" a="1"/>
  <c r="G446" i="3" s="1"/>
  <c r="I453" i="3" a="1"/>
  <c r="I453" i="3" s="1"/>
  <c r="H453" i="3" a="1"/>
  <c r="H453" i="3" s="1"/>
  <c r="G453" i="3" a="1"/>
  <c r="G453" i="3" s="1"/>
  <c r="K453" i="3" a="1"/>
  <c r="K453" i="3" s="1"/>
  <c r="J453" i="3" a="1"/>
  <c r="J453" i="3"/>
  <c r="K463" i="3" a="1"/>
  <c r="K463" i="3" s="1"/>
  <c r="J463" i="3" a="1"/>
  <c r="J463" i="3"/>
  <c r="I463" i="3" a="1"/>
  <c r="I463" i="3"/>
  <c r="H463" i="3" a="1"/>
  <c r="H463" i="3" s="1"/>
  <c r="G463" i="3" a="1"/>
  <c r="G463" i="3" s="1"/>
  <c r="K474" i="3" a="1"/>
  <c r="K474" i="3"/>
  <c r="J474" i="3" a="1"/>
  <c r="J474" i="3" s="1"/>
  <c r="I474" i="3" a="1"/>
  <c r="I474" i="3" s="1"/>
  <c r="H474" i="3" a="1"/>
  <c r="H474" i="3" s="1"/>
  <c r="G474" i="3" a="1"/>
  <c r="G474" i="3" s="1"/>
  <c r="G530" i="3" a="1"/>
  <c r="G530" i="3"/>
  <c r="K530" i="3" a="1"/>
  <c r="K530" i="3"/>
  <c r="J530" i="3" a="1"/>
  <c r="J530" i="3" s="1"/>
  <c r="I530" i="3" a="1"/>
  <c r="I530" i="3"/>
  <c r="H530" i="3" a="1"/>
  <c r="H530" i="3"/>
  <c r="K481" i="3" a="1"/>
  <c r="K481" i="3" s="1"/>
  <c r="J481" i="3" a="1"/>
  <c r="J481" i="3" s="1"/>
  <c r="I481" i="3" a="1"/>
  <c r="I481" i="3" s="1"/>
  <c r="H481" i="3" a="1"/>
  <c r="H481" i="3" s="1"/>
  <c r="G481" i="3" a="1"/>
  <c r="G481" i="3"/>
  <c r="J507" i="3" a="1"/>
  <c r="J507" i="3" s="1"/>
  <c r="I507" i="3" a="1"/>
  <c r="I507" i="3" s="1"/>
  <c r="H507" i="3" a="1"/>
  <c r="H507" i="3"/>
  <c r="G507" i="3" a="1"/>
  <c r="G507" i="3"/>
  <c r="K507" i="3" a="1"/>
  <c r="K507" i="3" s="1"/>
  <c r="H483" i="3" a="1"/>
  <c r="H483" i="3"/>
  <c r="G483" i="3" a="1"/>
  <c r="G483" i="3" s="1"/>
  <c r="K483" i="3" a="1"/>
  <c r="K483" i="3" s="1"/>
  <c r="J483" i="3" a="1"/>
  <c r="J483" i="3" s="1"/>
  <c r="I483" i="3" a="1"/>
  <c r="I483" i="3" s="1"/>
  <c r="J498" i="3" a="1"/>
  <c r="J498" i="3" s="1"/>
  <c r="I498" i="3" a="1"/>
  <c r="I498" i="3"/>
  <c r="H498" i="3" a="1"/>
  <c r="H498" i="3" s="1"/>
  <c r="G498" i="3" a="1"/>
  <c r="G498" i="3"/>
  <c r="K498" i="3" a="1"/>
  <c r="K498" i="3"/>
  <c r="I492" i="3" a="1"/>
  <c r="I492" i="3" s="1"/>
  <c r="H492" i="3" a="1"/>
  <c r="H492" i="3" s="1"/>
  <c r="G492" i="3" a="1"/>
  <c r="G492" i="3"/>
  <c r="K492" i="3" a="1"/>
  <c r="K492" i="3" s="1"/>
  <c r="J492" i="3" a="1"/>
  <c r="J492" i="3" s="1"/>
  <c r="G517" i="3" a="1"/>
  <c r="G517" i="3" s="1"/>
  <c r="K517" i="3" a="1"/>
  <c r="K517" i="3" s="1"/>
  <c r="J517" i="3" a="1"/>
  <c r="J517" i="3"/>
  <c r="I517" i="3" a="1"/>
  <c r="I517" i="3"/>
  <c r="H517" i="3" a="1"/>
  <c r="H517" i="3" s="1"/>
  <c r="K485" i="3" a="1"/>
  <c r="K485" i="3"/>
  <c r="J485" i="3" a="1"/>
  <c r="J485" i="3"/>
  <c r="I485" i="3" a="1"/>
  <c r="I485" i="3" s="1"/>
  <c r="H485" i="3" a="1"/>
  <c r="H485" i="3" s="1"/>
  <c r="G485" i="3" a="1"/>
  <c r="G485" i="3" s="1"/>
  <c r="J546" i="3" a="1"/>
  <c r="J546" i="3" s="1"/>
  <c r="I546" i="3" a="1"/>
  <c r="I546" i="3"/>
  <c r="H546" i="3" a="1"/>
  <c r="H546" i="3" s="1"/>
  <c r="G546" i="3" a="1"/>
  <c r="G546" i="3" s="1"/>
  <c r="K546" i="3" a="1"/>
  <c r="K546" i="3"/>
  <c r="K551" i="3" a="1"/>
  <c r="K551" i="3"/>
  <c r="J551" i="3" a="1"/>
  <c r="J551" i="3" s="1"/>
  <c r="I551" i="3" a="1"/>
  <c r="I551" i="3" s="1"/>
  <c r="H551" i="3" a="1"/>
  <c r="H551" i="3" s="1"/>
  <c r="G551" i="3" a="1"/>
  <c r="G551" i="3" s="1"/>
  <c r="I560" i="3" a="1"/>
  <c r="I560" i="3" s="1"/>
  <c r="H560" i="3" a="1"/>
  <c r="H560" i="3" s="1"/>
  <c r="G560" i="3" a="1"/>
  <c r="G560" i="3" s="1"/>
  <c r="K560" i="3" a="1"/>
  <c r="K560" i="3"/>
  <c r="J560" i="3" a="1"/>
  <c r="J560" i="3" s="1"/>
  <c r="H565" i="3" a="1"/>
  <c r="H565" i="3"/>
  <c r="G565" i="3" a="1"/>
  <c r="G565" i="3"/>
  <c r="K565" i="3" a="1"/>
  <c r="K565" i="3" s="1"/>
  <c r="J565" i="3" a="1"/>
  <c r="J565" i="3" s="1"/>
  <c r="I565" i="3" a="1"/>
  <c r="I565" i="3" s="1"/>
  <c r="H573" i="3" a="1"/>
  <c r="H573" i="3" s="1"/>
  <c r="G573" i="3" a="1"/>
  <c r="G573" i="3" s="1"/>
  <c r="K573" i="3" a="1"/>
  <c r="K573" i="3" s="1"/>
  <c r="J573" i="3" a="1"/>
  <c r="J573" i="3" s="1"/>
  <c r="I573" i="3" a="1"/>
  <c r="I573" i="3"/>
  <c r="K584" i="3" a="1"/>
  <c r="K584" i="3"/>
  <c r="J584" i="3" a="1"/>
  <c r="J584" i="3" s="1"/>
  <c r="I584" i="3" a="1"/>
  <c r="I584" i="3"/>
  <c r="H584" i="3" a="1"/>
  <c r="H584" i="3" s="1"/>
  <c r="G584" i="3" a="1"/>
  <c r="G584" i="3" s="1"/>
  <c r="G591" i="3" a="1"/>
  <c r="G591" i="3" s="1"/>
  <c r="K591" i="3" a="1"/>
  <c r="K591" i="3" s="1"/>
  <c r="J591" i="3" a="1"/>
  <c r="J591" i="3" s="1"/>
  <c r="I591" i="3" a="1"/>
  <c r="I591" i="3"/>
  <c r="H591" i="3" a="1"/>
  <c r="H591" i="3" s="1"/>
  <c r="K600" i="3" a="1"/>
  <c r="K600" i="3" s="1"/>
  <c r="J600" i="3" a="1"/>
  <c r="J600" i="3"/>
  <c r="I600" i="3" a="1"/>
  <c r="I600" i="3" s="1"/>
  <c r="H600" i="3" a="1"/>
  <c r="H600" i="3" s="1"/>
  <c r="G600" i="3" a="1"/>
  <c r="G600" i="3"/>
  <c r="K608" i="3" a="1"/>
  <c r="K608" i="3" s="1"/>
  <c r="J608" i="3" a="1"/>
  <c r="J608" i="3" s="1"/>
  <c r="I608" i="3" a="1"/>
  <c r="I608" i="3" s="1"/>
  <c r="H608" i="3" a="1"/>
  <c r="H608" i="3" s="1"/>
  <c r="G608" i="3" a="1"/>
  <c r="G608" i="3" s="1"/>
  <c r="H665" i="3" a="1"/>
  <c r="H665" i="3"/>
  <c r="G665" i="3" a="1"/>
  <c r="G665" i="3" s="1"/>
  <c r="K665" i="3" a="1"/>
  <c r="K665" i="3"/>
  <c r="J665" i="3" a="1"/>
  <c r="J665" i="3"/>
  <c r="I665" i="3" a="1"/>
  <c r="I665" i="3" s="1"/>
  <c r="I616" i="3" a="1"/>
  <c r="I616" i="3" s="1"/>
  <c r="H616" i="3" a="1"/>
  <c r="H616" i="3" s="1"/>
  <c r="G616" i="3" a="1"/>
  <c r="G616" i="3" s="1"/>
  <c r="K616" i="3" a="1"/>
  <c r="K616" i="3" s="1"/>
  <c r="J616" i="3" a="1"/>
  <c r="J616" i="3" s="1"/>
  <c r="K636" i="3" a="1"/>
  <c r="K636" i="3" s="1"/>
  <c r="J636" i="3" a="1"/>
  <c r="J636" i="3"/>
  <c r="H636" i="3" a="1"/>
  <c r="H636" i="3"/>
  <c r="G636" i="3" a="1"/>
  <c r="G636" i="3" s="1"/>
  <c r="I636" i="3" a="1"/>
  <c r="I636" i="3"/>
  <c r="K626" i="3" a="1"/>
  <c r="K626" i="3"/>
  <c r="J626" i="3" a="1"/>
  <c r="J626" i="3" s="1"/>
  <c r="I626" i="3" a="1"/>
  <c r="I626" i="3" s="1"/>
  <c r="H626" i="3" a="1"/>
  <c r="H626" i="3" s="1"/>
  <c r="G626" i="3" a="1"/>
  <c r="G626" i="3" s="1"/>
  <c r="J641" i="3" a="1"/>
  <c r="J641" i="3"/>
  <c r="I641" i="3" a="1"/>
  <c r="I641" i="3" s="1"/>
  <c r="H641" i="3" a="1"/>
  <c r="H641" i="3" s="1"/>
  <c r="G641" i="3" a="1"/>
  <c r="G641" i="3"/>
  <c r="K641" i="3" a="1"/>
  <c r="K641" i="3"/>
  <c r="J649" i="3" a="1"/>
  <c r="J649" i="3" s="1"/>
  <c r="I649" i="3" a="1"/>
  <c r="I649" i="3"/>
  <c r="H649" i="3" a="1"/>
  <c r="H649" i="3" s="1"/>
  <c r="G649" i="3" a="1"/>
  <c r="G649" i="3" s="1"/>
  <c r="K649" i="3" a="1"/>
  <c r="K649" i="3" s="1"/>
  <c r="J652" i="3" a="1"/>
  <c r="J652" i="3" s="1"/>
  <c r="I652" i="3" a="1"/>
  <c r="I652" i="3" s="1"/>
  <c r="H652" i="3" a="1"/>
  <c r="H652" i="3"/>
  <c r="G652" i="3" a="1"/>
  <c r="G652" i="3" s="1"/>
  <c r="K652" i="3" a="1"/>
  <c r="K652" i="3"/>
  <c r="K678" i="3" a="1"/>
  <c r="K678" i="3"/>
  <c r="J678" i="3" a="1"/>
  <c r="J678" i="3" s="1"/>
  <c r="I678" i="3" a="1"/>
  <c r="I678" i="3" s="1"/>
  <c r="H678" i="3" a="1"/>
  <c r="H678" i="3"/>
  <c r="G678" i="3" a="1"/>
  <c r="G678" i="3" s="1"/>
  <c r="G679" i="3" a="1"/>
  <c r="G679" i="3" s="1"/>
  <c r="K679" i="3" a="1"/>
  <c r="K679" i="3" s="1"/>
  <c r="J679" i="3" a="1"/>
  <c r="J679" i="3" s="1"/>
  <c r="I679" i="3" a="1"/>
  <c r="I679" i="3"/>
  <c r="H679" i="3" a="1"/>
  <c r="H679" i="3"/>
  <c r="G685" i="3" a="1"/>
  <c r="G685" i="3" s="1"/>
  <c r="K685" i="3" a="1"/>
  <c r="K685" i="3"/>
  <c r="J685" i="3" a="1"/>
  <c r="J685" i="3"/>
  <c r="I685" i="3" a="1"/>
  <c r="I685" i="3" s="1"/>
  <c r="H685" i="3" a="1"/>
  <c r="H685" i="3" s="1"/>
  <c r="I433" i="3" a="1"/>
  <c r="I433" i="3" s="1"/>
  <c r="H433" i="3" a="1"/>
  <c r="H433" i="3" s="1"/>
  <c r="G433" i="3" a="1"/>
  <c r="G433" i="3"/>
  <c r="K433" i="3" a="1"/>
  <c r="K433" i="3" s="1"/>
  <c r="J433" i="3" a="1"/>
  <c r="J433" i="3" s="1"/>
  <c r="K431" i="3" a="1"/>
  <c r="K431" i="3"/>
  <c r="J431" i="3" a="1"/>
  <c r="J431" i="3"/>
  <c r="I431" i="3" a="1"/>
  <c r="I431" i="3" s="1"/>
  <c r="H431" i="3" a="1"/>
  <c r="H431" i="3"/>
  <c r="G431" i="3" a="1"/>
  <c r="G431" i="3" s="1"/>
  <c r="H408" i="3" a="1"/>
  <c r="H408" i="3" s="1"/>
  <c r="G408" i="3" a="1"/>
  <c r="G408" i="3" s="1"/>
  <c r="K408" i="3" a="1"/>
  <c r="K408" i="3" s="1"/>
  <c r="J408" i="3" a="1"/>
  <c r="J408" i="3" s="1"/>
  <c r="I408" i="3" a="1"/>
  <c r="I408" i="3"/>
  <c r="K419" i="3" a="1"/>
  <c r="K419" i="3" s="1"/>
  <c r="J419" i="3" a="1"/>
  <c r="J419" i="3"/>
  <c r="I419" i="3" a="1"/>
  <c r="I419" i="3"/>
  <c r="H419" i="3" a="1"/>
  <c r="H419" i="3" s="1"/>
  <c r="G419" i="3" a="1"/>
  <c r="G419" i="3" s="1"/>
  <c r="K416" i="3" a="1"/>
  <c r="K416" i="3"/>
  <c r="J416" i="3" a="1"/>
  <c r="J416" i="3" s="1"/>
  <c r="I416" i="3" a="1"/>
  <c r="I416" i="3"/>
  <c r="H416" i="3" a="1"/>
  <c r="H416" i="3" s="1"/>
  <c r="G416" i="3" a="1"/>
  <c r="G416" i="3" s="1"/>
  <c r="K398" i="3" a="1"/>
  <c r="K398" i="3"/>
  <c r="J398" i="3" a="1"/>
  <c r="J398" i="3"/>
  <c r="I398" i="3" a="1"/>
  <c r="I398" i="3" s="1"/>
  <c r="H398" i="3" a="1"/>
  <c r="H398" i="3"/>
  <c r="G398" i="3" a="1"/>
  <c r="G398" i="3"/>
  <c r="G369" i="3" a="1"/>
  <c r="G369" i="3" s="1"/>
  <c r="K369" i="3" a="1"/>
  <c r="K369" i="3" s="1"/>
  <c r="J369" i="3" a="1"/>
  <c r="J369" i="3" s="1"/>
  <c r="I369" i="3" a="1"/>
  <c r="I369" i="3" s="1"/>
  <c r="H369" i="3" a="1"/>
  <c r="H369" i="3"/>
  <c r="K373" i="3" a="1"/>
  <c r="K373" i="3" s="1"/>
  <c r="J373" i="3" a="1"/>
  <c r="J373" i="3"/>
  <c r="I373" i="3" a="1"/>
  <c r="I373" i="3"/>
  <c r="H373" i="3" a="1"/>
  <c r="H373" i="3"/>
  <c r="G373" i="3" a="1"/>
  <c r="G373" i="3" s="1"/>
  <c r="K374" i="3" a="1"/>
  <c r="K374" i="3"/>
  <c r="J374" i="3" a="1"/>
  <c r="J374" i="3" s="1"/>
  <c r="I374" i="3" a="1"/>
  <c r="I374" i="3" s="1"/>
  <c r="H374" i="3" a="1"/>
  <c r="H374" i="3" s="1"/>
  <c r="G374" i="3" a="1"/>
  <c r="G374" i="3" s="1"/>
  <c r="K383" i="3" a="1"/>
  <c r="K383" i="3"/>
  <c r="I383" i="3" a="1"/>
  <c r="I383" i="3"/>
  <c r="G383" i="3" a="1"/>
  <c r="G383" i="3" s="1"/>
  <c r="J383" i="3" a="1"/>
  <c r="J383" i="3" s="1"/>
  <c r="H383" i="3" a="1"/>
  <c r="H383" i="3"/>
  <c r="I356" i="3" a="1"/>
  <c r="I356" i="3" s="1"/>
  <c r="H356" i="3" a="1"/>
  <c r="H356" i="3" s="1"/>
  <c r="G356" i="3" a="1"/>
  <c r="G356" i="3"/>
  <c r="K356" i="3" a="1"/>
  <c r="K356" i="3" s="1"/>
  <c r="J356" i="3" a="1"/>
  <c r="J356" i="3"/>
  <c r="J359" i="3" a="1"/>
  <c r="J359" i="3" s="1"/>
  <c r="I359" i="3" a="1"/>
  <c r="I359" i="3" s="1"/>
  <c r="H359" i="3" a="1"/>
  <c r="H359" i="3" s="1"/>
  <c r="G359" i="3" a="1"/>
  <c r="G359" i="3"/>
  <c r="K359" i="3" a="1"/>
  <c r="K359" i="3" s="1"/>
  <c r="K344" i="3" a="1"/>
  <c r="K344" i="3"/>
  <c r="J344" i="3" a="1"/>
  <c r="J344" i="3"/>
  <c r="I344" i="3" a="1"/>
  <c r="I344" i="3" s="1"/>
  <c r="H344" i="3" a="1"/>
  <c r="H344" i="3" s="1"/>
  <c r="G344" i="3" a="1"/>
  <c r="G344" i="3" s="1"/>
  <c r="G316" i="3" a="1"/>
  <c r="G316" i="3" s="1"/>
  <c r="K316" i="3" a="1"/>
  <c r="K316" i="3" s="1"/>
  <c r="J316" i="3" a="1"/>
  <c r="J316" i="3" s="1"/>
  <c r="I316" i="3" a="1"/>
  <c r="I316" i="3"/>
  <c r="H316" i="3" a="1"/>
  <c r="H316" i="3"/>
  <c r="G328" i="3" a="1"/>
  <c r="G328" i="3"/>
  <c r="K328" i="3" a="1"/>
  <c r="K328" i="3" s="1"/>
  <c r="J328" i="3" a="1"/>
  <c r="J328" i="3"/>
  <c r="I328" i="3" a="1"/>
  <c r="I328" i="3" s="1"/>
  <c r="H328" i="3" a="1"/>
  <c r="H328" i="3" s="1"/>
  <c r="J326" i="3" a="1"/>
  <c r="J326" i="3" s="1"/>
  <c r="I326" i="3" a="1"/>
  <c r="I326" i="3" s="1"/>
  <c r="H326" i="3" a="1"/>
  <c r="H326" i="3"/>
  <c r="G326" i="3" a="1"/>
  <c r="G326" i="3"/>
  <c r="K326" i="3" a="1"/>
  <c r="K326" i="3" s="1"/>
  <c r="H296" i="3" a="1"/>
  <c r="H296" i="3" s="1"/>
  <c r="G296" i="3" a="1"/>
  <c r="G296" i="3"/>
  <c r="K296" i="3" a="1"/>
  <c r="K296" i="3" s="1"/>
  <c r="J296" i="3" a="1"/>
  <c r="J296" i="3" s="1"/>
  <c r="I296" i="3" a="1"/>
  <c r="I296" i="3"/>
  <c r="H301" i="3" a="1"/>
  <c r="H301" i="3" s="1"/>
  <c r="G301" i="3" a="1"/>
  <c r="G301" i="3"/>
  <c r="K301" i="3" a="1"/>
  <c r="K301" i="3" s="1"/>
  <c r="J301" i="3" a="1"/>
  <c r="J301" i="3" s="1"/>
  <c r="I301" i="3" a="1"/>
  <c r="I301" i="3" s="1"/>
  <c r="K310" i="3" a="1"/>
  <c r="K310" i="3"/>
  <c r="J310" i="3" a="1"/>
  <c r="J310" i="3" s="1"/>
  <c r="I310" i="3" a="1"/>
  <c r="I310" i="3"/>
  <c r="H310" i="3" a="1"/>
  <c r="H310" i="3"/>
  <c r="G310" i="3" a="1"/>
  <c r="G310" i="3" s="1"/>
  <c r="G262" i="3" a="1"/>
  <c r="G262" i="3" s="1"/>
  <c r="K262" i="3" a="1"/>
  <c r="K262" i="3" s="1"/>
  <c r="J262" i="3" a="1"/>
  <c r="J262" i="3" s="1"/>
  <c r="I262" i="3" a="1"/>
  <c r="I262" i="3" s="1"/>
  <c r="H262" i="3" a="1"/>
  <c r="H262" i="3" s="1"/>
  <c r="K277" i="3" a="1"/>
  <c r="K277" i="3"/>
  <c r="J277" i="3" a="1"/>
  <c r="J277" i="3"/>
  <c r="I277" i="3" a="1"/>
  <c r="I277" i="3"/>
  <c r="H277" i="3" a="1"/>
  <c r="H277" i="3" s="1"/>
  <c r="G277" i="3" a="1"/>
  <c r="G277" i="3"/>
  <c r="K280" i="3" a="1"/>
  <c r="K280" i="3" s="1"/>
  <c r="J280" i="3" a="1"/>
  <c r="J280" i="3" s="1"/>
  <c r="I280" i="3" a="1"/>
  <c r="I280" i="3" s="1"/>
  <c r="H280" i="3" a="1"/>
  <c r="H280" i="3" s="1"/>
  <c r="G280" i="3" a="1"/>
  <c r="G280" i="3"/>
  <c r="K281" i="3" a="1"/>
  <c r="K281" i="3"/>
  <c r="J281" i="3" a="1"/>
  <c r="J281" i="3" s="1"/>
  <c r="I281" i="3" a="1"/>
  <c r="I281" i="3" s="1"/>
  <c r="H281" i="3" a="1"/>
  <c r="H281" i="3"/>
  <c r="G281" i="3" a="1"/>
  <c r="G281" i="3" s="1"/>
  <c r="G244" i="3" a="1"/>
  <c r="G244" i="3" s="1"/>
  <c r="K244" i="3" a="1"/>
  <c r="K244" i="3"/>
  <c r="J244" i="3" a="1"/>
  <c r="J244" i="3" s="1"/>
  <c r="I244" i="3" a="1"/>
  <c r="I244" i="3"/>
  <c r="H244" i="3" a="1"/>
  <c r="H244" i="3" s="1"/>
  <c r="H253" i="3" a="1"/>
  <c r="H253" i="3" s="1"/>
  <c r="G253" i="3" a="1"/>
  <c r="G253" i="3" s="1"/>
  <c r="K253" i="3" a="1"/>
  <c r="K253" i="3"/>
  <c r="J253" i="3" a="1"/>
  <c r="J253" i="3" s="1"/>
  <c r="I253" i="3" a="1"/>
  <c r="I253" i="3"/>
  <c r="I241" i="3" a="1"/>
  <c r="I241" i="3"/>
  <c r="H241" i="3" a="1"/>
  <c r="H241" i="3" s="1"/>
  <c r="G241" i="3" a="1"/>
  <c r="G241" i="3" s="1"/>
  <c r="K241" i="3" a="1"/>
  <c r="K241" i="3" s="1"/>
  <c r="J241" i="3" a="1"/>
  <c r="J241" i="3" s="1"/>
  <c r="H229" i="3" a="1"/>
  <c r="H229" i="3" s="1"/>
  <c r="G229" i="3" a="1"/>
  <c r="G229" i="3" s="1"/>
  <c r="K229" i="3" a="1"/>
  <c r="K229" i="3"/>
  <c r="J229" i="3" a="1"/>
  <c r="J229" i="3"/>
  <c r="I229" i="3" a="1"/>
  <c r="I229" i="3"/>
  <c r="H222" i="3" a="1"/>
  <c r="H222" i="3" s="1"/>
  <c r="G222" i="3" a="1"/>
  <c r="G222" i="3"/>
  <c r="K222" i="3" a="1"/>
  <c r="K222" i="3" s="1"/>
  <c r="J222" i="3" a="1"/>
  <c r="J222" i="3" s="1"/>
  <c r="I222" i="3" a="1"/>
  <c r="I222" i="3" s="1"/>
  <c r="I214" i="3" a="1"/>
  <c r="I214" i="3" s="1"/>
  <c r="H214" i="3" a="1"/>
  <c r="H214" i="3"/>
  <c r="G214" i="3" a="1"/>
  <c r="G214" i="3"/>
  <c r="K214" i="3" a="1"/>
  <c r="K214" i="3" s="1"/>
  <c r="J214" i="3" a="1"/>
  <c r="J214" i="3" s="1"/>
  <c r="G179" i="3" a="1"/>
  <c r="G179" i="3"/>
  <c r="K179" i="3" a="1"/>
  <c r="K179" i="3" s="1"/>
  <c r="J179" i="3" a="1"/>
  <c r="J179" i="3" s="1"/>
  <c r="I179" i="3" a="1"/>
  <c r="I179" i="3"/>
  <c r="H179" i="3" a="1"/>
  <c r="H179" i="3" s="1"/>
  <c r="K187" i="3" a="1"/>
  <c r="K187" i="3"/>
  <c r="J187" i="3" a="1"/>
  <c r="J187" i="3" s="1"/>
  <c r="I187" i="3" a="1"/>
  <c r="I187" i="3" s="1"/>
  <c r="H187" i="3" a="1"/>
  <c r="H187" i="3" s="1"/>
  <c r="G187" i="3" a="1"/>
  <c r="G187" i="3"/>
  <c r="K195" i="3" a="1"/>
  <c r="K195" i="3" s="1"/>
  <c r="J195" i="3" a="1"/>
  <c r="J195" i="3"/>
  <c r="I195" i="3" a="1"/>
  <c r="I195" i="3"/>
  <c r="H195" i="3" a="1"/>
  <c r="H195" i="3" s="1"/>
  <c r="G195" i="3" a="1"/>
  <c r="G195" i="3" s="1"/>
  <c r="H203" i="3" a="1"/>
  <c r="H203" i="3" s="1"/>
  <c r="G203" i="3" a="1"/>
  <c r="G203" i="3" s="1"/>
  <c r="K203" i="3" a="1"/>
  <c r="K203" i="3" s="1"/>
  <c r="J203" i="3" a="1"/>
  <c r="J203" i="3" s="1"/>
  <c r="I203" i="3" a="1"/>
  <c r="I203" i="3"/>
  <c r="K167" i="3" a="1"/>
  <c r="K167" i="3"/>
  <c r="J167" i="3" a="1"/>
  <c r="J167" i="3"/>
  <c r="I167" i="3" a="1"/>
  <c r="I167" i="3" s="1"/>
  <c r="H167" i="3" a="1"/>
  <c r="H167" i="3"/>
  <c r="G167" i="3" a="1"/>
  <c r="G167" i="3" s="1"/>
  <c r="J166" i="3" a="1"/>
  <c r="J166" i="3" s="1"/>
  <c r="I166" i="3" a="1"/>
  <c r="I166" i="3" s="1"/>
  <c r="H166" i="3" a="1"/>
  <c r="H166" i="3" s="1"/>
  <c r="G166" i="3" a="1"/>
  <c r="G166" i="3"/>
  <c r="K166" i="3" a="1"/>
  <c r="K166" i="3"/>
  <c r="K140" i="3" a="1"/>
  <c r="K140" i="3" s="1"/>
  <c r="J140" i="3" a="1"/>
  <c r="J140" i="3" s="1"/>
  <c r="I140" i="3" a="1"/>
  <c r="I140" i="3"/>
  <c r="H140" i="3" a="1"/>
  <c r="H140" i="3" s="1"/>
  <c r="G140" i="3" a="1"/>
  <c r="G140" i="3" s="1"/>
  <c r="I152" i="3" a="1"/>
  <c r="I152" i="3"/>
  <c r="K152" i="3" a="1"/>
  <c r="K152" i="3" s="1"/>
  <c r="J152" i="3" a="1"/>
  <c r="J152" i="3"/>
  <c r="H152" i="3" a="1"/>
  <c r="H152" i="3" s="1"/>
  <c r="G152" i="3" a="1"/>
  <c r="G152" i="3" s="1"/>
  <c r="H165" i="3" a="1"/>
  <c r="H165" i="3" s="1"/>
  <c r="G165" i="3" a="1"/>
  <c r="G165" i="3"/>
  <c r="K165" i="3" a="1"/>
  <c r="K165" i="3" s="1"/>
  <c r="I165" i="3" a="1"/>
  <c r="I165" i="3"/>
  <c r="J165" i="3" a="1"/>
  <c r="J165" i="3"/>
  <c r="G107" i="3" a="1"/>
  <c r="G107" i="3" s="1"/>
  <c r="K107" i="3" a="1"/>
  <c r="K107" i="3" s="1"/>
  <c r="J107" i="3" a="1"/>
  <c r="J107" i="3" s="1"/>
  <c r="I107" i="3" a="1"/>
  <c r="I107" i="3" s="1"/>
  <c r="H107" i="3" a="1"/>
  <c r="H107" i="3" s="1"/>
  <c r="K114" i="3" a="1"/>
  <c r="K114" i="3" s="1"/>
  <c r="J114" i="3" a="1"/>
  <c r="J114" i="3"/>
  <c r="I114" i="3" a="1"/>
  <c r="I114" i="3"/>
  <c r="H114" i="3" a="1"/>
  <c r="H114" i="3"/>
  <c r="G114" i="3" a="1"/>
  <c r="G114" i="3" s="1"/>
  <c r="J112" i="3" a="1"/>
  <c r="J112" i="3"/>
  <c r="I112" i="3" a="1"/>
  <c r="I112" i="3" s="1"/>
  <c r="H112" i="3" a="1"/>
  <c r="H112" i="3" s="1"/>
  <c r="G112" i="3" a="1"/>
  <c r="G112" i="3" s="1"/>
  <c r="K112" i="3" a="1"/>
  <c r="K112" i="3" s="1"/>
  <c r="K110" i="3" a="1"/>
  <c r="K110" i="3" s="1"/>
  <c r="J110" i="3" a="1"/>
  <c r="J110" i="3"/>
  <c r="I110" i="3" a="1"/>
  <c r="I110" i="3" s="1"/>
  <c r="H110" i="3" a="1"/>
  <c r="H110" i="3"/>
  <c r="G110" i="3" a="1"/>
  <c r="G110" i="3"/>
  <c r="I102" i="3" a="1"/>
  <c r="I102" i="3" s="1"/>
  <c r="H102" i="3" a="1"/>
  <c r="H102" i="3" s="1"/>
  <c r="G102" i="3" a="1"/>
  <c r="G102" i="3"/>
  <c r="K102" i="3" a="1"/>
  <c r="K102" i="3" s="1"/>
  <c r="J102" i="3" a="1"/>
  <c r="J102" i="3" s="1"/>
  <c r="K69" i="3" a="1"/>
  <c r="K69" i="3" s="1"/>
  <c r="J69" i="3" a="1"/>
  <c r="J69" i="3" s="1"/>
  <c r="I69" i="3" a="1"/>
  <c r="I69" i="3" s="1"/>
  <c r="H69" i="3" a="1"/>
  <c r="H69" i="3"/>
  <c r="G69" i="3" a="1"/>
  <c r="G69" i="3" s="1"/>
  <c r="K81" i="3" a="1"/>
  <c r="K81" i="3"/>
  <c r="J81" i="3" a="1"/>
  <c r="J81" i="3"/>
  <c r="I81" i="3" a="1"/>
  <c r="I81" i="3" s="1"/>
  <c r="H81" i="3" a="1"/>
  <c r="H81" i="3" s="1"/>
  <c r="G81" i="3" a="1"/>
  <c r="G81" i="3" s="1"/>
  <c r="I87" i="3" a="1"/>
  <c r="I87" i="3" s="1"/>
  <c r="H87" i="3" a="1"/>
  <c r="H87" i="3" s="1"/>
  <c r="G87" i="3" a="1"/>
  <c r="G87" i="3" s="1"/>
  <c r="K87" i="3" a="1"/>
  <c r="K87" i="3" s="1"/>
  <c r="J87" i="3" a="1"/>
  <c r="J87" i="3"/>
  <c r="K85" i="3" a="1"/>
  <c r="K85" i="3"/>
  <c r="J85" i="3" a="1"/>
  <c r="J85" i="3" s="1"/>
  <c r="I85" i="3" a="1"/>
  <c r="I85" i="3"/>
  <c r="H85" i="3" a="1"/>
  <c r="H85" i="3" s="1"/>
  <c r="G85" i="3" a="1"/>
  <c r="G85" i="3" s="1"/>
  <c r="H61" i="3" a="1"/>
  <c r="H61" i="3" s="1"/>
  <c r="G61" i="3" a="1"/>
  <c r="G61" i="3" s="1"/>
  <c r="K61" i="3" a="1"/>
  <c r="K61" i="3" s="1"/>
  <c r="J61" i="3" a="1"/>
  <c r="J61" i="3"/>
  <c r="I61" i="3" a="1"/>
  <c r="I61" i="3" s="1"/>
  <c r="H51" i="3" a="1"/>
  <c r="H51" i="3" s="1"/>
  <c r="G51" i="3" a="1"/>
  <c r="G51" i="3"/>
  <c r="K51" i="3" a="1"/>
  <c r="K51" i="3" s="1"/>
  <c r="J51" i="3" a="1"/>
  <c r="J51" i="3" s="1"/>
  <c r="I51" i="3" a="1"/>
  <c r="I51" i="3"/>
  <c r="K49" i="3" a="1"/>
  <c r="K49" i="3" s="1"/>
  <c r="J49" i="3" a="1"/>
  <c r="J49" i="3"/>
  <c r="I49" i="3" a="1"/>
  <c r="I49" i="3"/>
  <c r="H49" i="3" a="1"/>
  <c r="H49" i="3"/>
  <c r="G49" i="3" a="1"/>
  <c r="G49" i="3" s="1"/>
  <c r="H38" i="3" a="1"/>
  <c r="H38" i="3" s="1"/>
  <c r="G38" i="3" a="1"/>
  <c r="G38" i="3"/>
  <c r="K38" i="3" a="1"/>
  <c r="K38" i="3"/>
  <c r="J38" i="3" a="1"/>
  <c r="J38" i="3" s="1"/>
  <c r="I38" i="3" a="1"/>
  <c r="I38" i="3"/>
  <c r="K27" i="3" a="1"/>
  <c r="K27" i="3"/>
  <c r="J27" i="3" a="1"/>
  <c r="J27" i="3"/>
  <c r="I27" i="3" a="1"/>
  <c r="I27" i="3" s="1"/>
  <c r="H27" i="3" a="1"/>
  <c r="H27" i="3" s="1"/>
  <c r="G27" i="3" a="1"/>
  <c r="G27" i="3"/>
  <c r="J22" i="3" a="1"/>
  <c r="J22" i="3" s="1"/>
  <c r="I22" i="3" a="1"/>
  <c r="I22" i="3" s="1"/>
  <c r="H22" i="3" a="1"/>
  <c r="H22" i="3"/>
  <c r="G22" i="3" a="1"/>
  <c r="G22" i="3"/>
  <c r="K22" i="3" a="1"/>
  <c r="K22" i="3"/>
  <c r="K14" i="3" a="1"/>
  <c r="K14" i="3" s="1"/>
  <c r="J14" i="3" a="1"/>
  <c r="J14" i="3" s="1"/>
  <c r="I14" i="3" a="1"/>
  <c r="I14" i="3" s="1"/>
  <c r="H14" i="3" a="1"/>
  <c r="H14" i="3" s="1"/>
  <c r="G14" i="3" a="1"/>
  <c r="G14" i="3" s="1"/>
  <c r="I993" i="3" a="1"/>
  <c r="I993" i="3" s="1"/>
  <c r="H993" i="3" a="1"/>
  <c r="H993" i="3"/>
  <c r="G993" i="3" a="1"/>
  <c r="G993" i="3"/>
  <c r="K993" i="3" a="1"/>
  <c r="K993" i="3" s="1"/>
  <c r="J993" i="3" a="1"/>
  <c r="J993" i="3" s="1"/>
  <c r="K976" i="3" a="1"/>
  <c r="K976" i="3" s="1"/>
  <c r="J976" i="3" a="1"/>
  <c r="J976" i="3" s="1"/>
  <c r="I976" i="3" a="1"/>
  <c r="I976" i="3" s="1"/>
  <c r="H976" i="3" a="1"/>
  <c r="H976" i="3"/>
  <c r="G976" i="3" a="1"/>
  <c r="G976" i="3" s="1"/>
  <c r="J990" i="3" a="1"/>
  <c r="J990" i="3"/>
  <c r="I990" i="3" a="1"/>
  <c r="I990" i="3" s="1"/>
  <c r="H990" i="3" a="1"/>
  <c r="H990" i="3" s="1"/>
  <c r="G990" i="3" a="1"/>
  <c r="G990" i="3" s="1"/>
  <c r="K990" i="3" a="1"/>
  <c r="K990" i="3" s="1"/>
  <c r="K965" i="3" a="1"/>
  <c r="K965" i="3" s="1"/>
  <c r="J965" i="3" a="1"/>
  <c r="J965" i="3"/>
  <c r="I965" i="3" a="1"/>
  <c r="I965" i="3"/>
  <c r="H965" i="3" a="1"/>
  <c r="H965" i="3" s="1"/>
  <c r="G965" i="3" a="1"/>
  <c r="G965" i="3" s="1"/>
  <c r="H941" i="3" a="1"/>
  <c r="H941" i="3" s="1"/>
  <c r="G941" i="3" a="1"/>
  <c r="G941" i="3" s="1"/>
  <c r="K941" i="3" a="1"/>
  <c r="K941" i="3" s="1"/>
  <c r="J941" i="3" a="1"/>
  <c r="J941" i="3" s="1"/>
  <c r="I941" i="3" a="1"/>
  <c r="I941" i="3"/>
  <c r="K933" i="3" a="1"/>
  <c r="K933" i="3"/>
  <c r="J933" i="3" a="1"/>
  <c r="J933" i="3"/>
  <c r="I933" i="3" a="1"/>
  <c r="I933" i="3" s="1"/>
  <c r="H933" i="3" a="1"/>
  <c r="H933" i="3" s="1"/>
  <c r="G933" i="3" a="1"/>
  <c r="G933" i="3" s="1"/>
  <c r="G925" i="3" a="1"/>
  <c r="G925" i="3" s="1"/>
  <c r="K925" i="3" a="1"/>
  <c r="K925" i="3" s="1"/>
  <c r="J925" i="3" a="1"/>
  <c r="J925" i="3" s="1"/>
  <c r="I925" i="3" a="1"/>
  <c r="I925" i="3"/>
  <c r="H925" i="3" a="1"/>
  <c r="H925" i="3"/>
  <c r="I917" i="3" a="1"/>
  <c r="I917" i="3" s="1"/>
  <c r="H917" i="3" a="1"/>
  <c r="H917" i="3" s="1"/>
  <c r="G917" i="3" a="1"/>
  <c r="G917" i="3" s="1"/>
  <c r="K917" i="3" a="1"/>
  <c r="K917" i="3" s="1"/>
  <c r="J917" i="3" a="1"/>
  <c r="J917" i="3" s="1"/>
  <c r="K909" i="3" a="1"/>
  <c r="K909" i="3"/>
  <c r="J909" i="3" a="1"/>
  <c r="J909" i="3" s="1"/>
  <c r="I909" i="3" a="1"/>
  <c r="I909" i="3"/>
  <c r="H909" i="3" a="1"/>
  <c r="H909" i="3" s="1"/>
  <c r="G909" i="3" a="1"/>
  <c r="G909" i="3" s="1"/>
  <c r="H901" i="3" a="1"/>
  <c r="H901" i="3" s="1"/>
  <c r="G901" i="3" a="1"/>
  <c r="G901" i="3" s="1"/>
  <c r="K901" i="3" a="1"/>
  <c r="K901" i="3" s="1"/>
  <c r="J901" i="3" a="1"/>
  <c r="J901" i="3"/>
  <c r="I901" i="3" a="1"/>
  <c r="I901" i="3"/>
  <c r="I893" i="3" a="1"/>
  <c r="I893" i="3" s="1"/>
  <c r="H893" i="3" a="1"/>
  <c r="H893" i="3" s="1"/>
  <c r="G893" i="3" a="1"/>
  <c r="G893" i="3" s="1"/>
  <c r="K893" i="3" a="1"/>
  <c r="K893" i="3" s="1"/>
  <c r="J893" i="3" a="1"/>
  <c r="J893" i="3" s="1"/>
  <c r="G885" i="3" a="1"/>
  <c r="G885" i="3" s="1"/>
  <c r="K885" i="3" a="1"/>
  <c r="K885" i="3"/>
  <c r="J885" i="3" a="1"/>
  <c r="J885" i="3"/>
  <c r="I885" i="3" a="1"/>
  <c r="I885" i="3"/>
  <c r="H885" i="3" a="1"/>
  <c r="H885" i="3" s="1"/>
  <c r="J877" i="3" a="1"/>
  <c r="J877" i="3" s="1"/>
  <c r="I877" i="3" a="1"/>
  <c r="I877" i="3" s="1"/>
  <c r="H877" i="3" a="1"/>
  <c r="H877" i="3" s="1"/>
  <c r="G877" i="3" a="1"/>
  <c r="G877" i="3" s="1"/>
  <c r="K877" i="3" a="1"/>
  <c r="K877" i="3" s="1"/>
  <c r="K869" i="3" a="1"/>
  <c r="K869" i="3"/>
  <c r="J869" i="3" a="1"/>
  <c r="J869" i="3" s="1"/>
  <c r="I869" i="3" a="1"/>
  <c r="I869" i="3" s="1"/>
  <c r="G869" i="3" a="1"/>
  <c r="G869" i="3" s="1"/>
  <c r="H869" i="3" a="1"/>
  <c r="H869" i="3" s="1"/>
  <c r="K831" i="3" a="1"/>
  <c r="K831" i="3" s="1"/>
  <c r="J831" i="3" a="1"/>
  <c r="J831" i="3" s="1"/>
  <c r="I831" i="3" a="1"/>
  <c r="I831" i="3"/>
  <c r="H831" i="3" a="1"/>
  <c r="H831" i="3" s="1"/>
  <c r="G831" i="3" a="1"/>
  <c r="G831" i="3"/>
  <c r="K859" i="3" a="1"/>
  <c r="K859" i="3" s="1"/>
  <c r="J859" i="3" a="1"/>
  <c r="J859" i="3" s="1"/>
  <c r="I859" i="3" a="1"/>
  <c r="I859" i="3" s="1"/>
  <c r="H859" i="3" a="1"/>
  <c r="H859" i="3" s="1"/>
  <c r="G859" i="3" a="1"/>
  <c r="G859" i="3" s="1"/>
  <c r="G845" i="3" a="1"/>
  <c r="G845" i="3" s="1"/>
  <c r="K845" i="3" a="1"/>
  <c r="K845" i="3"/>
  <c r="J845" i="3" a="1"/>
  <c r="J845" i="3" s="1"/>
  <c r="I845" i="3" a="1"/>
  <c r="I845" i="3" s="1"/>
  <c r="H845" i="3" a="1"/>
  <c r="H845" i="3" s="1"/>
  <c r="K841" i="3" a="1"/>
  <c r="K841" i="3" s="1"/>
  <c r="J841" i="3" a="1"/>
  <c r="J841" i="3" s="1"/>
  <c r="I841" i="3" a="1"/>
  <c r="I841" i="3" s="1"/>
  <c r="H841" i="3" a="1"/>
  <c r="H841" i="3"/>
  <c r="G841" i="3" a="1"/>
  <c r="G841" i="3" s="1"/>
  <c r="H854" i="3" a="1"/>
  <c r="H854" i="3"/>
  <c r="K854" i="3" a="1"/>
  <c r="K854" i="3" s="1"/>
  <c r="J854" i="3" a="1"/>
  <c r="J854" i="3" s="1"/>
  <c r="I854" i="3" a="1"/>
  <c r="I854" i="3" s="1"/>
  <c r="G854" i="3" a="1"/>
  <c r="G854" i="3" s="1"/>
  <c r="K783" i="3" a="1"/>
  <c r="K783" i="3" s="1"/>
  <c r="J783" i="3" a="1"/>
  <c r="J783" i="3" s="1"/>
  <c r="I783" i="3" a="1"/>
  <c r="I783" i="3"/>
  <c r="H783" i="3" a="1"/>
  <c r="H783" i="3"/>
  <c r="G783" i="3" a="1"/>
  <c r="G783" i="3" s="1"/>
  <c r="K793" i="3" a="1"/>
  <c r="K793" i="3" s="1"/>
  <c r="J793" i="3" a="1"/>
  <c r="J793" i="3" s="1"/>
  <c r="I793" i="3" a="1"/>
  <c r="I793" i="3" s="1"/>
  <c r="H793" i="3" a="1"/>
  <c r="H793" i="3" s="1"/>
  <c r="G793" i="3" a="1"/>
  <c r="G793" i="3"/>
  <c r="K797" i="3" a="1"/>
  <c r="K797" i="3" s="1"/>
  <c r="J797" i="3" a="1"/>
  <c r="J797" i="3"/>
  <c r="I797" i="3" a="1"/>
  <c r="I797" i="3" s="1"/>
  <c r="H797" i="3" a="1"/>
  <c r="H797" i="3" s="1"/>
  <c r="G797" i="3" a="1"/>
  <c r="G797" i="3" s="1"/>
  <c r="K805" i="3" a="1"/>
  <c r="K805" i="3" s="1"/>
  <c r="J805" i="3" a="1"/>
  <c r="J805" i="3" s="1"/>
  <c r="I805" i="3" a="1"/>
  <c r="I805" i="3" s="1"/>
  <c r="H805" i="3" a="1"/>
  <c r="H805" i="3"/>
  <c r="G805" i="3" a="1"/>
  <c r="G805" i="3" s="1"/>
  <c r="I815" i="3" a="1"/>
  <c r="I815" i="3" s="1"/>
  <c r="H815" i="3" a="1"/>
  <c r="H815" i="3" s="1"/>
  <c r="G815" i="3" a="1"/>
  <c r="G815" i="3" s="1"/>
  <c r="K815" i="3" a="1"/>
  <c r="K815" i="3" s="1"/>
  <c r="J815" i="3" a="1"/>
  <c r="J815" i="3" s="1"/>
  <c r="K823" i="3" a="1"/>
  <c r="K823" i="3"/>
  <c r="J823" i="3" a="1"/>
  <c r="J823" i="3"/>
  <c r="I823" i="3" a="1"/>
  <c r="I823" i="3"/>
  <c r="H823" i="3" a="1"/>
  <c r="H823" i="3" s="1"/>
  <c r="G823" i="3" a="1"/>
  <c r="G823" i="3" s="1"/>
  <c r="J761" i="3" a="1"/>
  <c r="J761" i="3" s="1"/>
  <c r="I761" i="3" a="1"/>
  <c r="I761" i="3" s="1"/>
  <c r="H761" i="3" a="1"/>
  <c r="H761" i="3" s="1"/>
  <c r="G761" i="3" a="1"/>
  <c r="G761" i="3" s="1"/>
  <c r="K761" i="3" a="1"/>
  <c r="K761" i="3"/>
  <c r="I775" i="3" a="1"/>
  <c r="I775" i="3"/>
  <c r="H775" i="3" a="1"/>
  <c r="H775" i="3" s="1"/>
  <c r="G775" i="3" a="1"/>
  <c r="G775" i="3" s="1"/>
  <c r="K775" i="3" a="1"/>
  <c r="K775" i="3" s="1"/>
  <c r="J775" i="3" a="1"/>
  <c r="J775" i="3" s="1"/>
  <c r="K773" i="3" a="1"/>
  <c r="K773" i="3" s="1"/>
  <c r="J773" i="3" a="1"/>
  <c r="J773" i="3"/>
  <c r="I773" i="3" a="1"/>
  <c r="I773" i="3" s="1"/>
  <c r="H773" i="3" a="1"/>
  <c r="H773" i="3"/>
  <c r="G773" i="3" a="1"/>
  <c r="G773" i="3" s="1"/>
  <c r="I697" i="3" a="1"/>
  <c r="I697" i="3" s="1"/>
  <c r="H697" i="3" a="1"/>
  <c r="H697" i="3" s="1"/>
  <c r="G697" i="3" a="1"/>
  <c r="G697" i="3" s="1"/>
  <c r="K697" i="3" a="1"/>
  <c r="K697" i="3" s="1"/>
  <c r="J697" i="3" a="1"/>
  <c r="J697" i="3"/>
  <c r="K708" i="3" a="1"/>
  <c r="K708" i="3"/>
  <c r="J708" i="3" a="1"/>
  <c r="J708" i="3" s="1"/>
  <c r="I708" i="3" a="1"/>
  <c r="I708" i="3" s="1"/>
  <c r="H708" i="3" a="1"/>
  <c r="H708" i="3" s="1"/>
  <c r="G708" i="3" a="1"/>
  <c r="G708" i="3" s="1"/>
  <c r="K710" i="3" a="1"/>
  <c r="K710" i="3" s="1"/>
  <c r="J710" i="3" a="1"/>
  <c r="J710" i="3" s="1"/>
  <c r="I710" i="3" a="1"/>
  <c r="I710" i="3"/>
  <c r="H710" i="3" a="1"/>
  <c r="H710" i="3"/>
  <c r="G710" i="3" a="1"/>
  <c r="G710" i="3"/>
  <c r="K722" i="3" a="1"/>
  <c r="K722" i="3" s="1"/>
  <c r="J722" i="3" a="1"/>
  <c r="J722" i="3" s="1"/>
  <c r="I722" i="3" a="1"/>
  <c r="I722" i="3" s="1"/>
  <c r="H722" i="3" a="1"/>
  <c r="H722" i="3" s="1"/>
  <c r="G722" i="3" a="1"/>
  <c r="G722" i="3" s="1"/>
  <c r="G729" i="3" a="1"/>
  <c r="G729" i="3" s="1"/>
  <c r="K729" i="3" a="1"/>
  <c r="K729" i="3"/>
  <c r="J729" i="3" a="1"/>
  <c r="J729" i="3"/>
  <c r="I729" i="3" a="1"/>
  <c r="I729" i="3" s="1"/>
  <c r="H729" i="3" a="1"/>
  <c r="H729" i="3" s="1"/>
  <c r="I727" i="3" a="1"/>
  <c r="I727" i="3" s="1"/>
  <c r="H727" i="3" a="1"/>
  <c r="H727" i="3" s="1"/>
  <c r="G727" i="3" a="1"/>
  <c r="G727" i="3" s="1"/>
  <c r="K727" i="3" a="1"/>
  <c r="K727" i="3"/>
  <c r="J727" i="3" a="1"/>
  <c r="J727" i="3" s="1"/>
  <c r="K740" i="3" a="1"/>
  <c r="K740" i="3"/>
  <c r="J740" i="3" a="1"/>
  <c r="J740" i="3" s="1"/>
  <c r="I740" i="3" a="1"/>
  <c r="I740" i="3" s="1"/>
  <c r="H740" i="3" a="1"/>
  <c r="H740" i="3" s="1"/>
  <c r="G740" i="3" a="1"/>
  <c r="G740" i="3" s="1"/>
  <c r="I442" i="3" a="1"/>
  <c r="I442" i="3" s="1"/>
  <c r="H442" i="3" a="1"/>
  <c r="H442" i="3" s="1"/>
  <c r="G442" i="3" a="1"/>
  <c r="G442" i="3"/>
  <c r="K442" i="3" a="1"/>
  <c r="K442" i="3" s="1"/>
  <c r="J442" i="3" a="1"/>
  <c r="J442" i="3" s="1"/>
  <c r="J448" i="3" a="1"/>
  <c r="J448" i="3"/>
  <c r="I448" i="3" a="1"/>
  <c r="I448" i="3" s="1"/>
  <c r="H448" i="3" a="1"/>
  <c r="H448" i="3"/>
  <c r="G448" i="3" a="1"/>
  <c r="G448" i="3" s="1"/>
  <c r="K448" i="3" a="1"/>
  <c r="K448" i="3"/>
  <c r="K457" i="3" a="1"/>
  <c r="K457" i="3" s="1"/>
  <c r="J457" i="3" a="1"/>
  <c r="J457" i="3"/>
  <c r="I457" i="3" a="1"/>
  <c r="I457" i="3" s="1"/>
  <c r="H457" i="3" a="1"/>
  <c r="H457" i="3" s="1"/>
  <c r="G457" i="3" a="1"/>
  <c r="G457" i="3"/>
  <c r="I467" i="3" a="1"/>
  <c r="I467" i="3"/>
  <c r="H467" i="3" a="1"/>
  <c r="H467" i="3" s="1"/>
  <c r="G467" i="3" a="1"/>
  <c r="G467" i="3" s="1"/>
  <c r="K467" i="3" a="1"/>
  <c r="K467" i="3"/>
  <c r="J467" i="3" a="1"/>
  <c r="J467" i="3" s="1"/>
  <c r="H472" i="3" a="1"/>
  <c r="H472" i="3" s="1"/>
  <c r="G472" i="3" a="1"/>
  <c r="G472" i="3"/>
  <c r="K472" i="3" a="1"/>
  <c r="K472" i="3" s="1"/>
  <c r="J472" i="3" a="1"/>
  <c r="J472" i="3"/>
  <c r="I472" i="3" a="1"/>
  <c r="I472" i="3" s="1"/>
  <c r="K535" i="3" a="1"/>
  <c r="K535" i="3"/>
  <c r="J535" i="3" a="1"/>
  <c r="J535" i="3" s="1"/>
  <c r="I535" i="3" a="1"/>
  <c r="I535" i="3"/>
  <c r="H535" i="3" a="1"/>
  <c r="H535" i="3" s="1"/>
  <c r="G535" i="3" a="1"/>
  <c r="G535" i="3" s="1"/>
  <c r="K519" i="3" a="1"/>
  <c r="K519" i="3"/>
  <c r="J519" i="3" a="1"/>
  <c r="J519" i="3" s="1"/>
  <c r="I519" i="3" a="1"/>
  <c r="I519" i="3" s="1"/>
  <c r="H519" i="3" a="1"/>
  <c r="H519" i="3" s="1"/>
  <c r="G519" i="3" a="1"/>
  <c r="G519" i="3"/>
  <c r="H510" i="3" a="1"/>
  <c r="H510" i="3" s="1"/>
  <c r="K510" i="3" a="1"/>
  <c r="K510" i="3" s="1"/>
  <c r="J510" i="3" a="1"/>
  <c r="J510" i="3" s="1"/>
  <c r="G510" i="3" a="1"/>
  <c r="G510" i="3" s="1"/>
  <c r="I510" i="3" a="1"/>
  <c r="I510" i="3"/>
  <c r="H526" i="3" a="1"/>
  <c r="H526" i="3" s="1"/>
  <c r="G526" i="3" a="1"/>
  <c r="G526" i="3"/>
  <c r="K526" i="3" a="1"/>
  <c r="K526" i="3" s="1"/>
  <c r="J526" i="3" a="1"/>
  <c r="J526" i="3"/>
  <c r="I526" i="3" a="1"/>
  <c r="I526" i="3" s="1"/>
  <c r="K496" i="3" a="1"/>
  <c r="K496" i="3" s="1"/>
  <c r="J496" i="3" a="1"/>
  <c r="J496" i="3" s="1"/>
  <c r="I496" i="3" a="1"/>
  <c r="I496" i="3" s="1"/>
  <c r="H496" i="3" a="1"/>
  <c r="H496" i="3" s="1"/>
  <c r="G496" i="3" a="1"/>
  <c r="G496" i="3" s="1"/>
  <c r="K488" i="3" a="1"/>
  <c r="K488" i="3"/>
  <c r="J488" i="3" a="1"/>
  <c r="J488" i="3" s="1"/>
  <c r="I488" i="3" a="1"/>
  <c r="I488" i="3" s="1"/>
  <c r="H488" i="3" a="1"/>
  <c r="H488" i="3"/>
  <c r="G488" i="3" a="1"/>
  <c r="G488" i="3" s="1"/>
  <c r="J504" i="3" a="1"/>
  <c r="J504" i="3" s="1"/>
  <c r="K504" i="3" a="1"/>
  <c r="K504" i="3" s="1"/>
  <c r="I504" i="3" a="1"/>
  <c r="I504" i="3"/>
  <c r="H504" i="3" a="1"/>
  <c r="H504" i="3" s="1"/>
  <c r="G504" i="3" a="1"/>
  <c r="G504" i="3"/>
  <c r="K487" i="3" a="1"/>
  <c r="K487" i="3" s="1"/>
  <c r="J487" i="3" a="1"/>
  <c r="J487" i="3" s="1"/>
  <c r="I487" i="3" a="1"/>
  <c r="I487" i="3"/>
  <c r="H487" i="3" a="1"/>
  <c r="H487" i="3" s="1"/>
  <c r="G487" i="3" a="1"/>
  <c r="G487" i="3" s="1"/>
  <c r="G542" i="3" a="1"/>
  <c r="G542" i="3" s="1"/>
  <c r="K542" i="3" a="1"/>
  <c r="K542" i="3"/>
  <c r="J542" i="3" a="1"/>
  <c r="J542" i="3" s="1"/>
  <c r="I542" i="3" a="1"/>
  <c r="I542" i="3" s="1"/>
  <c r="H542" i="3" a="1"/>
  <c r="H542" i="3" s="1"/>
  <c r="K561" i="3" a="1"/>
  <c r="K561" i="3" s="1"/>
  <c r="J561" i="3" a="1"/>
  <c r="J561" i="3"/>
  <c r="I561" i="3" a="1"/>
  <c r="I561" i="3" s="1"/>
  <c r="H561" i="3" a="1"/>
  <c r="H561" i="3"/>
  <c r="G561" i="3" a="1"/>
  <c r="G561" i="3" s="1"/>
  <c r="K558" i="3" a="1"/>
  <c r="K558" i="3"/>
  <c r="J558" i="3" a="1"/>
  <c r="J558" i="3" s="1"/>
  <c r="I558" i="3" a="1"/>
  <c r="I558" i="3" s="1"/>
  <c r="H558" i="3" a="1"/>
  <c r="H558" i="3" s="1"/>
  <c r="G558" i="3" a="1"/>
  <c r="G558" i="3" s="1"/>
  <c r="K569" i="3" a="1"/>
  <c r="K569" i="3" s="1"/>
  <c r="J569" i="3" a="1"/>
  <c r="J569" i="3" s="1"/>
  <c r="I569" i="3" a="1"/>
  <c r="I569" i="3"/>
  <c r="H569" i="3" a="1"/>
  <c r="H569" i="3" s="1"/>
  <c r="G569" i="3" a="1"/>
  <c r="G569" i="3" s="1"/>
  <c r="K578" i="3" a="1"/>
  <c r="K578" i="3"/>
  <c r="J578" i="3" a="1"/>
  <c r="J578" i="3" s="1"/>
  <c r="I578" i="3" a="1"/>
  <c r="I578" i="3" s="1"/>
  <c r="H578" i="3" a="1"/>
  <c r="H578" i="3" s="1"/>
  <c r="G578" i="3" a="1"/>
  <c r="G578" i="3"/>
  <c r="I592" i="3" a="1"/>
  <c r="I592" i="3" s="1"/>
  <c r="H592" i="3" a="1"/>
  <c r="H592" i="3"/>
  <c r="G592" i="3" a="1"/>
  <c r="G592" i="3" s="1"/>
  <c r="K592" i="3" a="1"/>
  <c r="K592" i="3" s="1"/>
  <c r="J592" i="3" a="1"/>
  <c r="J592" i="3"/>
  <c r="K596" i="3" a="1"/>
  <c r="K596" i="3" s="1"/>
  <c r="J596" i="3" a="1"/>
  <c r="J596" i="3" s="1"/>
  <c r="I596" i="3" a="1"/>
  <c r="I596" i="3" s="1"/>
  <c r="H596" i="3" a="1"/>
  <c r="H596" i="3"/>
  <c r="G596" i="3" a="1"/>
  <c r="G596" i="3" s="1"/>
  <c r="K603" i="3" a="1"/>
  <c r="K603" i="3" s="1"/>
  <c r="J603" i="3" a="1"/>
  <c r="J603" i="3" s="1"/>
  <c r="I603" i="3" a="1"/>
  <c r="I603" i="3" s="1"/>
  <c r="H603" i="3" a="1"/>
  <c r="H603" i="3"/>
  <c r="G603" i="3" a="1"/>
  <c r="G603" i="3" s="1"/>
  <c r="K609" i="3" a="1"/>
  <c r="K609" i="3"/>
  <c r="J609" i="3" a="1"/>
  <c r="J609" i="3" s="1"/>
  <c r="I609" i="3" a="1"/>
  <c r="I609" i="3"/>
  <c r="H609" i="3" a="1"/>
  <c r="H609" i="3" s="1"/>
  <c r="G609" i="3" a="1"/>
  <c r="G609" i="3" s="1"/>
  <c r="K664" i="3" a="1"/>
  <c r="K664" i="3" s="1"/>
  <c r="J664" i="3" a="1"/>
  <c r="J664" i="3" s="1"/>
  <c r="I664" i="3" a="1"/>
  <c r="I664" i="3" s="1"/>
  <c r="H664" i="3" a="1"/>
  <c r="H664" i="3" s="1"/>
  <c r="G664" i="3" a="1"/>
  <c r="G664" i="3"/>
  <c r="K621" i="3" a="1"/>
  <c r="K621" i="3" s="1"/>
  <c r="J621" i="3" a="1"/>
  <c r="J621" i="3" s="1"/>
  <c r="I621" i="3" a="1"/>
  <c r="I621" i="3"/>
  <c r="H621" i="3" a="1"/>
  <c r="H621" i="3" s="1"/>
  <c r="G621" i="3" a="1"/>
  <c r="G621" i="3" s="1"/>
  <c r="J631" i="3" a="1"/>
  <c r="J631" i="3" s="1"/>
  <c r="G631" i="3" a="1"/>
  <c r="G631" i="3"/>
  <c r="K631" i="3" a="1"/>
  <c r="K631" i="3" s="1"/>
  <c r="I631" i="3" a="1"/>
  <c r="I631" i="3"/>
  <c r="H631" i="3" a="1"/>
  <c r="H631" i="3" s="1"/>
  <c r="K625" i="3" a="1"/>
  <c r="K625" i="3" s="1"/>
  <c r="I625" i="3" a="1"/>
  <c r="I625" i="3"/>
  <c r="H625" i="3" a="1"/>
  <c r="H625" i="3" s="1"/>
  <c r="G625" i="3" a="1"/>
  <c r="G625" i="3" s="1"/>
  <c r="J625" i="3" a="1"/>
  <c r="J625" i="3" s="1"/>
  <c r="G651" i="3" a="1"/>
  <c r="G651" i="3"/>
  <c r="K651" i="3" a="1"/>
  <c r="K651" i="3" s="1"/>
  <c r="J651" i="3" a="1"/>
  <c r="J651" i="3" s="1"/>
  <c r="I651" i="3" a="1"/>
  <c r="I651" i="3" s="1"/>
  <c r="H651" i="3" a="1"/>
  <c r="H651" i="3" s="1"/>
  <c r="G648" i="3" a="1"/>
  <c r="G648" i="3"/>
  <c r="K648" i="3" a="1"/>
  <c r="K648" i="3" s="1"/>
  <c r="J648" i="3" a="1"/>
  <c r="J648" i="3"/>
  <c r="I648" i="3" a="1"/>
  <c r="I648" i="3" s="1"/>
  <c r="H648" i="3" a="1"/>
  <c r="H648" i="3"/>
  <c r="K661" i="3" a="1"/>
  <c r="K661" i="3" s="1"/>
  <c r="J661" i="3" a="1"/>
  <c r="J661" i="3" s="1"/>
  <c r="I661" i="3" a="1"/>
  <c r="I661" i="3" s="1"/>
  <c r="H661" i="3" a="1"/>
  <c r="H661" i="3" s="1"/>
  <c r="G661" i="3" a="1"/>
  <c r="G661" i="3" s="1"/>
  <c r="I671" i="3" a="1"/>
  <c r="I671" i="3" s="1"/>
  <c r="H671" i="3" a="1"/>
  <c r="H671" i="3"/>
  <c r="G671" i="3" a="1"/>
  <c r="G671" i="3" s="1"/>
  <c r="K671" i="3" a="1"/>
  <c r="K671" i="3" s="1"/>
  <c r="J671" i="3" a="1"/>
  <c r="J671" i="3"/>
  <c r="K681" i="3" a="1"/>
  <c r="K681" i="3" s="1"/>
  <c r="J681" i="3" a="1"/>
  <c r="J681" i="3" s="1"/>
  <c r="I681" i="3" a="1"/>
  <c r="I681" i="3" s="1"/>
  <c r="H681" i="3" a="1"/>
  <c r="H681" i="3"/>
  <c r="G681" i="3" a="1"/>
  <c r="G681" i="3" s="1"/>
  <c r="K688" i="3" a="1"/>
  <c r="K688" i="3"/>
  <c r="J688" i="3" a="1"/>
  <c r="J688" i="3" s="1"/>
  <c r="I688" i="3" a="1"/>
  <c r="I688" i="3" s="1"/>
  <c r="H688" i="3" a="1"/>
  <c r="H688" i="3" s="1"/>
  <c r="G688" i="3" a="1"/>
  <c r="G688" i="3" s="1"/>
  <c r="I439" i="3" a="1"/>
  <c r="I439" i="3" s="1"/>
  <c r="H439" i="3" a="1"/>
  <c r="H439" i="3" s="1"/>
  <c r="G439" i="3" a="1"/>
  <c r="G439" i="3"/>
  <c r="K439" i="3" a="1"/>
  <c r="K439" i="3" s="1"/>
  <c r="J439" i="3" a="1"/>
  <c r="J439" i="3" s="1"/>
  <c r="K429" i="3" a="1"/>
  <c r="K429" i="3" s="1"/>
  <c r="J429" i="3" a="1"/>
  <c r="J429" i="3" s="1"/>
  <c r="I429" i="3" a="1"/>
  <c r="I429" i="3" s="1"/>
  <c r="H429" i="3" a="1"/>
  <c r="H429" i="3" s="1"/>
  <c r="G429" i="3" a="1"/>
  <c r="G429" i="3"/>
  <c r="K410" i="3" a="1"/>
  <c r="K410" i="3" s="1"/>
  <c r="J410" i="3" a="1"/>
  <c r="J410" i="3"/>
  <c r="I410" i="3" a="1"/>
  <c r="I410" i="3" s="1"/>
  <c r="H410" i="3" a="1"/>
  <c r="H410" i="3" s="1"/>
  <c r="G410" i="3" a="1"/>
  <c r="G410" i="3" s="1"/>
  <c r="H414" i="3" a="1"/>
  <c r="H414" i="3" s="1"/>
  <c r="G414" i="3" a="1"/>
  <c r="G414" i="3" s="1"/>
  <c r="K414" i="3" a="1"/>
  <c r="K414" i="3" s="1"/>
  <c r="J414" i="3" a="1"/>
  <c r="J414" i="3"/>
  <c r="I414" i="3" a="1"/>
  <c r="I414" i="3" s="1"/>
  <c r="H405" i="3" a="1"/>
  <c r="H405" i="3" s="1"/>
  <c r="G405" i="3" a="1"/>
  <c r="G405" i="3" s="1"/>
  <c r="K405" i="3" a="1"/>
  <c r="K405" i="3" s="1"/>
  <c r="J405" i="3" a="1"/>
  <c r="J405" i="3" s="1"/>
  <c r="I405" i="3" a="1"/>
  <c r="I405" i="3" s="1"/>
  <c r="J397" i="3" a="1"/>
  <c r="J397" i="3"/>
  <c r="I397" i="3" a="1"/>
  <c r="I397" i="3" s="1"/>
  <c r="H397" i="3" a="1"/>
  <c r="H397" i="3"/>
  <c r="G397" i="3" a="1"/>
  <c r="G397" i="3" s="1"/>
  <c r="K397" i="3" a="1"/>
  <c r="K397" i="3" s="1"/>
  <c r="K366" i="3" a="1"/>
  <c r="K366" i="3" s="1"/>
  <c r="J366" i="3" a="1"/>
  <c r="J366" i="3" s="1"/>
  <c r="I366" i="3" a="1"/>
  <c r="I366" i="3" s="1"/>
  <c r="H366" i="3" a="1"/>
  <c r="H366" i="3" s="1"/>
  <c r="G366" i="3" a="1"/>
  <c r="G366" i="3"/>
  <c r="H378" i="3" a="1"/>
  <c r="H378" i="3" s="1"/>
  <c r="G378" i="3" a="1"/>
  <c r="G378" i="3" s="1"/>
  <c r="K378" i="3" a="1"/>
  <c r="K378" i="3" s="1"/>
  <c r="J378" i="3" a="1"/>
  <c r="J378" i="3" s="1"/>
  <c r="I378" i="3" a="1"/>
  <c r="I378" i="3" s="1"/>
  <c r="K390" i="3" a="1"/>
  <c r="K390" i="3" s="1"/>
  <c r="J390" i="3" a="1"/>
  <c r="J390" i="3"/>
  <c r="I390" i="3" a="1"/>
  <c r="I390" i="3" s="1"/>
  <c r="H390" i="3" a="1"/>
  <c r="H390" i="3"/>
  <c r="G390" i="3" a="1"/>
  <c r="G390" i="3" s="1"/>
  <c r="J386" i="3" a="1"/>
  <c r="J386" i="3" s="1"/>
  <c r="I386" i="3" a="1"/>
  <c r="I386" i="3" s="1"/>
  <c r="H386" i="3" a="1"/>
  <c r="H386" i="3" s="1"/>
  <c r="G386" i="3" a="1"/>
  <c r="G386" i="3" s="1"/>
  <c r="K386" i="3" a="1"/>
  <c r="K386" i="3" s="1"/>
  <c r="G355" i="3" a="1"/>
  <c r="G355" i="3"/>
  <c r="K355" i="3" a="1"/>
  <c r="K355" i="3" s="1"/>
  <c r="J355" i="3" a="1"/>
  <c r="J355" i="3" s="1"/>
  <c r="I355" i="3" a="1"/>
  <c r="I355" i="3" s="1"/>
  <c r="H355" i="3" a="1"/>
  <c r="H355" i="3" s="1"/>
  <c r="H349" i="3" a="1"/>
  <c r="H349" i="3" s="1"/>
  <c r="G349" i="3" a="1"/>
  <c r="G349" i="3" s="1"/>
  <c r="K349" i="3" a="1"/>
  <c r="K349" i="3"/>
  <c r="J349" i="3" a="1"/>
  <c r="J349" i="3" s="1"/>
  <c r="I349" i="3" a="1"/>
  <c r="I349" i="3"/>
  <c r="H339" i="3" a="1"/>
  <c r="H339" i="3" s="1"/>
  <c r="G339" i="3" a="1"/>
  <c r="G339" i="3" s="1"/>
  <c r="K339" i="3" a="1"/>
  <c r="K339" i="3" s="1"/>
  <c r="J339" i="3" a="1"/>
  <c r="J339" i="3" s="1"/>
  <c r="I339" i="3" a="1"/>
  <c r="I339" i="3" s="1"/>
  <c r="K315" i="3" a="1"/>
  <c r="K315" i="3" s="1"/>
  <c r="J315" i="3" a="1"/>
  <c r="J315" i="3"/>
  <c r="I315" i="3" a="1"/>
  <c r="I315" i="3" s="1"/>
  <c r="H315" i="3" a="1"/>
  <c r="H315" i="3" s="1"/>
  <c r="G315" i="3" a="1"/>
  <c r="G315" i="3" s="1"/>
  <c r="K330" i="3" a="1"/>
  <c r="K330" i="3" s="1"/>
  <c r="J330" i="3" a="1"/>
  <c r="J330" i="3" s="1"/>
  <c r="I330" i="3" a="1"/>
  <c r="I330" i="3" s="1"/>
  <c r="H330" i="3" a="1"/>
  <c r="H330" i="3"/>
  <c r="G330" i="3" a="1"/>
  <c r="G330" i="3" s="1"/>
  <c r="I333" i="3" a="1"/>
  <c r="I333" i="3"/>
  <c r="H333" i="3" a="1"/>
  <c r="H333" i="3" s="1"/>
  <c r="G333" i="3" a="1"/>
  <c r="G333" i="3" s="1"/>
  <c r="K333" i="3" a="1"/>
  <c r="K333" i="3" s="1"/>
  <c r="J333" i="3" a="1"/>
  <c r="J333" i="3" s="1"/>
  <c r="I297" i="3" a="1"/>
  <c r="I297" i="3" s="1"/>
  <c r="H297" i="3" a="1"/>
  <c r="H297" i="3" s="1"/>
  <c r="G297" i="3" a="1"/>
  <c r="G297" i="3"/>
  <c r="K297" i="3" a="1"/>
  <c r="K297" i="3" s="1"/>
  <c r="J297" i="3" a="1"/>
  <c r="J297" i="3" s="1"/>
  <c r="J302" i="3" a="1"/>
  <c r="J302" i="3" s="1"/>
  <c r="I302" i="3" a="1"/>
  <c r="I302" i="3" s="1"/>
  <c r="H302" i="3" a="1"/>
  <c r="H302" i="3" s="1"/>
  <c r="G302" i="3" a="1"/>
  <c r="G302" i="3" s="1"/>
  <c r="K302" i="3" a="1"/>
  <c r="K302" i="3"/>
  <c r="J309" i="3" a="1"/>
  <c r="J309" i="3" s="1"/>
  <c r="I309" i="3" a="1"/>
  <c r="I309" i="3"/>
  <c r="H309" i="3" a="1"/>
  <c r="H309" i="3" s="1"/>
  <c r="G309" i="3" a="1"/>
  <c r="G309" i="3" s="1"/>
  <c r="K309" i="3" a="1"/>
  <c r="K309" i="3" s="1"/>
  <c r="H266" i="3" a="1"/>
  <c r="H266" i="3" s="1"/>
  <c r="G266" i="3" a="1"/>
  <c r="G266" i="3" s="1"/>
  <c r="K266" i="3" a="1"/>
  <c r="K266" i="3" s="1"/>
  <c r="J266" i="3" a="1"/>
  <c r="J266" i="3"/>
  <c r="I266" i="3" a="1"/>
  <c r="I266" i="3" s="1"/>
  <c r="J272" i="3" a="1"/>
  <c r="J272" i="3" s="1"/>
  <c r="I272" i="3" a="1"/>
  <c r="I272" i="3" s="1"/>
  <c r="H272" i="3" a="1"/>
  <c r="H272" i="3" s="1"/>
  <c r="G272" i="3" a="1"/>
  <c r="G272" i="3" s="1"/>
  <c r="K272" i="3" a="1"/>
  <c r="K272" i="3" s="1"/>
  <c r="I286" i="3" a="1"/>
  <c r="I286" i="3"/>
  <c r="H286" i="3" a="1"/>
  <c r="H286" i="3" s="1"/>
  <c r="G286" i="3" a="1"/>
  <c r="G286" i="3"/>
  <c r="K286" i="3" a="1"/>
  <c r="K286" i="3" s="1"/>
  <c r="J286" i="3" a="1"/>
  <c r="J286" i="3" s="1"/>
  <c r="I290" i="3" a="1"/>
  <c r="I290" i="3" s="1"/>
  <c r="H290" i="3" a="1"/>
  <c r="H290" i="3" s="1"/>
  <c r="G290" i="3" a="1"/>
  <c r="G290" i="3" s="1"/>
  <c r="K290" i="3" a="1"/>
  <c r="K290" i="3" s="1"/>
  <c r="J290" i="3" a="1"/>
  <c r="J290" i="3"/>
  <c r="G243" i="3" a="1"/>
  <c r="G243" i="3" s="1"/>
  <c r="K243" i="3" a="1"/>
  <c r="K243" i="3" s="1"/>
  <c r="J243" i="3" a="1"/>
  <c r="J243" i="3" s="1"/>
  <c r="I243" i="3" a="1"/>
  <c r="I243" i="3" s="1"/>
  <c r="H243" i="3" a="1"/>
  <c r="H243" i="3" s="1"/>
  <c r="K246" i="3" a="1"/>
  <c r="K246" i="3" s="1"/>
  <c r="J246" i="3" a="1"/>
  <c r="J246" i="3"/>
  <c r="I246" i="3" a="1"/>
  <c r="I246" i="3" s="1"/>
  <c r="H246" i="3" a="1"/>
  <c r="H246" i="3"/>
  <c r="G246" i="3" a="1"/>
  <c r="G246" i="3" s="1"/>
  <c r="H240" i="3" a="1"/>
  <c r="H240" i="3" s="1"/>
  <c r="G240" i="3" a="1"/>
  <c r="G240" i="3"/>
  <c r="K240" i="3" a="1"/>
  <c r="K240" i="3" s="1"/>
  <c r="J240" i="3" a="1"/>
  <c r="J240" i="3" s="1"/>
  <c r="I240" i="3" a="1"/>
  <c r="I240" i="3" s="1"/>
  <c r="I234" i="3" a="1"/>
  <c r="I234" i="3"/>
  <c r="H234" i="3" a="1"/>
  <c r="H234" i="3" s="1"/>
  <c r="G234" i="3" a="1"/>
  <c r="G234" i="3" s="1"/>
  <c r="K234" i="3" a="1"/>
  <c r="K234" i="3" s="1"/>
  <c r="J234" i="3" a="1"/>
  <c r="J234" i="3" s="1"/>
  <c r="K220" i="3" a="1"/>
  <c r="K220" i="3"/>
  <c r="J220" i="3" a="1"/>
  <c r="J220" i="3" s="1"/>
  <c r="I220" i="3" a="1"/>
  <c r="I220" i="3"/>
  <c r="H220" i="3" a="1"/>
  <c r="H220" i="3" s="1"/>
  <c r="G220" i="3" a="1"/>
  <c r="G220" i="3"/>
  <c r="I211" i="3" a="1"/>
  <c r="I211" i="3" s="1"/>
  <c r="H211" i="3" a="1"/>
  <c r="H211" i="3" s="1"/>
  <c r="G211" i="3" a="1"/>
  <c r="G211" i="3"/>
  <c r="K211" i="3" a="1"/>
  <c r="K211" i="3" s="1"/>
  <c r="J211" i="3" a="1"/>
  <c r="J211" i="3" s="1"/>
  <c r="J180" i="3" a="1"/>
  <c r="J180" i="3" s="1"/>
  <c r="I180" i="3" a="1"/>
  <c r="I180" i="3"/>
  <c r="H180" i="3" a="1"/>
  <c r="H180" i="3" s="1"/>
  <c r="G180" i="3" a="1"/>
  <c r="G180" i="3" s="1"/>
  <c r="K180" i="3" a="1"/>
  <c r="K180" i="3" s="1"/>
  <c r="K188" i="3" a="1"/>
  <c r="K188" i="3" s="1"/>
  <c r="J188" i="3" a="1"/>
  <c r="J188" i="3" s="1"/>
  <c r="I188" i="3" a="1"/>
  <c r="I188" i="3" s="1"/>
  <c r="H188" i="3" a="1"/>
  <c r="H188" i="3"/>
  <c r="G188" i="3" a="1"/>
  <c r="G188" i="3" s="1"/>
  <c r="I196" i="3" a="1"/>
  <c r="I196" i="3"/>
  <c r="H196" i="3" a="1"/>
  <c r="H196" i="3" s="1"/>
  <c r="G196" i="3" a="1"/>
  <c r="G196" i="3" s="1"/>
  <c r="K196" i="3" a="1"/>
  <c r="K196" i="3" s="1"/>
  <c r="J196" i="3" a="1"/>
  <c r="J196" i="3" s="1"/>
  <c r="J204" i="3" a="1"/>
  <c r="J204" i="3" s="1"/>
  <c r="I204" i="3" a="1"/>
  <c r="I204" i="3" s="1"/>
  <c r="H204" i="3" a="1"/>
  <c r="H204" i="3"/>
  <c r="G204" i="3" a="1"/>
  <c r="G204" i="3" s="1"/>
  <c r="K204" i="3" a="1"/>
  <c r="K204" i="3" s="1"/>
  <c r="K170" i="3" a="1"/>
  <c r="K170" i="3" s="1"/>
  <c r="J170" i="3" a="1"/>
  <c r="J170" i="3" s="1"/>
  <c r="I170" i="3" a="1"/>
  <c r="I170" i="3" s="1"/>
  <c r="H170" i="3" a="1"/>
  <c r="H170" i="3" s="1"/>
  <c r="G170" i="3" a="1"/>
  <c r="G170" i="3"/>
  <c r="K144" i="3" a="1"/>
  <c r="K144" i="3" s="1"/>
  <c r="J144" i="3" a="1"/>
  <c r="J144" i="3"/>
  <c r="I144" i="3" a="1"/>
  <c r="I144" i="3" s="1"/>
  <c r="H144" i="3" a="1"/>
  <c r="H144" i="3" s="1"/>
  <c r="G144" i="3" a="1"/>
  <c r="G144" i="3" s="1"/>
  <c r="K151" i="3" a="1"/>
  <c r="K151" i="3" s="1"/>
  <c r="H151" i="3" a="1"/>
  <c r="H151" i="3" s="1"/>
  <c r="G151" i="3" a="1"/>
  <c r="G151" i="3" s="1"/>
  <c r="J151" i="3" a="1"/>
  <c r="J151" i="3"/>
  <c r="I151" i="3" a="1"/>
  <c r="I151" i="3" s="1"/>
  <c r="H159" i="3" a="1"/>
  <c r="H159" i="3" s="1"/>
  <c r="G159" i="3" a="1"/>
  <c r="G159" i="3"/>
  <c r="K159" i="3" a="1"/>
  <c r="K159" i="3" s="1"/>
  <c r="J159" i="3" a="1"/>
  <c r="J159" i="3"/>
  <c r="I159" i="3" a="1"/>
  <c r="I159" i="3" s="1"/>
  <c r="K164" i="3" a="1"/>
  <c r="K164" i="3"/>
  <c r="J164" i="3" a="1"/>
  <c r="J164" i="3" s="1"/>
  <c r="I164" i="3" a="1"/>
  <c r="I164" i="3"/>
  <c r="H164" i="3" a="1"/>
  <c r="H164" i="3" s="1"/>
  <c r="G164" i="3" a="1"/>
  <c r="G164" i="3" s="1"/>
  <c r="G104" i="3" a="1"/>
  <c r="G104" i="3" s="1"/>
  <c r="K104" i="3" a="1"/>
  <c r="K104" i="3" s="1"/>
  <c r="J104" i="3" a="1"/>
  <c r="J104" i="3" s="1"/>
  <c r="I104" i="3" a="1"/>
  <c r="I104" i="3" s="1"/>
  <c r="H104" i="3" a="1"/>
  <c r="H104" i="3"/>
  <c r="K126" i="3" a="1"/>
  <c r="K126" i="3" s="1"/>
  <c r="J126" i="3" a="1"/>
  <c r="J126" i="3"/>
  <c r="I126" i="3" a="1"/>
  <c r="I126" i="3" s="1"/>
  <c r="H126" i="3" a="1"/>
  <c r="H126" i="3"/>
  <c r="G126" i="3" a="1"/>
  <c r="G126" i="3" s="1"/>
  <c r="I133" i="3" a="1"/>
  <c r="I133" i="3" s="1"/>
  <c r="H133" i="3" a="1"/>
  <c r="H133" i="3" s="1"/>
  <c r="G133" i="3" a="1"/>
  <c r="G133" i="3" s="1"/>
  <c r="K133" i="3" a="1"/>
  <c r="K133" i="3" s="1"/>
  <c r="J133" i="3" a="1"/>
  <c r="J133" i="3" s="1"/>
  <c r="I124" i="3" a="1"/>
  <c r="I124" i="3" s="1"/>
  <c r="H124" i="3" a="1"/>
  <c r="H124" i="3" s="1"/>
  <c r="G124" i="3" a="1"/>
  <c r="G124" i="3" s="1"/>
  <c r="K124" i="3" a="1"/>
  <c r="K124" i="3" s="1"/>
  <c r="J124" i="3" a="1"/>
  <c r="J124" i="3" s="1"/>
  <c r="K100" i="3" a="1"/>
  <c r="K100" i="3"/>
  <c r="J100" i="3" a="1"/>
  <c r="J100" i="3" s="1"/>
  <c r="I100" i="3" a="1"/>
  <c r="I100" i="3"/>
  <c r="H100" i="3" a="1"/>
  <c r="H100" i="3" s="1"/>
  <c r="G100" i="3" a="1"/>
  <c r="G100" i="3"/>
  <c r="K70" i="3" a="1"/>
  <c r="K70" i="3" s="1"/>
  <c r="J70" i="3" a="1"/>
  <c r="J70" i="3" s="1"/>
  <c r="I70" i="3" a="1"/>
  <c r="I70" i="3" s="1"/>
  <c r="H70" i="3" a="1"/>
  <c r="H70" i="3" s="1"/>
  <c r="G70" i="3" a="1"/>
  <c r="G70" i="3" s="1"/>
  <c r="H78" i="3" a="1"/>
  <c r="H78" i="3" s="1"/>
  <c r="G78" i="3" a="1"/>
  <c r="G78" i="3" s="1"/>
  <c r="K78" i="3" a="1"/>
  <c r="K78" i="3" s="1"/>
  <c r="J78" i="3" a="1"/>
  <c r="J78" i="3" s="1"/>
  <c r="I78" i="3" a="1"/>
  <c r="I78" i="3" s="1"/>
  <c r="K92" i="3" a="1"/>
  <c r="K92" i="3" s="1"/>
  <c r="J92" i="3" a="1"/>
  <c r="J92" i="3"/>
  <c r="I92" i="3" a="1"/>
  <c r="I92" i="3" s="1"/>
  <c r="H92" i="3" a="1"/>
  <c r="H92" i="3"/>
  <c r="G92" i="3" a="1"/>
  <c r="G92" i="3" s="1"/>
  <c r="K89" i="3" a="1"/>
  <c r="K89" i="3"/>
  <c r="J89" i="3" a="1"/>
  <c r="J89" i="3" s="1"/>
  <c r="I89" i="3" a="1"/>
  <c r="I89" i="3" s="1"/>
  <c r="H89" i="3" a="1"/>
  <c r="H89" i="3" s="1"/>
  <c r="G89" i="3" a="1"/>
  <c r="G89" i="3" s="1"/>
  <c r="I62" i="3" a="1"/>
  <c r="I62" i="3" s="1"/>
  <c r="H62" i="3" a="1"/>
  <c r="H62" i="3" s="1"/>
  <c r="G62" i="3" a="1"/>
  <c r="G62" i="3" s="1"/>
  <c r="K62" i="3" a="1"/>
  <c r="K62" i="3" s="1"/>
  <c r="J62" i="3" a="1"/>
  <c r="J62" i="3" s="1"/>
  <c r="I48" i="3" a="1"/>
  <c r="I48" i="3" s="1"/>
  <c r="H48" i="3" a="1"/>
  <c r="H48" i="3" s="1"/>
  <c r="G48" i="3" a="1"/>
  <c r="G48" i="3"/>
  <c r="K48" i="3" a="1"/>
  <c r="K48" i="3" s="1"/>
  <c r="J48" i="3" a="1"/>
  <c r="J48" i="3"/>
  <c r="K42" i="3" a="1"/>
  <c r="K42" i="3" s="1"/>
  <c r="J42" i="3" a="1"/>
  <c r="J42" i="3"/>
  <c r="I42" i="3" a="1"/>
  <c r="I42" i="3" s="1"/>
  <c r="H42" i="3" a="1"/>
  <c r="H42" i="3" s="1"/>
  <c r="G42" i="3" a="1"/>
  <c r="G42" i="3" s="1"/>
  <c r="K37" i="3" a="1"/>
  <c r="K37" i="3" s="1"/>
  <c r="J37" i="3" a="1"/>
  <c r="J37" i="3" s="1"/>
  <c r="I37" i="3" a="1"/>
  <c r="I37" i="3" s="1"/>
  <c r="H37" i="3" a="1"/>
  <c r="H37" i="3" s="1"/>
  <c r="G37" i="3" a="1"/>
  <c r="G37" i="3" s="1"/>
  <c r="K30" i="3" a="1"/>
  <c r="K30" i="3" s="1"/>
  <c r="J30" i="3" a="1"/>
  <c r="J30" i="3" s="1"/>
  <c r="I30" i="3" a="1"/>
  <c r="I30" i="3" s="1"/>
  <c r="H30" i="3" a="1"/>
  <c r="H30" i="3"/>
  <c r="G30" i="3" a="1"/>
  <c r="G30" i="3" s="1"/>
  <c r="G21" i="3" a="1"/>
  <c r="G21" i="3"/>
  <c r="K21" i="3" a="1"/>
  <c r="K21" i="3" s="1"/>
  <c r="J21" i="3" a="1"/>
  <c r="J21" i="3"/>
  <c r="I21" i="3" a="1"/>
  <c r="I21" i="3" s="1"/>
  <c r="H21" i="3" a="1"/>
  <c r="H21" i="3" s="1"/>
  <c r="K13" i="3" a="1"/>
  <c r="K13" i="3" s="1"/>
  <c r="J13" i="3" a="1"/>
  <c r="J13" i="3" s="1"/>
  <c r="I13" i="3" a="1"/>
  <c r="I13" i="3" s="1"/>
  <c r="H13" i="3" a="1"/>
  <c r="H13" i="3" s="1"/>
  <c r="G13" i="3" a="1"/>
  <c r="G13" i="3" s="1"/>
  <c r="K961" i="3" a="1"/>
  <c r="K961" i="3" s="1"/>
  <c r="J961" i="3" a="1"/>
  <c r="J961" i="3" s="1"/>
  <c r="I961" i="3" a="1"/>
  <c r="I961" i="3" s="1"/>
  <c r="H961" i="3" a="1"/>
  <c r="H961" i="3" s="1"/>
  <c r="G961" i="3" a="1"/>
  <c r="G961" i="3"/>
  <c r="H952" i="3" a="1"/>
  <c r="H952" i="3" s="1"/>
  <c r="G952" i="3" a="1"/>
  <c r="G952" i="3" s="1"/>
  <c r="K952" i="3" a="1"/>
  <c r="K952" i="3" s="1"/>
  <c r="J952" i="3" a="1"/>
  <c r="J952" i="3"/>
  <c r="I952" i="3" a="1"/>
  <c r="I952" i="3" s="1"/>
  <c r="K981" i="3" a="1"/>
  <c r="K981" i="3" s="1"/>
  <c r="J981" i="3" a="1"/>
  <c r="J981" i="3" s="1"/>
  <c r="I981" i="3" a="1"/>
  <c r="I981" i="3" s="1"/>
  <c r="H981" i="3" a="1"/>
  <c r="H981" i="3" s="1"/>
  <c r="G981" i="3" a="1"/>
  <c r="G981" i="3" s="1"/>
  <c r="H949" i="3" a="1"/>
  <c r="H949" i="3" s="1"/>
  <c r="G949" i="3" a="1"/>
  <c r="G949" i="3"/>
  <c r="K949" i="3" a="1"/>
  <c r="K949" i="3" s="1"/>
  <c r="J949" i="3" a="1"/>
  <c r="J949" i="3" s="1"/>
  <c r="I949" i="3" a="1"/>
  <c r="I949" i="3" s="1"/>
  <c r="I972" i="3" a="1"/>
  <c r="I972" i="3"/>
  <c r="G972" i="3" a="1"/>
  <c r="G972" i="3" s="1"/>
  <c r="J972" i="3" a="1"/>
  <c r="J972" i="3" s="1"/>
  <c r="H972" i="3" a="1"/>
  <c r="H972" i="3" s="1"/>
  <c r="K972" i="3" a="1"/>
  <c r="K972" i="3"/>
  <c r="K948" i="3" a="1"/>
  <c r="K948" i="3" s="1"/>
  <c r="J948" i="3" a="1"/>
  <c r="J948" i="3" s="1"/>
  <c r="I948" i="3" a="1"/>
  <c r="I948" i="3" s="1"/>
  <c r="H948" i="3" a="1"/>
  <c r="H948" i="3"/>
  <c r="G948" i="3" a="1"/>
  <c r="G948" i="3" s="1"/>
  <c r="K924" i="3" a="1"/>
  <c r="K924" i="3" s="1"/>
  <c r="J924" i="3" a="1"/>
  <c r="J924" i="3" s="1"/>
  <c r="I924" i="3" a="1"/>
  <c r="I924" i="3"/>
  <c r="H924" i="3" a="1"/>
  <c r="H924" i="3" s="1"/>
  <c r="G924" i="3" a="1"/>
  <c r="G924" i="3" s="1"/>
  <c r="K908" i="3" a="1"/>
  <c r="K908" i="3" s="1"/>
  <c r="J908" i="3" a="1"/>
  <c r="J908" i="3"/>
  <c r="I908" i="3" a="1"/>
  <c r="I908" i="3" s="1"/>
  <c r="H908" i="3" a="1"/>
  <c r="H908" i="3" s="1"/>
  <c r="G908" i="3" a="1"/>
  <c r="G908" i="3" s="1"/>
  <c r="K892" i="3" a="1"/>
  <c r="K892" i="3"/>
  <c r="J892" i="3" a="1"/>
  <c r="J892" i="3" s="1"/>
  <c r="I892" i="3" a="1"/>
  <c r="I892" i="3" s="1"/>
  <c r="H892" i="3" a="1"/>
  <c r="H892" i="3" s="1"/>
  <c r="G892" i="3" a="1"/>
  <c r="G892" i="3"/>
  <c r="H876" i="3" a="1"/>
  <c r="H876" i="3" s="1"/>
  <c r="G876" i="3" a="1"/>
  <c r="G876" i="3" s="1"/>
  <c r="K876" i="3" a="1"/>
  <c r="K876" i="3" s="1"/>
  <c r="J876" i="3" a="1"/>
  <c r="J876" i="3"/>
  <c r="I876" i="3" a="1"/>
  <c r="I876" i="3" s="1"/>
  <c r="G829" i="3" a="1"/>
  <c r="G829" i="3" s="1"/>
  <c r="K829" i="3" a="1"/>
  <c r="K829" i="3" s="1"/>
  <c r="J829" i="3" a="1"/>
  <c r="J829" i="3"/>
  <c r="I829" i="3" a="1"/>
  <c r="I829" i="3" s="1"/>
  <c r="H829" i="3" a="1"/>
  <c r="H829" i="3" s="1"/>
  <c r="H839" i="3" a="1"/>
  <c r="H839" i="3" s="1"/>
  <c r="G839" i="3" a="1"/>
  <c r="G839" i="3"/>
  <c r="K839" i="3" a="1"/>
  <c r="K839" i="3" s="1"/>
  <c r="J839" i="3" a="1"/>
  <c r="J839" i="3" s="1"/>
  <c r="I839" i="3" a="1"/>
  <c r="I839" i="3" s="1"/>
  <c r="K864" i="3" a="1"/>
  <c r="K864" i="3"/>
  <c r="H864" i="3" a="1"/>
  <c r="H864" i="3" s="1"/>
  <c r="G864" i="3" a="1"/>
  <c r="G864" i="3" s="1"/>
  <c r="J864" i="3" a="1"/>
  <c r="J864" i="3" s="1"/>
  <c r="I864" i="3" a="1"/>
  <c r="I864" i="3"/>
  <c r="J863" i="3" a="1"/>
  <c r="J863" i="3" s="1"/>
  <c r="I863" i="3" a="1"/>
  <c r="I863" i="3" s="1"/>
  <c r="K863" i="3" a="1"/>
  <c r="K863" i="3" s="1"/>
  <c r="H863" i="3" a="1"/>
  <c r="H863" i="3"/>
  <c r="G863" i="3" a="1"/>
  <c r="G863" i="3" s="1"/>
  <c r="K840" i="3" a="1"/>
  <c r="K840" i="3" s="1"/>
  <c r="J840" i="3" a="1"/>
  <c r="J840" i="3" s="1"/>
  <c r="I840" i="3" a="1"/>
  <c r="I840" i="3"/>
  <c r="H840" i="3" a="1"/>
  <c r="H840" i="3" s="1"/>
  <c r="G840" i="3" a="1"/>
  <c r="G840" i="3" s="1"/>
  <c r="I781" i="3" a="1"/>
  <c r="I781" i="3" s="1"/>
  <c r="H781" i="3" a="1"/>
  <c r="H781" i="3"/>
  <c r="G781" i="3" a="1"/>
  <c r="G781" i="3" s="1"/>
  <c r="K781" i="3" a="1"/>
  <c r="K781" i="3" s="1"/>
  <c r="J781" i="3" a="1"/>
  <c r="J781" i="3" s="1"/>
  <c r="I784" i="3" a="1"/>
  <c r="I784" i="3"/>
  <c r="H784" i="3" a="1"/>
  <c r="H784" i="3" s="1"/>
  <c r="G784" i="3" a="1"/>
  <c r="G784" i="3" s="1"/>
  <c r="K784" i="3" a="1"/>
  <c r="K784" i="3" s="1"/>
  <c r="J784" i="3" a="1"/>
  <c r="J784" i="3"/>
  <c r="H798" i="3" a="1"/>
  <c r="H798" i="3" s="1"/>
  <c r="G798" i="3" a="1"/>
  <c r="G798" i="3" s="1"/>
  <c r="K798" i="3" a="1"/>
  <c r="K798" i="3" s="1"/>
  <c r="J798" i="3" a="1"/>
  <c r="J798" i="3"/>
  <c r="I798" i="3" a="1"/>
  <c r="I798" i="3" s="1"/>
  <c r="H806" i="3" a="1"/>
  <c r="H806" i="3" s="1"/>
  <c r="G806" i="3" a="1"/>
  <c r="G806" i="3" s="1"/>
  <c r="K806" i="3" a="1"/>
  <c r="K806" i="3"/>
  <c r="J806" i="3" a="1"/>
  <c r="J806" i="3" s="1"/>
  <c r="I806" i="3" a="1"/>
  <c r="I806" i="3" s="1"/>
  <c r="K816" i="3" a="1"/>
  <c r="K816" i="3" s="1"/>
  <c r="J816" i="3" a="1"/>
  <c r="J816" i="3"/>
  <c r="I816" i="3" a="1"/>
  <c r="I816" i="3" s="1"/>
  <c r="H816" i="3" a="1"/>
  <c r="H816" i="3" s="1"/>
  <c r="G816" i="3" a="1"/>
  <c r="G816" i="3" s="1"/>
  <c r="I821" i="3" a="1"/>
  <c r="I821" i="3"/>
  <c r="H821" i="3" a="1"/>
  <c r="H821" i="3" s="1"/>
  <c r="G821" i="3" a="1"/>
  <c r="G821" i="3" s="1"/>
  <c r="K821" i="3" a="1"/>
  <c r="K821" i="3" s="1"/>
  <c r="J821" i="3" a="1"/>
  <c r="J821" i="3"/>
  <c r="G760" i="3" a="1"/>
  <c r="G760" i="3" s="1"/>
  <c r="K760" i="3" a="1"/>
  <c r="K760" i="3" s="1"/>
  <c r="J760" i="3" a="1"/>
  <c r="J760" i="3" s="1"/>
  <c r="I760" i="3" a="1"/>
  <c r="I760" i="3"/>
  <c r="H760" i="3" a="1"/>
  <c r="H760" i="3" s="1"/>
  <c r="H772" i="3" a="1"/>
  <c r="H772" i="3" s="1"/>
  <c r="G772" i="3" a="1"/>
  <c r="G772" i="3" s="1"/>
  <c r="K772" i="3" a="1"/>
  <c r="K772" i="3"/>
  <c r="J772" i="3" a="1"/>
  <c r="J772" i="3" s="1"/>
  <c r="I772" i="3" a="1"/>
  <c r="I772" i="3" s="1"/>
  <c r="H769" i="3" a="1"/>
  <c r="H769" i="3" s="1"/>
  <c r="G769" i="3" a="1"/>
  <c r="G769" i="3"/>
  <c r="K769" i="3" a="1"/>
  <c r="K769" i="3" s="1"/>
  <c r="J769" i="3" a="1"/>
  <c r="J769" i="3" s="1"/>
  <c r="I769" i="3" a="1"/>
  <c r="I769" i="3" s="1"/>
  <c r="K696" i="3" a="1"/>
  <c r="K696" i="3"/>
  <c r="J696" i="3" a="1"/>
  <c r="J696" i="3" s="1"/>
  <c r="I696" i="3" a="1"/>
  <c r="I696" i="3" s="1"/>
  <c r="H696" i="3" a="1"/>
  <c r="H696" i="3" s="1"/>
  <c r="G696" i="3" a="1"/>
  <c r="G696" i="3"/>
  <c r="K714" i="3" a="1"/>
  <c r="K714" i="3" s="1"/>
  <c r="J714" i="3" a="1"/>
  <c r="J714" i="3" s="1"/>
  <c r="I714" i="3" a="1"/>
  <c r="I714" i="3" s="1"/>
  <c r="H714" i="3" a="1"/>
  <c r="H714" i="3"/>
  <c r="G714" i="3" a="1"/>
  <c r="G714" i="3" s="1"/>
  <c r="K713" i="3" a="1"/>
  <c r="K713" i="3" s="1"/>
  <c r="J713" i="3" a="1"/>
  <c r="J713" i="3" s="1"/>
  <c r="I713" i="3" a="1"/>
  <c r="I713" i="3"/>
  <c r="H713" i="3" a="1"/>
  <c r="H713" i="3" s="1"/>
  <c r="G713" i="3" a="1"/>
  <c r="G713" i="3" s="1"/>
  <c r="K717" i="3" a="1"/>
  <c r="K717" i="3" s="1"/>
  <c r="J717" i="3" a="1"/>
  <c r="J717" i="3"/>
  <c r="I717" i="3" a="1"/>
  <c r="I717" i="3" s="1"/>
  <c r="H717" i="3" a="1"/>
  <c r="H717" i="3" s="1"/>
  <c r="G717" i="3" a="1"/>
  <c r="G717" i="3" s="1"/>
  <c r="K733" i="3" a="1"/>
  <c r="K733" i="3"/>
  <c r="J733" i="3" a="1"/>
  <c r="J733" i="3" s="1"/>
  <c r="I733" i="3" a="1"/>
  <c r="I733" i="3" s="1"/>
  <c r="H733" i="3" a="1"/>
  <c r="H733" i="3" s="1"/>
  <c r="G733" i="3" a="1"/>
  <c r="G733" i="3"/>
  <c r="H732" i="3" a="1"/>
  <c r="H732" i="3" s="1"/>
  <c r="G732" i="3" a="1"/>
  <c r="G732" i="3" s="1"/>
  <c r="K732" i="3" a="1"/>
  <c r="K732" i="3" s="1"/>
  <c r="J732" i="3" a="1"/>
  <c r="J732" i="3"/>
  <c r="I732" i="3" a="1"/>
  <c r="I732" i="3" s="1"/>
  <c r="K745" i="3" a="1"/>
  <c r="K745" i="3" s="1"/>
  <c r="J745" i="3" a="1"/>
  <c r="J745" i="3" s="1"/>
  <c r="I745" i="3" a="1"/>
  <c r="I745" i="3"/>
  <c r="H745" i="3" a="1"/>
  <c r="H745" i="3" s="1"/>
  <c r="G745" i="3" a="1"/>
  <c r="G745" i="3" s="1"/>
  <c r="G441" i="3" a="1"/>
  <c r="G441" i="3" s="1"/>
  <c r="K441" i="3" a="1"/>
  <c r="K441" i="3"/>
  <c r="J441" i="3" a="1"/>
  <c r="J441" i="3" s="1"/>
  <c r="I441" i="3" a="1"/>
  <c r="I441" i="3" s="1"/>
  <c r="H441" i="3" a="1"/>
  <c r="H441" i="3" s="1"/>
  <c r="K452" i="3" a="1"/>
  <c r="K452" i="3"/>
  <c r="J452" i="3" a="1"/>
  <c r="J452" i="3" s="1"/>
  <c r="I452" i="3" a="1"/>
  <c r="I452" i="3" s="1"/>
  <c r="H452" i="3" a="1"/>
  <c r="H452" i="3" s="1"/>
  <c r="G452" i="3" a="1"/>
  <c r="G452" i="3"/>
  <c r="G458" i="3" a="1"/>
  <c r="G458" i="3" s="1"/>
  <c r="K458" i="3" a="1"/>
  <c r="K458" i="3" s="1"/>
  <c r="J458" i="3" a="1"/>
  <c r="J458" i="3" s="1"/>
  <c r="I458" i="3" a="1"/>
  <c r="I458" i="3"/>
  <c r="H458" i="3" a="1"/>
  <c r="H458" i="3" s="1"/>
  <c r="J462" i="3" a="1"/>
  <c r="J462" i="3" s="1"/>
  <c r="I462" i="3" a="1"/>
  <c r="I462" i="3" s="1"/>
  <c r="H462" i="3" a="1"/>
  <c r="H462" i="3"/>
  <c r="G462" i="3" a="1"/>
  <c r="G462" i="3" s="1"/>
  <c r="K462" i="3" a="1"/>
  <c r="K462" i="3" s="1"/>
  <c r="K473" i="3" a="1"/>
  <c r="K473" i="3" s="1"/>
  <c r="J473" i="3" a="1"/>
  <c r="J473" i="3"/>
  <c r="I473" i="3" a="1"/>
  <c r="I473" i="3" s="1"/>
  <c r="H473" i="3" a="1"/>
  <c r="H473" i="3" s="1"/>
  <c r="G473" i="3" a="1"/>
  <c r="G473" i="3" s="1"/>
  <c r="G536" i="3" a="1"/>
  <c r="G536" i="3"/>
  <c r="K536" i="3" a="1"/>
  <c r="K536" i="3" s="1"/>
  <c r="J536" i="3" a="1"/>
  <c r="J536" i="3" s="1"/>
  <c r="I536" i="3" a="1"/>
  <c r="I536" i="3" s="1"/>
  <c r="H536" i="3" a="1"/>
  <c r="H536" i="3" s="1"/>
  <c r="G505" i="3" a="1"/>
  <c r="G505" i="3" s="1"/>
  <c r="I505" i="3" a="1"/>
  <c r="I505" i="3" s="1"/>
  <c r="H505" i="3" a="1"/>
  <c r="H505" i="3" s="1"/>
  <c r="K505" i="3" a="1"/>
  <c r="K505" i="3"/>
  <c r="J505" i="3" a="1"/>
  <c r="J505" i="3" s="1"/>
  <c r="J512" i="3" a="1"/>
  <c r="J512" i="3" s="1"/>
  <c r="I512" i="3" a="1"/>
  <c r="I512" i="3" s="1"/>
  <c r="H512" i="3" a="1"/>
  <c r="H512" i="3"/>
  <c r="G512" i="3" a="1"/>
  <c r="G512" i="3" s="1"/>
  <c r="K512" i="3" a="1"/>
  <c r="K512" i="3" s="1"/>
  <c r="K524" i="3" a="1"/>
  <c r="K524" i="3" s="1"/>
  <c r="J524" i="3" a="1"/>
  <c r="J524" i="3"/>
  <c r="I524" i="3" a="1"/>
  <c r="I524" i="3" s="1"/>
  <c r="H524" i="3" a="1"/>
  <c r="H524" i="3" s="1"/>
  <c r="G524" i="3" a="1"/>
  <c r="G524" i="3" s="1"/>
  <c r="G494" i="3" a="1"/>
  <c r="G494" i="3" s="1"/>
  <c r="K494" i="3" a="1"/>
  <c r="K494" i="3" s="1"/>
  <c r="J494" i="3" a="1"/>
  <c r="J494" i="3" s="1"/>
  <c r="I494" i="3" a="1"/>
  <c r="I494" i="3" s="1"/>
  <c r="H494" i="3" a="1"/>
  <c r="H494" i="3"/>
  <c r="J495" i="3" a="1"/>
  <c r="J495" i="3" s="1"/>
  <c r="I495" i="3" a="1"/>
  <c r="I495" i="3" s="1"/>
  <c r="H495" i="3" a="1"/>
  <c r="H495" i="3" s="1"/>
  <c r="G495" i="3" a="1"/>
  <c r="G495" i="3"/>
  <c r="K495" i="3" a="1"/>
  <c r="K495" i="3" s="1"/>
  <c r="K521" i="3" a="1"/>
  <c r="K521" i="3" s="1"/>
  <c r="J521" i="3" a="1"/>
  <c r="J521" i="3" s="1"/>
  <c r="I521" i="3" a="1"/>
  <c r="I521" i="3"/>
  <c r="H521" i="3" a="1"/>
  <c r="H521" i="3" s="1"/>
  <c r="G521" i="3" a="1"/>
  <c r="G521" i="3" s="1"/>
  <c r="K508" i="3" a="1"/>
  <c r="K508" i="3" s="1"/>
  <c r="I508" i="3" a="1"/>
  <c r="I508" i="3" s="1"/>
  <c r="G508" i="3" a="1"/>
  <c r="G508" i="3" s="1"/>
  <c r="J508" i="3" a="1"/>
  <c r="J508" i="3" s="1"/>
  <c r="H508" i="3" a="1"/>
  <c r="H508" i="3" s="1"/>
  <c r="H545" i="3" a="1"/>
  <c r="H545" i="3"/>
  <c r="G545" i="3" a="1"/>
  <c r="G545" i="3" s="1"/>
  <c r="K545" i="3" a="1"/>
  <c r="K545" i="3" s="1"/>
  <c r="J545" i="3" a="1"/>
  <c r="J545" i="3" s="1"/>
  <c r="I545" i="3" a="1"/>
  <c r="I545" i="3"/>
  <c r="J557" i="3" a="1"/>
  <c r="J557" i="3" s="1"/>
  <c r="I557" i="3" a="1"/>
  <c r="I557" i="3" s="1"/>
  <c r="H557" i="3" a="1"/>
  <c r="H557" i="3" s="1"/>
  <c r="G557" i="3" a="1"/>
  <c r="G557" i="3"/>
  <c r="K557" i="3" a="1"/>
  <c r="K557" i="3" s="1"/>
  <c r="H559" i="3" a="1"/>
  <c r="H559" i="3" s="1"/>
  <c r="G559" i="3" a="1"/>
  <c r="G559" i="3" s="1"/>
  <c r="K559" i="3" a="1"/>
  <c r="K559" i="3" s="1"/>
  <c r="J559" i="3" a="1"/>
  <c r="J559" i="3" s="1"/>
  <c r="I559" i="3" a="1"/>
  <c r="I559" i="3" s="1"/>
  <c r="J571" i="3" a="1"/>
  <c r="J571" i="3" s="1"/>
  <c r="I571" i="3" a="1"/>
  <c r="I571" i="3"/>
  <c r="H571" i="3" a="1"/>
  <c r="H571" i="3" s="1"/>
  <c r="G571" i="3" a="1"/>
  <c r="G571" i="3" s="1"/>
  <c r="K571" i="3" a="1"/>
  <c r="K571" i="3" s="1"/>
  <c r="K580" i="3" a="1"/>
  <c r="K580" i="3"/>
  <c r="J580" i="3" a="1"/>
  <c r="J580" i="3" s="1"/>
  <c r="I580" i="3" a="1"/>
  <c r="I580" i="3" s="1"/>
  <c r="H580" i="3" a="1"/>
  <c r="H580" i="3" s="1"/>
  <c r="G580" i="3" a="1"/>
  <c r="G580" i="3" s="1"/>
  <c r="G588" i="3" a="1"/>
  <c r="G588" i="3" s="1"/>
  <c r="K588" i="3" a="1"/>
  <c r="K588" i="3" s="1"/>
  <c r="J588" i="3" a="1"/>
  <c r="J588" i="3" s="1"/>
  <c r="I588" i="3" a="1"/>
  <c r="I588" i="3" s="1"/>
  <c r="H588" i="3" a="1"/>
  <c r="H588" i="3" s="1"/>
  <c r="J595" i="3" a="1"/>
  <c r="J595" i="3" s="1"/>
  <c r="I595" i="3" a="1"/>
  <c r="I595" i="3" s="1"/>
  <c r="H595" i="3" a="1"/>
  <c r="H595" i="3"/>
  <c r="G595" i="3" a="1"/>
  <c r="G595" i="3" s="1"/>
  <c r="K595" i="3" a="1"/>
  <c r="K595" i="3"/>
  <c r="H601" i="3" a="1"/>
  <c r="H601" i="3" s="1"/>
  <c r="G601" i="3" a="1"/>
  <c r="G601" i="3"/>
  <c r="K601" i="3" a="1"/>
  <c r="K601" i="3" s="1"/>
  <c r="J601" i="3" a="1"/>
  <c r="J601" i="3" s="1"/>
  <c r="I601" i="3" a="1"/>
  <c r="I601" i="3" s="1"/>
  <c r="I610" i="3" a="1"/>
  <c r="I610" i="3" s="1"/>
  <c r="H610" i="3" a="1"/>
  <c r="H610" i="3" s="1"/>
  <c r="G610" i="3" a="1"/>
  <c r="G610" i="3" s="1"/>
  <c r="K610" i="3" a="1"/>
  <c r="K610" i="3" s="1"/>
  <c r="J610" i="3" a="1"/>
  <c r="J610" i="3" s="1"/>
  <c r="J617" i="3" a="1"/>
  <c r="J617" i="3" s="1"/>
  <c r="I617" i="3" a="1"/>
  <c r="I617" i="3" s="1"/>
  <c r="H617" i="3" a="1"/>
  <c r="H617" i="3" s="1"/>
  <c r="G617" i="3" a="1"/>
  <c r="G617" i="3"/>
  <c r="K617" i="3" a="1"/>
  <c r="K617" i="3" s="1"/>
  <c r="I622" i="3" a="1"/>
  <c r="I622" i="3"/>
  <c r="H622" i="3" a="1"/>
  <c r="H622" i="3" s="1"/>
  <c r="G622" i="3" a="1"/>
  <c r="G622" i="3"/>
  <c r="K622" i="3" a="1"/>
  <c r="K622" i="3" s="1"/>
  <c r="J622" i="3" a="1"/>
  <c r="J622" i="3" s="1"/>
  <c r="G628" i="3" a="1"/>
  <c r="G628" i="3" s="1"/>
  <c r="K628" i="3" a="1"/>
  <c r="K628" i="3" s="1"/>
  <c r="J628" i="3" a="1"/>
  <c r="J628" i="3" s="1"/>
  <c r="I628" i="3" a="1"/>
  <c r="I628" i="3" s="1"/>
  <c r="H628" i="3" a="1"/>
  <c r="H628" i="3" s="1"/>
  <c r="H634" i="3" a="1"/>
  <c r="H634" i="3" s="1"/>
  <c r="G634" i="3" a="1"/>
  <c r="G634" i="3" s="1"/>
  <c r="K634" i="3" a="1"/>
  <c r="K634" i="3" s="1"/>
  <c r="J634" i="3" a="1"/>
  <c r="J634" i="3" s="1"/>
  <c r="I634" i="3" a="1"/>
  <c r="I634" i="3"/>
  <c r="K650" i="3" a="1"/>
  <c r="K650" i="3" s="1"/>
  <c r="J650" i="3" a="1"/>
  <c r="J650" i="3"/>
  <c r="I650" i="3" a="1"/>
  <c r="I650" i="3" s="1"/>
  <c r="H650" i="3" a="1"/>
  <c r="H650" i="3"/>
  <c r="G650" i="3" a="1"/>
  <c r="G650" i="3" s="1"/>
  <c r="K658" i="3" a="1"/>
  <c r="K658" i="3" s="1"/>
  <c r="J658" i="3" a="1"/>
  <c r="J658" i="3" s="1"/>
  <c r="I658" i="3" a="1"/>
  <c r="I658" i="3" s="1"/>
  <c r="H658" i="3" a="1"/>
  <c r="H658" i="3" s="1"/>
  <c r="G658" i="3" a="1"/>
  <c r="G658" i="3" s="1"/>
  <c r="K666" i="3" a="1"/>
  <c r="K666" i="3" s="1"/>
  <c r="J666" i="3" a="1"/>
  <c r="J666" i="3" s="1"/>
  <c r="I666" i="3" a="1"/>
  <c r="I666" i="3" s="1"/>
  <c r="H666" i="3" a="1"/>
  <c r="H666" i="3" s="1"/>
  <c r="G666" i="3" a="1"/>
  <c r="G666" i="3" s="1"/>
  <c r="G676" i="3" a="1"/>
  <c r="G676" i="3"/>
  <c r="K676" i="3" a="1"/>
  <c r="K676" i="3" s="1"/>
  <c r="J676" i="3" a="1"/>
  <c r="J676" i="3"/>
  <c r="I676" i="3" a="1"/>
  <c r="I676" i="3" s="1"/>
  <c r="H676" i="3" a="1"/>
  <c r="H676" i="3"/>
  <c r="G682" i="3" a="1"/>
  <c r="G682" i="3" s="1"/>
  <c r="K682" i="3" a="1"/>
  <c r="K682" i="3" s="1"/>
  <c r="J682" i="3" a="1"/>
  <c r="J682" i="3" s="1"/>
  <c r="I682" i="3" a="1"/>
  <c r="I682" i="3" s="1"/>
  <c r="H682" i="3" a="1"/>
  <c r="H682" i="3" s="1"/>
  <c r="K687" i="3" a="1"/>
  <c r="K687" i="3" s="1"/>
  <c r="J687" i="3" a="1"/>
  <c r="J687" i="3" s="1"/>
  <c r="I687" i="3" a="1"/>
  <c r="I687" i="3" s="1"/>
  <c r="H687" i="3" a="1"/>
  <c r="H687" i="3" s="1"/>
  <c r="G687" i="3" a="1"/>
  <c r="G687" i="3" s="1"/>
  <c r="G438" i="3" a="1"/>
  <c r="G438" i="3" s="1"/>
  <c r="K438" i="3" a="1"/>
  <c r="K438" i="3"/>
  <c r="J438" i="3" a="1"/>
  <c r="J438" i="3" s="1"/>
  <c r="I438" i="3" a="1"/>
  <c r="I438" i="3"/>
  <c r="H438" i="3" a="1"/>
  <c r="H438" i="3" s="1"/>
  <c r="K428" i="3" a="1"/>
  <c r="K428" i="3"/>
  <c r="J428" i="3" a="1"/>
  <c r="J428" i="3" s="1"/>
  <c r="I428" i="3" a="1"/>
  <c r="I428" i="3" s="1"/>
  <c r="H428" i="3" a="1"/>
  <c r="H428" i="3" s="1"/>
  <c r="G428" i="3" a="1"/>
  <c r="G428" i="3" s="1"/>
  <c r="H411" i="3" a="1"/>
  <c r="H411" i="3" s="1"/>
  <c r="G411" i="3" a="1"/>
  <c r="G411" i="3" s="1"/>
  <c r="K411" i="3" a="1"/>
  <c r="K411" i="3" s="1"/>
  <c r="J411" i="3" a="1"/>
  <c r="J411" i="3" s="1"/>
  <c r="I411" i="3" a="1"/>
  <c r="I411" i="3" s="1"/>
  <c r="G417" i="3" a="1"/>
  <c r="G417" i="3" s="1"/>
  <c r="K417" i="3" a="1"/>
  <c r="K417" i="3" s="1"/>
  <c r="J417" i="3" a="1"/>
  <c r="J417" i="3"/>
  <c r="I417" i="3" a="1"/>
  <c r="I417" i="3" s="1"/>
  <c r="H417" i="3" a="1"/>
  <c r="H417" i="3"/>
  <c r="K404" i="3" a="1"/>
  <c r="K404" i="3" s="1"/>
  <c r="J404" i="3" a="1"/>
  <c r="J404" i="3"/>
  <c r="I404" i="3" a="1"/>
  <c r="I404" i="3" s="1"/>
  <c r="H404" i="3" a="1"/>
  <c r="H404" i="3" s="1"/>
  <c r="G404" i="3" a="1"/>
  <c r="G404" i="3" s="1"/>
  <c r="H396" i="3" a="1"/>
  <c r="H396" i="3" s="1"/>
  <c r="G396" i="3" a="1"/>
  <c r="G396" i="3" s="1"/>
  <c r="K396" i="3" a="1"/>
  <c r="K396" i="3" s="1"/>
  <c r="J396" i="3" a="1"/>
  <c r="J396" i="3" s="1"/>
  <c r="I396" i="3" a="1"/>
  <c r="I396" i="3" s="1"/>
  <c r="K363" i="3" a="1"/>
  <c r="K363" i="3" s="1"/>
  <c r="J363" i="3" a="1"/>
  <c r="J363" i="3" s="1"/>
  <c r="I363" i="3" a="1"/>
  <c r="I363" i="3" s="1"/>
  <c r="H363" i="3" a="1"/>
  <c r="H363" i="3"/>
  <c r="G363" i="3" a="1"/>
  <c r="G363" i="3" s="1"/>
  <c r="K376" i="3" a="1"/>
  <c r="K376" i="3"/>
  <c r="J376" i="3" a="1"/>
  <c r="J376" i="3" s="1"/>
  <c r="I376" i="3" a="1"/>
  <c r="I376" i="3"/>
  <c r="H376" i="3" a="1"/>
  <c r="H376" i="3" s="1"/>
  <c r="G376" i="3" a="1"/>
  <c r="G376" i="3" s="1"/>
  <c r="K392" i="3" a="1"/>
  <c r="K392" i="3" s="1"/>
  <c r="J392" i="3" a="1"/>
  <c r="J392" i="3" s="1"/>
  <c r="I392" i="3" a="1"/>
  <c r="I392" i="3" s="1"/>
  <c r="H392" i="3" a="1"/>
  <c r="H392" i="3" s="1"/>
  <c r="G392" i="3" a="1"/>
  <c r="G392" i="3" s="1"/>
  <c r="J384" i="3" a="1"/>
  <c r="J384" i="3" s="1"/>
  <c r="I384" i="3" a="1"/>
  <c r="I384" i="3" s="1"/>
  <c r="H384" i="3" a="1"/>
  <c r="H384" i="3" s="1"/>
  <c r="K384" i="3" a="1"/>
  <c r="K384" i="3" s="1"/>
  <c r="G384" i="3" a="1"/>
  <c r="G384" i="3"/>
  <c r="K354" i="3" a="1"/>
  <c r="K354" i="3" s="1"/>
  <c r="J354" i="3" a="1"/>
  <c r="J354" i="3"/>
  <c r="I354" i="3" a="1"/>
  <c r="I354" i="3" s="1"/>
  <c r="H354" i="3" a="1"/>
  <c r="H354" i="3"/>
  <c r="G354" i="3" a="1"/>
  <c r="G354" i="3" s="1"/>
  <c r="J337" i="3" a="1"/>
  <c r="J337" i="3" s="1"/>
  <c r="I337" i="3" a="1"/>
  <c r="I337" i="3" s="1"/>
  <c r="H337" i="3" a="1"/>
  <c r="H337" i="3" s="1"/>
  <c r="G337" i="3" a="1"/>
  <c r="G337" i="3" s="1"/>
  <c r="K337" i="3" a="1"/>
  <c r="K337" i="3" s="1"/>
  <c r="K345" i="3" a="1"/>
  <c r="K345" i="3" s="1"/>
  <c r="J345" i="3" a="1"/>
  <c r="J345" i="3" s="1"/>
  <c r="I345" i="3" a="1"/>
  <c r="I345" i="3" s="1"/>
  <c r="H345" i="3" a="1"/>
  <c r="H345" i="3" s="1"/>
  <c r="G345" i="3" a="1"/>
  <c r="G345" i="3" s="1"/>
  <c r="K314" i="3" a="1"/>
  <c r="K314" i="3"/>
  <c r="J314" i="3" a="1"/>
  <c r="J314" i="3" s="1"/>
  <c r="I314" i="3" a="1"/>
  <c r="I314" i="3"/>
  <c r="H314" i="3" a="1"/>
  <c r="H314" i="3" s="1"/>
  <c r="G314" i="3" a="1"/>
  <c r="G314" i="3"/>
  <c r="K331" i="3" a="1"/>
  <c r="K331" i="3" s="1"/>
  <c r="J331" i="3" a="1"/>
  <c r="J331" i="3" s="1"/>
  <c r="I331" i="3" a="1"/>
  <c r="I331" i="3" s="1"/>
  <c r="H331" i="3" a="1"/>
  <c r="H331" i="3" s="1"/>
  <c r="G331" i="3" a="1"/>
  <c r="G331" i="3" s="1"/>
  <c r="K318" i="3" a="1"/>
  <c r="K318" i="3"/>
  <c r="J318" i="3" a="1"/>
  <c r="J318" i="3" s="1"/>
  <c r="I318" i="3" a="1"/>
  <c r="I318" i="3" s="1"/>
  <c r="H318" i="3" a="1"/>
  <c r="H318" i="3" s="1"/>
  <c r="G318" i="3" a="1"/>
  <c r="G318" i="3" s="1"/>
  <c r="I293" i="3" a="1"/>
  <c r="I293" i="3" s="1"/>
  <c r="H293" i="3" a="1"/>
  <c r="H293" i="3"/>
  <c r="G293" i="3" a="1"/>
  <c r="G293" i="3" s="1"/>
  <c r="K293" i="3" a="1"/>
  <c r="K293" i="3"/>
  <c r="J293" i="3" a="1"/>
  <c r="J293" i="3" s="1"/>
  <c r="G304" i="3" a="1"/>
  <c r="G304" i="3"/>
  <c r="K304" i="3" a="1"/>
  <c r="K304" i="3" s="1"/>
  <c r="J304" i="3" a="1"/>
  <c r="J304" i="3" s="1"/>
  <c r="I304" i="3" a="1"/>
  <c r="I304" i="3" s="1"/>
  <c r="H304" i="3" a="1"/>
  <c r="H304" i="3"/>
  <c r="G292" i="3" a="1"/>
  <c r="G292" i="3" s="1"/>
  <c r="K292" i="3" a="1"/>
  <c r="K292" i="3" s="1"/>
  <c r="J292" i="3" a="1"/>
  <c r="J292" i="3"/>
  <c r="I292" i="3" a="1"/>
  <c r="I292" i="3" s="1"/>
  <c r="H292" i="3" a="1"/>
  <c r="H292" i="3" s="1"/>
  <c r="K265" i="3" a="1"/>
  <c r="K265" i="3"/>
  <c r="J265" i="3" a="1"/>
  <c r="J265" i="3" s="1"/>
  <c r="I265" i="3" a="1"/>
  <c r="I265" i="3" s="1"/>
  <c r="H265" i="3" a="1"/>
  <c r="H265" i="3" s="1"/>
  <c r="G265" i="3" a="1"/>
  <c r="G265" i="3"/>
  <c r="K276" i="3" a="1"/>
  <c r="K276" i="3" s="1"/>
  <c r="J276" i="3" a="1"/>
  <c r="J276" i="3"/>
  <c r="I276" i="3" a="1"/>
  <c r="I276" i="3" s="1"/>
  <c r="H276" i="3" a="1"/>
  <c r="H276" i="3"/>
  <c r="G276" i="3" a="1"/>
  <c r="G276" i="3"/>
  <c r="K285" i="3" a="1"/>
  <c r="K285" i="3" s="1"/>
  <c r="J285" i="3" a="1"/>
  <c r="J285" i="3" s="1"/>
  <c r="I285" i="3" a="1"/>
  <c r="I285" i="3" s="1"/>
  <c r="H285" i="3" a="1"/>
  <c r="H285" i="3" s="1"/>
  <c r="G285" i="3" a="1"/>
  <c r="G285" i="3" s="1"/>
  <c r="K284" i="3" a="1"/>
  <c r="K284" i="3" s="1"/>
  <c r="J284" i="3" a="1"/>
  <c r="J284" i="3" s="1"/>
  <c r="I284" i="3" a="1"/>
  <c r="I284" i="3"/>
  <c r="H284" i="3" a="1"/>
  <c r="H284" i="3"/>
  <c r="G284" i="3" a="1"/>
  <c r="G284" i="3" s="1"/>
  <c r="G247" i="3" a="1"/>
  <c r="G247" i="3"/>
  <c r="K247" i="3" a="1"/>
  <c r="K247" i="3" s="1"/>
  <c r="J247" i="3" a="1"/>
  <c r="J247" i="3" s="1"/>
  <c r="I247" i="3" a="1"/>
  <c r="I247" i="3" s="1"/>
  <c r="H247" i="3" a="1"/>
  <c r="H247" i="3" s="1"/>
  <c r="J254" i="3" a="1"/>
  <c r="J254" i="3" s="1"/>
  <c r="I254" i="3" a="1"/>
  <c r="I254" i="3"/>
  <c r="H254" i="3" a="1"/>
  <c r="H254" i="3" s="1"/>
  <c r="G254" i="3" a="1"/>
  <c r="G254" i="3" s="1"/>
  <c r="K254" i="3" a="1"/>
  <c r="K254" i="3"/>
  <c r="K236" i="3" a="1"/>
  <c r="K236" i="3" s="1"/>
  <c r="J236" i="3" a="1"/>
  <c r="J236" i="3" s="1"/>
  <c r="I236" i="3" a="1"/>
  <c r="I236" i="3"/>
  <c r="H236" i="3" a="1"/>
  <c r="H236" i="3" s="1"/>
  <c r="G236" i="3" a="1"/>
  <c r="G236" i="3" s="1"/>
  <c r="G228" i="3" a="1"/>
  <c r="G228" i="3" s="1"/>
  <c r="K228" i="3" a="1"/>
  <c r="K228" i="3" s="1"/>
  <c r="J228" i="3" a="1"/>
  <c r="J228" i="3" s="1"/>
  <c r="I228" i="3" a="1"/>
  <c r="I228" i="3"/>
  <c r="H228" i="3" a="1"/>
  <c r="H228" i="3" s="1"/>
  <c r="G221" i="3" a="1"/>
  <c r="G221" i="3"/>
  <c r="K221" i="3" a="1"/>
  <c r="K221" i="3"/>
  <c r="J221" i="3" a="1"/>
  <c r="J221" i="3" s="1"/>
  <c r="I221" i="3" a="1"/>
  <c r="I221" i="3" s="1"/>
  <c r="H221" i="3" a="1"/>
  <c r="H221" i="3" s="1"/>
  <c r="K212" i="3" a="1"/>
  <c r="K212" i="3" s="1"/>
  <c r="J212" i="3" a="1"/>
  <c r="J212" i="3" s="1"/>
  <c r="I212" i="3" a="1"/>
  <c r="I212" i="3" s="1"/>
  <c r="H212" i="3" a="1"/>
  <c r="H212" i="3" s="1"/>
  <c r="G212" i="3" a="1"/>
  <c r="G212" i="3"/>
  <c r="K181" i="3" a="1"/>
  <c r="K181" i="3"/>
  <c r="J181" i="3" a="1"/>
  <c r="J181" i="3" s="1"/>
  <c r="I181" i="3" a="1"/>
  <c r="I181" i="3"/>
  <c r="H181" i="3" a="1"/>
  <c r="H181" i="3" s="1"/>
  <c r="G181" i="3" a="1"/>
  <c r="G181" i="3" s="1"/>
  <c r="I189" i="3" a="1"/>
  <c r="I189" i="3" s="1"/>
  <c r="H189" i="3" a="1"/>
  <c r="H189" i="3" s="1"/>
  <c r="G189" i="3" a="1"/>
  <c r="G189" i="3" s="1"/>
  <c r="K189" i="3" a="1"/>
  <c r="K189" i="3"/>
  <c r="J189" i="3" a="1"/>
  <c r="J189" i="3" s="1"/>
  <c r="K197" i="3" a="1"/>
  <c r="K197" i="3" s="1"/>
  <c r="J197" i="3" a="1"/>
  <c r="J197" i="3"/>
  <c r="I197" i="3" a="1"/>
  <c r="I197" i="3" s="1"/>
  <c r="H197" i="3" a="1"/>
  <c r="H197" i="3" s="1"/>
  <c r="G197" i="3" a="1"/>
  <c r="G197" i="3"/>
  <c r="K205" i="3" a="1"/>
  <c r="K205" i="3" s="1"/>
  <c r="J205" i="3" a="1"/>
  <c r="J205" i="3" s="1"/>
  <c r="I205" i="3" a="1"/>
  <c r="I205" i="3" s="1"/>
  <c r="H205" i="3" a="1"/>
  <c r="H205" i="3" s="1"/>
  <c r="G205" i="3" a="1"/>
  <c r="G205" i="3" s="1"/>
  <c r="G168" i="3" a="1"/>
  <c r="G168" i="3"/>
  <c r="K168" i="3" a="1"/>
  <c r="K168" i="3" s="1"/>
  <c r="J168" i="3" a="1"/>
  <c r="J168" i="3"/>
  <c r="H168" i="3" a="1"/>
  <c r="H168" i="3"/>
  <c r="I168" i="3" a="1"/>
  <c r="I168" i="3" s="1"/>
  <c r="K141" i="3" a="1"/>
  <c r="K141" i="3" s="1"/>
  <c r="J141" i="3" a="1"/>
  <c r="J141" i="3" s="1"/>
  <c r="I141" i="3" a="1"/>
  <c r="I141" i="3" s="1"/>
  <c r="H141" i="3" a="1"/>
  <c r="H141" i="3" s="1"/>
  <c r="G141" i="3" a="1"/>
  <c r="G141" i="3" s="1"/>
  <c r="H148" i="3" a="1"/>
  <c r="H148" i="3"/>
  <c r="G148" i="3" a="1"/>
  <c r="G148" i="3"/>
  <c r="K148" i="3" a="1"/>
  <c r="K148" i="3"/>
  <c r="J148" i="3" a="1"/>
  <c r="J148" i="3" s="1"/>
  <c r="I148" i="3" a="1"/>
  <c r="I148" i="3"/>
  <c r="K157" i="3" a="1"/>
  <c r="K157" i="3" s="1"/>
  <c r="J157" i="3" a="1"/>
  <c r="J157" i="3" s="1"/>
  <c r="I157" i="3" a="1"/>
  <c r="I157" i="3" s="1"/>
  <c r="H157" i="3" a="1"/>
  <c r="H157" i="3" s="1"/>
  <c r="G157" i="3" a="1"/>
  <c r="G157" i="3"/>
  <c r="J163" i="3" a="1"/>
  <c r="J163" i="3"/>
  <c r="I163" i="3" a="1"/>
  <c r="I163" i="3" s="1"/>
  <c r="H163" i="3" a="1"/>
  <c r="H163" i="3" s="1"/>
  <c r="G163" i="3" a="1"/>
  <c r="G163" i="3"/>
  <c r="K163" i="3" a="1"/>
  <c r="K163" i="3" s="1"/>
  <c r="I116" i="3" a="1"/>
  <c r="I116" i="3" s="1"/>
  <c r="H116" i="3" a="1"/>
  <c r="H116" i="3"/>
  <c r="G116" i="3" a="1"/>
  <c r="G116" i="3" s="1"/>
  <c r="K116" i="3" a="1"/>
  <c r="K116" i="3"/>
  <c r="J116" i="3" a="1"/>
  <c r="J116" i="3" s="1"/>
  <c r="I128" i="3" a="1"/>
  <c r="I128" i="3" s="1"/>
  <c r="H128" i="3" a="1"/>
  <c r="H128" i="3" s="1"/>
  <c r="G128" i="3" a="1"/>
  <c r="G128" i="3"/>
  <c r="K128" i="3" a="1"/>
  <c r="K128" i="3" s="1"/>
  <c r="J128" i="3" a="1"/>
  <c r="J128" i="3"/>
  <c r="G119" i="3" a="1"/>
  <c r="G119" i="3"/>
  <c r="K119" i="3" a="1"/>
  <c r="K119" i="3" s="1"/>
  <c r="J119" i="3" a="1"/>
  <c r="J119" i="3" s="1"/>
  <c r="I119" i="3" a="1"/>
  <c r="I119" i="3" s="1"/>
  <c r="H119" i="3" a="1"/>
  <c r="H119" i="3" s="1"/>
  <c r="G138" i="3" a="1"/>
  <c r="G138" i="3" s="1"/>
  <c r="K138" i="3" a="1"/>
  <c r="K138" i="3" s="1"/>
  <c r="J138" i="3" a="1"/>
  <c r="J138" i="3"/>
  <c r="I138" i="3" a="1"/>
  <c r="I138" i="3"/>
  <c r="H138" i="3" a="1"/>
  <c r="H138" i="3"/>
  <c r="G101" i="3" a="1"/>
  <c r="G101" i="3" s="1"/>
  <c r="K101" i="3" a="1"/>
  <c r="K101" i="3"/>
  <c r="J101" i="3" a="1"/>
  <c r="J101" i="3" s="1"/>
  <c r="I101" i="3" a="1"/>
  <c r="I101" i="3" s="1"/>
  <c r="H101" i="3" a="1"/>
  <c r="H101" i="3" s="1"/>
  <c r="H72" i="3" a="1"/>
  <c r="H72" i="3" s="1"/>
  <c r="G72" i="3" a="1"/>
  <c r="G72" i="3"/>
  <c r="K72" i="3" a="1"/>
  <c r="K72" i="3"/>
  <c r="J72" i="3" a="1"/>
  <c r="J72" i="3" s="1"/>
  <c r="I72" i="3" a="1"/>
  <c r="I72" i="3" s="1"/>
  <c r="K73" i="3" a="1"/>
  <c r="K73" i="3"/>
  <c r="J73" i="3" a="1"/>
  <c r="J73" i="3" s="1"/>
  <c r="I73" i="3" a="1"/>
  <c r="I73" i="3" s="1"/>
  <c r="H73" i="3" a="1"/>
  <c r="H73" i="3"/>
  <c r="G73" i="3" a="1"/>
  <c r="G73" i="3" s="1"/>
  <c r="K84" i="3" a="1"/>
  <c r="K84" i="3"/>
  <c r="J84" i="3" a="1"/>
  <c r="J84" i="3" s="1"/>
  <c r="I84" i="3" a="1"/>
  <c r="I84" i="3" s="1"/>
  <c r="H84" i="3" a="1"/>
  <c r="H84" i="3" s="1"/>
  <c r="G84" i="3" a="1"/>
  <c r="G84" i="3"/>
  <c r="K95" i="3" a="1"/>
  <c r="K95" i="3" s="1"/>
  <c r="J95" i="3" a="1"/>
  <c r="J95" i="3"/>
  <c r="I95" i="3" a="1"/>
  <c r="I95" i="3"/>
  <c r="H95" i="3" a="1"/>
  <c r="H95" i="3" s="1"/>
  <c r="G95" i="3" a="1"/>
  <c r="G95" i="3" s="1"/>
  <c r="K60" i="3" a="1"/>
  <c r="K60" i="3" s="1"/>
  <c r="J60" i="3" a="1"/>
  <c r="J60" i="3" s="1"/>
  <c r="I60" i="3" a="1"/>
  <c r="I60" i="3" s="1"/>
  <c r="H60" i="3" a="1"/>
  <c r="H60" i="3" s="1"/>
  <c r="G60" i="3" a="1"/>
  <c r="G60" i="3"/>
  <c r="K46" i="3" a="1"/>
  <c r="K46" i="3"/>
  <c r="J46" i="3" a="1"/>
  <c r="J46" i="3"/>
  <c r="I46" i="3" a="1"/>
  <c r="I46" i="3" s="1"/>
  <c r="H46" i="3" a="1"/>
  <c r="H46" i="3"/>
  <c r="G46" i="3" a="1"/>
  <c r="G46" i="3" s="1"/>
  <c r="H41" i="3" a="1"/>
  <c r="H41" i="3" s="1"/>
  <c r="G41" i="3" a="1"/>
  <c r="G41" i="3" s="1"/>
  <c r="K41" i="3" a="1"/>
  <c r="K41" i="3" s="1"/>
  <c r="J41" i="3" a="1"/>
  <c r="J41" i="3"/>
  <c r="I41" i="3" a="1"/>
  <c r="I41" i="3"/>
  <c r="K36" i="3" a="1"/>
  <c r="K36" i="3" s="1"/>
  <c r="J36" i="3" a="1"/>
  <c r="J36" i="3" s="1"/>
  <c r="I36" i="3" a="1"/>
  <c r="I36" i="3"/>
  <c r="H36" i="3" a="1"/>
  <c r="H36" i="3" s="1"/>
  <c r="G36" i="3" a="1"/>
  <c r="G36" i="3" s="1"/>
  <c r="K26" i="3" a="1"/>
  <c r="K26" i="3"/>
  <c r="J26" i="3" a="1"/>
  <c r="J26" i="3" s="1"/>
  <c r="I26" i="3" a="1"/>
  <c r="I26" i="3"/>
  <c r="H26" i="3" a="1"/>
  <c r="H26" i="3" s="1"/>
  <c r="G26" i="3" a="1"/>
  <c r="G26" i="3" s="1"/>
  <c r="K20" i="3" a="1"/>
  <c r="K20" i="3" s="1"/>
  <c r="J20" i="3" a="1"/>
  <c r="J20" i="3"/>
  <c r="I20" i="3" a="1"/>
  <c r="I20" i="3" s="1"/>
  <c r="H20" i="3" a="1"/>
  <c r="H20" i="3"/>
  <c r="G20" i="3" a="1"/>
  <c r="G20" i="3"/>
  <c r="I12" i="3" a="1"/>
  <c r="I12" i="3" s="1"/>
  <c r="H12" i="3" a="1"/>
  <c r="H12" i="3" s="1"/>
  <c r="G12" i="3" a="1"/>
  <c r="G12" i="3" s="1"/>
  <c r="K12" i="3" a="1"/>
  <c r="K12" i="3" s="1"/>
  <c r="J12" i="3" a="1"/>
  <c r="J12" i="3" s="1"/>
  <c r="O663" i="13"/>
  <c r="H545" i="13"/>
  <c r="O651" i="13"/>
  <c r="O967" i="13"/>
  <c r="H536" i="13"/>
  <c r="O968" i="13"/>
  <c r="O980" i="13"/>
  <c r="H558" i="13"/>
  <c r="H559" i="13"/>
  <c r="H537" i="13"/>
  <c r="H549" i="13"/>
  <c r="H543" i="13"/>
  <c r="H561" i="13"/>
  <c r="H551" i="13"/>
  <c r="H542" i="13"/>
  <c r="H557" i="13"/>
  <c r="H565" i="13"/>
  <c r="H550" i="13"/>
  <c r="H547" i="13"/>
  <c r="H556" i="13"/>
  <c r="H554" i="13"/>
  <c r="H544" i="13"/>
  <c r="H535" i="13"/>
  <c r="H552" i="13"/>
  <c r="H497" i="13"/>
  <c r="O750" i="13"/>
  <c r="O654" i="13"/>
  <c r="O749" i="13"/>
  <c r="O740" i="13"/>
  <c r="O739" i="13"/>
  <c r="O714" i="13"/>
  <c r="O667" i="13"/>
  <c r="O983" i="13"/>
  <c r="O653" i="13"/>
  <c r="O722" i="13"/>
  <c r="O721" i="13"/>
  <c r="O705" i="13"/>
  <c r="O704" i="13"/>
  <c r="O696" i="13"/>
  <c r="O950" i="13"/>
  <c r="H939" i="13"/>
  <c r="O1007" i="13"/>
  <c r="O926" i="13"/>
  <c r="O1006" i="13"/>
  <c r="O940" i="13"/>
  <c r="O927" i="13"/>
  <c r="O689" i="13"/>
  <c r="H682" i="13"/>
  <c r="O688" i="13"/>
  <c r="H681" i="13"/>
  <c r="O695" i="13"/>
  <c r="O702" i="13"/>
  <c r="O710" i="13"/>
  <c r="O715" i="13"/>
  <c r="H708" i="13"/>
  <c r="O720" i="13"/>
  <c r="O727" i="13"/>
  <c r="O741" i="13"/>
  <c r="O748" i="13"/>
  <c r="O693" i="13"/>
  <c r="H686" i="13"/>
  <c r="O699" i="13"/>
  <c r="O706" i="13"/>
  <c r="O713" i="13"/>
  <c r="O718" i="13"/>
  <c r="O725" i="13"/>
  <c r="O731" i="13"/>
  <c r="O738" i="13"/>
  <c r="O745" i="13"/>
  <c r="O641" i="13"/>
  <c r="H634" i="13"/>
  <c r="O640" i="13"/>
  <c r="H633" i="13"/>
  <c r="O652" i="13"/>
  <c r="O662" i="13"/>
  <c r="O648" i="13"/>
  <c r="O658" i="13"/>
  <c r="H651" i="13"/>
  <c r="O889" i="13"/>
  <c r="H880" i="13"/>
  <c r="O894" i="13"/>
  <c r="H885" i="13"/>
  <c r="O901" i="13"/>
  <c r="O920" i="13"/>
  <c r="H911" i="13"/>
  <c r="O934" i="13"/>
  <c r="O995" i="13"/>
  <c r="O969" i="13"/>
  <c r="O949" i="13"/>
  <c r="H938" i="13"/>
  <c r="O925" i="13"/>
  <c r="O899" i="13"/>
  <c r="O747" i="13"/>
  <c r="O737" i="13"/>
  <c r="H730" i="13"/>
  <c r="O712" i="13"/>
  <c r="O694" i="13"/>
  <c r="H656" i="13"/>
  <c r="O994" i="13"/>
  <c r="O922" i="13"/>
  <c r="H913" i="13"/>
  <c r="O754" i="13"/>
  <c r="O746" i="13"/>
  <c r="O736" i="13"/>
  <c r="H729" i="13"/>
  <c r="O728" i="13"/>
  <c r="O719" i="13"/>
  <c r="O703" i="13"/>
  <c r="O649" i="13"/>
  <c r="O947" i="13"/>
  <c r="O935" i="13"/>
  <c r="O918" i="13"/>
  <c r="H909" i="13"/>
  <c r="O898" i="13"/>
  <c r="O763" i="13"/>
  <c r="H756" i="13"/>
  <c r="O753" i="13"/>
  <c r="O744" i="13"/>
  <c r="O735" i="13"/>
  <c r="O726" i="13"/>
  <c r="O717" i="13"/>
  <c r="O711" i="13"/>
  <c r="O701" i="13"/>
  <c r="O692" i="13"/>
  <c r="H685" i="13"/>
  <c r="O661" i="13"/>
  <c r="H661" i="13"/>
  <c r="O964" i="13"/>
  <c r="O945" i="13"/>
  <c r="O917" i="13"/>
  <c r="H908" i="13"/>
  <c r="O752" i="13"/>
  <c r="O743" i="13"/>
  <c r="O734" i="13"/>
  <c r="O700" i="13"/>
  <c r="O691" i="13"/>
  <c r="H684" i="13"/>
  <c r="O659" i="13"/>
  <c r="O645" i="13"/>
  <c r="H638" i="13"/>
  <c r="O960" i="13"/>
  <c r="O954" i="13"/>
  <c r="O943" i="13"/>
  <c r="O930" i="13"/>
  <c r="O916" i="13"/>
  <c r="H907" i="13"/>
  <c r="O751" i="13"/>
  <c r="O742" i="13"/>
  <c r="O724" i="13"/>
  <c r="O716" i="13"/>
  <c r="O709" i="13"/>
  <c r="O698" i="13"/>
  <c r="O690" i="13"/>
  <c r="O644" i="13"/>
  <c r="H637" i="13"/>
  <c r="O974" i="13"/>
  <c r="O959" i="13"/>
  <c r="O952" i="13"/>
  <c r="O942" i="13"/>
  <c r="O929" i="13"/>
  <c r="O893" i="13"/>
  <c r="H884" i="13"/>
  <c r="O732" i="13"/>
  <c r="O723" i="13"/>
  <c r="O707" i="13"/>
  <c r="O697" i="13"/>
  <c r="O669" i="13"/>
  <c r="O657" i="13"/>
  <c r="O1010" i="13"/>
  <c r="O997" i="13"/>
  <c r="O973" i="13"/>
  <c r="O962" i="13"/>
  <c r="O946" i="13"/>
  <c r="O937" i="13"/>
  <c r="O928" i="13"/>
  <c r="O924" i="13"/>
  <c r="O915" i="13"/>
  <c r="H906" i="13"/>
  <c r="O665" i="13"/>
  <c r="O660" i="13"/>
  <c r="O656" i="13"/>
  <c r="H649" i="13"/>
  <c r="H644" i="13"/>
  <c r="O647" i="13"/>
  <c r="O1009" i="13"/>
  <c r="O996" i="13"/>
  <c r="O992" i="13"/>
  <c r="O979" i="13"/>
  <c r="O966" i="13"/>
  <c r="O932" i="13"/>
  <c r="O923" i="13"/>
  <c r="O895" i="13"/>
  <c r="H886" i="13"/>
  <c r="O890" i="13"/>
  <c r="H881" i="13"/>
  <c r="O643" i="13"/>
  <c r="H636" i="13"/>
  <c r="O1008" i="13"/>
  <c r="O991" i="13"/>
  <c r="O984" i="13"/>
  <c r="H970" i="13"/>
  <c r="O965" i="13"/>
  <c r="O961" i="13"/>
  <c r="O955" i="13"/>
  <c r="H944" i="13"/>
  <c r="O951" i="13"/>
  <c r="O941" i="13"/>
  <c r="O931" i="13"/>
  <c r="O919" i="13"/>
  <c r="H910" i="13"/>
  <c r="O914" i="13"/>
  <c r="H905" i="13"/>
  <c r="O900" i="13"/>
  <c r="O888" i="13"/>
  <c r="H879" i="13"/>
  <c r="O670" i="13"/>
  <c r="H663" i="13"/>
  <c r="O664" i="13"/>
  <c r="O655" i="13"/>
  <c r="O650" i="13"/>
  <c r="O646" i="13"/>
  <c r="H639" i="13"/>
  <c r="O642" i="13"/>
  <c r="H635" i="13"/>
  <c r="O993" i="13"/>
  <c r="O987" i="13"/>
  <c r="O975" i="13"/>
  <c r="O963" i="13"/>
  <c r="O933" i="13"/>
  <c r="O921" i="13"/>
  <c r="H912" i="13"/>
  <c r="O896" i="13"/>
  <c r="H887" i="13"/>
  <c r="O891" i="13"/>
  <c r="H882" i="13"/>
  <c r="P266" i="13"/>
  <c r="P268" i="13"/>
  <c r="H532" i="13"/>
  <c r="P267" i="13"/>
  <c r="O897" i="13"/>
  <c r="O892" i="13"/>
  <c r="H883" i="13"/>
  <c r="H927" i="13"/>
  <c r="H727" i="13"/>
  <c r="H648" i="13"/>
  <c r="H705" i="13"/>
  <c r="J165" i="13"/>
  <c r="K165" i="13"/>
  <c r="H949" i="13"/>
  <c r="J562" i="13"/>
  <c r="K562" i="13"/>
  <c r="J580" i="13"/>
  <c r="K580" i="13"/>
  <c r="H928" i="13"/>
  <c r="J474" i="13"/>
  <c r="K474" i="13"/>
  <c r="H973" i="13"/>
  <c r="J159" i="13"/>
  <c r="K159" i="13"/>
  <c r="H934" i="13"/>
  <c r="J934" i="13"/>
  <c r="K934" i="13"/>
  <c r="H728" i="13"/>
  <c r="H699" i="13"/>
  <c r="H702" i="13"/>
  <c r="J99" i="13"/>
  <c r="K99" i="13"/>
  <c r="J10" i="13"/>
  <c r="J109" i="13"/>
  <c r="J84" i="13"/>
  <c r="K84" i="13"/>
  <c r="H979" i="13"/>
  <c r="H954" i="13"/>
  <c r="H425" i="13"/>
  <c r="H931" i="13"/>
  <c r="J931" i="13"/>
  <c r="K931" i="13"/>
  <c r="H709" i="13"/>
  <c r="H719" i="13"/>
  <c r="J18" i="13"/>
  <c r="K18" i="13"/>
  <c r="J31" i="13"/>
  <c r="K31" i="13"/>
  <c r="J72" i="13"/>
  <c r="K72" i="13"/>
  <c r="J548" i="13"/>
  <c r="K548" i="13"/>
  <c r="H662" i="13"/>
  <c r="H717" i="13"/>
  <c r="J436" i="13"/>
  <c r="K436" i="13"/>
  <c r="J626" i="13"/>
  <c r="J614" i="13"/>
  <c r="H995" i="13"/>
  <c r="H718" i="13"/>
  <c r="J718" i="13"/>
  <c r="K718" i="13"/>
  <c r="H720" i="13"/>
  <c r="J270" i="13"/>
  <c r="K270" i="13"/>
  <c r="J668" i="13"/>
  <c r="K668" i="13"/>
  <c r="J128" i="13"/>
  <c r="K128" i="13"/>
  <c r="H888" i="13"/>
  <c r="H923" i="13"/>
  <c r="H693" i="13"/>
  <c r="H721" i="13"/>
  <c r="J721" i="13"/>
  <c r="K721" i="13"/>
  <c r="J282" i="13"/>
  <c r="K282" i="13"/>
  <c r="J568" i="13"/>
  <c r="K568" i="13"/>
  <c r="J29" i="13"/>
  <c r="K29" i="13"/>
  <c r="H940" i="13"/>
  <c r="H921" i="13"/>
  <c r="H694" i="13"/>
  <c r="H703" i="13"/>
  <c r="J352" i="13"/>
  <c r="K352" i="13"/>
  <c r="J506" i="13"/>
  <c r="K506" i="13"/>
  <c r="J217" i="13"/>
  <c r="H695" i="13"/>
  <c r="H697" i="13"/>
  <c r="H943" i="13"/>
  <c r="H650" i="13"/>
  <c r="H647" i="13"/>
  <c r="J647" i="13"/>
  <c r="K647" i="13"/>
  <c r="H951" i="13"/>
  <c r="H646" i="13"/>
  <c r="H641" i="13"/>
  <c r="H924" i="13"/>
  <c r="H930" i="13"/>
  <c r="H706" i="13"/>
  <c r="H707" i="13"/>
  <c r="H653" i="13"/>
  <c r="J653" i="13"/>
  <c r="K653" i="13"/>
  <c r="H652" i="13"/>
  <c r="H737" i="13"/>
  <c r="H696" i="13"/>
  <c r="H955" i="13"/>
  <c r="H918" i="13"/>
  <c r="H993" i="13"/>
  <c r="H969" i="13"/>
  <c r="H643" i="13"/>
  <c r="J643" i="13"/>
  <c r="K643" i="13"/>
  <c r="H922" i="13"/>
  <c r="H994" i="13"/>
  <c r="H914" i="13"/>
  <c r="H658" i="13"/>
  <c r="H700" i="13"/>
  <c r="H654" i="13"/>
  <c r="H712" i="13"/>
  <c r="H655" i="13"/>
  <c r="J655" i="13"/>
  <c r="K655" i="13"/>
  <c r="H711" i="13"/>
  <c r="H713" i="13"/>
  <c r="H929" i="13"/>
  <c r="H660" i="13"/>
  <c r="H716" i="13"/>
  <c r="H925" i="13"/>
  <c r="H645" i="13"/>
  <c r="H996" i="13"/>
  <c r="J996" i="13"/>
  <c r="K996" i="13"/>
  <c r="H657" i="13"/>
  <c r="H915" i="13"/>
  <c r="H889" i="13"/>
  <c r="H919" i="13"/>
  <c r="H932" i="13"/>
  <c r="H178" i="13"/>
  <c r="H704" i="13"/>
  <c r="H892" i="13"/>
  <c r="H698" i="13"/>
  <c r="J698" i="13"/>
  <c r="K698" i="13"/>
  <c r="H965" i="13"/>
  <c r="H640" i="13"/>
  <c r="H920" i="13"/>
  <c r="H710" i="13"/>
  <c r="H926" i="13"/>
  <c r="H890" i="13"/>
  <c r="H688" i="13"/>
  <c r="H714" i="13"/>
  <c r="K714" i="13"/>
  <c r="H891" i="13"/>
  <c r="H935" i="13"/>
  <c r="H946" i="13"/>
  <c r="H947" i="13"/>
  <c r="H916" i="13"/>
  <c r="H731" i="13"/>
  <c r="H992" i="13"/>
  <c r="J992" i="13"/>
  <c r="K992" i="13"/>
  <c r="H715" i="13"/>
  <c r="H941" i="13"/>
  <c r="H642" i="13"/>
  <c r="H917" i="13"/>
  <c r="J91" i="13"/>
  <c r="K91" i="13"/>
  <c r="J484" i="13"/>
  <c r="J284" i="13"/>
  <c r="K284" i="13"/>
  <c r="J104" i="13"/>
  <c r="K104" i="13"/>
  <c r="J321" i="13"/>
  <c r="K321" i="13"/>
  <c r="J432" i="13"/>
  <c r="K432" i="13"/>
  <c r="J470" i="13"/>
  <c r="K470" i="13"/>
  <c r="J141" i="13"/>
  <c r="K141" i="13"/>
  <c r="J147" i="13"/>
  <c r="K147" i="13"/>
  <c r="J537" i="13"/>
  <c r="K537" i="13"/>
  <c r="J319" i="13"/>
  <c r="K319" i="13"/>
  <c r="J257" i="13"/>
  <c r="K257" i="13"/>
  <c r="J268" i="13"/>
  <c r="K268" i="13"/>
  <c r="J334" i="13"/>
  <c r="K334" i="13"/>
  <c r="J384" i="13"/>
  <c r="K384" i="13"/>
  <c r="J315" i="13"/>
  <c r="K315" i="13"/>
  <c r="J160" i="13"/>
  <c r="K160" i="13"/>
  <c r="J567" i="13"/>
  <c r="K567" i="13"/>
  <c r="J331" i="13"/>
  <c r="K331" i="13"/>
  <c r="J665" i="13"/>
  <c r="K665" i="13"/>
  <c r="J259" i="13"/>
  <c r="K259" i="13"/>
  <c r="J326" i="13"/>
  <c r="K326" i="13"/>
  <c r="J376" i="13"/>
  <c r="K376" i="13"/>
  <c r="J324" i="13"/>
  <c r="K324" i="13"/>
  <c r="J30" i="13"/>
  <c r="K30" i="13"/>
  <c r="J386" i="13"/>
  <c r="K386" i="13"/>
  <c r="J81" i="13"/>
  <c r="K81" i="13"/>
  <c r="J679" i="13"/>
  <c r="K679" i="13"/>
  <c r="J351" i="13"/>
  <c r="K351" i="13"/>
  <c r="J618" i="13"/>
  <c r="J21" i="13"/>
  <c r="K21" i="13"/>
  <c r="J76" i="13"/>
  <c r="K76" i="13"/>
  <c r="J42" i="13"/>
  <c r="K42" i="13"/>
  <c r="J398" i="13"/>
  <c r="K398" i="13"/>
  <c r="J219" i="13"/>
  <c r="J70" i="13"/>
  <c r="K70" i="13"/>
  <c r="J329" i="13"/>
  <c r="K329" i="13"/>
  <c r="J463" i="13"/>
  <c r="J510" i="13"/>
  <c r="K510" i="13"/>
  <c r="H950" i="13"/>
  <c r="J1114" i="13"/>
  <c r="K1114" i="13"/>
  <c r="J524" i="13"/>
  <c r="K524" i="13"/>
  <c r="H690" i="13"/>
  <c r="J690" i="13"/>
  <c r="K690" i="13"/>
  <c r="H952" i="13"/>
  <c r="J46" i="13"/>
  <c r="K46" i="13"/>
  <c r="J401" i="13"/>
  <c r="K401" i="13"/>
  <c r="J101" i="13"/>
  <c r="K101" i="13"/>
  <c r="J447" i="13"/>
  <c r="K447" i="13"/>
  <c r="J142" i="13"/>
  <c r="K142" i="13"/>
  <c r="J189" i="13"/>
  <c r="K189" i="13"/>
  <c r="J701" i="13"/>
  <c r="K701" i="13"/>
  <c r="J112" i="13"/>
  <c r="K112" i="13"/>
  <c r="J449" i="13"/>
  <c r="K449" i="13"/>
  <c r="J115" i="13"/>
  <c r="K115" i="13"/>
  <c r="J451" i="13"/>
  <c r="K451" i="13"/>
  <c r="J221" i="13"/>
  <c r="K221" i="13"/>
  <c r="J589" i="13"/>
  <c r="K589" i="13"/>
  <c r="J281" i="13"/>
  <c r="K281" i="13"/>
  <c r="J52" i="13"/>
  <c r="K52" i="13"/>
  <c r="J333" i="13"/>
  <c r="K333" i="13"/>
  <c r="J44" i="13"/>
  <c r="K44" i="13"/>
  <c r="J381" i="13"/>
  <c r="K381" i="13"/>
  <c r="J494" i="13"/>
  <c r="K494" i="13"/>
  <c r="J125" i="13"/>
  <c r="K125" i="13"/>
  <c r="J495" i="13"/>
  <c r="K495" i="13"/>
  <c r="J201" i="13"/>
  <c r="J388" i="13"/>
  <c r="K388" i="13"/>
  <c r="J177" i="13"/>
  <c r="J540" i="13"/>
  <c r="K540" i="13"/>
  <c r="J256" i="13"/>
  <c r="K256" i="13"/>
  <c r="J625" i="13"/>
  <c r="K625" i="13"/>
  <c r="J286" i="13"/>
  <c r="J20" i="13"/>
  <c r="K20" i="13"/>
  <c r="J419" i="13"/>
  <c r="K419" i="13"/>
  <c r="J206" i="13"/>
  <c r="J557" i="13"/>
  <c r="K557" i="13"/>
  <c r="J207" i="13"/>
  <c r="J380" i="13"/>
  <c r="K380" i="13"/>
  <c r="J117" i="13"/>
  <c r="K117" i="13"/>
  <c r="J471" i="13"/>
  <c r="K471" i="13"/>
  <c r="J166" i="13"/>
  <c r="K166" i="13"/>
  <c r="J527" i="13"/>
  <c r="K527" i="13"/>
  <c r="J225" i="13"/>
  <c r="J87" i="13"/>
  <c r="K87" i="13"/>
  <c r="H746" i="13"/>
  <c r="J623" i="13"/>
  <c r="K623" i="13"/>
  <c r="J1120" i="13"/>
  <c r="J1128" i="13"/>
  <c r="J1121" i="13"/>
  <c r="J1129" i="13"/>
  <c r="J1137" i="13"/>
  <c r="J1122" i="13"/>
  <c r="J1130" i="13"/>
  <c r="J1115" i="13"/>
  <c r="J1123" i="13"/>
  <c r="J1131" i="13"/>
  <c r="J1116" i="13"/>
  <c r="J1124" i="13"/>
  <c r="J1132" i="13"/>
  <c r="J1117" i="13"/>
  <c r="J1125" i="13"/>
  <c r="J1133" i="13"/>
  <c r="J1118" i="13"/>
  <c r="J1126" i="13"/>
  <c r="J1134" i="13"/>
  <c r="J1119" i="13"/>
  <c r="J1127" i="13"/>
  <c r="J1135" i="13"/>
  <c r="H744" i="13"/>
  <c r="H747" i="13"/>
  <c r="H948" i="13"/>
  <c r="J948" i="13"/>
  <c r="K948" i="13"/>
  <c r="J629" i="13"/>
  <c r="K629" i="13"/>
  <c r="J169" i="13"/>
  <c r="K169" i="13"/>
  <c r="J40" i="13"/>
  <c r="K40" i="13"/>
  <c r="J248" i="13"/>
  <c r="K248" i="13"/>
  <c r="J93" i="13"/>
  <c r="K93" i="13"/>
  <c r="J612" i="13"/>
  <c r="K612" i="13"/>
  <c r="J439" i="13"/>
  <c r="K439" i="13"/>
  <c r="J280" i="13"/>
  <c r="K280" i="13"/>
  <c r="J134" i="13"/>
  <c r="K134" i="13"/>
  <c r="J12" i="13"/>
  <c r="K12" i="13"/>
  <c r="J212" i="13"/>
  <c r="K212" i="13"/>
  <c r="J429" i="13"/>
  <c r="K429" i="13"/>
  <c r="J749" i="13"/>
  <c r="K749" i="13"/>
  <c r="J443" i="13"/>
  <c r="K443" i="13"/>
  <c r="J393" i="13"/>
  <c r="K393" i="13"/>
  <c r="J192" i="13"/>
  <c r="J434" i="13"/>
  <c r="K434" i="13"/>
  <c r="J628" i="13"/>
  <c r="J161" i="13"/>
  <c r="K161" i="13"/>
  <c r="J374" i="13"/>
  <c r="K374" i="13"/>
  <c r="J594" i="13"/>
  <c r="K594" i="13"/>
  <c r="J149" i="13"/>
  <c r="K149" i="13"/>
  <c r="J600" i="13"/>
  <c r="K600" i="13"/>
  <c r="J420" i="13"/>
  <c r="K420" i="13"/>
  <c r="J300" i="13"/>
  <c r="K300" i="13"/>
  <c r="J146" i="13"/>
  <c r="K146" i="13"/>
  <c r="J16" i="13"/>
  <c r="K16" i="13"/>
  <c r="J511" i="13"/>
  <c r="K511" i="13"/>
  <c r="J369" i="13"/>
  <c r="K369" i="13"/>
  <c r="J226" i="13"/>
  <c r="K226" i="13"/>
  <c r="J69" i="13"/>
  <c r="K69" i="13"/>
  <c r="J588" i="13"/>
  <c r="K588" i="13"/>
  <c r="J416" i="13"/>
  <c r="K416" i="13"/>
  <c r="J255" i="13"/>
  <c r="K255" i="13"/>
  <c r="J113" i="13"/>
  <c r="K113" i="13"/>
  <c r="J38" i="13"/>
  <c r="J249" i="13"/>
  <c r="J467" i="13"/>
  <c r="K467" i="13"/>
  <c r="J777" i="13"/>
  <c r="K777" i="13"/>
  <c r="J528" i="13"/>
  <c r="K528" i="13"/>
  <c r="J216" i="13"/>
  <c r="K216" i="13"/>
  <c r="J446" i="13"/>
  <c r="K446" i="13"/>
  <c r="J667" i="13"/>
  <c r="K667" i="13"/>
  <c r="J172" i="13"/>
  <c r="K172" i="13"/>
  <c r="J387" i="13"/>
  <c r="K387" i="13"/>
  <c r="J607" i="13"/>
  <c r="K607" i="13"/>
  <c r="J175" i="13"/>
  <c r="J592" i="13"/>
  <c r="K592" i="13"/>
  <c r="J412" i="13"/>
  <c r="K412" i="13"/>
  <c r="J290" i="13"/>
  <c r="J138" i="13"/>
  <c r="K138" i="13"/>
  <c r="J991" i="13"/>
  <c r="K991" i="13"/>
  <c r="J503" i="13"/>
  <c r="K503" i="13"/>
  <c r="J361" i="13"/>
  <c r="K361" i="13"/>
  <c r="J218" i="13"/>
  <c r="J61" i="13"/>
  <c r="K61" i="13"/>
  <c r="J581" i="13"/>
  <c r="K581" i="13"/>
  <c r="J408" i="13"/>
  <c r="K408" i="13"/>
  <c r="J247" i="13"/>
  <c r="K247" i="13"/>
  <c r="J106" i="13"/>
  <c r="K106" i="13"/>
  <c r="J47" i="13"/>
  <c r="J261" i="13"/>
  <c r="K261" i="13"/>
  <c r="J480" i="13"/>
  <c r="K480" i="13"/>
  <c r="H691" i="13"/>
  <c r="J691" i="13"/>
  <c r="K691" i="13"/>
  <c r="H739" i="13"/>
  <c r="J739" i="13"/>
  <c r="K739" i="13"/>
  <c r="H740" i="13"/>
  <c r="J740" i="13"/>
  <c r="K740" i="13"/>
  <c r="H692" i="13"/>
  <c r="J692" i="13"/>
  <c r="K692" i="13"/>
  <c r="H689" i="13"/>
  <c r="J689" i="13"/>
  <c r="K689" i="13"/>
  <c r="H723" i="13"/>
  <c r="J723" i="13"/>
  <c r="K723" i="13"/>
  <c r="H745" i="13"/>
  <c r="J79" i="13"/>
  <c r="K79" i="13"/>
  <c r="J343" i="13"/>
  <c r="K343" i="13"/>
  <c r="J529" i="13"/>
  <c r="K529" i="13"/>
  <c r="J67" i="13"/>
  <c r="K67" i="13"/>
  <c r="J271" i="13"/>
  <c r="K271" i="13"/>
  <c r="J485" i="13"/>
  <c r="K485" i="13"/>
  <c r="J244" i="13"/>
  <c r="K244" i="13"/>
  <c r="J482" i="13"/>
  <c r="K482" i="13"/>
  <c r="J357" i="13"/>
  <c r="K357" i="13"/>
  <c r="J235" i="13"/>
  <c r="J80" i="13"/>
  <c r="K80" i="13"/>
  <c r="J597" i="13"/>
  <c r="K597" i="13"/>
  <c r="J440" i="13"/>
  <c r="K440" i="13"/>
  <c r="J287" i="13"/>
  <c r="J135" i="13"/>
  <c r="K135" i="13"/>
  <c r="J53" i="13"/>
  <c r="K53" i="13"/>
  <c r="J478" i="13"/>
  <c r="K478" i="13"/>
  <c r="J341" i="13"/>
  <c r="K341" i="13"/>
  <c r="J173" i="13"/>
  <c r="K173" i="13"/>
  <c r="J49" i="13"/>
  <c r="K49" i="13"/>
  <c r="J130" i="13"/>
  <c r="K130" i="13"/>
  <c r="J367" i="13"/>
  <c r="K367" i="13"/>
  <c r="J601" i="13"/>
  <c r="K601" i="13"/>
  <c r="J999" i="13"/>
  <c r="K999" i="13"/>
  <c r="H742" i="13"/>
  <c r="J742" i="13"/>
  <c r="K742" i="13"/>
  <c r="J22" i="13"/>
  <c r="K22" i="13"/>
  <c r="J989" i="13"/>
  <c r="K989" i="13"/>
  <c r="J241" i="13"/>
  <c r="K241" i="13"/>
  <c r="J360" i="13"/>
  <c r="K360" i="13"/>
  <c r="J553" i="13"/>
  <c r="K553" i="13"/>
  <c r="J17" i="13"/>
  <c r="K17" i="13"/>
  <c r="J123" i="13"/>
  <c r="K123" i="13"/>
  <c r="J253" i="13"/>
  <c r="K253" i="13"/>
  <c r="J373" i="13"/>
  <c r="K373" i="13"/>
  <c r="J472" i="13"/>
  <c r="K472" i="13"/>
  <c r="J561" i="13"/>
  <c r="K561" i="13"/>
  <c r="J990" i="13"/>
  <c r="K990" i="13"/>
  <c r="J103" i="13"/>
  <c r="K103" i="13"/>
  <c r="J199" i="13"/>
  <c r="J308" i="13"/>
  <c r="K308" i="13"/>
  <c r="J413" i="13"/>
  <c r="K413" i="13"/>
  <c r="J630" i="13"/>
  <c r="J95" i="13"/>
  <c r="K95" i="13"/>
  <c r="J194" i="13"/>
  <c r="K194" i="13"/>
  <c r="J673" i="13"/>
  <c r="K673" i="13"/>
  <c r="J577" i="13"/>
  <c r="K577" i="13"/>
  <c r="J458" i="13"/>
  <c r="K458" i="13"/>
  <c r="J396" i="13"/>
  <c r="K396" i="13"/>
  <c r="J337" i="13"/>
  <c r="K337" i="13"/>
  <c r="J276" i="13"/>
  <c r="K276" i="13"/>
  <c r="J200" i="13"/>
  <c r="J124" i="13"/>
  <c r="K124" i="13"/>
  <c r="J56" i="13"/>
  <c r="K56" i="13"/>
  <c r="J50" i="13"/>
  <c r="K50" i="13"/>
  <c r="J573" i="13"/>
  <c r="K573" i="13"/>
  <c r="J479" i="13"/>
  <c r="K479" i="13"/>
  <c r="J409" i="13"/>
  <c r="K409" i="13"/>
  <c r="J342" i="13"/>
  <c r="K342" i="13"/>
  <c r="J264" i="13"/>
  <c r="K264" i="13"/>
  <c r="J174" i="13"/>
  <c r="K174" i="13"/>
  <c r="J114" i="13"/>
  <c r="K114" i="13"/>
  <c r="J37" i="13"/>
  <c r="K37" i="13"/>
  <c r="J669" i="13"/>
  <c r="K669" i="13"/>
  <c r="J555" i="13"/>
  <c r="K555" i="13"/>
  <c r="J454" i="13"/>
  <c r="K454" i="13"/>
  <c r="J392" i="13"/>
  <c r="K392" i="13"/>
  <c r="J310" i="13"/>
  <c r="K310" i="13"/>
  <c r="J231" i="13"/>
  <c r="K231" i="13"/>
  <c r="J150" i="13"/>
  <c r="K150" i="13"/>
  <c r="J92" i="13"/>
  <c r="K92" i="13"/>
  <c r="J28" i="13"/>
  <c r="K28" i="13"/>
  <c r="J74" i="13"/>
  <c r="K74" i="13"/>
  <c r="J167" i="13"/>
  <c r="K167" i="13"/>
  <c r="J289" i="13"/>
  <c r="K289" i="13"/>
  <c r="J406" i="13"/>
  <c r="K406" i="13"/>
  <c r="J508" i="13"/>
  <c r="K508" i="13"/>
  <c r="J674" i="13"/>
  <c r="K674" i="13"/>
  <c r="J984" i="13"/>
  <c r="K984" i="13"/>
  <c r="J985" i="13"/>
  <c r="K985" i="13"/>
  <c r="H725" i="13"/>
  <c r="J725" i="13"/>
  <c r="K725" i="13"/>
  <c r="H683" i="13"/>
  <c r="J683" i="13"/>
  <c r="K683" i="13"/>
  <c r="H945" i="13"/>
  <c r="H180" i="13"/>
  <c r="H736" i="13"/>
  <c r="J736" i="13"/>
  <c r="K736" i="13"/>
  <c r="H205" i="13"/>
  <c r="J205" i="13"/>
  <c r="K205" i="13"/>
  <c r="H738" i="13"/>
  <c r="H204" i="13"/>
  <c r="J54" i="13"/>
  <c r="K54" i="13"/>
  <c r="J411" i="13"/>
  <c r="K411" i="13"/>
  <c r="J593" i="13"/>
  <c r="K593" i="13"/>
  <c r="J136" i="13"/>
  <c r="K136" i="13"/>
  <c r="J242" i="13"/>
  <c r="K242" i="13"/>
  <c r="J344" i="13"/>
  <c r="K344" i="13"/>
  <c r="J460" i="13"/>
  <c r="K460" i="13"/>
  <c r="J569" i="13"/>
  <c r="J19" i="13"/>
  <c r="K19" i="13"/>
  <c r="J220" i="13"/>
  <c r="K220" i="13"/>
  <c r="J621" i="13"/>
  <c r="J498" i="13"/>
  <c r="K498" i="13"/>
  <c r="J435" i="13"/>
  <c r="K435" i="13"/>
  <c r="J372" i="13"/>
  <c r="K372" i="13"/>
  <c r="J314" i="13"/>
  <c r="K314" i="13"/>
  <c r="J251" i="13"/>
  <c r="K251" i="13"/>
  <c r="J162" i="13"/>
  <c r="K162" i="13"/>
  <c r="J96" i="13"/>
  <c r="K96" i="13"/>
  <c r="J32" i="13"/>
  <c r="K32" i="13"/>
  <c r="J613" i="13"/>
  <c r="K613" i="13"/>
  <c r="J521" i="13"/>
  <c r="K521" i="13"/>
  <c r="J455" i="13"/>
  <c r="K455" i="13"/>
  <c r="J385" i="13"/>
  <c r="K385" i="13"/>
  <c r="J318" i="13"/>
  <c r="K318" i="13"/>
  <c r="J240" i="13"/>
  <c r="K240" i="13"/>
  <c r="J151" i="13"/>
  <c r="J85" i="13"/>
  <c r="K85" i="13"/>
  <c r="J13" i="13"/>
  <c r="K13" i="13"/>
  <c r="J604" i="13"/>
  <c r="K604" i="13"/>
  <c r="J502" i="13"/>
  <c r="K502" i="13"/>
  <c r="J431" i="13"/>
  <c r="K431" i="13"/>
  <c r="J368" i="13"/>
  <c r="K368" i="13"/>
  <c r="J272" i="13"/>
  <c r="K272" i="13"/>
  <c r="J209" i="13"/>
  <c r="K209" i="13"/>
  <c r="J127" i="13"/>
  <c r="K127" i="13"/>
  <c r="J68" i="13"/>
  <c r="K68" i="13"/>
  <c r="J986" i="13"/>
  <c r="K986" i="13"/>
  <c r="J107" i="13"/>
  <c r="K107" i="13"/>
  <c r="J224" i="13"/>
  <c r="J338" i="13"/>
  <c r="K338" i="13"/>
  <c r="J442" i="13"/>
  <c r="K442" i="13"/>
  <c r="J576" i="13"/>
  <c r="J761" i="13"/>
  <c r="H741" i="13"/>
  <c r="J741" i="13"/>
  <c r="K741" i="13"/>
  <c r="H732" i="13"/>
  <c r="J171" i="13"/>
  <c r="K171" i="13"/>
  <c r="J307" i="13"/>
  <c r="K307" i="13"/>
  <c r="J500" i="13"/>
  <c r="J43" i="13"/>
  <c r="K43" i="13"/>
  <c r="J66" i="13"/>
  <c r="K66" i="13"/>
  <c r="J330" i="13"/>
  <c r="K330" i="13"/>
  <c r="J423" i="13"/>
  <c r="K423" i="13"/>
  <c r="J513" i="13"/>
  <c r="K513" i="13"/>
  <c r="J606" i="13"/>
  <c r="K606" i="13"/>
  <c r="J55" i="13"/>
  <c r="K55" i="13"/>
  <c r="J148" i="13"/>
  <c r="K148" i="13"/>
  <c r="J254" i="13"/>
  <c r="K254" i="13"/>
  <c r="J362" i="13"/>
  <c r="K362" i="13"/>
  <c r="J473" i="13"/>
  <c r="K473" i="13"/>
  <c r="J583" i="13"/>
  <c r="K583" i="13"/>
  <c r="J33" i="13"/>
  <c r="K33" i="13"/>
  <c r="J137" i="13"/>
  <c r="K137" i="13"/>
  <c r="J230" i="13"/>
  <c r="K230" i="13"/>
  <c r="J608" i="13"/>
  <c r="K608" i="13"/>
  <c r="J490" i="13"/>
  <c r="K490" i="13"/>
  <c r="J427" i="13"/>
  <c r="J364" i="13"/>
  <c r="K364" i="13"/>
  <c r="J306" i="13"/>
  <c r="K306" i="13"/>
  <c r="J243" i="13"/>
  <c r="K243" i="13"/>
  <c r="J154" i="13"/>
  <c r="K154" i="13"/>
  <c r="J88" i="13"/>
  <c r="K88" i="13"/>
  <c r="J24" i="13"/>
  <c r="K24" i="13"/>
  <c r="J605" i="13"/>
  <c r="K605" i="13"/>
  <c r="J516" i="13"/>
  <c r="K516" i="13"/>
  <c r="J448" i="13"/>
  <c r="K448" i="13"/>
  <c r="J377" i="13"/>
  <c r="K377" i="13"/>
  <c r="J311" i="13"/>
  <c r="K311" i="13"/>
  <c r="J232" i="13"/>
  <c r="K232" i="13"/>
  <c r="J143" i="13"/>
  <c r="K143" i="13"/>
  <c r="J77" i="13"/>
  <c r="K77" i="13"/>
  <c r="J987" i="13"/>
  <c r="K987" i="13"/>
  <c r="J596" i="13"/>
  <c r="K596" i="13"/>
  <c r="J486" i="13"/>
  <c r="K486" i="13"/>
  <c r="J424" i="13"/>
  <c r="K424" i="13"/>
  <c r="J354" i="13"/>
  <c r="K354" i="13"/>
  <c r="J263" i="13"/>
  <c r="K263" i="13"/>
  <c r="J193" i="13"/>
  <c r="J120" i="13"/>
  <c r="K120" i="13"/>
  <c r="J60" i="13"/>
  <c r="K60" i="13"/>
  <c r="J25" i="13"/>
  <c r="K25" i="13"/>
  <c r="J119" i="13"/>
  <c r="J236" i="13"/>
  <c r="J356" i="13"/>
  <c r="K356" i="13"/>
  <c r="J453" i="13"/>
  <c r="K453" i="13"/>
  <c r="J587" i="13"/>
  <c r="J769" i="13"/>
  <c r="H724" i="13"/>
  <c r="J724" i="13"/>
  <c r="K724" i="13"/>
  <c r="H734" i="13"/>
  <c r="J734" i="13"/>
  <c r="K734" i="13"/>
  <c r="H733" i="13"/>
  <c r="J733" i="13"/>
  <c r="K733" i="13"/>
  <c r="H735" i="13"/>
  <c r="J735" i="13"/>
  <c r="K735" i="13"/>
  <c r="H953" i="13"/>
  <c r="H687" i="13"/>
  <c r="J687" i="13"/>
  <c r="K687" i="13"/>
  <c r="H743" i="13"/>
  <c r="J111" i="13"/>
  <c r="K111" i="13"/>
  <c r="J459" i="13"/>
  <c r="K459" i="13"/>
  <c r="J678" i="13"/>
  <c r="K678" i="13"/>
  <c r="J94" i="13"/>
  <c r="K94" i="13"/>
  <c r="J181" i="13"/>
  <c r="K181" i="13"/>
  <c r="J298" i="13"/>
  <c r="K298" i="13"/>
  <c r="J399" i="13"/>
  <c r="K399" i="13"/>
  <c r="J501" i="13"/>
  <c r="K501" i="13"/>
  <c r="J617" i="13"/>
  <c r="K617" i="13"/>
  <c r="J82" i="13"/>
  <c r="K82" i="13"/>
  <c r="J585" i="13"/>
  <c r="K585" i="13"/>
  <c r="J466" i="13"/>
  <c r="K466" i="13"/>
  <c r="J404" i="13"/>
  <c r="K404" i="13"/>
  <c r="J345" i="13"/>
  <c r="K345" i="13"/>
  <c r="J283" i="13"/>
  <c r="K283" i="13"/>
  <c r="J213" i="13"/>
  <c r="K213" i="13"/>
  <c r="J131" i="13"/>
  <c r="K131" i="13"/>
  <c r="J64" i="13"/>
  <c r="K64" i="13"/>
  <c r="J582" i="13"/>
  <c r="K582" i="13"/>
  <c r="J487" i="13"/>
  <c r="K487" i="13"/>
  <c r="J417" i="13"/>
  <c r="K417" i="13"/>
  <c r="J348" i="13"/>
  <c r="K348" i="13"/>
  <c r="J273" i="13"/>
  <c r="K273" i="13"/>
  <c r="J210" i="13"/>
  <c r="K210" i="13"/>
  <c r="J121" i="13"/>
  <c r="K121" i="13"/>
  <c r="J51" i="13"/>
  <c r="K51" i="13"/>
  <c r="J677" i="13"/>
  <c r="K677" i="13"/>
  <c r="J572" i="13"/>
  <c r="K572" i="13"/>
  <c r="J462" i="13"/>
  <c r="K462" i="13"/>
  <c r="J400" i="13"/>
  <c r="K400" i="13"/>
  <c r="J325" i="13"/>
  <c r="K325" i="13"/>
  <c r="J239" i="13"/>
  <c r="K239" i="13"/>
  <c r="J158" i="13"/>
  <c r="J100" i="13"/>
  <c r="K100" i="13"/>
  <c r="J36" i="13"/>
  <c r="K36" i="13"/>
  <c r="J62" i="13"/>
  <c r="K62" i="13"/>
  <c r="J155" i="13"/>
  <c r="K155" i="13"/>
  <c r="J278" i="13"/>
  <c r="K278" i="13"/>
  <c r="J394" i="13"/>
  <c r="K394" i="13"/>
  <c r="J492" i="13"/>
  <c r="K492" i="13"/>
  <c r="H185" i="13"/>
  <c r="J185" i="13"/>
  <c r="K185" i="13"/>
  <c r="H198" i="13"/>
  <c r="J198" i="13"/>
  <c r="K198" i="13"/>
  <c r="J425" i="13"/>
  <c r="K425" i="13"/>
  <c r="M299" i="13"/>
  <c r="O299" i="13"/>
  <c r="H293" i="13"/>
  <c r="M293" i="13"/>
  <c r="O293" i="13"/>
  <c r="H294" i="13"/>
  <c r="H295" i="13"/>
  <c r="H296" i="13"/>
  <c r="H297" i="13"/>
  <c r="J615" i="13"/>
  <c r="K615" i="13"/>
  <c r="J556" i="13"/>
  <c r="K556" i="13"/>
  <c r="J560" i="13"/>
  <c r="K560" i="13"/>
  <c r="J969" i="13"/>
  <c r="K969" i="13"/>
  <c r="J229" i="13"/>
  <c r="K229" i="13"/>
  <c r="J565" i="13"/>
  <c r="K565" i="13"/>
  <c r="J681" i="13"/>
  <c r="K681" i="13"/>
  <c r="J184" i="13"/>
  <c r="K184" i="13"/>
  <c r="J543" i="13"/>
  <c r="K543" i="13"/>
  <c r="J551" i="13"/>
  <c r="K551" i="13"/>
  <c r="J45" i="13"/>
  <c r="K45" i="13"/>
  <c r="H4" i="33"/>
  <c r="I4" i="33"/>
  <c r="J737" i="13"/>
  <c r="K737" i="13"/>
  <c r="J966" i="13"/>
  <c r="K966" i="13"/>
  <c r="J988" i="13"/>
  <c r="K988" i="13"/>
  <c r="J186" i="13"/>
  <c r="K186" i="13"/>
  <c r="J552" i="13"/>
  <c r="K552" i="13"/>
  <c r="J947" i="13"/>
  <c r="K947" i="13"/>
  <c r="J542" i="13"/>
  <c r="K542" i="13"/>
  <c r="J292" i="13"/>
  <c r="K292" i="13"/>
  <c r="H3" i="33"/>
  <c r="I3" i="33"/>
  <c r="H659" i="13"/>
  <c r="J662" i="13"/>
  <c r="K662" i="13"/>
  <c r="J941" i="13"/>
  <c r="K941" i="13"/>
  <c r="J744" i="13"/>
  <c r="K744" i="13"/>
  <c r="J913" i="13"/>
  <c r="K913" i="13"/>
  <c r="J916" i="13"/>
  <c r="K916" i="13"/>
  <c r="J641" i="13"/>
  <c r="K641" i="13"/>
  <c r="J731" i="13"/>
  <c r="K731" i="13"/>
  <c r="J178" i="13"/>
  <c r="K178" i="13"/>
  <c r="J355" i="13"/>
  <c r="K355" i="13"/>
  <c r="J536" i="13"/>
  <c r="K536" i="13"/>
  <c r="J637" i="13"/>
  <c r="K637" i="13"/>
  <c r="J907" i="13"/>
  <c r="K907" i="13"/>
  <c r="J745" i="13"/>
  <c r="K745" i="13"/>
  <c r="J654" i="13"/>
  <c r="K654" i="13"/>
  <c r="J746" i="13"/>
  <c r="K746" i="13"/>
  <c r="J642" i="13"/>
  <c r="K642" i="13"/>
  <c r="J558" i="13"/>
  <c r="K558" i="13"/>
  <c r="J938" i="13"/>
  <c r="K938" i="13"/>
  <c r="J546" i="13"/>
  <c r="K546" i="13"/>
  <c r="J682" i="13"/>
  <c r="K682" i="13"/>
  <c r="J545" i="13"/>
  <c r="K545" i="13"/>
  <c r="J700" i="13"/>
  <c r="K700" i="13"/>
  <c r="J921" i="13"/>
  <c r="K921" i="13"/>
  <c r="J908" i="13"/>
  <c r="K908" i="13"/>
  <c r="J685" i="13"/>
  <c r="K685" i="13"/>
  <c r="J756" i="13"/>
  <c r="K756" i="13"/>
  <c r="J696" i="13"/>
  <c r="K696" i="13"/>
  <c r="J656" i="13"/>
  <c r="K656" i="13"/>
  <c r="J955" i="13"/>
  <c r="K955" i="13"/>
  <c r="J925" i="13"/>
  <c r="K925" i="13"/>
  <c r="J645" i="13"/>
  <c r="K645" i="13"/>
  <c r="J720" i="13"/>
  <c r="K720" i="13"/>
  <c r="J939" i="13"/>
  <c r="K939" i="13"/>
  <c r="J878" i="13"/>
  <c r="K878" i="13"/>
  <c r="J179" i="13"/>
  <c r="K179" i="13"/>
  <c r="J554" i="13"/>
  <c r="K554" i="13"/>
  <c r="J549" i="13"/>
  <c r="K549" i="13"/>
  <c r="J716" i="13"/>
  <c r="K716" i="13"/>
  <c r="J932" i="13"/>
  <c r="K932" i="13"/>
  <c r="J638" i="13"/>
  <c r="K638" i="13"/>
  <c r="J694" i="13"/>
  <c r="K694" i="13"/>
  <c r="J889" i="13"/>
  <c r="K889" i="13"/>
  <c r="J712" i="13"/>
  <c r="K712" i="13"/>
  <c r="J646" i="13"/>
  <c r="K646" i="13"/>
  <c r="J911" i="13"/>
  <c r="K911" i="13"/>
  <c r="J102" i="13"/>
  <c r="K102" i="13"/>
  <c r="J633" i="13"/>
  <c r="K633" i="13"/>
  <c r="K1118" i="13"/>
  <c r="J711" i="13"/>
  <c r="K711" i="13"/>
  <c r="J713" i="13"/>
  <c r="K713" i="13"/>
  <c r="J707" i="13"/>
  <c r="K707" i="13"/>
  <c r="J702" i="13"/>
  <c r="K702" i="13"/>
  <c r="J943" i="13"/>
  <c r="K943" i="13"/>
  <c r="J652" i="13"/>
  <c r="K652" i="13"/>
  <c r="J704" i="13"/>
  <c r="K704" i="13"/>
  <c r="J909" i="13"/>
  <c r="K909" i="13"/>
  <c r="J705" i="13"/>
  <c r="K705" i="13"/>
  <c r="J303" i="13"/>
  <c r="K303" i="13"/>
  <c r="J660" i="13"/>
  <c r="K660" i="13"/>
  <c r="J892" i="13"/>
  <c r="K892" i="13"/>
  <c r="J188" i="13"/>
  <c r="K188" i="13"/>
  <c r="J634" i="13"/>
  <c r="K634" i="13"/>
  <c r="K1119" i="13"/>
  <c r="J706" i="13"/>
  <c r="K706" i="13"/>
  <c r="J708" i="13"/>
  <c r="K708" i="13"/>
  <c r="J715" i="13"/>
  <c r="K715" i="13"/>
  <c r="J535" i="13"/>
  <c r="K535" i="13"/>
  <c r="J547" i="13"/>
  <c r="K547" i="13"/>
  <c r="J285" i="13"/>
  <c r="K285" i="13"/>
  <c r="J195" i="13"/>
  <c r="K195" i="13"/>
  <c r="J564" i="13"/>
  <c r="K564" i="13"/>
  <c r="J884" i="13"/>
  <c r="K884" i="13"/>
  <c r="J493" i="13"/>
  <c r="K493" i="13"/>
  <c r="J709" i="13"/>
  <c r="K709" i="13"/>
  <c r="J949" i="13"/>
  <c r="K949" i="13"/>
  <c r="J684" i="13"/>
  <c r="K684" i="13"/>
  <c r="J710" i="13"/>
  <c r="K710" i="13"/>
  <c r="J926" i="13"/>
  <c r="K926" i="13"/>
  <c r="J729" i="13"/>
  <c r="K729" i="13"/>
  <c r="J197" i="13"/>
  <c r="K197" i="13"/>
  <c r="J730" i="13"/>
  <c r="K730" i="13"/>
  <c r="J697" i="13"/>
  <c r="K697" i="13"/>
  <c r="J885" i="13"/>
  <c r="K885" i="13"/>
  <c r="J520" i="13"/>
  <c r="K520" i="13"/>
  <c r="J699" i="13"/>
  <c r="K699" i="13"/>
  <c r="J703" i="13"/>
  <c r="K703" i="13"/>
  <c r="J497" i="13"/>
  <c r="K497" i="13"/>
  <c r="J519" i="13"/>
  <c r="K519" i="13"/>
  <c r="J133" i="13"/>
  <c r="K133" i="13"/>
  <c r="J616" i="13"/>
  <c r="K616" i="13"/>
  <c r="J920" i="13"/>
  <c r="K920" i="13"/>
  <c r="J514" i="13"/>
  <c r="K514" i="13"/>
  <c r="J717" i="13"/>
  <c r="K717" i="13"/>
  <c r="J48" i="13"/>
  <c r="K48" i="13"/>
  <c r="J693" i="13"/>
  <c r="K693" i="13"/>
  <c r="J496" i="13"/>
  <c r="K496" i="13"/>
  <c r="J719" i="13"/>
  <c r="K719" i="13"/>
  <c r="J518" i="13"/>
  <c r="K518" i="13"/>
  <c r="J347" i="13"/>
  <c r="K347" i="13"/>
  <c r="J880" i="13"/>
  <c r="K880" i="13"/>
  <c r="J661" i="13"/>
  <c r="K661" i="13"/>
  <c r="J695" i="13"/>
  <c r="K695" i="13"/>
  <c r="J918" i="13"/>
  <c r="K918" i="13"/>
  <c r="J993" i="13"/>
  <c r="K993" i="13"/>
  <c r="J11" i="13"/>
  <c r="K11" i="13"/>
  <c r="J23" i="13"/>
  <c r="K23" i="13"/>
  <c r="J73" i="13"/>
  <c r="K73" i="13"/>
  <c r="J98" i="13"/>
  <c r="K98" i="13"/>
  <c r="J118" i="13"/>
  <c r="K118" i="13"/>
  <c r="J140" i="13"/>
  <c r="K140" i="13"/>
  <c r="J164" i="13"/>
  <c r="K164" i="13"/>
  <c r="J214" i="13"/>
  <c r="K214" i="13"/>
  <c r="J234" i="13"/>
  <c r="K234" i="13"/>
  <c r="J260" i="13"/>
  <c r="K260" i="13"/>
  <c r="J313" i="13"/>
  <c r="K313" i="13"/>
  <c r="J328" i="13"/>
  <c r="K328" i="13"/>
  <c r="J379" i="13"/>
  <c r="K379" i="13"/>
  <c r="J402" i="13"/>
  <c r="K402" i="13"/>
  <c r="J421" i="13"/>
  <c r="K421" i="13"/>
  <c r="J437" i="13"/>
  <c r="K437" i="13"/>
  <c r="J456" i="13"/>
  <c r="K456" i="13"/>
  <c r="J476" i="13"/>
  <c r="K476" i="13"/>
  <c r="J509" i="13"/>
  <c r="K509" i="13"/>
  <c r="J584" i="13"/>
  <c r="K584" i="13"/>
  <c r="J602" i="13"/>
  <c r="K602" i="13"/>
  <c r="J619" i="13"/>
  <c r="K619" i="13"/>
  <c r="J666" i="13"/>
  <c r="K666" i="13"/>
  <c r="J726" i="13"/>
  <c r="K726" i="13"/>
  <c r="J754" i="13"/>
  <c r="K754" i="13"/>
  <c r="J760" i="13"/>
  <c r="J770" i="13"/>
  <c r="J779" i="13"/>
  <c r="K779" i="13"/>
  <c r="J787" i="13"/>
  <c r="J795" i="13"/>
  <c r="J803" i="13"/>
  <c r="J811" i="13"/>
  <c r="J819" i="13"/>
  <c r="J827" i="13"/>
  <c r="J835" i="13"/>
  <c r="J843" i="13"/>
  <c r="J851" i="13"/>
  <c r="J859" i="13"/>
  <c r="J867" i="13"/>
  <c r="J875" i="13"/>
  <c r="J34" i="13"/>
  <c r="K34" i="13"/>
  <c r="J58" i="13"/>
  <c r="K58" i="13"/>
  <c r="J83" i="13"/>
  <c r="K83" i="13"/>
  <c r="J105" i="13"/>
  <c r="K105" i="13"/>
  <c r="J126" i="13"/>
  <c r="K126" i="13"/>
  <c r="J152" i="13"/>
  <c r="J176" i="13"/>
  <c r="K176" i="13"/>
  <c r="J191" i="13"/>
  <c r="J223" i="13"/>
  <c r="K223" i="13"/>
  <c r="J245" i="13"/>
  <c r="K245" i="13"/>
  <c r="J274" i="13"/>
  <c r="K274" i="13"/>
  <c r="J35" i="13"/>
  <c r="K35" i="13"/>
  <c r="J59" i="13"/>
  <c r="K59" i="13"/>
  <c r="J86" i="13"/>
  <c r="K86" i="13"/>
  <c r="J129" i="13"/>
  <c r="K129" i="13"/>
  <c r="J153" i="13"/>
  <c r="K153" i="13"/>
  <c r="J227" i="13"/>
  <c r="K227" i="13"/>
  <c r="J246" i="13"/>
  <c r="K246" i="13"/>
  <c r="K10" i="13"/>
  <c r="J39" i="13"/>
  <c r="K39" i="13"/>
  <c r="J63" i="13"/>
  <c r="K63" i="13"/>
  <c r="J89" i="13"/>
  <c r="K89" i="13"/>
  <c r="J108" i="13"/>
  <c r="J132" i="13"/>
  <c r="K132" i="13"/>
  <c r="J156" i="13"/>
  <c r="K156" i="13"/>
  <c r="J250" i="13"/>
  <c r="K250" i="13"/>
  <c r="J277" i="13"/>
  <c r="K277" i="13"/>
  <c r="J305" i="13"/>
  <c r="K305" i="13"/>
  <c r="J322" i="13"/>
  <c r="K322" i="13"/>
  <c r="J340" i="13"/>
  <c r="K340" i="13"/>
  <c r="J371" i="13"/>
  <c r="K371" i="13"/>
  <c r="J391" i="13"/>
  <c r="K391" i="13"/>
  <c r="J414" i="13"/>
  <c r="K414" i="13"/>
  <c r="J428" i="13"/>
  <c r="K428" i="13"/>
  <c r="J450" i="13"/>
  <c r="K450" i="13"/>
  <c r="J468" i="13"/>
  <c r="K468" i="13"/>
  <c r="J489" i="13"/>
  <c r="K489" i="13"/>
  <c r="J504" i="13"/>
  <c r="K504" i="13"/>
  <c r="J526" i="13"/>
  <c r="K526" i="13"/>
  <c r="J575" i="13"/>
  <c r="K575" i="13"/>
  <c r="J595" i="13"/>
  <c r="K595" i="13"/>
  <c r="J631" i="13"/>
  <c r="K631" i="13"/>
  <c r="J676" i="13"/>
  <c r="K676" i="13"/>
  <c r="J751" i="13"/>
  <c r="K751" i="13"/>
  <c r="J766" i="13"/>
  <c r="J775" i="13"/>
  <c r="K775" i="13"/>
  <c r="J784" i="13"/>
  <c r="J792" i="13"/>
  <c r="J800" i="13"/>
  <c r="J808" i="13"/>
  <c r="J816" i="13"/>
  <c r="J824" i="13"/>
  <c r="J832" i="13"/>
  <c r="J840" i="13"/>
  <c r="J848" i="13"/>
  <c r="J856" i="13"/>
  <c r="J864" i="13"/>
  <c r="J872" i="13"/>
  <c r="J900" i="13"/>
  <c r="K900" i="13"/>
  <c r="J933" i="13"/>
  <c r="K933" i="13"/>
  <c r="J942" i="13"/>
  <c r="K942" i="13"/>
  <c r="J957" i="13"/>
  <c r="K957" i="13"/>
  <c r="J968" i="13"/>
  <c r="K968" i="13"/>
  <c r="J1001" i="13"/>
  <c r="K1001" i="13"/>
  <c r="J1010" i="13"/>
  <c r="K1010" i="13"/>
  <c r="J1044" i="13"/>
  <c r="K1044" i="13"/>
  <c r="J1052" i="13"/>
  <c r="K1052" i="13"/>
  <c r="J1060" i="13"/>
  <c r="K1060" i="13"/>
  <c r="J1068" i="13"/>
  <c r="K1068" i="13"/>
  <c r="J1076" i="13"/>
  <c r="K1076" i="13"/>
  <c r="J14" i="13"/>
  <c r="K14" i="13"/>
  <c r="J41" i="13"/>
  <c r="K41" i="13"/>
  <c r="J65" i="13"/>
  <c r="K65" i="13"/>
  <c r="J90" i="13"/>
  <c r="K90" i="13"/>
  <c r="J110" i="13"/>
  <c r="J157" i="13"/>
  <c r="K157" i="13"/>
  <c r="J208" i="13"/>
  <c r="K208" i="13"/>
  <c r="J252" i="13"/>
  <c r="K252" i="13"/>
  <c r="J279" i="13"/>
  <c r="K279" i="13"/>
  <c r="J309" i="13"/>
  <c r="K309" i="13"/>
  <c r="J323" i="13"/>
  <c r="K323" i="13"/>
  <c r="J346" i="13"/>
  <c r="K346" i="13"/>
  <c r="J358" i="13"/>
  <c r="K358" i="13"/>
  <c r="J375" i="13"/>
  <c r="K375" i="13"/>
  <c r="J395" i="13"/>
  <c r="K395" i="13"/>
  <c r="J415" i="13"/>
  <c r="K415" i="13"/>
  <c r="J430" i="13"/>
  <c r="K430" i="13"/>
  <c r="J469" i="13"/>
  <c r="K469" i="13"/>
  <c r="J491" i="13"/>
  <c r="K491" i="13"/>
  <c r="J505" i="13"/>
  <c r="K505" i="13"/>
  <c r="J517" i="13"/>
  <c r="K517" i="13"/>
  <c r="J530" i="13"/>
  <c r="K530" i="13"/>
  <c r="J563" i="13"/>
  <c r="K563" i="13"/>
  <c r="J578" i="13"/>
  <c r="K578" i="13"/>
  <c r="J598" i="13"/>
  <c r="K598" i="13"/>
  <c r="J145" i="13"/>
  <c r="K145" i="13"/>
  <c r="J203" i="13"/>
  <c r="K203" i="13"/>
  <c r="J237" i="13"/>
  <c r="K237" i="13"/>
  <c r="J288" i="13"/>
  <c r="J299" i="13"/>
  <c r="K299" i="13"/>
  <c r="J320" i="13"/>
  <c r="K320" i="13"/>
  <c r="J349" i="13"/>
  <c r="K349" i="13"/>
  <c r="J365" i="13"/>
  <c r="K365" i="13"/>
  <c r="J397" i="13"/>
  <c r="K397" i="13"/>
  <c r="J457" i="13"/>
  <c r="K457" i="13"/>
  <c r="J488" i="13"/>
  <c r="K488" i="13"/>
  <c r="J512" i="13"/>
  <c r="J522" i="13"/>
  <c r="K522" i="13"/>
  <c r="J541" i="13"/>
  <c r="K541" i="13"/>
  <c r="J590" i="13"/>
  <c r="K590" i="13"/>
  <c r="J752" i="13"/>
  <c r="K752" i="13"/>
  <c r="J762" i="13"/>
  <c r="J773" i="13"/>
  <c r="K773" i="13"/>
  <c r="J785" i="13"/>
  <c r="J796" i="13"/>
  <c r="J806" i="13"/>
  <c r="J817" i="13"/>
  <c r="J828" i="13"/>
  <c r="J838" i="13"/>
  <c r="J849" i="13"/>
  <c r="J860" i="13"/>
  <c r="J870" i="13"/>
  <c r="J895" i="13"/>
  <c r="K895" i="13"/>
  <c r="J904" i="13"/>
  <c r="K904" i="13"/>
  <c r="J972" i="13"/>
  <c r="K972" i="13"/>
  <c r="J1007" i="13"/>
  <c r="K1007" i="13"/>
  <c r="J1045" i="13"/>
  <c r="K1045" i="13"/>
  <c r="J1054" i="13"/>
  <c r="K1054" i="13"/>
  <c r="J1063" i="13"/>
  <c r="K1063" i="13"/>
  <c r="J1072" i="13"/>
  <c r="K1072" i="13"/>
  <c r="J1081" i="13"/>
  <c r="K1081" i="13"/>
  <c r="J1089" i="13"/>
  <c r="K1089" i="13"/>
  <c r="J1097" i="13"/>
  <c r="J1105" i="13"/>
  <c r="J1113" i="13"/>
  <c r="K1113" i="13"/>
  <c r="J163" i="13"/>
  <c r="J182" i="13"/>
  <c r="K182" i="13"/>
  <c r="J190" i="13"/>
  <c r="J238" i="13"/>
  <c r="K238" i="13"/>
  <c r="J291" i="13"/>
  <c r="J301" i="13"/>
  <c r="K301" i="13"/>
  <c r="J327" i="13"/>
  <c r="K327" i="13"/>
  <c r="J350" i="13"/>
  <c r="K350" i="13"/>
  <c r="J366" i="13"/>
  <c r="K366" i="13"/>
  <c r="J403" i="13"/>
  <c r="K403" i="13"/>
  <c r="J426" i="13"/>
  <c r="K426" i="13"/>
  <c r="J461" i="13"/>
  <c r="K461" i="13"/>
  <c r="J591" i="13"/>
  <c r="K591" i="13"/>
  <c r="J664" i="13"/>
  <c r="J753" i="13"/>
  <c r="K753" i="13"/>
  <c r="J763" i="13"/>
  <c r="J774" i="13"/>
  <c r="K774" i="13"/>
  <c r="J786" i="13"/>
  <c r="J797" i="13"/>
  <c r="J807" i="13"/>
  <c r="J818" i="13"/>
  <c r="J829" i="13"/>
  <c r="J839" i="13"/>
  <c r="J850" i="13"/>
  <c r="J861" i="13"/>
  <c r="J871" i="13"/>
  <c r="J896" i="13"/>
  <c r="K896" i="13"/>
  <c r="J962" i="13"/>
  <c r="J974" i="13"/>
  <c r="K974" i="13"/>
  <c r="J1008" i="13"/>
  <c r="K1008" i="13"/>
  <c r="J1046" i="13"/>
  <c r="K1046" i="13"/>
  <c r="J1055" i="13"/>
  <c r="K1055" i="13"/>
  <c r="J1064" i="13"/>
  <c r="K1064" i="13"/>
  <c r="J1073" i="13"/>
  <c r="K1073" i="13"/>
  <c r="J1082" i="13"/>
  <c r="K1082" i="13"/>
  <c r="J1090" i="13"/>
  <c r="K1090" i="13"/>
  <c r="J1098" i="13"/>
  <c r="J1106" i="13"/>
  <c r="J116" i="13"/>
  <c r="K116" i="13"/>
  <c r="J168" i="13"/>
  <c r="K168" i="13"/>
  <c r="J211" i="13"/>
  <c r="K211" i="13"/>
  <c r="J258" i="13"/>
  <c r="K258" i="13"/>
  <c r="J302" i="13"/>
  <c r="K302" i="13"/>
  <c r="J332" i="13"/>
  <c r="K332" i="13"/>
  <c r="J370" i="13"/>
  <c r="K370" i="13"/>
  <c r="J405" i="13"/>
  <c r="K405" i="13"/>
  <c r="J433" i="13"/>
  <c r="K433" i="13"/>
  <c r="J464" i="13"/>
  <c r="K464" i="13"/>
  <c r="J525" i="13"/>
  <c r="K525" i="13"/>
  <c r="J566" i="13"/>
  <c r="K566" i="13"/>
  <c r="J599" i="13"/>
  <c r="K599" i="13"/>
  <c r="J620" i="13"/>
  <c r="J670" i="13"/>
  <c r="K670" i="13"/>
  <c r="J755" i="13"/>
  <c r="K755" i="13"/>
  <c r="J764" i="13"/>
  <c r="J776" i="13"/>
  <c r="K776" i="13"/>
  <c r="J788" i="13"/>
  <c r="J798" i="13"/>
  <c r="J809" i="13"/>
  <c r="J820" i="13"/>
  <c r="J830" i="13"/>
  <c r="J841" i="13"/>
  <c r="J852" i="13"/>
  <c r="J862" i="13"/>
  <c r="J873" i="13"/>
  <c r="J897" i="13"/>
  <c r="K897" i="13"/>
  <c r="J963" i="13"/>
  <c r="K963" i="13"/>
  <c r="J975" i="13"/>
  <c r="K975" i="13"/>
  <c r="J997" i="13"/>
  <c r="K997" i="13"/>
  <c r="J1009" i="13"/>
  <c r="K1009" i="13"/>
  <c r="J1038" i="13"/>
  <c r="K1038" i="13"/>
  <c r="J1047" i="13"/>
  <c r="K1047" i="13"/>
  <c r="J1056" i="13"/>
  <c r="K1056" i="13"/>
  <c r="J1065" i="13"/>
  <c r="K1065" i="13"/>
  <c r="J1074" i="13"/>
  <c r="K1074" i="13"/>
  <c r="J1083" i="13"/>
  <c r="K1083" i="13"/>
  <c r="J1091" i="13"/>
  <c r="K1091" i="13"/>
  <c r="J1099" i="13"/>
  <c r="J1107" i="13"/>
  <c r="J71" i="13"/>
  <c r="K71" i="13"/>
  <c r="J170" i="13"/>
  <c r="K170" i="13"/>
  <c r="J215" i="13"/>
  <c r="K215" i="13"/>
  <c r="J262" i="13"/>
  <c r="J304" i="13"/>
  <c r="K304" i="13"/>
  <c r="J335" i="13"/>
  <c r="K335" i="13"/>
  <c r="J353" i="13"/>
  <c r="K353" i="13"/>
  <c r="J378" i="13"/>
  <c r="K378" i="13"/>
  <c r="J407" i="13"/>
  <c r="K407" i="13"/>
  <c r="J438" i="13"/>
  <c r="K438" i="13"/>
  <c r="J465" i="13"/>
  <c r="K465" i="13"/>
  <c r="J515" i="13"/>
  <c r="K515" i="13"/>
  <c r="J570" i="13"/>
  <c r="J603" i="13"/>
  <c r="K603" i="13"/>
  <c r="J622" i="13"/>
  <c r="K622" i="13"/>
  <c r="J671" i="13"/>
  <c r="K671" i="13"/>
  <c r="J765" i="13"/>
  <c r="J778" i="13"/>
  <c r="K778" i="13"/>
  <c r="J789" i="13"/>
  <c r="J799" i="13"/>
  <c r="J810" i="13"/>
  <c r="J821" i="13"/>
  <c r="J831" i="13"/>
  <c r="J842" i="13"/>
  <c r="J853" i="13"/>
  <c r="J863" i="13"/>
  <c r="J874" i="13"/>
  <c r="J898" i="13"/>
  <c r="K898" i="13"/>
  <c r="J964" i="13"/>
  <c r="K964" i="13"/>
  <c r="J976" i="13"/>
  <c r="K976" i="13"/>
  <c r="J998" i="13"/>
  <c r="K998" i="13"/>
  <c r="J1011" i="13"/>
  <c r="K1011" i="13"/>
  <c r="J1019" i="13"/>
  <c r="J1039" i="13"/>
  <c r="K1039" i="13"/>
  <c r="J1048" i="13"/>
  <c r="K1048" i="13"/>
  <c r="J1057" i="13"/>
  <c r="K1057" i="13"/>
  <c r="J1066" i="13"/>
  <c r="K1066" i="13"/>
  <c r="J1075" i="13"/>
  <c r="K1075" i="13"/>
  <c r="J1084" i="13"/>
  <c r="K1084" i="13"/>
  <c r="J1092" i="13"/>
  <c r="K1092" i="13"/>
  <c r="J1100" i="13"/>
  <c r="J1108" i="13"/>
  <c r="J75" i="13"/>
  <c r="K75" i="13"/>
  <c r="J122" i="13"/>
  <c r="K122" i="13"/>
  <c r="J222" i="13"/>
  <c r="K222" i="13"/>
  <c r="J574" i="13"/>
  <c r="K574" i="13"/>
  <c r="J269" i="13"/>
  <c r="K269" i="13"/>
  <c r="J312" i="13"/>
  <c r="K312" i="13"/>
  <c r="J336" i="13"/>
  <c r="K336" i="13"/>
  <c r="J382" i="13"/>
  <c r="K382" i="13"/>
  <c r="J410" i="13"/>
  <c r="K410" i="13"/>
  <c r="J441" i="13"/>
  <c r="K441" i="13"/>
  <c r="J475" i="13"/>
  <c r="K475" i="13"/>
  <c r="J571" i="13"/>
  <c r="K571" i="13"/>
  <c r="J609" i="13"/>
  <c r="K609" i="13"/>
  <c r="J624" i="13"/>
  <c r="K624" i="13"/>
  <c r="J672" i="13"/>
  <c r="K672" i="13"/>
  <c r="J757" i="13"/>
  <c r="K757" i="13"/>
  <c r="J767" i="13"/>
  <c r="J780" i="13"/>
  <c r="J790" i="13"/>
  <c r="J801" i="13"/>
  <c r="J812" i="13"/>
  <c r="J822" i="13"/>
  <c r="J833" i="13"/>
  <c r="J844" i="13"/>
  <c r="J854" i="13"/>
  <c r="J865" i="13"/>
  <c r="J876" i="13"/>
  <c r="J899" i="13"/>
  <c r="K899" i="13"/>
  <c r="J937" i="13"/>
  <c r="K937" i="13"/>
  <c r="J1003" i="13"/>
  <c r="K1003" i="13"/>
  <c r="J1012" i="13"/>
  <c r="K1012" i="13"/>
  <c r="J1040" i="13"/>
  <c r="K1040" i="13"/>
  <c r="J1049" i="13"/>
  <c r="K1049" i="13"/>
  <c r="J1058" i="13"/>
  <c r="K1058" i="13"/>
  <c r="J1067" i="13"/>
  <c r="K1067" i="13"/>
  <c r="J1077" i="13"/>
  <c r="K1077" i="13"/>
  <c r="J1085" i="13"/>
  <c r="K1085" i="13"/>
  <c r="J1093" i="13"/>
  <c r="K1093" i="13"/>
  <c r="J1101" i="13"/>
  <c r="J1109" i="13"/>
  <c r="K1109" i="13"/>
  <c r="J15" i="13"/>
  <c r="K15" i="13"/>
  <c r="J78" i="13"/>
  <c r="K78" i="13"/>
  <c r="J275" i="13"/>
  <c r="K275" i="13"/>
  <c r="J316" i="13"/>
  <c r="K316" i="13"/>
  <c r="J339" i="13"/>
  <c r="K339" i="13"/>
  <c r="J359" i="13"/>
  <c r="K359" i="13"/>
  <c r="J383" i="13"/>
  <c r="K383" i="13"/>
  <c r="J418" i="13"/>
  <c r="K418" i="13"/>
  <c r="J444" i="13"/>
  <c r="K444" i="13"/>
  <c r="J477" i="13"/>
  <c r="K477" i="13"/>
  <c r="J533" i="13"/>
  <c r="K533" i="13"/>
  <c r="J579" i="13"/>
  <c r="K579" i="13"/>
  <c r="J610" i="13"/>
  <c r="K610" i="13"/>
  <c r="J627" i="13"/>
  <c r="K627" i="13"/>
  <c r="J675" i="13"/>
  <c r="K675" i="13"/>
  <c r="J722" i="13"/>
  <c r="K722" i="13"/>
  <c r="J758" i="13"/>
  <c r="K758" i="13"/>
  <c r="J768" i="13"/>
  <c r="J781" i="13"/>
  <c r="J791" i="13"/>
  <c r="J802" i="13"/>
  <c r="J813" i="13"/>
  <c r="J823" i="13"/>
  <c r="J834" i="13"/>
  <c r="J845" i="13"/>
  <c r="J855" i="13"/>
  <c r="J866" i="13"/>
  <c r="J877" i="13"/>
  <c r="J901" i="13"/>
  <c r="K901" i="13"/>
  <c r="J967" i="13"/>
  <c r="K967" i="13"/>
  <c r="J1004" i="13"/>
  <c r="K1004" i="13"/>
  <c r="J1041" i="13"/>
  <c r="K1041" i="13"/>
  <c r="J1050" i="13"/>
  <c r="K1050" i="13"/>
  <c r="J1059" i="13"/>
  <c r="K1059" i="13"/>
  <c r="J1069" i="13"/>
  <c r="K1069" i="13"/>
  <c r="J1078" i="13"/>
  <c r="K1078" i="13"/>
  <c r="J1086" i="13"/>
  <c r="K1086" i="13"/>
  <c r="J1094" i="13"/>
  <c r="K1094" i="13"/>
  <c r="J1102" i="13"/>
  <c r="J1110" i="13"/>
  <c r="K1110" i="13"/>
  <c r="J26" i="13"/>
  <c r="K26" i="13"/>
  <c r="J97" i="13"/>
  <c r="K97" i="13"/>
  <c r="J139" i="13"/>
  <c r="K139" i="13"/>
  <c r="J317" i="13"/>
  <c r="K317" i="13"/>
  <c r="J389" i="13"/>
  <c r="K389" i="13"/>
  <c r="J422" i="13"/>
  <c r="J445" i="13"/>
  <c r="K445" i="13"/>
  <c r="J481" i="13"/>
  <c r="K481" i="13"/>
  <c r="J499" i="13"/>
  <c r="K499" i="13"/>
  <c r="J586" i="13"/>
  <c r="K586" i="13"/>
  <c r="J611" i="13"/>
  <c r="K611" i="13"/>
  <c r="J632" i="13"/>
  <c r="J680" i="13"/>
  <c r="K748" i="13"/>
  <c r="J771" i="13"/>
  <c r="J782" i="13"/>
  <c r="J793" i="13"/>
  <c r="J804" i="13"/>
  <c r="J814" i="13"/>
  <c r="J825" i="13"/>
  <c r="J836" i="13"/>
  <c r="J846" i="13"/>
  <c r="J857" i="13"/>
  <c r="J868" i="13"/>
  <c r="J893" i="13"/>
  <c r="K893" i="13"/>
  <c r="J902" i="13"/>
  <c r="K902" i="13"/>
  <c r="J946" i="13"/>
  <c r="K946" i="13"/>
  <c r="J956" i="13"/>
  <c r="J1005" i="13"/>
  <c r="K1005" i="13"/>
  <c r="J1042" i="13"/>
  <c r="K1042" i="13"/>
  <c r="J1051" i="13"/>
  <c r="K1051" i="13"/>
  <c r="J1061" i="13"/>
  <c r="K1061" i="13"/>
  <c r="J1070" i="13"/>
  <c r="K1070" i="13"/>
  <c r="J1079" i="13"/>
  <c r="K1079" i="13"/>
  <c r="J1087" i="13"/>
  <c r="K1087" i="13"/>
  <c r="J1095" i="13"/>
  <c r="J1103" i="13"/>
  <c r="J1111" i="13"/>
  <c r="K1111" i="13"/>
  <c r="J27" i="13"/>
  <c r="K27" i="13"/>
  <c r="J144" i="13"/>
  <c r="K144" i="13"/>
  <c r="J202" i="13"/>
  <c r="K202" i="13"/>
  <c r="J233" i="13"/>
  <c r="K233" i="13"/>
  <c r="J363" i="13"/>
  <c r="K363" i="13"/>
  <c r="J390" i="13"/>
  <c r="K390" i="13"/>
  <c r="J452" i="13"/>
  <c r="K452" i="13"/>
  <c r="J483" i="13"/>
  <c r="K483" i="13"/>
  <c r="J507" i="13"/>
  <c r="K507" i="13"/>
  <c r="J750" i="13"/>
  <c r="K750" i="13"/>
  <c r="J759" i="13"/>
  <c r="J772" i="13"/>
  <c r="K772" i="13"/>
  <c r="J783" i="13"/>
  <c r="J794" i="13"/>
  <c r="J805" i="13"/>
  <c r="J815" i="13"/>
  <c r="J826" i="13"/>
  <c r="J837" i="13"/>
  <c r="J847" i="13"/>
  <c r="J858" i="13"/>
  <c r="J869" i="13"/>
  <c r="J894" i="13"/>
  <c r="K894" i="13"/>
  <c r="J903" i="13"/>
  <c r="K903" i="13"/>
  <c r="J958" i="13"/>
  <c r="K958" i="13"/>
  <c r="J971" i="13"/>
  <c r="K971" i="13"/>
  <c r="J1006" i="13"/>
  <c r="K1006" i="13"/>
  <c r="J1043" i="13"/>
  <c r="K1043" i="13"/>
  <c r="J1053" i="13"/>
  <c r="K1053" i="13"/>
  <c r="J1062" i="13"/>
  <c r="K1062" i="13"/>
  <c r="J1071" i="13"/>
  <c r="K1071" i="13"/>
  <c r="J1080" i="13"/>
  <c r="K1080" i="13"/>
  <c r="J1088" i="13"/>
  <c r="K1088" i="13"/>
  <c r="J1096" i="13"/>
  <c r="J1104" i="13"/>
  <c r="J1112" i="13"/>
  <c r="K1112" i="13"/>
  <c r="J228" i="13"/>
  <c r="K228" i="13"/>
  <c r="J196" i="13"/>
  <c r="K196" i="13"/>
  <c r="J650" i="13"/>
  <c r="K650" i="13"/>
  <c r="J523" i="13"/>
  <c r="K523" i="13"/>
  <c r="J183" i="13"/>
  <c r="K183" i="13"/>
  <c r="J727" i="13"/>
  <c r="K727" i="13"/>
  <c r="J531" i="13"/>
  <c r="K531" i="13"/>
  <c r="J728" i="13"/>
  <c r="K728" i="13"/>
  <c r="J747" i="13"/>
  <c r="K747" i="13"/>
  <c r="J538" i="13"/>
  <c r="K538" i="13"/>
  <c r="J890" i="13"/>
  <c r="K890" i="13"/>
  <c r="J534" i="13"/>
  <c r="K534" i="13"/>
  <c r="J732" i="13"/>
  <c r="K732" i="13"/>
  <c r="J917" i="13"/>
  <c r="K917" i="13"/>
  <c r="J651" i="13"/>
  <c r="K651" i="13"/>
  <c r="J738" i="13"/>
  <c r="K738" i="13"/>
  <c r="J686" i="13"/>
  <c r="K686" i="13"/>
  <c r="J688" i="13"/>
  <c r="K688" i="13"/>
  <c r="J929" i="13"/>
  <c r="K929" i="13"/>
  <c r="J743" i="13"/>
  <c r="K743" i="13"/>
  <c r="J922" i="13"/>
  <c r="K922" i="13"/>
  <c r="J886" i="13"/>
  <c r="K886" i="13"/>
  <c r="J923" i="13"/>
  <c r="K923" i="13"/>
  <c r="J915" i="13"/>
  <c r="K915" i="13"/>
  <c r="J912" i="13"/>
  <c r="K912" i="13"/>
  <c r="J924" i="13"/>
  <c r="K924" i="13"/>
  <c r="J882" i="13"/>
  <c r="K882" i="13"/>
  <c r="J887" i="13"/>
  <c r="K887" i="13"/>
  <c r="J952" i="13"/>
  <c r="K952" i="13"/>
  <c r="J973" i="13"/>
  <c r="K973" i="13"/>
  <c r="J979" i="13"/>
  <c r="K979" i="13"/>
  <c r="J635" i="13"/>
  <c r="K635" i="13"/>
  <c r="J639" i="13"/>
  <c r="K639" i="13"/>
  <c r="J648" i="13"/>
  <c r="K648" i="13"/>
  <c r="J657" i="13"/>
  <c r="K657" i="13"/>
  <c r="J663" i="13"/>
  <c r="K663" i="13"/>
  <c r="J879" i="13"/>
  <c r="K879" i="13"/>
  <c r="J891" i="13"/>
  <c r="K891" i="13"/>
  <c r="J905" i="13"/>
  <c r="K905" i="13"/>
  <c r="J910" i="13"/>
  <c r="K910" i="13"/>
  <c r="J930" i="13"/>
  <c r="K930" i="13"/>
  <c r="J940" i="13"/>
  <c r="K940" i="13"/>
  <c r="J944" i="13"/>
  <c r="K944" i="13"/>
  <c r="J950" i="13"/>
  <c r="K950" i="13"/>
  <c r="J954" i="13"/>
  <c r="K954" i="13"/>
  <c r="J970" i="13"/>
  <c r="K970" i="13"/>
  <c r="J994" i="13"/>
  <c r="K994" i="13"/>
  <c r="J636" i="13"/>
  <c r="K636" i="13"/>
  <c r="J881" i="13"/>
  <c r="K881" i="13"/>
  <c r="J914" i="13"/>
  <c r="K914" i="13"/>
  <c r="J927" i="13"/>
  <c r="K927" i="13"/>
  <c r="J965" i="13"/>
  <c r="K965" i="13"/>
  <c r="J995" i="13"/>
  <c r="K995" i="13"/>
  <c r="J640" i="13"/>
  <c r="K640" i="13"/>
  <c r="J644" i="13"/>
  <c r="K644" i="13"/>
  <c r="J649" i="13"/>
  <c r="K649" i="13"/>
  <c r="J658" i="13"/>
  <c r="K658" i="13"/>
  <c r="J906" i="13"/>
  <c r="K906" i="13"/>
  <c r="J919" i="13"/>
  <c r="K919" i="13"/>
  <c r="J928" i="13"/>
  <c r="K928" i="13"/>
  <c r="J935" i="13"/>
  <c r="K935" i="13"/>
  <c r="J951" i="13"/>
  <c r="K951" i="13"/>
  <c r="J532" i="13"/>
  <c r="K532" i="13"/>
  <c r="J559" i="13"/>
  <c r="K559" i="13"/>
  <c r="J883" i="13"/>
  <c r="K883" i="13"/>
  <c r="J659" i="13"/>
  <c r="K659" i="13"/>
  <c r="J888" i="13"/>
  <c r="K888" i="13"/>
  <c r="E33" i="32"/>
  <c r="J714" i="13"/>
  <c r="H5" i="33"/>
  <c r="I5" i="33"/>
  <c r="H2" i="33"/>
  <c r="I2" i="33"/>
  <c r="H267" i="13"/>
  <c r="J267" i="13"/>
  <c r="K267" i="13"/>
  <c r="J297" i="13"/>
  <c r="K297" i="13"/>
  <c r="M297" i="13"/>
  <c r="O297" i="13"/>
  <c r="J296" i="13"/>
  <c r="K296" i="13"/>
  <c r="M296" i="13"/>
  <c r="O296" i="13"/>
  <c r="J295" i="13"/>
  <c r="K295" i="13"/>
  <c r="M295" i="13"/>
  <c r="O295" i="13"/>
  <c r="J294" i="13"/>
  <c r="K294" i="13"/>
  <c r="M294" i="13"/>
  <c r="O294" i="13"/>
  <c r="J204" i="13"/>
  <c r="K204" i="13"/>
  <c r="M204" i="13"/>
  <c r="O204" i="13"/>
  <c r="K1097" i="13"/>
  <c r="K1098" i="13"/>
  <c r="K1099" i="13"/>
  <c r="K1100" i="13"/>
  <c r="K1095" i="13"/>
  <c r="K1101" i="13"/>
  <c r="K1096" i="13"/>
  <c r="J945" i="13"/>
  <c r="K945" i="13"/>
  <c r="K1126" i="13"/>
  <c r="K1130" i="13"/>
  <c r="K1134" i="13"/>
  <c r="K1124" i="13"/>
  <c r="K1123" i="13"/>
  <c r="K1137" i="13"/>
  <c r="K1132" i="13"/>
  <c r="K1129" i="13"/>
  <c r="K1131" i="13"/>
  <c r="K1125" i="13"/>
  <c r="K1133" i="13"/>
  <c r="J953" i="13"/>
  <c r="K953" i="13"/>
  <c r="K1121" i="13"/>
  <c r="K1115" i="13"/>
  <c r="K1128" i="13"/>
  <c r="K1127" i="13"/>
  <c r="K1116" i="13"/>
  <c r="K1120" i="13"/>
  <c r="H187" i="13"/>
  <c r="J187" i="13"/>
  <c r="K187" i="13"/>
  <c r="J180" i="13"/>
  <c r="K180" i="13"/>
  <c r="M178" i="13"/>
  <c r="J293" i="13"/>
  <c r="K293" i="13"/>
  <c r="H265" i="13"/>
  <c r="K1107" i="13"/>
  <c r="K1105" i="13"/>
  <c r="K1104" i="13"/>
  <c r="K1106" i="13"/>
  <c r="K1102" i="13"/>
  <c r="K1108" i="13"/>
  <c r="K1103" i="13"/>
  <c r="H266" i="13"/>
  <c r="J266" i="13"/>
  <c r="K266" i="13"/>
  <c r="J265" i="13"/>
  <c r="K265" i="13"/>
  <c r="H959" i="13"/>
  <c r="J959" i="13"/>
  <c r="K959" i="13"/>
  <c r="M165" i="13"/>
  <c r="O165" i="13"/>
  <c r="H961" i="13"/>
  <c r="M167" i="13"/>
  <c r="O167" i="13"/>
  <c r="H960" i="13"/>
  <c r="J960" i="13"/>
  <c r="K960" i="13"/>
  <c r="M166" i="13"/>
  <c r="O166" i="13"/>
  <c r="H978" i="13"/>
  <c r="M285" i="13"/>
  <c r="O285" i="13"/>
  <c r="H982" i="13"/>
  <c r="J982" i="13"/>
  <c r="K982" i="13"/>
  <c r="M289" i="13"/>
  <c r="O289" i="13"/>
  <c r="M287" i="13"/>
  <c r="O287" i="13"/>
  <c r="H980" i="13"/>
  <c r="H981" i="13"/>
  <c r="J981" i="13"/>
  <c r="M288" i="13"/>
  <c r="O288" i="13"/>
  <c r="H983" i="13"/>
  <c r="J983" i="13"/>
  <c r="M290" i="13"/>
  <c r="O290" i="13"/>
  <c r="M284" i="13"/>
  <c r="O284" i="13"/>
  <c r="H977" i="13"/>
  <c r="J961" i="13"/>
  <c r="K961" i="13"/>
  <c r="J977" i="13"/>
  <c r="K977" i="13"/>
  <c r="J980" i="13"/>
  <c r="K980" i="13"/>
  <c r="K983" i="13"/>
  <c r="K981" i="13"/>
  <c r="J978" i="13"/>
  <c r="K978" i="13"/>
  <c r="J832" i="3" l="1" a="1"/>
  <c r="J832" i="3" s="1"/>
  <c r="H832" i="3" a="1"/>
  <c r="H832" i="3" s="1"/>
  <c r="K832" i="3" a="1"/>
  <c r="K832" i="3" s="1"/>
  <c r="I844" i="3" a="1"/>
  <c r="I844" i="3" s="1"/>
  <c r="K844" i="3" a="1"/>
  <c r="K844" i="3" s="1"/>
  <c r="J844" i="3" a="1"/>
  <c r="J844" i="3" s="1"/>
  <c r="H844" i="3" a="1"/>
  <c r="H844" i="3" s="1"/>
  <c r="J947" i="3" a="1"/>
  <c r="J947" i="3" s="1"/>
  <c r="K947" i="3" a="1"/>
  <c r="K947" i="3" s="1"/>
  <c r="I947" i="3" a="1"/>
  <c r="I947" i="3" s="1"/>
  <c r="H947" i="3" a="1"/>
  <c r="H947" i="3" s="1"/>
  <c r="G947" i="3" a="1"/>
  <c r="G947" i="3" s="1"/>
  <c r="J883" i="3" a="1"/>
  <c r="J883" i="3" s="1"/>
  <c r="K883" i="3" a="1"/>
  <c r="K883" i="3" s="1"/>
  <c r="H883" i="3" a="1"/>
  <c r="H883" i="3" s="1"/>
  <c r="H846" i="3" a="1"/>
  <c r="H846" i="3" s="1"/>
  <c r="J846" i="3" a="1"/>
  <c r="J846" i="3" s="1"/>
  <c r="I846" i="3" a="1"/>
  <c r="I846" i="3" s="1"/>
  <c r="K846" i="3" a="1"/>
  <c r="K846" i="3" s="1"/>
  <c r="G875" i="3" a="1"/>
  <c r="G875" i="3" s="1"/>
  <c r="J875" i="3" a="1"/>
  <c r="J875" i="3" s="1"/>
  <c r="H875" i="3" a="1"/>
  <c r="H875" i="3" s="1"/>
  <c r="K875" i="3" a="1"/>
  <c r="K875" i="3" s="1"/>
  <c r="I875" i="3" a="1"/>
  <c r="I875" i="3" s="1"/>
  <c r="K838" i="3" a="1"/>
  <c r="K838" i="3" s="1"/>
  <c r="G838" i="3" a="1"/>
  <c r="G838" i="3" s="1"/>
  <c r="I838" i="3" a="1"/>
  <c r="I838" i="3" s="1"/>
  <c r="J838" i="3" a="1"/>
  <c r="J838" i="3" s="1"/>
  <c r="H838" i="3" a="1"/>
  <c r="H838" i="3" s="1"/>
  <c r="K813" i="3" a="1"/>
  <c r="K813" i="3" s="1"/>
  <c r="G813" i="3" a="1"/>
  <c r="G813" i="3" s="1"/>
  <c r="I813" i="3" a="1"/>
  <c r="I813" i="3" s="1"/>
  <c r="J813" i="3" a="1"/>
  <c r="J813" i="3" s="1"/>
  <c r="H850" i="3" a="1"/>
  <c r="H850" i="3" s="1"/>
  <c r="J850" i="3" a="1"/>
  <c r="J850" i="3" s="1"/>
  <c r="K850" i="3" a="1"/>
  <c r="K850" i="3" s="1"/>
  <c r="G850" i="3" a="1"/>
  <c r="G850" i="3" s="1"/>
  <c r="I979" i="3" a="1"/>
  <c r="I979" i="3" s="1"/>
  <c r="J979" i="3" a="1"/>
  <c r="J979" i="3" s="1"/>
  <c r="H979" i="3" a="1"/>
  <c r="H979" i="3" s="1"/>
  <c r="G979" i="3" a="1"/>
  <c r="G979" i="3" s="1"/>
  <c r="K979" i="3" a="1"/>
  <c r="K979" i="3" s="1"/>
  <c r="K915" i="3" a="1"/>
  <c r="K915" i="3" s="1"/>
  <c r="G915" i="3" a="1"/>
  <c r="G915" i="3" s="1"/>
  <c r="I915" i="3" a="1"/>
  <c r="I915" i="3" s="1"/>
  <c r="H915" i="3" a="1"/>
  <c r="H915" i="3" s="1"/>
  <c r="J915" i="3" a="1"/>
  <c r="J915" i="3" s="1"/>
  <c r="K868" i="3" a="1"/>
  <c r="K868" i="3" s="1"/>
  <c r="H868" i="3" a="1"/>
  <c r="H868" i="3" s="1"/>
  <c r="I868" i="3" a="1"/>
  <c r="I868" i="3" s="1"/>
  <c r="J868" i="3" a="1"/>
  <c r="J868" i="3" s="1"/>
  <c r="K782" i="3" a="1"/>
  <c r="K782" i="3" s="1"/>
  <c r="G782" i="3" a="1"/>
  <c r="G782" i="3" s="1"/>
  <c r="I782" i="3" a="1"/>
  <c r="I782" i="3" s="1"/>
  <c r="H971" i="3" a="1"/>
  <c r="H971" i="3" s="1"/>
  <c r="I971" i="3" a="1"/>
  <c r="I971" i="3" s="1"/>
  <c r="G971" i="3" a="1"/>
  <c r="G971" i="3" s="1"/>
  <c r="K971" i="3" a="1"/>
  <c r="K971" i="3" s="1"/>
  <c r="G939" i="3" a="1"/>
  <c r="G939" i="3" s="1"/>
  <c r="J939" i="3" a="1"/>
  <c r="J939" i="3" s="1"/>
  <c r="K939" i="3" a="1"/>
  <c r="K939" i="3" s="1"/>
  <c r="I939" i="3" a="1"/>
  <c r="I939" i="3" s="1"/>
  <c r="J907" i="3" a="1"/>
  <c r="J907" i="3" s="1"/>
  <c r="G907" i="3" a="1"/>
  <c r="G907" i="3" s="1"/>
  <c r="H996" i="3" a="1"/>
  <c r="H996" i="3" s="1"/>
  <c r="G996" i="3" a="1"/>
  <c r="G996" i="3" s="1"/>
  <c r="K996" i="3" a="1"/>
  <c r="K996" i="3" s="1"/>
  <c r="J996" i="3" a="1"/>
  <c r="J996" i="3" s="1"/>
  <c r="I996" i="3" a="1"/>
  <c r="I996" i="3" s="1"/>
  <c r="J799" i="3" a="1"/>
  <c r="J799" i="3" s="1"/>
  <c r="K932" i="3" a="1"/>
  <c r="K932" i="3" s="1"/>
  <c r="J932" i="3" a="1"/>
  <c r="J932" i="3" s="1"/>
  <c r="H932" i="3" a="1"/>
  <c r="H932" i="3" s="1"/>
  <c r="I932" i="3" a="1"/>
  <c r="I932" i="3" s="1"/>
  <c r="K900" i="3" a="1"/>
  <c r="K900" i="3" s="1"/>
  <c r="G900" i="3" a="1"/>
  <c r="G900" i="3" s="1"/>
  <c r="J900" i="3" a="1"/>
  <c r="J900" i="3" s="1"/>
  <c r="I900" i="3" a="1"/>
  <c r="I900" i="3" s="1"/>
  <c r="K995" i="3" a="1"/>
  <c r="K995" i="3" s="1"/>
  <c r="J995" i="3" a="1"/>
  <c r="J995" i="3" s="1"/>
  <c r="I995" i="3" a="1"/>
  <c r="I995" i="3" s="1"/>
  <c r="H995" i="3" a="1"/>
  <c r="H995" i="3" s="1"/>
  <c r="K989" i="3" a="1"/>
  <c r="K989" i="3" s="1"/>
  <c r="J989" i="3" a="1"/>
  <c r="J989" i="3" s="1"/>
  <c r="H989" i="3" a="1"/>
  <c r="H989" i="3" s="1"/>
  <c r="I989" i="3" a="1"/>
  <c r="I989" i="3" s="1"/>
  <c r="G963" i="3" a="1"/>
  <c r="G963" i="3" s="1"/>
  <c r="K963" i="3" a="1"/>
  <c r="K963" i="3" s="1"/>
  <c r="I963" i="3" a="1"/>
  <c r="I963" i="3" s="1"/>
  <c r="J963" i="3" a="1"/>
  <c r="J963" i="3" s="1"/>
  <c r="J957" i="3" a="1"/>
  <c r="J957" i="3" s="1"/>
  <c r="I957" i="3" a="1"/>
  <c r="I957" i="3" s="1"/>
  <c r="H957" i="3" a="1"/>
  <c r="H957" i="3" s="1"/>
  <c r="K944" i="3" a="1"/>
  <c r="K944" i="3" s="1"/>
  <c r="I944" i="3" a="1"/>
  <c r="I944" i="3" s="1"/>
  <c r="J944" i="3" a="1"/>
  <c r="J944" i="3" s="1"/>
  <c r="H944" i="3" a="1"/>
  <c r="H944" i="3" s="1"/>
  <c r="I931" i="3" a="1"/>
  <c r="I931" i="3" s="1"/>
  <c r="H931" i="3" a="1"/>
  <c r="H931" i="3" s="1"/>
  <c r="K931" i="3" a="1"/>
  <c r="K931" i="3" s="1"/>
  <c r="G931" i="3" a="1"/>
  <c r="G931" i="3" s="1"/>
  <c r="H899" i="3" a="1"/>
  <c r="H899" i="3" s="1"/>
  <c r="J899" i="3" a="1"/>
  <c r="J899" i="3" s="1"/>
  <c r="K899" i="3" a="1"/>
  <c r="K899" i="3" s="1"/>
  <c r="K994" i="3" a="1"/>
  <c r="K994" i="3" s="1"/>
  <c r="J994" i="3" a="1"/>
  <c r="J994" i="3" s="1"/>
  <c r="I994" i="3" a="1"/>
  <c r="I994" i="3" s="1"/>
  <c r="H994" i="3" a="1"/>
  <c r="H994" i="3" s="1"/>
  <c r="G956" i="3" a="1"/>
  <c r="G956" i="3" s="1"/>
  <c r="J956" i="3" a="1"/>
  <c r="J956" i="3" s="1"/>
  <c r="K956" i="3" a="1"/>
  <c r="K956" i="3" s="1"/>
  <c r="I956" i="3" a="1"/>
  <c r="I956" i="3" s="1"/>
  <c r="I987" i="3" a="1"/>
  <c r="I987" i="3" s="1"/>
  <c r="H987" i="3" a="1"/>
  <c r="H987" i="3" s="1"/>
  <c r="G987" i="3" a="1"/>
  <c r="G987" i="3" s="1"/>
  <c r="H955" i="3" a="1"/>
  <c r="H955" i="3" s="1"/>
  <c r="G955" i="3" a="1"/>
  <c r="G955" i="3" s="1"/>
  <c r="K955" i="3" a="1"/>
  <c r="K955" i="3" s="1"/>
  <c r="H923" i="3" a="1"/>
  <c r="H923" i="3" s="1"/>
  <c r="K923" i="3" a="1"/>
  <c r="K923" i="3" s="1"/>
  <c r="J891" i="3" a="1"/>
  <c r="J891" i="3" s="1"/>
  <c r="H891" i="3" a="1"/>
  <c r="H891" i="3" s="1"/>
  <c r="J867" i="3" a="1"/>
  <c r="J867" i="3" s="1"/>
  <c r="I867" i="3" a="1"/>
  <c r="I867" i="3" s="1"/>
  <c r="K867" i="3" a="1"/>
  <c r="K867" i="3" s="1"/>
  <c r="G867" i="3" a="1"/>
  <c r="G867" i="3" s="1"/>
  <c r="I999" i="3" a="1"/>
  <c r="I999" i="3" s="1"/>
  <c r="H999" i="3" a="1"/>
  <c r="H999" i="3" s="1"/>
  <c r="G999" i="3" a="1"/>
  <c r="G999" i="3" s="1"/>
  <c r="K999" i="3" a="1"/>
  <c r="K999" i="3" s="1"/>
  <c r="J999" i="3" a="1"/>
  <c r="J999" i="3" s="1"/>
  <c r="G891" i="3" a="1"/>
  <c r="G891" i="3" s="1"/>
  <c r="J955" i="3" a="1"/>
  <c r="J955" i="3" s="1"/>
  <c r="K957" i="3" a="1"/>
  <c r="K957" i="3" s="1"/>
  <c r="J980" i="3" a="1"/>
  <c r="J980" i="3" s="1"/>
  <c r="K980" i="3" a="1"/>
  <c r="K980" i="3" s="1"/>
  <c r="I980" i="3" a="1"/>
  <c r="I980" i="3" s="1"/>
  <c r="H980" i="3" a="1"/>
  <c r="H980" i="3" s="1"/>
  <c r="K916" i="3" a="1"/>
  <c r="K916" i="3" s="1"/>
  <c r="J916" i="3" a="1"/>
  <c r="J916" i="3" s="1"/>
  <c r="I916" i="3" a="1"/>
  <c r="I916" i="3" s="1"/>
  <c r="H884" i="3" a="1"/>
  <c r="H884" i="3" s="1"/>
  <c r="K884" i="3" a="1"/>
  <c r="K884" i="3" s="1"/>
  <c r="G884" i="3" a="1"/>
  <c r="G884" i="3" s="1"/>
  <c r="J884" i="3" a="1"/>
  <c r="J884" i="3" s="1"/>
  <c r="G994" i="3" a="1"/>
  <c r="G994" i="3" s="1"/>
  <c r="H998" i="3" a="1"/>
  <c r="H998" i="3" s="1"/>
  <c r="G998" i="3" a="1"/>
  <c r="G998" i="3" s="1"/>
  <c r="K998" i="3" a="1"/>
  <c r="K998" i="3" s="1"/>
  <c r="J998" i="3" a="1"/>
  <c r="J998" i="3" s="1"/>
  <c r="G899" i="3" a="1"/>
  <c r="G899" i="3" s="1"/>
  <c r="G923" i="3" a="1"/>
  <c r="G923" i="3" s="1"/>
  <c r="J931" i="3" a="1"/>
  <c r="J931" i="3" s="1"/>
  <c r="K987" i="3" a="1"/>
  <c r="K987" i="3" s="1"/>
  <c r="H956" i="3" a="1"/>
  <c r="H956" i="3" s="1"/>
  <c r="J755" i="3" a="1"/>
  <c r="J755" i="3" s="1"/>
  <c r="G755" i="3" a="1"/>
  <c r="G755" i="3" s="1"/>
  <c r="K707" i="3" a="1"/>
  <c r="K707" i="3" s="1"/>
  <c r="G707" i="3" a="1"/>
  <c r="G707" i="3" s="1"/>
  <c r="G444" i="3" a="1"/>
  <c r="G444" i="3" s="1"/>
  <c r="H444" i="3" a="1"/>
  <c r="H444" i="3" s="1"/>
  <c r="K953" i="3" a="1"/>
  <c r="K953" i="3" s="1"/>
  <c r="G953" i="3" a="1"/>
  <c r="G953" i="3" s="1"/>
  <c r="J953" i="3" a="1"/>
  <c r="J953" i="3" s="1"/>
  <c r="I953" i="3" a="1"/>
  <c r="I953" i="3" s="1"/>
  <c r="J997" i="3" a="1"/>
  <c r="J99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  <author>construction</author>
    <author>matt</author>
  </authors>
  <commentList>
    <comment ref="B9" authorId="0" shapeId="0" xr:uid="{0B748D30-B9E2-4A3C-9859-37F1B00EAF9F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Normal:</t>
        </r>
        <r>
          <rPr>
            <sz val="9"/>
            <color indexed="81"/>
            <rFont val="Tahoma"/>
            <family val="2"/>
          </rPr>
          <t xml:space="preserve"> displayed on the Verandah Custom Design
</t>
        </r>
        <r>
          <rPr>
            <b/>
            <sz val="9"/>
            <color indexed="81"/>
            <rFont val="Tahoma"/>
            <family val="2"/>
          </rPr>
          <t>Calculator:</t>
        </r>
        <r>
          <rPr>
            <sz val="9"/>
            <color indexed="81"/>
            <rFont val="Tahoma"/>
            <family val="2"/>
          </rPr>
          <t xml:space="preserve"> not displayed, used for calculation</t>
        </r>
      </text>
    </comment>
    <comment ref="E9" authorId="0" shapeId="0" xr:uid="{6ED1320B-D279-4D07-9295-A1CC72BE8506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Define which column the item prices will be displayed on the Verandah</t>
        </r>
      </text>
    </comment>
    <comment ref="G9" authorId="0" shapeId="0" xr:uid="{9DEC5415-1D8F-4841-BFD7-C4D29EB491F9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Additional infor or the dimensions/specification for calculations</t>
        </r>
      </text>
    </comment>
    <comment ref="N497" authorId="1" shapeId="0" xr:uid="{0F964B09-0F52-4B1C-B184-690526E7F3DE}">
      <text>
        <r>
          <rPr>
            <b/>
            <sz val="8"/>
            <color indexed="81"/>
            <rFont val="Tahoma"/>
            <family val="2"/>
          </rPr>
          <t>construction:</t>
        </r>
        <r>
          <rPr>
            <sz val="8"/>
            <color indexed="81"/>
            <rFont val="Tahoma"/>
            <family val="2"/>
          </rPr>
          <t xml:space="preserve">
coloured price 18.7</t>
        </r>
      </text>
    </comment>
    <comment ref="H522" authorId="2" shapeId="0" xr:uid="{65E4CA64-6BF5-4ED6-BDD1-4BC8AA2798E3}">
      <text>
        <r>
          <rPr>
            <b/>
            <sz val="8"/>
            <color indexed="81"/>
            <rFont val="Tahoma"/>
            <family val="2"/>
          </rPr>
          <t>matt: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</authors>
  <commentList>
    <comment ref="A1" authorId="0" shapeId="0" xr:uid="{5C78BBC2-D987-42A5-9142-72570A041EA0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Should always be "Recipe"</t>
        </r>
      </text>
    </comment>
    <comment ref="D1" authorId="0" shapeId="0" xr:uid="{4A05104E-CAB8-45D4-B21A-C8A47399CA44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Define which column the item prices will be displayed on the Verandah</t>
        </r>
      </text>
    </comment>
    <comment ref="E1" authorId="0" shapeId="0" xr:uid="{F384B1AC-0A20-46FE-B7AC-5B782A4B2202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Headers purposely named the same as prices table in order to be appended in Power Query</t>
        </r>
      </text>
    </comment>
    <comment ref="G1" authorId="0" shapeId="0" xr:uid="{F459C6E8-7B98-4573-88E7-0C2AAE7AF2A9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quantity of the items in the recipe</t>
        </r>
      </text>
    </comment>
    <comment ref="H1" authorId="0" shapeId="0" xr:uid="{E7DFD968-43D8-461A-8398-61005829F38A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price are retrieved from "prices".
Make sure you enter the Recipe Items correctly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</authors>
  <commentList>
    <comment ref="A1" authorId="0" shapeId="0" xr:uid="{B72FD4F7-9494-4353-9240-19E417887334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This is the orginal order of the Category retrieved  from the original file</t>
        </r>
      </text>
    </comment>
    <comment ref="C1" authorId="0" shapeId="0" xr:uid="{6E7B4F26-44EE-4311-AD81-E0499BC2922F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This is the order of the category will be distributed on the Verandah Custom Design. If there is no number input, those category won be displayed</t>
        </r>
      </text>
    </comment>
    <comment ref="D1" authorId="0" shapeId="0" xr:uid="{30EA9A12-63CC-40A5-8435-F77298768DB0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cateogy is refering to the table on the left.
Make change on the left table (Table_form_index)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B02B4C-8FEC-4221-AA3F-6B46890B4F8C}" keepAlive="1" name="ModelConnection_ExternalData_8" description="Data Model" type="5" refreshedVersion="8" minRefreshableVersion="5" saveData="1">
    <dbPr connection="Data Model Connection" command="dim_minimum_hire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B246AF1-E07A-4819-8C74-A0BCEC71AE2E}" keepAlive="1" name="Query - concrete_cal" description="Connection to the 'concrete_cal' query in the workbook." type="5" refreshedVersion="8" background="1" saveData="1">
    <dbPr connection="Provider=Microsoft.Mashup.OleDb.1;Data Source=$Workbook$;Location=concrete_cal;Extended Properties=&quot;&quot;" command="SELECT * FROM [concrete_cal]"/>
  </connection>
  <connection id="3" xr16:uid="{04053C72-DE11-4D34-BC00-97992B778D94}" name="Query - dim_minimum_hire" description="Connection to the 'dim_minimum_hire' query in the workbook." type="100" refreshedVersion="8" minRefreshableVersion="5">
    <extLst>
      <ext xmlns:x15="http://schemas.microsoft.com/office/spreadsheetml/2010/11/main" uri="{DE250136-89BD-433C-8126-D09CA5730AF9}">
        <x15:connection id="8e026bbc-b074-451a-849f-a48a16442cc5"/>
      </ext>
    </extLst>
  </connection>
  <connection id="4" xr16:uid="{B17E402D-7CBA-447D-A22B-0FCDFE1C3787}" keepAlive="1" name="Query - dim_price" description="Connection to the 'dim_price' query in the workbook." type="5" refreshedVersion="0" background="1">
    <dbPr connection="Provider=Microsoft.Mashup.OleDb.1;Data Source=$Workbook$;Location=dim_price;Extended Properties=&quot;&quot;" command="SELECT * FROM [dim_price]"/>
  </connection>
  <connection id="5" xr16:uid="{88DD73FC-A3F7-4993-9D15-3A5A52330956}" keepAlive="1" name="Query - dim_price_recipe" description="Connection to the 'dim_price_recipe' query in the workbook." type="5" refreshedVersion="8" background="1" saveData="1">
    <dbPr connection="Provider=Microsoft.Mashup.OleDb.1;Data Source=$Workbook$;Location=dim_price_recipe;Extended Properties=&quot;&quot;" command="SELECT * FROM [dim_price_recipe]"/>
  </connection>
  <connection id="6" xr16:uid="{1B2763EB-622F-4E15-8378-A2B591398D13}" keepAlive="1" name="Query - dim_recipe" description="Connection to the 'dim_recipe' query in the workbook." type="5" refreshedVersion="0" background="1">
    <dbPr connection="Provider=Microsoft.Mashup.OleDb.1;Data Source=$Workbook$;Location=dim_recipe;Extended Properties=&quot;&quot;" command="SELECT * FROM [dim_recipe]"/>
  </connection>
  <connection id="7" xr16:uid="{483877D3-AE55-4318-B26F-8BA60CE90CB5}" keepAlive="1" name="Query - dropdown_1" description="Connection to the 'dropdown_1' query in the workbook." type="5" refreshedVersion="8" background="1" saveData="1">
    <dbPr connection="Provider=Microsoft.Mashup.OleDb.1;Data Source=$Workbook$;Location=dropdown_1;Extended Properties=&quot;&quot;" command="SELECT * FROM [dropdown_1]"/>
  </connection>
  <connection id="8" xr16:uid="{2C35F65A-559A-456E-9D38-996D3D05A325}" keepAlive="1" name="Query - dropdown_2" description="Connection to the 'dropdown_2' query in the workbook." type="5" refreshedVersion="8" background="1" saveData="1">
    <dbPr connection="Provider=Microsoft.Mashup.OleDb.1;Data Source=$Workbook$;Location=dropdown_2;Extended Properties=&quot;&quot;" command="SELECT * FROM [dropdown_2]"/>
  </connection>
  <connection id="9" xr16:uid="{71181D46-DBAC-401E-A978-C1EBA1657B12}" keepAlive="1" name="Query - for append_ blank_row" description="Connection to the 'for append_ blank_row' query in the workbook." type="5" refreshedVersion="0" background="1">
    <dbPr connection="Provider=Microsoft.Mashup.OleDb.1;Data Source=$Workbook$;Location=&quot;for append_ blank_row&quot;;Extended Properties=&quot;&quot;" command="SELECT * FROM [for append_ blank_row]"/>
  </connection>
  <connection id="10" xr16:uid="{A40FA5E2-723C-402D-B5E4-2C74747D4659}" keepAlive="1" name="Query - hire_bin" description="Connection to the 'hire_bin' query in the workbook." type="5" refreshedVersion="8" background="1" saveData="1">
    <dbPr connection="Provider=Microsoft.Mashup.OleDb.1;Data Source=$Workbook$;Location=hire_bin;Extended Properties=&quot;&quot;" command="SELECT * FROM [hire_bin]"/>
  </connection>
  <connection id="11" xr16:uid="{D5ECB245-EADB-4102-BC39-6DEAC5EBF8FE}" keepAlive="1" name="Query - mini_dingo" description="Connection to the 'mini_dingo' query in the workbook." type="5" refreshedVersion="8" background="1" saveData="1">
    <dbPr connection="Provider=Microsoft.Mashup.OleDb.1;Data Source=$Workbook$;Location=mini_dingo;Extended Properties=&quot;&quot;" command="SELECT * FROM [mini_dingo]"/>
  </connection>
  <connection id="12" xr16:uid="{A045EB08-6108-4388-83BD-9CE52A0C0E40}" keepAlive="1" name="Query - paint_cal" description="Connection to the 'paint_cal' query in the workbook." type="5" refreshedVersion="8" background="1" saveData="1">
    <dbPr connection="Provider=Microsoft.Mashup.OleDb.1;Data Source=$Workbook$;Location=paint_cal;Extended Properties=&quot;&quot;" command="SELECT * FROM [paint_cal]"/>
  </connection>
  <connection id="13" xr16:uid="{8BA1C387-D2C1-4091-970E-81B73E1F88C6}" keepAlive="1" name="Query - soil_cal" description="Connection to the 'soil_cal' query in the workbook." type="5" refreshedVersion="8" background="1" saveData="1">
    <dbPr connection="Provider=Microsoft.Mashup.OleDb.1;Data Source=$Workbook$;Location=soil_cal;Extended Properties=&quot;&quot;" command="SELECT * FROM [soil_cal]"/>
  </connection>
  <connection id="14" xr16:uid="{664F10E0-BE1C-4C51-A917-0551A90496F3}" keepAlive="1" name="Query - table_form" description="Connection to the 'table_form' query in the workbook." type="5" refreshedVersion="8" saveData="1">
    <dbPr connection="Provider=Microsoft.Mashup.OleDb.1;Data Source=$Workbook$;Location=table_form;Extended Properties=&quot;&quot;" command="SELECT * FROM [table_form]"/>
  </connection>
  <connection id="15" xr16:uid="{E36F6525-CF5C-4A94-A082-E5614D86046D}" keepAlive="1" name="Query - verandah_table" description="Connection to the 'verandah_table' query in the workbook." type="5" refreshedVersion="0" background="1">
    <dbPr connection="Provider=Microsoft.Mashup.OleDb.1;Data Source=$Workbook$;Location=verandah_table;Extended Properties=&quot;&quot;" command="SELECT * FROM [verandah_table]"/>
  </connection>
  <connection id="16" xr16:uid="{BC2BD0DD-C928-4416-8B82-682339B3340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<sst xmlns="http://schemas.openxmlformats.org/spreadsheetml/2006/main" count="16833" uniqueCount="1400">
  <si>
    <t>Markup</t>
  </si>
  <si>
    <t>Standard</t>
  </si>
  <si>
    <t>Customised Quotation</t>
  </si>
  <si>
    <t>Qty</t>
  </si>
  <si>
    <t>Subcategory</t>
  </si>
  <si>
    <t>Description</t>
  </si>
  <si>
    <t>Note</t>
  </si>
  <si>
    <t>Material</t>
  </si>
  <si>
    <t>Carpentry</t>
  </si>
  <si>
    <t>Plumbing</t>
  </si>
  <si>
    <t>Painting</t>
  </si>
  <si>
    <t>FOOTINGS</t>
  </si>
  <si>
    <t>Permits</t>
  </si>
  <si>
    <t>Footings Concrete</t>
  </si>
  <si>
    <t>Mini Dingo Auger Minimum Hire (2 hrs) - for stump holes</t>
  </si>
  <si>
    <t>Footing labour</t>
  </si>
  <si>
    <t>Stirrups</t>
  </si>
  <si>
    <t>Labour to remove soil from post hole digging m3</t>
  </si>
  <si>
    <t>MGP10 Pine</t>
  </si>
  <si>
    <t>Post Stirrup installed  90-110-125mm X 500mm leg</t>
  </si>
  <si>
    <t xml:space="preserve">Post stirrup Installed  - Cyclone  600 leg  </t>
  </si>
  <si>
    <t>Extenda Bracket  Installed - 420 to 480 Gal  include the boot</t>
  </si>
  <si>
    <t>Post connection to existing deck or post</t>
  </si>
  <si>
    <t>POSTS</t>
  </si>
  <si>
    <t>Delivery</t>
  </si>
  <si>
    <t>COLUMNS</t>
  </si>
  <si>
    <t>MAIN BEAMS</t>
  </si>
  <si>
    <t xml:space="preserve">LVL 140 x 45           </t>
  </si>
  <si>
    <t>Alfresco Box spout Corners &amp; Joins</t>
  </si>
  <si>
    <t xml:space="preserve">Box spout For Gables when the spout is removed  including the roof Batton      </t>
  </si>
  <si>
    <t xml:space="preserve"> 240mm X 45mm         MGP 12</t>
  </si>
  <si>
    <t xml:space="preserve"> 290mm X 45mm         MGP 10</t>
  </si>
  <si>
    <t>Designer Pine  285mm X 42mm                            Pre- Primed</t>
  </si>
  <si>
    <t>FASCIA BOARD</t>
  </si>
  <si>
    <t>TIE BEAMS</t>
  </si>
  <si>
    <t>RIDGES HIPS &amp; VALLEYS</t>
  </si>
  <si>
    <t xml:space="preserve">Carpenter ridge connection fee </t>
  </si>
  <si>
    <t>4.8m</t>
  </si>
  <si>
    <t>5.4m</t>
  </si>
  <si>
    <t>6.0m</t>
  </si>
  <si>
    <t>7.2 m</t>
  </si>
  <si>
    <t>BATTENS &amp; ENDFILLS</t>
  </si>
  <si>
    <t>HERITAGE GABLE END FRET WORK</t>
  </si>
  <si>
    <t>VENTS</t>
  </si>
  <si>
    <t>FINIALS</t>
  </si>
  <si>
    <t>AC / SHEETING HOUSE END</t>
  </si>
  <si>
    <t>Labour to install 4.5 mm poly carb ends                 House End</t>
  </si>
  <si>
    <t>Labour to install 4.5 mm poly carb ends                 Open End</t>
  </si>
  <si>
    <t>Endstops</t>
  </si>
  <si>
    <t>Spout  Tee  tapping fee</t>
  </si>
  <si>
    <t>DOWN PIPES &amp; RAINHEADS</t>
  </si>
  <si>
    <t xml:space="preserve">FLASHINGS </t>
  </si>
  <si>
    <t>Under soaker flashing</t>
  </si>
  <si>
    <t>Apron flashing on dutch gable verandah</t>
  </si>
  <si>
    <t>Internal Tapper flashing to suit up to a 500mm Parapat</t>
  </si>
  <si>
    <t>Parapet Capping to suit blue board</t>
  </si>
  <si>
    <t>Parapet Capping to suit Foam board</t>
  </si>
  <si>
    <t>STORMWATER</t>
  </si>
  <si>
    <t>ROOFING PRODUCTS</t>
  </si>
  <si>
    <t>Bullnose rolling per sheet up to 3m</t>
  </si>
  <si>
    <t>Insulation</t>
  </si>
  <si>
    <t>75mm Anticon (Foil/Blanket) x 15m Rolls</t>
  </si>
  <si>
    <t>Min Hire</t>
  </si>
  <si>
    <t>SHADE BATTEN</t>
  </si>
  <si>
    <t>DELIVERY &amp; ROOFING COMPLIANCE</t>
  </si>
  <si>
    <t>Deliveries</t>
  </si>
  <si>
    <t>SCREENS</t>
  </si>
  <si>
    <t>STEEL SCREENS</t>
  </si>
  <si>
    <t>FRET WORK</t>
  </si>
  <si>
    <t>CEILINGS &amp; WALLS</t>
  </si>
  <si>
    <t>Ceiling - including Direct fix battens -Vaulted 10mm                        M2</t>
  </si>
  <si>
    <t>Ceiling - including Direct fix battens -Flat 10mm                              M2</t>
  </si>
  <si>
    <t>Ceiling - including Direct fix battens -Suspended 10mm                 M2</t>
  </si>
  <si>
    <t>Walls - Villa Board 6mm                                                                   M2</t>
  </si>
  <si>
    <t>Walls - Plaster 10mm  Stick on walls                                               M2</t>
  </si>
  <si>
    <t>70mm Cornice                    3.6 and 4.8 m lengths                          L/M</t>
  </si>
  <si>
    <t>Skylights</t>
  </si>
  <si>
    <t>Window reveals                                                                             L/M</t>
  </si>
  <si>
    <t>Total</t>
  </si>
  <si>
    <t>Permit Documentation</t>
  </si>
  <si>
    <t>Brick Work</t>
  </si>
  <si>
    <t>Brick rate - BV supplies Sand Cement Lime wall ties ETC</t>
  </si>
  <si>
    <t>Day rate</t>
  </si>
  <si>
    <t xml:space="preserve">Clean bricks </t>
  </si>
  <si>
    <t>Brick allowance</t>
  </si>
  <si>
    <t>Brick delivery</t>
  </si>
  <si>
    <t>DFEWSM820  External door frame without sill     KD H/W Style 5.1m</t>
  </si>
  <si>
    <t>Aluminium Multi Stack doors</t>
  </si>
  <si>
    <t>ESTIMATE ONLY Multi stack door 2100 x 2400     3 Panel</t>
  </si>
  <si>
    <t>ESTIMATE ONLY Multi stack door 2100 x 3200     3 Panel</t>
  </si>
  <si>
    <t>ESTIMATE ONLY Multi stack door 2100 x 3600     3 Panel</t>
  </si>
  <si>
    <t xml:space="preserve">Laundry Door Hume XF3 1/2 glass durocote 820 door </t>
  </si>
  <si>
    <t>Duracote door Permacore 2040 x 820 x 40 with hardware</t>
  </si>
  <si>
    <t>Entrance Door   Hume doors   with Hardware                PROVISIONAL SUM</t>
  </si>
  <si>
    <t>ESTIMATE ONLY Sliding window  585 x 660         Fixed</t>
  </si>
  <si>
    <t>Brick to wall flashing for fire rated walls</t>
  </si>
  <si>
    <t>Timber External wboard stop                                 LM</t>
  </si>
  <si>
    <t>Timber internal wboard stop                                  LM</t>
  </si>
  <si>
    <t>PAINTING</t>
  </si>
  <si>
    <t>RENDERING</t>
  </si>
  <si>
    <t>Wall rendering                                                                         Per Sq Metre</t>
  </si>
  <si>
    <t>LABOUR CALCULATION FOR CARPORTS, VERANDAHS &amp; PERGOLAS</t>
  </si>
  <si>
    <t>Install creeper Rafter</t>
  </si>
  <si>
    <t>Install Jack Rafter</t>
  </si>
  <si>
    <t>Spare</t>
  </si>
  <si>
    <t>ADDITIONAL LABOUR</t>
  </si>
  <si>
    <t>Scaffold Erection</t>
  </si>
  <si>
    <t>Roller Doors</t>
  </si>
  <si>
    <t>BUILDING PERMIT &amp; HOME OWNERS WARRANTY</t>
  </si>
  <si>
    <t>SAFETY EQUIPMENT</t>
  </si>
  <si>
    <t>Item Description</t>
  </si>
  <si>
    <t>Treated Pine</t>
  </si>
  <si>
    <t>Single gate for trap door in deck            1.0 wide &amp; 1.0high</t>
  </si>
  <si>
    <t>DECKING</t>
  </si>
  <si>
    <t>Murbua</t>
  </si>
  <si>
    <t>Trex Decking 139.7 x 25.4 x 5.480                 L/M</t>
  </si>
  <si>
    <t>Paint stairs per tread</t>
  </si>
  <si>
    <t>Mark up</t>
  </si>
  <si>
    <t>Retail</t>
  </si>
  <si>
    <t>Cement Sheeting</t>
  </si>
  <si>
    <t>Paint Durogroove M2</t>
  </si>
  <si>
    <t>Prep and paint weatherboard</t>
  </si>
  <si>
    <t>Internal fashion door and jam</t>
  </si>
  <si>
    <t>Entrance door</t>
  </si>
  <si>
    <t>2400 High x 2400 wide Roller door</t>
  </si>
  <si>
    <t>2400 High x 3000 wide Roller door</t>
  </si>
  <si>
    <t>2400 High x 3600 wide Roller door</t>
  </si>
  <si>
    <t>2400 High x 4200 wide Roller door</t>
  </si>
  <si>
    <t>2400 High x 4800 wide Roller door</t>
  </si>
  <si>
    <t>2400 High x 5400 wide Roller door</t>
  </si>
  <si>
    <t>2400 wide x 2400 High Panel Door</t>
  </si>
  <si>
    <t>2400 wide x 3000 High Panel Door</t>
  </si>
  <si>
    <t>2400 wide x 3600 High Panel Door</t>
  </si>
  <si>
    <t>2400 wide x 4200 High Panel Door</t>
  </si>
  <si>
    <t>2400 wide x 4800 High Panel Door</t>
  </si>
  <si>
    <t>2400 wide x 5400 High Panel Door</t>
  </si>
  <si>
    <t>2400 wide x 6000 High Panel Door</t>
  </si>
  <si>
    <t>2400 wide x 6600 High Panel Door</t>
  </si>
  <si>
    <t>Auto Door remote</t>
  </si>
  <si>
    <t>Ember Brush seal  PlM</t>
  </si>
  <si>
    <t xml:space="preserve">Taper base </t>
  </si>
  <si>
    <t>Door Jams</t>
  </si>
  <si>
    <t xml:space="preserve"> Door Jam 140 x 42 Treated pine Dressed to suit 2400 wide x 2400</t>
  </si>
  <si>
    <t xml:space="preserve"> Door Jam 140 x 42 Treated pine Dressed to suit 2400 wide x 3000</t>
  </si>
  <si>
    <t xml:space="preserve"> Door Jam 140 x 42 Treated pine Dressed to suit 2400 wide x 3600</t>
  </si>
  <si>
    <t xml:space="preserve"> Door Jam 140 x 42 Treated pine Dressed to suit 2400 wide x 4200</t>
  </si>
  <si>
    <t xml:space="preserve"> Door Jam 140 x 42 Treated pine Dressed to suit 2400 wide x 4800</t>
  </si>
  <si>
    <t xml:space="preserve"> Door Jam 140 x 42 Treated pine Dressed to suit 2400 wide x 5400</t>
  </si>
  <si>
    <t xml:space="preserve"> Door Jam 140 x 42 Treated pine Dressed to suit 2400 wide x 6000</t>
  </si>
  <si>
    <t xml:space="preserve"> Door Jam 140 x 42 Treated pine Dressed to suit 2400 wide x 6600</t>
  </si>
  <si>
    <t>Subfloor - Perimetre spray</t>
  </si>
  <si>
    <t xml:space="preserve">Physical Barrier </t>
  </si>
  <si>
    <t>PRICES 1 / 8 / 2010</t>
  </si>
  <si>
    <t>Custom</t>
  </si>
  <si>
    <t>Price</t>
  </si>
  <si>
    <t>KD Hardwood</t>
  </si>
  <si>
    <t>Dressed Timber</t>
  </si>
  <si>
    <t>Pricing 2013-2014 parent copy</t>
  </si>
  <si>
    <t>Beachcomber</t>
  </si>
  <si>
    <t>Type</t>
  </si>
  <si>
    <t>Base Permit price for projects upto $30,000</t>
  </si>
  <si>
    <t>Permit price for projects upto $40,000</t>
  </si>
  <si>
    <t>Permit price for projects upto $50,000</t>
  </si>
  <si>
    <t>Permit price for projects upto $60,000</t>
  </si>
  <si>
    <t>Permit price for projects upto $70,000</t>
  </si>
  <si>
    <t>Permit price for projects upto $80,000</t>
  </si>
  <si>
    <t>Permit price for projects upto $90,000</t>
  </si>
  <si>
    <t>Permit price for projects upto $100,000</t>
  </si>
  <si>
    <t>Permit price for projects upto $110,000</t>
  </si>
  <si>
    <t>Permit price for projects upto $120,000</t>
  </si>
  <si>
    <t>Permit price for projects upto $130,000</t>
  </si>
  <si>
    <t>Permit price for projects upto $140,000</t>
  </si>
  <si>
    <t>Permit price for projects upto $150,000</t>
  </si>
  <si>
    <t>Permit price for projects upto $160,000</t>
  </si>
  <si>
    <t>Permit price for projects upto $170,000</t>
  </si>
  <si>
    <t>Permit price for projects upto $180,000</t>
  </si>
  <si>
    <t>Permit price for projects upto $190,000</t>
  </si>
  <si>
    <t>Permit price for projects upto $200,000</t>
  </si>
  <si>
    <t>Permit price for projects upto $210,000</t>
  </si>
  <si>
    <t>Permit price for projects upto $220,000</t>
  </si>
  <si>
    <t>Permit price for projects upto $230,000</t>
  </si>
  <si>
    <t>Permit price for projects upto $240,000</t>
  </si>
  <si>
    <t>Permit price for projects upto $250,000</t>
  </si>
  <si>
    <t>Permit price for projects upto $260,000</t>
  </si>
  <si>
    <t>Permit price for projects upto $270,000</t>
  </si>
  <si>
    <t>Permit price for projects upto $280,000</t>
  </si>
  <si>
    <t>Permit price for projects upto $290,000</t>
  </si>
  <si>
    <t>Permit price for projects upto $300,000</t>
  </si>
  <si>
    <t xml:space="preserve">Home owners Warranty </t>
  </si>
  <si>
    <t>Home owners waranty insurance under $16000.00</t>
  </si>
  <si>
    <t>Home owners waranty insurance under $50,000.00</t>
  </si>
  <si>
    <t>Home owners waranty insurance under $100,000.00</t>
  </si>
  <si>
    <t>Home owners waranty insurance under $150,000.00</t>
  </si>
  <si>
    <t>Home owners waranty insurance under $200,000.00</t>
  </si>
  <si>
    <t>Home owners waranty insurance under $250,000.00</t>
  </si>
  <si>
    <t>Home owners waranty insurance under $300,000.00</t>
  </si>
  <si>
    <t>Copy of title Covenant and property report</t>
  </si>
  <si>
    <t>Building permit council lodgement fee &amp; N/Point BAM Reg fee</t>
  </si>
  <si>
    <t>BPC LEVY</t>
  </si>
  <si>
    <t>Project BPC Calculation</t>
  </si>
  <si>
    <t>Proffesional Advisors</t>
  </si>
  <si>
    <t>Engineering - Soil report with footing probe</t>
  </si>
  <si>
    <t>Rapid 20kg bag of 20 mpa concrete  .09 metre</t>
  </si>
  <si>
    <t>.</t>
  </si>
  <si>
    <t>Readymix Concrete per Cubic Meter                                     .4</t>
  </si>
  <si>
    <t xml:space="preserve">Post Surport Installed - Bolt Down sandle H/Duty </t>
  </si>
  <si>
    <t xml:space="preserve">Post Stirrup Installed - 90-110-125mm X 125mm leg  </t>
  </si>
  <si>
    <t>Slabs &amp; Strip Footings</t>
  </si>
  <si>
    <t>Concreter Labourer (1 Day Min Hire) each</t>
  </si>
  <si>
    <t>Line Pump Hire (3hr Min Hire) per Hr</t>
  </si>
  <si>
    <t>Pumping per m3</t>
  </si>
  <si>
    <t>Pump Hire Travell</t>
  </si>
  <si>
    <t>20mpa Readymix  Concrete m3</t>
  </si>
  <si>
    <t>3-L8TM Bar Reinforcement (Strip Footing &amp; Edge Beam) each .2 x 6 lm</t>
  </si>
  <si>
    <t>3-L11TM Bar Reinforcement (Strip Footing &amp; Edge Beam) each .2 x 6 lm</t>
  </si>
  <si>
    <t>3-L12TM Bar Reinforcement (Strip Footing &amp; Edge Beam) each .2 x 6 lm</t>
  </si>
  <si>
    <t>3-N16 Bar Reinforcement (Strip Footing &amp; Edge Beam) x3 lm</t>
  </si>
  <si>
    <t>SL72 Slab Mesh 6 x 2.4m</t>
  </si>
  <si>
    <t>SL82 Slab Mesh 6 x 2.4m</t>
  </si>
  <si>
    <t>SL92 Slab Mesh 6 x 2.4m</t>
  </si>
  <si>
    <t>SL102 Slab Mesh 6 x 2.4m</t>
  </si>
  <si>
    <t>Mesh Delivery</t>
  </si>
  <si>
    <t>Plastic Roll 50m x 4m Each</t>
  </si>
  <si>
    <t>Sand</t>
  </si>
  <si>
    <t>Sand Delivery</t>
  </si>
  <si>
    <t>Concreting Rates</t>
  </si>
  <si>
    <t>Mininmum Hire loading</t>
  </si>
  <si>
    <t>Plain Concrete</t>
  </si>
  <si>
    <t>Colour Concrete</t>
  </si>
  <si>
    <t>Stamped Concrete 1 Colour</t>
  </si>
  <si>
    <t>Stamped Concrete 2 Colour</t>
  </si>
  <si>
    <t>Stamped Concrete 3 Colour</t>
  </si>
  <si>
    <t>Exsposed Aggregate</t>
  </si>
  <si>
    <t>Excurvation</t>
  </si>
  <si>
    <t>Excavator Hire</t>
  </si>
  <si>
    <t>Excavation</t>
  </si>
  <si>
    <t>Mini Dingo Minimum hire</t>
  </si>
  <si>
    <t>Excavater 2 tonne</t>
  </si>
  <si>
    <t>Excurvater float</t>
  </si>
  <si>
    <t>Post hole Digger</t>
  </si>
  <si>
    <t>Scoria rock 1m</t>
  </si>
  <si>
    <t>Termite Protection *Dawsons Pest Control*</t>
  </si>
  <si>
    <t>Subfloor- Spray under spray</t>
  </si>
  <si>
    <t>Post</t>
  </si>
  <si>
    <t>F5 cypress rough sawn 100mm x 100mm                                      upto 4.2m</t>
  </si>
  <si>
    <t>F5 cypress rough sawn 125mm 125mm                                         upto 4.2m</t>
  </si>
  <si>
    <t>F5 Cypress DAR 90mm X 90mm                                                      upto 4.2m</t>
  </si>
  <si>
    <t>F5 Cypress Dar 115mm X 115mm                                                   upto 4.2m</t>
  </si>
  <si>
    <t xml:space="preserve">F5 Cypress  pine 140 x 140                    DAR                                 upto 4.2m   </t>
  </si>
  <si>
    <t>F5 190 x 190 dressed Cypress                                                       upto 4.2m</t>
  </si>
  <si>
    <t>Extenda Bracket including boot</t>
  </si>
  <si>
    <t>LOSP H3 Treated post                                                       135 x 135</t>
  </si>
  <si>
    <t>90 X 90 Turned post                                                          2.4 m</t>
  </si>
  <si>
    <t xml:space="preserve">110 x110 Turned post                                          2.4m </t>
  </si>
  <si>
    <t xml:space="preserve">Post base fret work  </t>
  </si>
  <si>
    <t>200 mm round hardie columm 2.7 high</t>
  </si>
  <si>
    <t>201 mm round hardie column 4.0 high</t>
  </si>
  <si>
    <t xml:space="preserve"> Pencil round rings Rings</t>
  </si>
  <si>
    <t>Brick Piers</t>
  </si>
  <si>
    <t>Minimum Brick labour</t>
  </si>
  <si>
    <t>Brick per labour Per Metre</t>
  </si>
  <si>
    <t>Brick per labour Per Brick</t>
  </si>
  <si>
    <t>Bricks</t>
  </si>
  <si>
    <t>Brick cleaning Per Thousand</t>
  </si>
  <si>
    <t>Laminated Beams</t>
  </si>
  <si>
    <t>A grade dressing s charge</t>
  </si>
  <si>
    <r>
      <t xml:space="preserve">252 x 60         </t>
    </r>
    <r>
      <rPr>
        <sz val="8"/>
        <rFont val="Arial"/>
        <family val="2"/>
      </rPr>
      <t>at 2.4 m spacing can span 6.2m</t>
    </r>
  </si>
  <si>
    <r>
      <t xml:space="preserve">294 x 60         </t>
    </r>
    <r>
      <rPr>
        <sz val="8"/>
        <rFont val="Arial"/>
        <family val="2"/>
      </rPr>
      <t>at 2.4 m spacing can span 6.2m</t>
    </r>
  </si>
  <si>
    <r>
      <t xml:space="preserve">333 x 60         </t>
    </r>
    <r>
      <rPr>
        <sz val="8"/>
        <rFont val="Arial"/>
        <family val="2"/>
      </rPr>
      <t>at 2.4 m spacing can span 6.8m</t>
    </r>
  </si>
  <si>
    <r>
      <t xml:space="preserve">366 x 60         </t>
    </r>
    <r>
      <rPr>
        <sz val="8"/>
        <rFont val="Arial"/>
        <family val="2"/>
      </rPr>
      <t>at 2.4 m spacing can span 7.4m</t>
    </r>
  </si>
  <si>
    <r>
      <t xml:space="preserve">400 x 60         </t>
    </r>
    <r>
      <rPr>
        <sz val="8"/>
        <rFont val="Arial"/>
        <family val="2"/>
      </rPr>
      <t>at 2.4 m spacing can span 7.4m</t>
    </r>
  </si>
  <si>
    <t>Steel PFC 200</t>
  </si>
  <si>
    <t>Treated Pine  lazer cut    (Demak)</t>
  </si>
  <si>
    <t>Treated Pine 290mm X 45mm</t>
  </si>
  <si>
    <t>Treated Pine 190mm X 45mm</t>
  </si>
  <si>
    <t>Treated Pine 140mm X 45mm</t>
  </si>
  <si>
    <t>Treated pine 90mm x 35mm</t>
  </si>
  <si>
    <t>Treated pine 70mm x 35mm</t>
  </si>
  <si>
    <t>Treated Pine 42mm X 42mm                                       CCA   Dressed  Fingure joined</t>
  </si>
  <si>
    <t>Treated Pine 42mm X 19mm                                       CCA   Dressed Solid</t>
  </si>
  <si>
    <t>Treated pine140mm x 35mm</t>
  </si>
  <si>
    <t>Treated Pine 150mm X 25mm</t>
  </si>
  <si>
    <t>Treated Pine  lazer cut    (Vansteensal Timbers)  for Decks only</t>
  </si>
  <si>
    <t>Treated Pine 240mm X 45mm</t>
  </si>
  <si>
    <t>Treated Pine 90mm X 45mm</t>
  </si>
  <si>
    <t>Treated Pine 70mm X 45mm</t>
  </si>
  <si>
    <t>Treated Pine 42mm X 42mm  -               T/PINE LAMINATED 42X42</t>
  </si>
  <si>
    <t>Treated Pine 42mm X 19mm-                 T/PINE LAMINATED 42X19</t>
  </si>
  <si>
    <t>RAFTERS</t>
  </si>
  <si>
    <t>190mm X 45mm          MGP 12</t>
  </si>
  <si>
    <t>140mm X 45mm          MGP 12</t>
  </si>
  <si>
    <t xml:space="preserve">  90mm X 45mm          MGP 12</t>
  </si>
  <si>
    <t>Truss Roof</t>
  </si>
  <si>
    <t>Truss roof per Square Metre</t>
  </si>
  <si>
    <t>Main Beam</t>
  </si>
  <si>
    <t xml:space="preserve">LVL Laminated Beam </t>
  </si>
  <si>
    <t xml:space="preserve">LVL 170 x 45         </t>
  </si>
  <si>
    <t xml:space="preserve">LVL 190 x 45           </t>
  </si>
  <si>
    <t xml:space="preserve">LVL 240 x 45           </t>
  </si>
  <si>
    <t xml:space="preserve">LVL 300 x 45           </t>
  </si>
  <si>
    <t xml:space="preserve">LVL 300 x 63           </t>
  </si>
  <si>
    <t xml:space="preserve">LVL 360 x 45           </t>
  </si>
  <si>
    <t xml:space="preserve">LVL 360 x 63           </t>
  </si>
  <si>
    <t xml:space="preserve">LVL 400 x 45          </t>
  </si>
  <si>
    <t xml:space="preserve">LVL 400 x 63         </t>
  </si>
  <si>
    <t xml:space="preserve">LVL 400 x 75          </t>
  </si>
  <si>
    <t xml:space="preserve">LVL 525 x 75           </t>
  </si>
  <si>
    <t xml:space="preserve">LVL 140 x 45    H2 Treated    </t>
  </si>
  <si>
    <t xml:space="preserve">LVL 170 x 45    H2 Treated  </t>
  </si>
  <si>
    <t xml:space="preserve">LVL 190 x 45    H2 Treated     </t>
  </si>
  <si>
    <t xml:space="preserve">LVL 240 x 45    H2 Treated        </t>
  </si>
  <si>
    <t xml:space="preserve">LVL 300 x 45    H2 Treated          </t>
  </si>
  <si>
    <t xml:space="preserve">LVL 300 x 63    H2 Treated  </t>
  </si>
  <si>
    <t xml:space="preserve">LVL 360 x 45    H2 Treated        </t>
  </si>
  <si>
    <t xml:space="preserve">LVL 360 x 63    H2 Treated  </t>
  </si>
  <si>
    <t xml:space="preserve">LVL 400 x 45    H2 Treated       </t>
  </si>
  <si>
    <t xml:space="preserve">LVL 400 x 63    H2 Treated  </t>
  </si>
  <si>
    <t xml:space="preserve">LVL 400 x 75    H2 Treated  </t>
  </si>
  <si>
    <t xml:space="preserve">LVL 525 x 75    H2 Treated      </t>
  </si>
  <si>
    <t>Rafter</t>
  </si>
  <si>
    <r>
      <t xml:space="preserve">LVL 140 x 45           Max span @900 centres for Sheet &amp; Ceiling is </t>
    </r>
    <r>
      <rPr>
        <b/>
        <sz val="8"/>
        <rFont val="Arial"/>
        <family val="2"/>
      </rPr>
      <t>3600</t>
    </r>
  </si>
  <si>
    <r>
      <t xml:space="preserve">LVL 170 x 45           Max span @900 centres for Sheet &amp; Ceiling is </t>
    </r>
    <r>
      <rPr>
        <b/>
        <sz val="8"/>
        <rFont val="Arial"/>
        <family val="2"/>
      </rPr>
      <t>4400</t>
    </r>
  </si>
  <si>
    <r>
      <t xml:space="preserve">LVL 190 x 45           Max span @900 centres for Sheet &amp; Ceiling is </t>
    </r>
    <r>
      <rPr>
        <b/>
        <sz val="8"/>
        <rFont val="Arial"/>
        <family val="2"/>
      </rPr>
      <t>4900</t>
    </r>
  </si>
  <si>
    <r>
      <t xml:space="preserve">LVL 240 x 45           Max span @900 centres for Sheet &amp; Ceiling is </t>
    </r>
    <r>
      <rPr>
        <b/>
        <sz val="8"/>
        <rFont val="Arial"/>
        <family val="2"/>
      </rPr>
      <t>6100</t>
    </r>
  </si>
  <si>
    <r>
      <t xml:space="preserve">LVL 300 x 45           Max span @900 centres for Sheet &amp; Ceiling is </t>
    </r>
    <r>
      <rPr>
        <b/>
        <sz val="8"/>
        <rFont val="Arial"/>
        <family val="2"/>
      </rPr>
      <t>7200</t>
    </r>
  </si>
  <si>
    <t>Fascia board</t>
  </si>
  <si>
    <t>Demak</t>
  </si>
  <si>
    <t>190 x 32 fascia</t>
  </si>
  <si>
    <t>230 x 32 fascia</t>
  </si>
  <si>
    <t>Metal Fascia with Quad spouting</t>
  </si>
  <si>
    <t>Metal Fascia with Squareline spouting</t>
  </si>
  <si>
    <t>Designer pine</t>
  </si>
  <si>
    <t>Designer Pine 235mm X 42mm                             Pre- Primed</t>
  </si>
  <si>
    <t>Designer Pine 185mm X 42mm                             Pre- Primed</t>
  </si>
  <si>
    <t>Designer Pine 140mm X 42mm                             Pre- Primed</t>
  </si>
  <si>
    <t>Designer Pine 88 mm X 42mm                               Pre- Primed</t>
  </si>
  <si>
    <t>Designer Pine 66mm X 42mm                               Pre- Primed</t>
  </si>
  <si>
    <t>Designer Pine 66mm x 31mm                               Pre- Primed</t>
  </si>
  <si>
    <t>Designer Pine 42mm X 42mm                               Pre- Primed</t>
  </si>
  <si>
    <t xml:space="preserve">  90 x 42        KD Hardwood</t>
  </si>
  <si>
    <t>140 x 42        KD Hardwood</t>
  </si>
  <si>
    <t>190 x 42       KD Hardwood</t>
  </si>
  <si>
    <t>240 x 42        KD Hardwood</t>
  </si>
  <si>
    <t>Laminated Solid Merbau</t>
  </si>
  <si>
    <t xml:space="preserve">DAR Van -  90 x 42  Laminated  Solid murbua </t>
  </si>
  <si>
    <t xml:space="preserve">DAR Van -140 x 42   Laminated  Solid murbua </t>
  </si>
  <si>
    <t xml:space="preserve">DAR Van - 240 x 42  Laminated  Solid murbua  </t>
  </si>
  <si>
    <t xml:space="preserve">DAR Van - 290 x 42  Laminated  Solid murbua  </t>
  </si>
  <si>
    <t>Treated Pine 70mm X 22mm</t>
  </si>
  <si>
    <t>Treated Pine 90mm X 19 mm</t>
  </si>
  <si>
    <t>Murbau 70mm X 19mm</t>
  </si>
  <si>
    <t>Murbau 90mm X 19mm</t>
  </si>
  <si>
    <t>Nail free decking</t>
  </si>
  <si>
    <t>WIRE HAND RAIL</t>
  </si>
  <si>
    <t>Selected Decking</t>
  </si>
  <si>
    <t xml:space="preserve">Jarrah                                   65 x 19 </t>
  </si>
  <si>
    <t>Wa Karri                               86 x 19</t>
  </si>
  <si>
    <t>Silver top ash                       90 x 22</t>
  </si>
  <si>
    <t>Spotted Gum</t>
  </si>
  <si>
    <t xml:space="preserve"> 145 x 42   Solid Spotted Gum</t>
  </si>
  <si>
    <t xml:space="preserve"> 190 x 42    Solid Spotted Gum</t>
  </si>
  <si>
    <t>290 x 42     Solid Spotted Gum</t>
  </si>
  <si>
    <t>Pine lined Ceilings</t>
  </si>
  <si>
    <t xml:space="preserve">T/Pine Cladding Primed    138 x 18 </t>
  </si>
  <si>
    <t>PINE LINING PRIMED 139 X 12</t>
  </si>
  <si>
    <t>Murch timbers</t>
  </si>
  <si>
    <t>90 x 35 murch</t>
  </si>
  <si>
    <t>Plastering (PM Ceilings)</t>
  </si>
  <si>
    <t>FRL 60/60/60 Fire Check 16mm (ATKAR)</t>
  </si>
  <si>
    <t>Hardiefire insulation   m2</t>
  </si>
  <si>
    <t>Product QTY Per lm</t>
  </si>
  <si>
    <t>FRL 60/60/60 Complete Wall componants (Internal Wall cladding not included)</t>
  </si>
  <si>
    <t>2.4 Wall per lm</t>
  </si>
  <si>
    <t>2.7 Wall per lm</t>
  </si>
  <si>
    <t>3.0 Wall per lm</t>
  </si>
  <si>
    <t>Finial</t>
  </si>
  <si>
    <t>600mm Finial                    F1</t>
  </si>
  <si>
    <t>900mm Finial                    F2</t>
  </si>
  <si>
    <t xml:space="preserve">1200mm Finial                  F3       </t>
  </si>
  <si>
    <t>AC / SHEETING</t>
  </si>
  <si>
    <t>AC Sheeting</t>
  </si>
  <si>
    <t>AC Sheeting 1800mm X 900mm</t>
  </si>
  <si>
    <t>AC Sheeting 1800mm X 1200mm</t>
  </si>
  <si>
    <t>AC Sheeting 2100mm X 1200mm</t>
  </si>
  <si>
    <t>AC Sheeting 2400mm X 450mm</t>
  </si>
  <si>
    <t>AC Sheeting 2400mm X 600mm</t>
  </si>
  <si>
    <t>AC Sheeting 2400mm X 900mm</t>
  </si>
  <si>
    <t>AC Sheeting 2400mm X 1200mm</t>
  </si>
  <si>
    <t>AC Sheeting 2700mm X 900mm</t>
  </si>
  <si>
    <t>AC Sheeting 2700mm X 1200mm</t>
  </si>
  <si>
    <t>AC Sheeting 3000mm X 900mm</t>
  </si>
  <si>
    <t>AC Sheeting 3000mm X 1200mm</t>
  </si>
  <si>
    <t>AC sheeting per Square Metre                       C152 is 10% wastage</t>
  </si>
  <si>
    <t>AC Joiner Strip</t>
  </si>
  <si>
    <t>AC Heeting 3000 x 1200 6MM</t>
  </si>
  <si>
    <t>6MM CEMENT SHEET m2</t>
  </si>
  <si>
    <t>Stucco</t>
  </si>
  <si>
    <t>Stucco 2400 x 1200</t>
  </si>
  <si>
    <t>Blueboard</t>
  </si>
  <si>
    <t>Blue Board per metre  900 x 3000                 C155 is 10% wastage</t>
  </si>
  <si>
    <t>Hardie text Blue                            3000 x 900</t>
  </si>
  <si>
    <t>Hardie text Blue                            2700 x 1200</t>
  </si>
  <si>
    <t>Hardie text Blue                            2700 x 900</t>
  </si>
  <si>
    <t>Hardie text Blue                            2400 x 1200</t>
  </si>
  <si>
    <t>Hardie text Blue                            2400 x 900</t>
  </si>
  <si>
    <t>Hardie text Blue  per m2</t>
  </si>
  <si>
    <t>Weather board &amp; Cement sheet woodgrain</t>
  </si>
  <si>
    <t xml:space="preserve">BGC nuline w/board square edge 4.2x175x14mm                             L/M </t>
  </si>
  <si>
    <t>Baltic pine primed Weather Board  175mm square &amp; Round edge</t>
  </si>
  <si>
    <t>Duro Groove  cladding</t>
  </si>
  <si>
    <t>BGC Duragroove    m2</t>
  </si>
  <si>
    <t>BGC Duragroove  2400 x 1200 x 9mm                                        dgvwg924512</t>
  </si>
  <si>
    <t>Updated 14/7/23</t>
  </si>
  <si>
    <t>BGC Duragroove 2700 x 1200 x 9mm                                         dgvwg927512</t>
  </si>
  <si>
    <t>BGC Duragroove  3000 x 1200 x 9mm                                        dgvwg93012</t>
  </si>
  <si>
    <t>Hardies / Durogroove Horizontal flashing                            3m length</t>
  </si>
  <si>
    <t>Hardies / Durogroove External corner flashing                    3m length</t>
  </si>
  <si>
    <t>Hardies Edge Base trim  -305911                                        3.9m length</t>
  </si>
  <si>
    <t>Undated 14/7/23</t>
  </si>
  <si>
    <t xml:space="preserve">Hardies Edge Base corner </t>
  </si>
  <si>
    <t>Matrix Cavity vent strip PVC                                               3 0m length</t>
  </si>
  <si>
    <t>Hardies Wrap weather barrier 2.75x 30m</t>
  </si>
  <si>
    <t>Skirt &amp; Arch</t>
  </si>
  <si>
    <t>KD Single Bevel Arch 65 x 10</t>
  </si>
  <si>
    <t>KD Single Bevel Arch 42 x 19</t>
  </si>
  <si>
    <t xml:space="preserve">KD Single Bevel Arch 65 x 10  Per door 2100 x 4 + 1.2 *2 </t>
  </si>
  <si>
    <r>
      <t xml:space="preserve">DFEMS00820 External door frames with sills                            </t>
    </r>
    <r>
      <rPr>
        <b/>
        <sz val="8"/>
        <color rgb="FFFF0000"/>
        <rFont val="Arial"/>
        <family val="2"/>
      </rPr>
      <t>Meranti</t>
    </r>
    <r>
      <rPr>
        <sz val="8"/>
        <rFont val="Arial"/>
        <family val="2"/>
      </rPr>
      <t xml:space="preserve"> (Assembled)</t>
    </r>
  </si>
  <si>
    <r>
      <t xml:space="preserve">MDFDJ120 MDF Internal Door Jam 120mm                                </t>
    </r>
    <r>
      <rPr>
        <b/>
        <sz val="8"/>
        <color rgb="FFFF0000"/>
        <rFont val="Arial"/>
        <family val="2"/>
      </rPr>
      <t>MDF</t>
    </r>
  </si>
  <si>
    <t>External Doors</t>
  </si>
  <si>
    <r>
      <t xml:space="preserve">RMD2040820 </t>
    </r>
    <r>
      <rPr>
        <b/>
        <sz val="8"/>
        <color rgb="FFFF0000"/>
        <rFont val="Arial"/>
        <family val="2"/>
      </rPr>
      <t>Redicote Mas door 720</t>
    </r>
    <r>
      <rPr>
        <sz val="8"/>
        <rFont val="Arial"/>
        <family val="2"/>
      </rPr>
      <t xml:space="preserve"> 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</si>
  <si>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 xml:space="preserve">Redicote Mas door 770 </t>
    </r>
    <r>
      <rPr>
        <sz val="8"/>
        <rFont val="Arial"/>
        <family val="2"/>
      </rPr>
      <t xml:space="preserve">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</si>
  <si>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>Redicote Mas door 820</t>
    </r>
    <r>
      <rPr>
        <sz val="8"/>
        <rFont val="Arial"/>
        <family val="2"/>
      </rPr>
      <t xml:space="preserve">                 ( Plain Face)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</si>
  <si>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620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</si>
  <si>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</si>
  <si>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770   </t>
    </r>
    <r>
      <rPr>
        <sz val="8"/>
        <rFont val="Arial"/>
        <family val="2"/>
      </rPr>
      <t xml:space="preserve">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</si>
  <si>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820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</si>
  <si>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>Fashion door 920</t>
    </r>
    <r>
      <rPr>
        <sz val="8"/>
        <rFont val="Arial"/>
        <family val="2"/>
      </rPr>
      <t xml:space="preserve">                            ( Oakfield )</t>
    </r>
  </si>
  <si>
    <t>JOEY FAST FIX 80 CAVITY UNIT 2040X520-820X90</t>
  </si>
  <si>
    <t xml:space="preserve">Hinges </t>
  </si>
  <si>
    <t xml:space="preserve">LSSBHLP10075 Lockwood S/S Broadbutt hinge L/PIN  </t>
  </si>
  <si>
    <t>Handle</t>
  </si>
  <si>
    <t>Passage door handle                  ( Builders Range )</t>
  </si>
  <si>
    <t>Privacy door handle                    ( Builders Range )</t>
  </si>
  <si>
    <t>Enterance door handle                ( Builders Range )                     PROVISIONAL SUM</t>
  </si>
  <si>
    <t>Aluminium sliding doors</t>
  </si>
  <si>
    <t>Aluminum (200 Series)  - Sliding door 2100 x 1800     2 Panel</t>
  </si>
  <si>
    <t>Aluminum (200 Series)  - Sliding door 2100 x 2100     2 Panel</t>
  </si>
  <si>
    <t>Aluminum (200 Series)  -Sliding door 2100 x 2400     2 Panel</t>
  </si>
  <si>
    <t>Aluminum (200 Series) - Sliding door 2100 x 2700     3 Panel</t>
  </si>
  <si>
    <t>Aluminum (200 Series) - Sliding door 2100 x 3200     3 Panel</t>
  </si>
  <si>
    <t>Aluminum (200 Series)  - Sliding door 2100 x 3600     3 Panel</t>
  </si>
  <si>
    <t>Aluminum (200 Series) - Sliding door 2100 x 3600     4 Panel</t>
  </si>
  <si>
    <t>Aluminum (200 Series) - Sliding door 2100 x 4200     4 Panel</t>
  </si>
  <si>
    <t>Aluminum (200 Series) - Sliding door 2100 x 4800     4 Panel</t>
  </si>
  <si>
    <t>Aluminum (200 Series)  - Sliding door 2100 x 5400     4 Panel</t>
  </si>
  <si>
    <t>Aluminum (200 Series) - Sliding door 2100 x 6000     4 Panel</t>
  </si>
  <si>
    <t>Aluminum - Multi stack door 2100 x 2700     3 Panel</t>
  </si>
  <si>
    <t>ESTIMATE ONLY Multi stack door 2100 x 4200     6 Panel</t>
  </si>
  <si>
    <t>ESTIMATE ONLY Multi stack door 2100 x 4500     6 Panel</t>
  </si>
  <si>
    <t>ESTIMATE ONLY Multi stack door 2100 x 4800     4 Panel</t>
  </si>
  <si>
    <t>ESTIMATE ONLY Multi stack door 2100 x 5400     6 Panel</t>
  </si>
  <si>
    <t>Aluminium Sliding windows  SINGLE GLAZE</t>
  </si>
  <si>
    <t>ESTIMATE ONLY Sliding window  585 x 910         1 Slider              2 panel</t>
  </si>
  <si>
    <t>ESTIMATE ONLY Sliding window  585 x 1210       1 Slider              2 panel</t>
  </si>
  <si>
    <t>ESTIMATE ONLY Sliding window  585 x 1510       1 Slider              2 panel</t>
  </si>
  <si>
    <t>ESTIMATE ONLY Sliding window  585 x 1810       1 Slider              2 panel</t>
  </si>
  <si>
    <t>ESTIMATE ONLY Sliding window  585 x 2110       1 Slider              2 panel</t>
  </si>
  <si>
    <t>ESTIMATE ONLY Sliding window  585 x 2410       2 Slider              3 panel</t>
  </si>
  <si>
    <t>ESTIMATE ONLY Sliding window  585 x 2710       2 Slider              3 panel</t>
  </si>
  <si>
    <t>ESTIMATE ONLY Sliding window  1050 x 660         Fixed</t>
  </si>
  <si>
    <t>ESTIMATE ONLY Sliding window  1050 x 910         1 Slider              2 panel</t>
  </si>
  <si>
    <t>ESTIMATE ONLY Sliding window  1050 x 1210       1 Slider              2 panel</t>
  </si>
  <si>
    <t>ESTIMATE ONLY Sliding window  1050 x 1510       1 Slider              2 panel</t>
  </si>
  <si>
    <t>ESTIMATE ONLY Sliding window  1050 x 1810       1 Slider              2 panel</t>
  </si>
  <si>
    <t>ESTIMATE ONLY Sliding window  1050 x 2110       1 Slider              2 panel</t>
  </si>
  <si>
    <t>ESTIMATE ONLY Sliding window  1050 x 2410       2 Slider              3 panel</t>
  </si>
  <si>
    <t>ESTIMATE ONLY Sliding window  1050 x 2710       2 Slider              3 panel</t>
  </si>
  <si>
    <t>ESTIMATE ONLY Sliding window  1200 x 660         Fixed</t>
  </si>
  <si>
    <t>ESTIMATE ONLY Sliding window  1200 x 910         1 Slider              2 panel</t>
  </si>
  <si>
    <t>ESTIMATE ONLY Sliding window  1200 x 1210       1 Slider              2 panel</t>
  </si>
  <si>
    <t>ESTIMATE ONLY Sliding window  1200x 1510        1 Slider              2 panel</t>
  </si>
  <si>
    <t>ESTIMATE ONLY Sliding window  1200 x 1810       1 Slider              2 panel</t>
  </si>
  <si>
    <t>ESTIMATE ONLY Sliding window  1200 x 2110       1 Slider              2 panel</t>
  </si>
  <si>
    <t>Aluminum (200 Series) - Sliding window  1200 x 2410       2 Slider              3 panel</t>
  </si>
  <si>
    <t>ESTIMATE ONLY Sliding window  1200 x 2710       2 Slider              3 panel</t>
  </si>
  <si>
    <t>ESTIMATE ONLY Sliding window  1400 x 660         Fixed</t>
  </si>
  <si>
    <t>ESTIMATE ONLY Sliding window  1400 x 910         1 Slider              2 panel</t>
  </si>
  <si>
    <t>ESTIMATE ONLY Sliding window  1400 x 1210       1 Slider              2 panel</t>
  </si>
  <si>
    <t>ESTIMATE ONLY Sliding window  1400 x 1510       1 Slider             2 panel</t>
  </si>
  <si>
    <t>ESTIMATE ONLY Sliding window  1400 x 1810       1 Slider              2 panel</t>
  </si>
  <si>
    <t>ESTIMATE ONLY Sliding window  1400 x 2110       1 Slider              2 panel</t>
  </si>
  <si>
    <t>ESTIMATE ONLY Sliding window  1400 x 2410       2 Slider              3 panel</t>
  </si>
  <si>
    <t>ESTIMATE ONLY Sliding window  1400 x 2710       2 Slider              3 panel</t>
  </si>
  <si>
    <t>ESTIMATE ONLY Sliding window  1500 x 660         Fixed</t>
  </si>
  <si>
    <t>ESTIMATE ONLY Sliding window  1500 x 910         1 Slider              2 panel</t>
  </si>
  <si>
    <t>ESTIMATE ONLY Sliding window  1500 x 1210       1 Slider              2 panel</t>
  </si>
  <si>
    <t>ESTIMATE ONLY Sliding window  1500 x 1510       1 Slider             2 panel</t>
  </si>
  <si>
    <t>ESTIMATE ONLY Sliding window  1500 x 1810       1 Slider              2 panel</t>
  </si>
  <si>
    <t>ESTIMATE ONLY Sliding window  1500 x 2110       1 Slider              2 panel</t>
  </si>
  <si>
    <t>ESTIMATE ONLY Sliding window  1500 x 2410       2 Slider              3 panel</t>
  </si>
  <si>
    <t>ESTIMATE ONLY Sliding window  1800 x 660         Fixed                 2 panel</t>
  </si>
  <si>
    <t>ESTIMATE ONLY Sliding window  1800 x 910         1 Slider              3 panel</t>
  </si>
  <si>
    <t>ESTIMATE ONLY Sliding window  1800 x 1210       1 Slider              4 panel</t>
  </si>
  <si>
    <t>ESTIMATE ONLY Sliding window  1800 x 1510       1 Slider              4 panel</t>
  </si>
  <si>
    <t>ESTIMATE ONLY Sliding window  1800 x 1810       1 Slider              4 panel</t>
  </si>
  <si>
    <t>ESTIMATE ONLY Sliding window  1800 x 2110       1 Slider              4 panel</t>
  </si>
  <si>
    <t>ESTIMATE ONLY Sliding window  1800 x 2410       2 Slider              6 panel</t>
  </si>
  <si>
    <t>ESTIMATE ONLY Sliding window  2100 x 1210       1 Slider              4 panel</t>
  </si>
  <si>
    <t>ESTIMATE ONLY Sliding window  2100 x 1810       1 Slider              4 panel</t>
  </si>
  <si>
    <t>ESTIMATE ONLY Sliding window  2100 x 2110       1 Slider              4 panel</t>
  </si>
  <si>
    <t>ESTIMATE ONLY Sliding window  2400 x 2410       2 Slider              6 panel</t>
  </si>
  <si>
    <t>ESTIMATE ONLY Sliding window  2700 x 2710       2 Slider              6 panel</t>
  </si>
  <si>
    <t>Contact Neil 9004 5765 - 0400 389 290</t>
  </si>
  <si>
    <t>Surefoot Footing System</t>
  </si>
  <si>
    <t>Engineer - Ross Proud &amp; Accociates - Contact camilo@rossproud.com.au - 5327 7414</t>
  </si>
  <si>
    <t>Engineer - Ross Proud &amp; Accociates - Contact camilo@rossproud.com.au - 5327 7415</t>
  </si>
  <si>
    <t>rag bolts x 4 (for Styrrip Plate)</t>
  </si>
  <si>
    <t>Engineer - Ross Proud &amp; Accociates - Contact camilo@rossproud.com.au - 5327 7417</t>
  </si>
  <si>
    <t>Install Carpenter 2 x Men 1hr per foot</t>
  </si>
  <si>
    <t>Engineer - Ross Proud &amp; Accociates - Contact camilo@rossproud.com.au - 5327 7419</t>
  </si>
  <si>
    <t>Screens</t>
  </si>
  <si>
    <t>T/P 19mm Quad beading 5.4 long</t>
  </si>
  <si>
    <t>Flashing &amp; ridges</t>
  </si>
  <si>
    <t xml:space="preserve">Steel mark up </t>
  </si>
  <si>
    <r>
      <t xml:space="preserve">Barge flashing Colourbond   </t>
    </r>
    <r>
      <rPr>
        <b/>
        <sz val="8"/>
        <color indexed="10"/>
        <rFont val="Arial"/>
        <family val="2"/>
      </rPr>
      <t>for corrigated &amp; Grecca</t>
    </r>
    <r>
      <rPr>
        <sz val="8"/>
        <rFont val="Arial"/>
        <family val="2"/>
      </rPr>
      <t xml:space="preserve"> </t>
    </r>
    <r>
      <rPr>
        <b/>
        <sz val="8"/>
        <color indexed="10"/>
        <rFont val="Arial"/>
        <family val="2"/>
      </rPr>
      <t xml:space="preserve">profile roofs 140 x 75  </t>
    </r>
    <r>
      <rPr>
        <sz val="8"/>
        <rFont val="Arial"/>
        <family val="2"/>
      </rPr>
      <t xml:space="preserve">              </t>
    </r>
  </si>
  <si>
    <t>250 x 4 f</t>
  </si>
  <si>
    <r>
      <t xml:space="preserve">Barge flashing Colourbond   </t>
    </r>
    <r>
      <rPr>
        <b/>
        <sz val="8"/>
        <color indexed="10"/>
        <rFont val="Arial"/>
        <family val="2"/>
      </rPr>
      <t>for trimdeck , 5rib &amp; cliplock</t>
    </r>
  </si>
  <si>
    <t>400 x 4 f</t>
  </si>
  <si>
    <t>200 x 2 f</t>
  </si>
  <si>
    <t>Roll barge flashing colour bond 2.4m</t>
  </si>
  <si>
    <r>
      <t xml:space="preserve"> Internal Tappered barge flashing      </t>
    </r>
    <r>
      <rPr>
        <b/>
        <sz val="8"/>
        <rFont val="Arial"/>
        <family val="2"/>
      </rPr>
      <t>SEE PHOTO</t>
    </r>
    <r>
      <rPr>
        <sz val="8"/>
        <rFont val="Arial"/>
        <family val="2"/>
      </rPr>
      <t xml:space="preserve">      350g x 2 fold     </t>
    </r>
  </si>
  <si>
    <t>350 x 2 f</t>
  </si>
  <si>
    <r>
      <t>Spouting barge flashing for graded battons</t>
    </r>
    <r>
      <rPr>
        <b/>
        <sz val="8"/>
        <color indexed="10"/>
        <rFont val="Arial"/>
        <family val="2"/>
      </rPr>
      <t xml:space="preserve"> for Trimdeck, 5 Rib &amp; Cliplock profiles</t>
    </r>
  </si>
  <si>
    <t>500 x 2 f</t>
  </si>
  <si>
    <r>
      <t xml:space="preserve">A/c spouting flashing                                              </t>
    </r>
    <r>
      <rPr>
        <b/>
        <sz val="8"/>
        <color indexed="10"/>
        <rFont val="Arial"/>
        <family val="2"/>
      </rPr>
      <t xml:space="preserve">  50x30x50</t>
    </r>
  </si>
  <si>
    <t>150 x 2 f</t>
  </si>
  <si>
    <t>Apron flashing against a brick wall                       250 g x .6x 3 fold</t>
  </si>
  <si>
    <t>250 x 3 f</t>
  </si>
  <si>
    <r>
      <t xml:space="preserve">Step flashing on weather board walls                               </t>
    </r>
    <r>
      <rPr>
        <b/>
        <sz val="8"/>
        <color indexed="10"/>
        <rFont val="Arial"/>
        <family val="2"/>
      </rPr>
      <t xml:space="preserve">  300 x 140 2 fold</t>
    </r>
  </si>
  <si>
    <t>450 x 2 f</t>
  </si>
  <si>
    <r>
      <t xml:space="preserve">Gutter </t>
    </r>
    <r>
      <rPr>
        <b/>
        <sz val="10"/>
        <color indexed="10"/>
        <rFont val="Arial"/>
        <family val="2"/>
      </rPr>
      <t xml:space="preserve">SPLASH BACK </t>
    </r>
    <r>
      <rPr>
        <sz val="10"/>
        <rFont val="Arial"/>
        <family val="2"/>
      </rPr>
      <t>flashing for gables attached to houses only</t>
    </r>
  </si>
  <si>
    <t>150 x 1 f</t>
  </si>
  <si>
    <t>Valley flashing</t>
  </si>
  <si>
    <r>
      <t xml:space="preserve">Timber capping flashing 75 x 45 x 45                                       </t>
    </r>
    <r>
      <rPr>
        <b/>
        <sz val="10"/>
        <color indexed="12"/>
        <rFont val="Arial"/>
        <family val="2"/>
      </rPr>
      <t>SEE PHOTO</t>
    </r>
  </si>
  <si>
    <t>200 x 4 f</t>
  </si>
  <si>
    <t>400 x 2 f</t>
  </si>
  <si>
    <t xml:space="preserve">Box spout on brick wall  / Weather board                                </t>
  </si>
  <si>
    <t xml:space="preserve">350 x 2 f </t>
  </si>
  <si>
    <t>Box spout for double pitch verandahs 100 x 200 x 100</t>
  </si>
  <si>
    <t xml:space="preserve">Box Gutter flashing on wall </t>
  </si>
  <si>
    <t xml:space="preserve">150 x 3 f </t>
  </si>
  <si>
    <t>Colour bond Ridge standard</t>
  </si>
  <si>
    <t>Alfresco Flashing</t>
  </si>
  <si>
    <t>350 x 5 f</t>
  </si>
  <si>
    <t xml:space="preserve">Alfresco box spout 180 x 245 x 345 C/B </t>
  </si>
  <si>
    <t>800 x 3 f</t>
  </si>
  <si>
    <t>Window - Door flashing</t>
  </si>
  <si>
    <t>100 x 2 f</t>
  </si>
  <si>
    <t>300 x 2 f</t>
  </si>
  <si>
    <t>SPOUTING</t>
  </si>
  <si>
    <t>Spout</t>
  </si>
  <si>
    <t>Quad Spout Colourbond   slotted</t>
  </si>
  <si>
    <t>EasyFlow   Colourbond   slotted</t>
  </si>
  <si>
    <t>Ogee Colourbond  BHP</t>
  </si>
  <si>
    <t>Ace Mini line  Colobond</t>
  </si>
  <si>
    <t>Ace mini line  Colobond                       MIN HIRE</t>
  </si>
  <si>
    <t>Half round spout  APEX</t>
  </si>
  <si>
    <t>Continuois alluminiam spout</t>
  </si>
  <si>
    <t>Continuois alluminiam spout                MIN  HIRE</t>
  </si>
  <si>
    <t>Clips</t>
  </si>
  <si>
    <t>Quad,Easyflow &amp; Ogee BHP Spout Clips Colour Bond</t>
  </si>
  <si>
    <t>Roundline spout clips</t>
  </si>
  <si>
    <t>Ace Spouting Clips</t>
  </si>
  <si>
    <t>Corners</t>
  </si>
  <si>
    <t>Ogee BHP Cast corner Colourbond</t>
  </si>
  <si>
    <t>Half round spout cast brackets</t>
  </si>
  <si>
    <t>Quad Spout End stops  Colourbond</t>
  </si>
  <si>
    <t>Roundline stop ends</t>
  </si>
  <si>
    <t>Downpipes</t>
  </si>
  <si>
    <t>Downpipe 1.8m 100 x 50 Colourbond</t>
  </si>
  <si>
    <t xml:space="preserve">Downpipe 1.8m  Colourbond 100 x 75 </t>
  </si>
  <si>
    <t>Downpipe 2.4m  Colourbond 100 x 75</t>
  </si>
  <si>
    <t>Offsets</t>
  </si>
  <si>
    <t>Downpipe offset  100mm x 50mm Colourbond</t>
  </si>
  <si>
    <t>Downpipe offset 100mm X 75mm Colourbond</t>
  </si>
  <si>
    <t>Pops</t>
  </si>
  <si>
    <t xml:space="preserve">Pop 100mm X 50mm </t>
  </si>
  <si>
    <t xml:space="preserve">Pop 100mm X 75mm </t>
  </si>
  <si>
    <t>Downpipe Clips</t>
  </si>
  <si>
    <t>Downpipe Clips 100mm X 50mm Colourbond</t>
  </si>
  <si>
    <t>Downpipe Clips 100mm X 75mm Colourbond</t>
  </si>
  <si>
    <t>Rain head</t>
  </si>
  <si>
    <r>
      <t xml:space="preserve">Rainhead  </t>
    </r>
    <r>
      <rPr>
        <sz val="8"/>
        <color indexed="10"/>
        <rFont val="Arial"/>
        <family val="2"/>
      </rPr>
      <t>Square</t>
    </r>
    <r>
      <rPr>
        <sz val="8"/>
        <rFont val="Arial"/>
        <family val="2"/>
      </rPr>
      <t xml:space="preserve">              240 x 180 x 175          (colourbond)</t>
    </r>
  </si>
  <si>
    <r>
      <t xml:space="preserve">Rainhead  </t>
    </r>
    <r>
      <rPr>
        <sz val="8"/>
        <color indexed="10"/>
        <rFont val="Arial"/>
        <family val="2"/>
      </rPr>
      <t>Dam Buster</t>
    </r>
    <r>
      <rPr>
        <sz val="8"/>
        <rFont val="Arial"/>
        <family val="2"/>
      </rPr>
      <t xml:space="preserve">         (colourbond)</t>
    </r>
  </si>
  <si>
    <t>Metal Fasica</t>
  </si>
  <si>
    <t>Steel Fascia ULTRA</t>
  </si>
  <si>
    <t>ROOFING</t>
  </si>
  <si>
    <t>Polycarbonate</t>
  </si>
  <si>
    <t>Grecca Polycarbonate                       AMPELITE</t>
  </si>
  <si>
    <t>Poly carb pearl ice                             AMPELITE</t>
  </si>
  <si>
    <t>5 Rib Polycarbonate                          AMPELITE</t>
  </si>
  <si>
    <t>Corrugated Wonder glass                 AMPELITE</t>
  </si>
  <si>
    <t>5 Rib          Wonder glass                  AMPELITE</t>
  </si>
  <si>
    <t>Lazerlite                                 1000</t>
  </si>
  <si>
    <t>Lazerlite                                 2000 +</t>
  </si>
  <si>
    <t>Colour bond sq rate</t>
  </si>
  <si>
    <t>Lazerlite                                 3000</t>
  </si>
  <si>
    <t>Colourbond</t>
  </si>
  <si>
    <t>Corrugated c/bond per sqm       Double sided Colour</t>
  </si>
  <si>
    <t>Updated 4/5/2021</t>
  </si>
  <si>
    <t>Bullnose colourbond</t>
  </si>
  <si>
    <t xml:space="preserve">Apdeck BMT 700 BSL     cover zinc                        </t>
  </si>
  <si>
    <t xml:space="preserve">Apdeck BMT 700 BSL     cover colour bond                     </t>
  </si>
  <si>
    <t>clip lock 700 cover clips</t>
  </si>
  <si>
    <t>Purlin Tape 55 x 6x 14m</t>
  </si>
  <si>
    <t>Updated 1/3</t>
  </si>
  <si>
    <t>Tiled Roofs</t>
  </si>
  <si>
    <t>Tiled roofing (Tiles and Install only) m2</t>
  </si>
  <si>
    <t>Concrete Tiles (Prestige Shingle)</t>
  </si>
  <si>
    <t>Concrete Tiles (Traditional)</t>
  </si>
  <si>
    <t>Teracotta Tiles (Marseille Unglazed)</t>
  </si>
  <si>
    <t>Teracotta Tiles (Glazed)</t>
  </si>
  <si>
    <t>Tiled Roofing Extras Per lm</t>
  </si>
  <si>
    <t>Ridges</t>
  </si>
  <si>
    <t>Hips</t>
  </si>
  <si>
    <t>Valley</t>
  </si>
  <si>
    <t>Gable Bed &amp; Point</t>
  </si>
  <si>
    <t>Extra for tie in to existing roof Labour (Each)</t>
  </si>
  <si>
    <t>Delivery of sand in trailer for cleanliness</t>
  </si>
  <si>
    <t>Twinwall</t>
  </si>
  <si>
    <t>10 mm  twin wall</t>
  </si>
  <si>
    <t xml:space="preserve"> 7 M H bar Mill </t>
  </si>
  <si>
    <t xml:space="preserve"> 6 M H bar Mill </t>
  </si>
  <si>
    <t xml:space="preserve"> 4 M H bar Mill </t>
  </si>
  <si>
    <t>H bar Mill Coloured</t>
  </si>
  <si>
    <t xml:space="preserve">End cap Mill </t>
  </si>
  <si>
    <t>H Bar Rubber</t>
  </si>
  <si>
    <t>End cap Rubber</t>
  </si>
  <si>
    <t>Clear polycarbonte                     2440 x 1220 x 4.5</t>
  </si>
  <si>
    <t>Lexan XL10 Tinted         2540 x 1220 x 4.5  double sided</t>
  </si>
  <si>
    <t>PVC</t>
  </si>
  <si>
    <t>PVC Storm Water Pipe 90mm                Per Metre</t>
  </si>
  <si>
    <t>PVC 90mm 45 Degree fitting</t>
  </si>
  <si>
    <t>PVC 90mm T Piece Fitting</t>
  </si>
  <si>
    <t>PVC 90mm Slip socket Fitting</t>
  </si>
  <si>
    <t>PVC 100mm X 50mm Adaptor</t>
  </si>
  <si>
    <t>PVC 100mm X 75mm Adaptor</t>
  </si>
  <si>
    <t>Storm water hanging bracket</t>
  </si>
  <si>
    <t>Quanity</t>
  </si>
  <si>
    <t>Price Per Item</t>
  </si>
  <si>
    <t>NAILS SCREWS BOLTS &amp; HARDWARE</t>
  </si>
  <si>
    <t>Nails</t>
  </si>
  <si>
    <t>90mm Gun Nail</t>
  </si>
  <si>
    <t>50mm Gal Brad Nail</t>
  </si>
  <si>
    <t>30mm Clout</t>
  </si>
  <si>
    <t>50mm Bullet head nail</t>
  </si>
  <si>
    <t>Decking Gal 50mm</t>
  </si>
  <si>
    <t>65mm gal nail</t>
  </si>
  <si>
    <t>50 mm decking gal screw</t>
  </si>
  <si>
    <t>Updated 23/7/2021</t>
  </si>
  <si>
    <t>Fs 35 h -heg  Hanger bracket nails</t>
  </si>
  <si>
    <t>Dyno Bolts</t>
  </si>
  <si>
    <t>95mm X 10mm Dynabolt</t>
  </si>
  <si>
    <t>50mm X 10mm Dynabolt</t>
  </si>
  <si>
    <t>100mm X 10mm Execelior Bolt</t>
  </si>
  <si>
    <t>Type 17 Screws</t>
  </si>
  <si>
    <t>150mm X 14mm Type 17 Tech Screw</t>
  </si>
  <si>
    <t>100mm X 14mm Type 17 Tech Screw</t>
  </si>
  <si>
    <t>40mm X 10mm Styrup Coach Screw</t>
  </si>
  <si>
    <t>Colourbond 50mm Roofing screw</t>
  </si>
  <si>
    <t>2/2/20200</t>
  </si>
  <si>
    <t>65mm Roofing screw</t>
  </si>
  <si>
    <t>50mm Polycarb Roofing Screw</t>
  </si>
  <si>
    <t>Coach Bolts</t>
  </si>
  <si>
    <t>M10 x 120mm Gal Coach Bolt</t>
  </si>
  <si>
    <t>M10 x 140mm Gal Coach Bolt</t>
  </si>
  <si>
    <t>M10mm Gal Washer</t>
  </si>
  <si>
    <t>45mm X 90mm Joist Bracket</t>
  </si>
  <si>
    <t>Tripple Grip Bracket</t>
  </si>
  <si>
    <t>Steel Tie Beam</t>
  </si>
  <si>
    <t>Ant Caps 125mm X 125mm</t>
  </si>
  <si>
    <t>Update 28/7/2021</t>
  </si>
  <si>
    <t>PVC Glue   Half litre</t>
  </si>
  <si>
    <t>PVC Cleaner  half litre</t>
  </si>
  <si>
    <t>Silicone</t>
  </si>
  <si>
    <t>Silicone per metre for back channel</t>
  </si>
  <si>
    <t>Pop Rivets 1/8"  Zinc</t>
  </si>
  <si>
    <t>Pop Rivets 1/8" Colourbond</t>
  </si>
  <si>
    <r>
      <t xml:space="preserve">Extended Fascia Bracket </t>
    </r>
    <r>
      <rPr>
        <b/>
        <sz val="8"/>
        <rFont val="Arial"/>
        <family val="2"/>
      </rPr>
      <t xml:space="preserve"> Heavy Duty</t>
    </r>
  </si>
  <si>
    <t xml:space="preserve">Steel post </t>
  </si>
  <si>
    <t>100 X 100 steel post</t>
  </si>
  <si>
    <t>Gal Dipped</t>
  </si>
  <si>
    <t>Caps</t>
  </si>
  <si>
    <t>Powder coating                        Minimum Hire</t>
  </si>
  <si>
    <t>Powder coating                          Per metre</t>
  </si>
  <si>
    <t>Vents</t>
  </si>
  <si>
    <r>
      <t xml:space="preserve">450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</si>
  <si>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550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</si>
  <si>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450 x 600 Retangle  plastic vent </t>
    </r>
    <r>
      <rPr>
        <b/>
        <sz val="9"/>
        <rFont val="Arial"/>
        <family val="2"/>
      </rPr>
      <t xml:space="preserve">                               PER END</t>
    </r>
  </si>
  <si>
    <t xml:space="preserve">Breathable Wall Wrap m2 </t>
  </si>
  <si>
    <t>Breathable Wall Wrap 60 lm x 1350mm each</t>
  </si>
  <si>
    <t>Apex Roofing Delivery</t>
  </si>
  <si>
    <t>Swan direct Spouting Delivery</t>
  </si>
  <si>
    <t>Ampelite delivery</t>
  </si>
  <si>
    <t>Atkar</t>
  </si>
  <si>
    <t>Design flow delivery</t>
  </si>
  <si>
    <t>Single Delivery</t>
  </si>
  <si>
    <t>Shade cloth</t>
  </si>
  <si>
    <t>Shadecloth  3.6 @ 70% plm       Top of the range</t>
  </si>
  <si>
    <t>Hire Equipment</t>
  </si>
  <si>
    <t>Demolishon Saw</t>
  </si>
  <si>
    <t>Tarp Hire per week</t>
  </si>
  <si>
    <t>Hire delivery</t>
  </si>
  <si>
    <t>GATES</t>
  </si>
  <si>
    <t>Gates</t>
  </si>
  <si>
    <t>Single up to                                             1.2 wide &amp; 1800 high</t>
  </si>
  <si>
    <t>Double up to                                           3.0 wide &amp; 1800 high</t>
  </si>
  <si>
    <t>CAPPING &amp; BALLASTRADE</t>
  </si>
  <si>
    <t>Capping &amp; Ballastrade</t>
  </si>
  <si>
    <t>Curved Trenched Treated Pine                                         85mm X 42mm    EH11</t>
  </si>
  <si>
    <t>Square Bottom Trenched Treated Pine                             90mm X 45mm</t>
  </si>
  <si>
    <t>Treated Pine Trenched 45mm X 45mm</t>
  </si>
  <si>
    <t>Treated Pine Motif 300mm X 19mm</t>
  </si>
  <si>
    <t>Beading</t>
  </si>
  <si>
    <t>19mm LOSP bead edging</t>
  </si>
  <si>
    <t>19 x 19 square dressed</t>
  </si>
  <si>
    <t>Wire handrail products</t>
  </si>
  <si>
    <t>Turn buckle                                    1 of</t>
  </si>
  <si>
    <t xml:space="preserve">Thimble                                          2 of </t>
  </si>
  <si>
    <t>swags                                            2 of</t>
  </si>
  <si>
    <t>saddle                                           2 of</t>
  </si>
  <si>
    <t>screws                                          4 of</t>
  </si>
  <si>
    <t>Wire                                  per metre</t>
  </si>
  <si>
    <t>12mm Stainless steel dropper made to order with base</t>
  </si>
  <si>
    <t xml:space="preserve">50mm stainless steel pipe                    </t>
  </si>
  <si>
    <t>2" oblong base plate</t>
  </si>
  <si>
    <t>Full Post</t>
  </si>
  <si>
    <t>Tee peace</t>
  </si>
  <si>
    <t>45 Degree Peace</t>
  </si>
  <si>
    <t>Csunk screws for rail</t>
  </si>
  <si>
    <t>Flooring</t>
  </si>
  <si>
    <t>Yellow tongue flooring 3.6 x 900 including liquid nails</t>
  </si>
  <si>
    <t>30mm Multipanel flooring</t>
  </si>
  <si>
    <t>COMPRESSET SHEET</t>
  </si>
  <si>
    <t>Compresset sheet</t>
  </si>
  <si>
    <t xml:space="preserve">Compressed sheeting  1800 x 900 </t>
  </si>
  <si>
    <t>Compressed sheeting 10mm foam backing rod</t>
  </si>
  <si>
    <t xml:space="preserve">                                                                                                 Per Metre</t>
  </si>
  <si>
    <t>Compressed sheet sealant                                                     Per Metre</t>
  </si>
  <si>
    <t>Clever Deck Future wood</t>
  </si>
  <si>
    <t>Updated 10/10</t>
  </si>
  <si>
    <t>Cypress Pine Smooth 70mm X 19mm</t>
  </si>
  <si>
    <t>Mark up and Margins</t>
  </si>
  <si>
    <t>Sale commission cap</t>
  </si>
  <si>
    <t>Renderer rates</t>
  </si>
  <si>
    <t>Buy Parepet moulding</t>
  </si>
  <si>
    <t>Install Parepet</t>
  </si>
  <si>
    <t>Sub contract Painter rates</t>
  </si>
  <si>
    <t>10 litre</t>
  </si>
  <si>
    <t>per hour</t>
  </si>
  <si>
    <t>per minute</t>
  </si>
  <si>
    <t>Minute allicated for each item</t>
  </si>
  <si>
    <t>Paint per litre</t>
  </si>
  <si>
    <t>.25 Ltre</t>
  </si>
  <si>
    <t>.75 Ltre</t>
  </si>
  <si>
    <t>Decking oil</t>
  </si>
  <si>
    <t>Travel</t>
  </si>
  <si>
    <t>Labour</t>
  </si>
  <si>
    <t>Paint Turned Verandah Post                                          Each</t>
  </si>
  <si>
    <t>Finial                                                                               Each</t>
  </si>
  <si>
    <t>Gable  per square metre 3 coats                                  m2</t>
  </si>
  <si>
    <t>Skillion per square metre 3 coats                                  m2    Carport -Verandah -Signature range</t>
  </si>
  <si>
    <t>Paint open air pergolas 3 coats                                     m2</t>
  </si>
  <si>
    <t>Gable verandah box spout                                            L/m</t>
  </si>
  <si>
    <t>Fascia Board                                                    L/m</t>
  </si>
  <si>
    <t xml:space="preserve">Paint GL-13 beams </t>
  </si>
  <si>
    <t>Paint parapet mould</t>
  </si>
  <si>
    <t>Doors</t>
  </si>
  <si>
    <t>Entrance door and jam</t>
  </si>
  <si>
    <t>Aluminium sliding doors jam and arch</t>
  </si>
  <si>
    <t>Painting gates and fences</t>
  </si>
  <si>
    <t>Heritage  endfill                                                              Per Linial Metre</t>
  </si>
  <si>
    <t>Wire Hand Rail                                                               Per Linial Metre</t>
  </si>
  <si>
    <t>Timber Slates                                                                 Per Linial Metre</t>
  </si>
  <si>
    <t>Timber slates Stained Murbua                                       Per Linial Metre</t>
  </si>
  <si>
    <t>Paint ceiling                                                                   m2</t>
  </si>
  <si>
    <t>Paint internal wall including archs                                m2</t>
  </si>
  <si>
    <t>Eave lining upto 500 wide                                            L/m</t>
  </si>
  <si>
    <t>Render Painting</t>
  </si>
  <si>
    <t>Base Boards</t>
  </si>
  <si>
    <t>Deck Joist  sub frame not including deck</t>
  </si>
  <si>
    <t>Oil decking</t>
  </si>
  <si>
    <t>Paint plastic lattice screen surrounds                                         Each Screen</t>
  </si>
  <si>
    <t>Paint merbua screens frames                                                     Per Metre</t>
  </si>
  <si>
    <t>Paint frames &amp; oil murbu sreen                                                   Per Metre</t>
  </si>
  <si>
    <t>Prep and paint cement sheet                              m2</t>
  </si>
  <si>
    <t>Paint Duro grove per m2 coats</t>
  </si>
  <si>
    <t>Bulk heads, parapat wallsand Blueboard colyms                       Per metre</t>
  </si>
  <si>
    <t>TILING</t>
  </si>
  <si>
    <t>Tiling</t>
  </si>
  <si>
    <t>Floor tiling upto 900 x 900                              m2</t>
  </si>
  <si>
    <t>Wall tiling Standard</t>
  </si>
  <si>
    <t>Wall tiling Mosiac</t>
  </si>
  <si>
    <t>Lay 800 x 60 bluestone pavers Sawn                               m2</t>
  </si>
  <si>
    <t>Lay Copping pavers                                                        l/m</t>
  </si>
  <si>
    <t>Caulking</t>
  </si>
  <si>
    <t xml:space="preserve">Provisional sum for floor tiles </t>
  </si>
  <si>
    <t>HEBEL PANEL</t>
  </si>
  <si>
    <t>Hebel Panel</t>
  </si>
  <si>
    <t>Power panel 1800 x 600 x 75</t>
  </si>
  <si>
    <t>Power panel 2400 x 600 x 75</t>
  </si>
  <si>
    <t>Power panel 2700 x 600 x 75</t>
  </si>
  <si>
    <t>Power panel 3000 x 600 x 75</t>
  </si>
  <si>
    <t>Plumber rates</t>
  </si>
  <si>
    <t>Min Day  Plumber Labour hire                                      2 Men</t>
  </si>
  <si>
    <t>Plumber Minumum Hire                                                 2 Men</t>
  </si>
  <si>
    <t>Plumber labour                                                             2 Men</t>
  </si>
  <si>
    <t>Plumber Minumum Hire                                                 1 Men</t>
  </si>
  <si>
    <t>Return to site minimum</t>
  </si>
  <si>
    <t>Spouting labor</t>
  </si>
  <si>
    <t>To remove existing Spout</t>
  </si>
  <si>
    <t xml:space="preserve">Install Box spouting </t>
  </si>
  <si>
    <t>Install Box spouting up on solid wall</t>
  </si>
  <si>
    <t>Alfresco Box spout  200 x 75 x 75 including the 1st 90 x 45 batton</t>
  </si>
  <si>
    <t>Box Spout end Stop for Alfresco Box spouts</t>
  </si>
  <si>
    <t>Spouting per metre</t>
  </si>
  <si>
    <t>Spouting endstops</t>
  </si>
  <si>
    <t>Spouting corner brackets</t>
  </si>
  <si>
    <t>Squareline corner brackets</t>
  </si>
  <si>
    <t>Spout Hipp end Corner tapping fee</t>
  </si>
  <si>
    <t>Rain head tap in fee</t>
  </si>
  <si>
    <t>Down pipes labor</t>
  </si>
  <si>
    <r>
      <t xml:space="preserve">Downpipe For a </t>
    </r>
    <r>
      <rPr>
        <b/>
        <sz val="9"/>
        <rFont val="Arial"/>
        <family val="2"/>
      </rPr>
      <t xml:space="preserve">1.8m High  Eave </t>
    </r>
    <r>
      <rPr>
        <sz val="9"/>
        <rFont val="Arial"/>
        <family val="2"/>
      </rPr>
      <t xml:space="preserve">                                 (colourbond)</t>
    </r>
  </si>
  <si>
    <r>
      <t xml:space="preserve">Downpipe For a </t>
    </r>
    <r>
      <rPr>
        <b/>
        <sz val="9"/>
        <rFont val="Arial"/>
        <family val="2"/>
      </rPr>
      <t>3.0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</si>
  <si>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3.6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</si>
  <si>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4.2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</si>
  <si>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4.8 m high eave</t>
    </r>
    <r>
      <rPr>
        <sz val="9"/>
        <rFont val="Arial"/>
        <family val="2"/>
      </rPr>
      <t xml:space="preserve">                                   (colourbond)</t>
    </r>
  </si>
  <si>
    <t>Upgrade Down pipes labor</t>
  </si>
  <si>
    <t xml:space="preserve">Upgrade down pipe Labour                          No Eave </t>
  </si>
  <si>
    <t xml:space="preserve">Upgrade down pipe Labour                          With Eave </t>
  </si>
  <si>
    <t>FLASHING</t>
  </si>
  <si>
    <t>Flashing labor</t>
  </si>
  <si>
    <t>Install special barge flashings</t>
  </si>
  <si>
    <t>Install barge flashings</t>
  </si>
  <si>
    <r>
      <t xml:space="preserve">Spouting barge flashing       </t>
    </r>
    <r>
      <rPr>
        <b/>
        <sz val="8"/>
        <color indexed="10"/>
        <rFont val="Arial"/>
        <family val="2"/>
      </rPr>
      <t>for corrigated &amp; Grecca profile roofs 140 x 75</t>
    </r>
    <r>
      <rPr>
        <sz val="8"/>
        <rFont val="Arial"/>
        <family val="2"/>
      </rPr>
      <t xml:space="preserve">  </t>
    </r>
  </si>
  <si>
    <r>
      <t xml:space="preserve">Spouting barge flashing       </t>
    </r>
    <r>
      <rPr>
        <b/>
        <sz val="8"/>
        <color indexed="10"/>
        <rFont val="Arial"/>
        <family val="2"/>
      </rPr>
      <t>for trimdeck , 5rib &amp; cliplock</t>
    </r>
  </si>
  <si>
    <t>Step flashing on weather board wall</t>
  </si>
  <si>
    <t>Install Valley Flashing</t>
  </si>
  <si>
    <t>Install Gutter flashing</t>
  </si>
  <si>
    <t>Lead flashing</t>
  </si>
  <si>
    <t>Install a Apron flashing agaist a brick wall   Per Metre</t>
  </si>
  <si>
    <t>Alfresco Flashing labor</t>
  </si>
  <si>
    <t>Apron flashing under tile</t>
  </si>
  <si>
    <t>90 x 50 x 50 Barge capping</t>
  </si>
  <si>
    <t>Ridge capping labor</t>
  </si>
  <si>
    <t>Install ridge capping</t>
  </si>
  <si>
    <t>Install Ridge capes on Gazebo</t>
  </si>
  <si>
    <t>Install a cone ridge on a bullnose</t>
  </si>
  <si>
    <t>Stormwater labor</t>
  </si>
  <si>
    <t>Storm water location fee</t>
  </si>
  <si>
    <t>Dig &amp; lay stormwater pipe</t>
  </si>
  <si>
    <t>Storm water tank installation</t>
  </si>
  <si>
    <r>
      <t xml:space="preserve">Suspend Storm water under decking or House      </t>
    </r>
    <r>
      <rPr>
        <sz val="9"/>
        <color indexed="10"/>
        <rFont val="Arial"/>
        <family val="2"/>
      </rPr>
      <t>Per metre</t>
    </r>
  </si>
  <si>
    <t>Storm water pit 1000 x 1000x 1000</t>
  </si>
  <si>
    <t>Roofing labor</t>
  </si>
  <si>
    <r>
      <t xml:space="preserve">Install roof sheet  up        </t>
    </r>
    <r>
      <rPr>
        <b/>
        <sz val="9"/>
        <rFont val="Arial"/>
        <family val="2"/>
      </rPr>
      <t>5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</si>
  <si>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25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</si>
  <si>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30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</si>
  <si>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45   Degrees</t>
    </r>
    <r>
      <rPr>
        <sz val="9"/>
        <rFont val="Arial"/>
        <family val="2"/>
      </rPr>
      <t xml:space="preserve">                  metre square</t>
    </r>
  </si>
  <si>
    <t>Install Twin wall</t>
  </si>
  <si>
    <t>Install full poly roof</t>
  </si>
  <si>
    <t>Cut roof sheet</t>
  </si>
  <si>
    <t>Cut roof sheet on a hip                                                     Per metre</t>
  </si>
  <si>
    <t>Cut roof sheet on a Valley                                                Per Metre</t>
  </si>
  <si>
    <t>Install purlin tap</t>
  </si>
  <si>
    <t>Pull up pavers</t>
  </si>
  <si>
    <t>Installation of White goods labor</t>
  </si>
  <si>
    <t>Double Flu Range hood</t>
  </si>
  <si>
    <t>Plumbing Connections</t>
  </si>
  <si>
    <t>Gas roughin Min Hire</t>
  </si>
  <si>
    <t>Under slab Works</t>
  </si>
  <si>
    <t>Pic  certificate</t>
  </si>
  <si>
    <t>Storm water</t>
  </si>
  <si>
    <t>Machine hire min day hire</t>
  </si>
  <si>
    <t>Rough- In</t>
  </si>
  <si>
    <t xml:space="preserve">Rough in per point </t>
  </si>
  <si>
    <t>Fit Off</t>
  </si>
  <si>
    <t xml:space="preserve">Install Grecca or corricated polyend fill </t>
  </si>
  <si>
    <t>Roofing Compliance certificate</t>
  </si>
  <si>
    <t>Tap Relocation  Jim plumbing service</t>
  </si>
  <si>
    <t>Carpenter rates</t>
  </si>
  <si>
    <t>Min Day  Carpenter Labour hire</t>
  </si>
  <si>
    <t>Carpenter Minumum Hire                               2 man</t>
  </si>
  <si>
    <t>Carpenter minumum  Day  Hire                     1 man</t>
  </si>
  <si>
    <t>Carpenter per hour Labour Rate  x 2 men</t>
  </si>
  <si>
    <t>Carpenter per hour Labour Rate  x 1 men</t>
  </si>
  <si>
    <t>Minimum hire for gate &amp; fences</t>
  </si>
  <si>
    <t>Minimum Hire to return to site to install 40 x 19 cornice</t>
  </si>
  <si>
    <t>Labour to remove existing     Per Square Metre</t>
  </si>
  <si>
    <t>Labour to remove decking</t>
  </si>
  <si>
    <t>Labour to remove Eave for alfrescos</t>
  </si>
  <si>
    <t>Installing Post</t>
  </si>
  <si>
    <t>Install post &amp; Decking handrail post    90,110 &amp; 125mm</t>
  </si>
  <si>
    <t>Install post &amp; Decking handrail post    140 mm upto 3.6</t>
  </si>
  <si>
    <t>Install post &amp; Decking handrail post    190mm upto 3.6</t>
  </si>
  <si>
    <t xml:space="preserve">Install Stumps </t>
  </si>
  <si>
    <t>Install Gal post for high decks and verandahs</t>
  </si>
  <si>
    <t>Install Column</t>
  </si>
  <si>
    <t xml:space="preserve">Install Exsteda bracket  </t>
  </si>
  <si>
    <t>Nibb post on the wall</t>
  </si>
  <si>
    <t>Box Spouting Labour</t>
  </si>
  <si>
    <t>Install extended facia bracket for box spout detail</t>
  </si>
  <si>
    <t>Install box spout</t>
  </si>
  <si>
    <t>Install box spout onto wall</t>
  </si>
  <si>
    <t xml:space="preserve">Istall box spout when removing house spouting </t>
  </si>
  <si>
    <t>Individual Items installation</t>
  </si>
  <si>
    <t>Install Fascia board on end fill                                           Per Metre</t>
  </si>
  <si>
    <t>Replace Fascia board on Fasica                                       Per Metre</t>
  </si>
  <si>
    <t>Replace Fascia inclosed box spouts                                 Per Metre</t>
  </si>
  <si>
    <t>Install Timber Tie Beams</t>
  </si>
  <si>
    <t>Install Steel Collar tie</t>
  </si>
  <si>
    <t>Install octagnal fascia bracket</t>
  </si>
  <si>
    <t>SHADECLOTH</t>
  </si>
  <si>
    <t>Install shadeclothe</t>
  </si>
  <si>
    <t>Install shade batten</t>
  </si>
  <si>
    <t>Install graded batten</t>
  </si>
  <si>
    <t>Install Pine Lining                                                                Per square metre</t>
  </si>
  <si>
    <t>Install Cement sheet Ceiling                                                Per Metre</t>
  </si>
  <si>
    <t>Octaganal Cut out on Straight Gable                                  Large</t>
  </si>
  <si>
    <t>Octaganal Cut out on Straight Gable                                  Small</t>
  </si>
  <si>
    <t>Install main beams</t>
  </si>
  <si>
    <t>Install Ridge beams</t>
  </si>
  <si>
    <t>Install Laminated Beams</t>
  </si>
  <si>
    <t>Install graded batton for Alfrescos</t>
  </si>
  <si>
    <t>Install Fascia cleat</t>
  </si>
  <si>
    <t>Install Batten &amp; Endfill</t>
  </si>
  <si>
    <t>Installing Fret work &amp; Finials</t>
  </si>
  <si>
    <t>Install heritage endfill</t>
  </si>
  <si>
    <t>Install frete work</t>
  </si>
  <si>
    <t>Instal post corner Bracket</t>
  </si>
  <si>
    <t>Install post Bottom fret work</t>
  </si>
  <si>
    <t>Install finials</t>
  </si>
  <si>
    <t>Install Beading</t>
  </si>
  <si>
    <t>Install 40 x 19 Beading</t>
  </si>
  <si>
    <t>Installing Cement endfills</t>
  </si>
  <si>
    <t>Install cement sheet                                                         Per End Fill</t>
  </si>
  <si>
    <t>Install cement sheet per end Over 6m gable                   Per End fill</t>
  </si>
  <si>
    <t>Install Cement sheet per metre for walls</t>
  </si>
  <si>
    <t>Install Walls &amp; Ceilings</t>
  </si>
  <si>
    <t>Install cement sheet ceiling per metre</t>
  </si>
  <si>
    <t>Installing ceiling battons</t>
  </si>
  <si>
    <t>Install stucco</t>
  </si>
  <si>
    <r>
      <t xml:space="preserve">Install blue baord                                                                                   </t>
    </r>
    <r>
      <rPr>
        <b/>
        <sz val="8"/>
        <rFont val="Arial"/>
        <family val="2"/>
      </rPr>
      <t>Per square metre</t>
    </r>
  </si>
  <si>
    <t>Install blue board              Single story walls</t>
  </si>
  <si>
    <t>Install blue board for single story walls and heater box</t>
  </si>
  <si>
    <t>Stopping up blue board for render paint</t>
  </si>
  <si>
    <r>
      <t xml:space="preserve">Install Cement  sheet wood grain &amp; Baltic pine Weather Boards         </t>
    </r>
    <r>
      <rPr>
        <b/>
        <sz val="8"/>
        <rFont val="Arial"/>
        <family val="2"/>
      </rPr>
      <t>Per square metre</t>
    </r>
  </si>
  <si>
    <t>Frame for murbua screens</t>
  </si>
  <si>
    <t>Install a stud wall per metre</t>
  </si>
  <si>
    <t xml:space="preserve">Frame and blue board clad up heater box </t>
  </si>
  <si>
    <t>Install a stud wall frame for a seat</t>
  </si>
  <si>
    <r>
      <t xml:space="preserve">Install blue board bulk head frame and blue board                               </t>
    </r>
    <r>
      <rPr>
        <b/>
        <sz val="8"/>
        <rFont val="Arial"/>
        <family val="2"/>
      </rPr>
      <t xml:space="preserve"> Per Metre</t>
    </r>
  </si>
  <si>
    <r>
      <t xml:space="preserve">Install blue board column Framed and blue board                                 </t>
    </r>
    <r>
      <rPr>
        <b/>
        <sz val="8"/>
        <rFont val="Arial"/>
        <family val="2"/>
      </rPr>
      <t>Each</t>
    </r>
  </si>
  <si>
    <t xml:space="preserve">Install Hardies Durogroove </t>
  </si>
  <si>
    <t>Install Hardie / Durogroove per sheet</t>
  </si>
  <si>
    <t>Install Hardie / Durogroove Horizontal flashing               3m length</t>
  </si>
  <si>
    <t>Install Hardie / Durogroove Corner  Flashing                    3m length</t>
  </si>
  <si>
    <t>Install Hardies base edge trim with Matrix cavity vent strip     L/M</t>
  </si>
  <si>
    <t>Install Hardies Cavity Batten 18 x 70 x 3m                              Each</t>
  </si>
  <si>
    <t>Install Hardies Wrap weather barrier 2.75 high                                          L/M</t>
  </si>
  <si>
    <t>Install Hebel panel   Upto 3 metre each</t>
  </si>
  <si>
    <t xml:space="preserve">Install handrails </t>
  </si>
  <si>
    <t>Install ballastrade handrail</t>
  </si>
  <si>
    <t>Instal wire handrail</t>
  </si>
  <si>
    <t>Instal wire handrail timber top plate</t>
  </si>
  <si>
    <t>Labour per number of runs</t>
  </si>
  <si>
    <t xml:space="preserve">Install Gates </t>
  </si>
  <si>
    <t>Install gate with pickets</t>
  </si>
  <si>
    <t>Install picket fence per metre</t>
  </si>
  <si>
    <t>Gate Self Closing hinges and pool latche</t>
  </si>
  <si>
    <t>Install Door Jams</t>
  </si>
  <si>
    <r>
      <t xml:space="preserve">Install  MDFDJ120 MDF Door Jam 120mm                   </t>
    </r>
    <r>
      <rPr>
        <b/>
        <sz val="8"/>
        <color rgb="FFFF0000"/>
        <rFont val="Arial"/>
        <family val="2"/>
      </rPr>
      <t>MDF</t>
    </r>
  </si>
  <si>
    <t>Install Timber &amp; Cavity Doors</t>
  </si>
  <si>
    <t>Hang external door including door furniture</t>
  </si>
  <si>
    <t>Hang internal door including Archs /fit door furniture</t>
  </si>
  <si>
    <t>Install Cavity slider frame</t>
  </si>
  <si>
    <t>Cut in 600 x 600 man hole with Meliamine cover</t>
  </si>
  <si>
    <t>Install Aluminium doors</t>
  </si>
  <si>
    <t>Install Alluminium Sliding door</t>
  </si>
  <si>
    <t xml:space="preserve">Install Alluminium multi stack door </t>
  </si>
  <si>
    <t>Install Bi fold Doors</t>
  </si>
  <si>
    <t>Install Bifold doors when lintal work is required</t>
  </si>
  <si>
    <t>Install Window rates</t>
  </si>
  <si>
    <r>
      <t xml:space="preserve">Install </t>
    </r>
    <r>
      <rPr>
        <b/>
        <sz val="8"/>
        <color rgb="FFFF0000"/>
        <rFont val="Arial"/>
        <family val="2"/>
      </rPr>
      <t>timber</t>
    </r>
    <r>
      <rPr>
        <sz val="8"/>
        <rFont val="Arial"/>
        <family val="2"/>
      </rPr>
      <t xml:space="preserve"> window Plum -Flash under 1.2wide</t>
    </r>
  </si>
  <si>
    <r>
      <t xml:space="preserve">Install </t>
    </r>
    <r>
      <rPr>
        <b/>
        <sz val="8"/>
        <color rgb="FFFF0000"/>
        <rFont val="Arial"/>
        <family val="2"/>
      </rPr>
      <t xml:space="preserve">timber </t>
    </r>
    <r>
      <rPr>
        <sz val="8"/>
        <rFont val="Arial"/>
        <family val="2"/>
      </rPr>
      <t>window Plum -Flash over 1.2 wide</t>
    </r>
  </si>
  <si>
    <r>
      <t xml:space="preserve">Install </t>
    </r>
    <r>
      <rPr>
        <b/>
        <sz val="8"/>
        <color rgb="FFFF0000"/>
        <rFont val="Arial"/>
        <family val="2"/>
      </rPr>
      <t>Aluminium</t>
    </r>
    <r>
      <rPr>
        <sz val="8"/>
        <rFont val="Arial"/>
        <family val="2"/>
      </rPr>
      <t xml:space="preserve"> window Plum -Flash unto 2.7 wide</t>
    </r>
  </si>
  <si>
    <r>
      <t>Install</t>
    </r>
    <r>
      <rPr>
        <b/>
        <sz val="8"/>
        <color rgb="FFFF0000"/>
        <rFont val="Arial"/>
        <family val="2"/>
      </rPr>
      <t xml:space="preserve"> Aluminium</t>
    </r>
    <r>
      <rPr>
        <sz val="8"/>
        <rFont val="Arial"/>
        <family val="2"/>
      </rPr>
      <t xml:space="preserve"> window Plum -Flash over 2.7 wide</t>
    </r>
  </si>
  <si>
    <t>Install Window/ Door removal</t>
  </si>
  <si>
    <r>
      <t xml:space="preserve">Remove Window/ Door </t>
    </r>
    <r>
      <rPr>
        <b/>
        <sz val="8"/>
        <color rgb="FFFF0000"/>
        <rFont val="Arial"/>
        <family val="2"/>
      </rPr>
      <t>UNDER</t>
    </r>
    <r>
      <rPr>
        <sz val="8"/>
        <rFont val="Arial"/>
        <family val="2"/>
      </rPr>
      <t xml:space="preserve"> 1.2 wide</t>
    </r>
  </si>
  <si>
    <r>
      <t xml:space="preserve">Remove Window/ Door </t>
    </r>
    <r>
      <rPr>
        <b/>
        <sz val="8"/>
        <color rgb="FFFF0000"/>
        <rFont val="Arial"/>
        <family val="2"/>
      </rPr>
      <t>OVER</t>
    </r>
    <r>
      <rPr>
        <sz val="8"/>
        <rFont val="Arial"/>
        <family val="2"/>
      </rPr>
      <t xml:space="preserve"> 1.2 wide</t>
    </r>
  </si>
  <si>
    <t>Skylights  1800 x 900 Garron Skylights</t>
  </si>
  <si>
    <t>Single Assembled 820 Meranti with sill door jam</t>
  </si>
  <si>
    <t>Double Assembled 1640 Meranti with sill door jam</t>
  </si>
  <si>
    <t>Duro Coat 820  1/2 glass Laundry door</t>
  </si>
  <si>
    <t>Updated 10/9/2021</t>
  </si>
  <si>
    <t>Solid Per 820 external door</t>
  </si>
  <si>
    <t>Entrance set</t>
  </si>
  <si>
    <t>Flush stop and hinge</t>
  </si>
  <si>
    <t>Install 2400 x 1200 custom Screen including beading</t>
  </si>
  <si>
    <t>Insatll skirt and Arch</t>
  </si>
  <si>
    <t>Install door arc</t>
  </si>
  <si>
    <t>Install    Single Door Jam &amp; Door</t>
  </si>
  <si>
    <t>Install  Double  Door Jam &amp; Door</t>
  </si>
  <si>
    <t>Install Roller and Panel door Jam</t>
  </si>
  <si>
    <t>Install  Plastic vent</t>
  </si>
  <si>
    <t>Rafter Labour</t>
  </si>
  <si>
    <t>skillion 1.2 to 2.3</t>
  </si>
  <si>
    <t>skillion 2.4 to 3.6</t>
  </si>
  <si>
    <t>skillion 3.7 to 4.2</t>
  </si>
  <si>
    <t>if</t>
  </si>
  <si>
    <t>skillion 4.3 to 6</t>
  </si>
  <si>
    <t>Install Gable rafters 3 to 4.2 Meter Width</t>
  </si>
  <si>
    <t>Install Gable rafters 4.8 to 6 Meter Width</t>
  </si>
  <si>
    <t>Install Gable rafters  6.6 to 7.2 Meter Width</t>
  </si>
  <si>
    <t>Install Ridges on a Gazebo</t>
  </si>
  <si>
    <t>Install hipps and valley</t>
  </si>
  <si>
    <t>Hockey stick rafter</t>
  </si>
  <si>
    <t>Install Truss roof pitch under 25 degree</t>
  </si>
  <si>
    <t>Install Truss roof m2</t>
  </si>
  <si>
    <r>
      <t xml:space="preserve">Standard </t>
    </r>
    <r>
      <rPr>
        <b/>
        <sz val="8"/>
        <color indexed="10"/>
        <rFont val="Arial"/>
        <family val="2"/>
      </rPr>
      <t xml:space="preserve">3.6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</si>
  <si>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4.2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</si>
  <si>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4.8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</si>
  <si>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5.4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</si>
  <si>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6.0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</si>
  <si>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6.6 metre </t>
    </r>
    <r>
      <rPr>
        <sz val="8"/>
        <rFont val="Arial"/>
        <family val="2"/>
      </rPr>
      <t>wide Truss @22.5 Degree</t>
    </r>
  </si>
  <si>
    <t>Special Labour Items</t>
  </si>
  <si>
    <t>Laminated beam Allowance</t>
  </si>
  <si>
    <t>Bearer Labour</t>
  </si>
  <si>
    <t>Install Bearer onto concrete slab</t>
  </si>
  <si>
    <t>Install Internal bearers                                              Per Metre</t>
  </si>
  <si>
    <t>Install190 external bearer with joist hanger brackets  bearers                                    Per Metre</t>
  </si>
  <si>
    <t>Wall Cleats labour</t>
  </si>
  <si>
    <t>Install wall cleat</t>
  </si>
  <si>
    <t>Joist bracket on wall cleat</t>
  </si>
  <si>
    <t>Joist instalation Labour</t>
  </si>
  <si>
    <t>Install joist continious span</t>
  </si>
  <si>
    <t>Install joist single span</t>
  </si>
  <si>
    <t>Base Board Installation Labour</t>
  </si>
  <si>
    <t xml:space="preserve">Install 150 x 25 trated pine base boards </t>
  </si>
  <si>
    <t>Decking &amp; Flooring Installation Labour</t>
  </si>
  <si>
    <t>Install 70 &amp; 90 mm wide decking</t>
  </si>
  <si>
    <t>Install Modwood Decking</t>
  </si>
  <si>
    <t>Screw down decking per metre</t>
  </si>
  <si>
    <t>Pre drilling &amp; Hand nailing</t>
  </si>
  <si>
    <t xml:space="preserve">Install nail free decking </t>
  </si>
  <si>
    <t>18 mm compressed sheeting</t>
  </si>
  <si>
    <t>Install Yellow tongue</t>
  </si>
  <si>
    <t>Install steps</t>
  </si>
  <si>
    <t>600 mm high</t>
  </si>
  <si>
    <t>1200 mm high</t>
  </si>
  <si>
    <t>Install Murbua board steps</t>
  </si>
  <si>
    <t xml:space="preserve">Install Farcard </t>
  </si>
  <si>
    <t>Decking Height allowances</t>
  </si>
  <si>
    <t xml:space="preserve">Bin Hire </t>
  </si>
  <si>
    <t>Asbestos removal</t>
  </si>
  <si>
    <t>Misalanious materials</t>
  </si>
  <si>
    <t>Sectional Doors</t>
  </si>
  <si>
    <t>Aluminium Multi stack doors</t>
  </si>
  <si>
    <t xml:space="preserve">MSD 2400 x 5310 </t>
  </si>
  <si>
    <t>MSD 2400 x 4800</t>
  </si>
  <si>
    <t>MSD 2400 x 4500</t>
  </si>
  <si>
    <t>MSD 2400 x 4200</t>
  </si>
  <si>
    <t>MSD 2400 x 3615</t>
  </si>
  <si>
    <t>MSD 2400 x 3174</t>
  </si>
  <si>
    <t>MSD 2400 x 2715</t>
  </si>
  <si>
    <t>MSD 2400 x 2404</t>
  </si>
  <si>
    <t>Aluminum Sliding Doors</t>
  </si>
  <si>
    <t>SD 2400 x 4196</t>
  </si>
  <si>
    <t>SD 2400 x 3584  4 Lite</t>
  </si>
  <si>
    <t>SD 2400 x 3615  3 Lite</t>
  </si>
  <si>
    <t>SD 2400 x 3174</t>
  </si>
  <si>
    <t>SD 2400 x 2715</t>
  </si>
  <si>
    <t>SD 2400 x 2110</t>
  </si>
  <si>
    <t>SD 2400 x 1804</t>
  </si>
  <si>
    <t>Alumimum French Doors</t>
  </si>
  <si>
    <t>AFD 2100 x   850</t>
  </si>
  <si>
    <t>AFD 2100 x 1290</t>
  </si>
  <si>
    <t>AFD 2100 x 1490</t>
  </si>
  <si>
    <t>AFD 2100 x 1690</t>
  </si>
  <si>
    <t xml:space="preserve">Alumimum sliding Windows </t>
  </si>
  <si>
    <t>SW 2100 x   910</t>
  </si>
  <si>
    <t>SW 2100 x 1210</t>
  </si>
  <si>
    <t>SW 2100 x 1510</t>
  </si>
  <si>
    <t>SW 2100 x 1810</t>
  </si>
  <si>
    <t>SW 2100 x 2110</t>
  </si>
  <si>
    <t>SW 2100 x 2410</t>
  </si>
  <si>
    <t>SW 2100 x 2710</t>
  </si>
  <si>
    <t>SW 2100 x 3010</t>
  </si>
  <si>
    <t>SW 2400 x   910</t>
  </si>
  <si>
    <t>Hourly rte</t>
  </si>
  <si>
    <t>Brick rate - Client supplies Sand Cement Lime wall ties ETC</t>
  </si>
  <si>
    <t>Brick rate - any brick work over 3.6m high</t>
  </si>
  <si>
    <t>Sills - Per metre</t>
  </si>
  <si>
    <t>Piers - Per Metre</t>
  </si>
  <si>
    <t>Stiffining Piers per metre</t>
  </si>
  <si>
    <t>Install - Door frame</t>
  </si>
  <si>
    <t>Install gables</t>
  </si>
  <si>
    <t>Category</t>
  </si>
  <si>
    <t>Column</t>
  </si>
  <si>
    <t>PROFFESIONAL ADVISORS</t>
  </si>
  <si>
    <t>Subcategory.1</t>
  </si>
  <si>
    <t>Subcategory.3</t>
  </si>
  <si>
    <t>Subcategory.5</t>
  </si>
  <si>
    <t>Subcategory.7</t>
  </si>
  <si>
    <t>Subcategory.9</t>
  </si>
  <si>
    <t>Subcategory.11</t>
  </si>
  <si>
    <t>Subcategory.13</t>
  </si>
  <si>
    <t>Subcategory.15</t>
  </si>
  <si>
    <t>Subcategory.17</t>
  </si>
  <si>
    <t>Subcategory.19</t>
  </si>
  <si>
    <t>Subcategory.21</t>
  </si>
  <si>
    <t>Subcategory.23</t>
  </si>
  <si>
    <t>Subcategory.25</t>
  </si>
  <si>
    <t>Subcategory.27</t>
  </si>
  <si>
    <t>Subcategory.29</t>
  </si>
  <si>
    <t>Subcategory.31</t>
  </si>
  <si>
    <t>Subcategory.33</t>
  </si>
  <si>
    <t>Subcategory.35</t>
  </si>
  <si>
    <t>LVL 140 x 45           Max span @900 centres for Sheet &amp; Ceiling is 3600</t>
  </si>
  <si>
    <t>LVL 170 x 45           Max span @900 centres for Sheet &amp; Ceiling is 4400</t>
  </si>
  <si>
    <t>LVL 190 x 45           Max span @900 centres for Sheet &amp; Ceiling is 4900</t>
  </si>
  <si>
    <t>LVL 240 x 45           Max span @900 centres for Sheet &amp; Ceiling is 6100</t>
  </si>
  <si>
    <t>LVL 300 x 45           Max span @900 centres for Sheet &amp; Ceiling is 7200</t>
  </si>
  <si>
    <t>DFEMS00820 External door frames with sills                            Meranti (Assembled)</t>
  </si>
  <si>
    <t>MDFDJ120 MDF Internal Door Jam 120mm                                MDF</t>
  </si>
  <si>
    <t>RMD2040820 Redicote Mas door 720                 ( Plain Face)</t>
  </si>
  <si>
    <t>RMD2040820 Redicote Mas door 770                 ( Plain Face)</t>
  </si>
  <si>
    <t>RMD2040820 Redicote Mas door 820                 ( Plain Face)</t>
  </si>
  <si>
    <t>FD2040520 Fashion door 620                            ( Oakfield )</t>
  </si>
  <si>
    <t>FD2040520 Fashion door 720                            ( Oakfield )</t>
  </si>
  <si>
    <t>FD2040520 Fashion door 770                            ( Oakfield )</t>
  </si>
  <si>
    <t>FD2040520 Fashion door 820                            ( Oakfield )</t>
  </si>
  <si>
    <t>FD2040520 Fashion door 920                            ( Oakfield )</t>
  </si>
  <si>
    <t xml:space="preserve">Barge flashing Colourbond   for corrigated &amp; Grecca profile roofs 140 x 75                </t>
  </si>
  <si>
    <t>Barge flashing Colourbond   for trimdeck , 5rib &amp; cliplock</t>
  </si>
  <si>
    <t xml:space="preserve"> Internal Tappered barge flashing      SEE PHOTO      350g x 2 fold     </t>
  </si>
  <si>
    <t>Spouting barge flashing for graded battons for Trimdeck, 5 Rib &amp; Cliplock profiles</t>
  </si>
  <si>
    <t>A/c spouting flashing                                                50x30x50</t>
  </si>
  <si>
    <t>Step flashing on weather board walls                                 300 x 140 2 fold</t>
  </si>
  <si>
    <t>Gutter SPLASH BACK flashing for gables attached to houses only</t>
  </si>
  <si>
    <t>Timber capping flashing 75 x 45 x 45                                       SEE PHOTO</t>
  </si>
  <si>
    <t>Rainhead  Square              240 x 180 x 175          (colourbond)</t>
  </si>
  <si>
    <t>Rainhead  Dam Buster         (colourbond)</t>
  </si>
  <si>
    <t>450 round plastic vent                                                  PER END</t>
  </si>
  <si>
    <t>550 round plastic vent                                                  PER END</t>
  </si>
  <si>
    <t>450 x 600 Retangle  plastic vent                                PER END</t>
  </si>
  <si>
    <t>Downpipe For a 1.8m High  Eave                                  (colourbond)</t>
  </si>
  <si>
    <t>Downpipe For a 3.0 m high eave                                   (colourbond)</t>
  </si>
  <si>
    <t>Downpipe For a 3.6 m high eave                                   (colourbond)</t>
  </si>
  <si>
    <t>Downpipe For a 4.2 m high eave                                   (colourbond)</t>
  </si>
  <si>
    <t>Downpipe For a 4.8 m high eave                                   (colourbond)</t>
  </si>
  <si>
    <t xml:space="preserve">Spouting barge flashing       for corrigated &amp; Grecca profile roofs 140 x 75  </t>
  </si>
  <si>
    <t>Spouting barge flashing       for trimdeck , 5rib &amp; cliplock</t>
  </si>
  <si>
    <t>Suspend Storm water under decking or House      Per metre</t>
  </si>
  <si>
    <t>Install blue baord                                                                                   Per square metre</t>
  </si>
  <si>
    <t>Install Cement  sheet wood grain &amp; Baltic pine Weather Boards         Per square metre</t>
  </si>
  <si>
    <t>Install blue board bulk head frame and blue board                                Per Metre</t>
  </si>
  <si>
    <t>Install blue board column Framed and blue board                                 Each</t>
  </si>
  <si>
    <t>Install  MDFDJ120 MDF Door Jam 120mm                   MDF</t>
  </si>
  <si>
    <t>Install timber window Plum -Flash under 1.2wide</t>
  </si>
  <si>
    <t>Install timber window Plum -Flash over 1.2 wide</t>
  </si>
  <si>
    <t>Install Aluminium window Plum -Flash unto 2.7 wide</t>
  </si>
  <si>
    <t>Install Aluminium window Plum -Flash over 2.7 wide</t>
  </si>
  <si>
    <t>Remove Window/ Door UNDER 1.2 wide</t>
  </si>
  <si>
    <t>Remove Window/ Door OVER 1.2 wide</t>
  </si>
  <si>
    <t>Standard 3.6 metre wide Truss @22.5 Degree</t>
  </si>
  <si>
    <t>Standard 4.2 metre wide Truss @22.5 Degree</t>
  </si>
  <si>
    <t>Standard 4.8 metre wide Truss @22.5 Degree</t>
  </si>
  <si>
    <t>Standard 5.4 metre wide Truss @22.5 Degree</t>
  </si>
  <si>
    <t>Standard 6.0 metre wide Truss @22.5 Degree</t>
  </si>
  <si>
    <t>Standard 6.6 metre wide Truss @22.5 Degree</t>
  </si>
  <si>
    <t>252 x 60         at 2.4 m spacing can span 6.2m</t>
  </si>
  <si>
    <t>Open pergola  per square metre 3 coats m2</t>
  </si>
  <si>
    <t>Projects with Twinwall roofing m2</t>
  </si>
  <si>
    <t>Paint Plain Verandah Post Each</t>
  </si>
  <si>
    <t>Paint Turned Verandah Post Each</t>
  </si>
  <si>
    <t>Finial Each</t>
  </si>
  <si>
    <t>Gable  per square metre 3 coats m2</t>
  </si>
  <si>
    <t>Skillion per square metre 3 coats m2</t>
  </si>
  <si>
    <t>Balustrade handrail &amp; frete lm</t>
  </si>
  <si>
    <t>Heritage  endfill lm</t>
  </si>
  <si>
    <t>Wire Hand Rail lm</t>
  </si>
  <si>
    <t>Timber Slatts lm</t>
  </si>
  <si>
    <t>Timber slats Stained Murbua lm</t>
  </si>
  <si>
    <t>Paint ceiling m2</t>
  </si>
  <si>
    <t>Paint walls</t>
  </si>
  <si>
    <t>Paint plastic lattice screen surrounds Each</t>
  </si>
  <si>
    <t>Merbua screens with frame and oiling both sides lm</t>
  </si>
  <si>
    <t>Decking Oil m2</t>
  </si>
  <si>
    <t>Bulk heads, parapat walls and Blueboard columns</t>
  </si>
  <si>
    <t>3 Metre Bin Hire</t>
  </si>
  <si>
    <t>8 Metre Bin Hire</t>
  </si>
  <si>
    <t>table_prices_header.Category</t>
  </si>
  <si>
    <t>Category.get</t>
  </si>
  <si>
    <t>prices.Subcategory</t>
  </si>
  <si>
    <t>prices.Item Description</t>
  </si>
  <si>
    <t>Footing Labour for          450 x 450 x 800 Deep  Hand Dig (30 min)</t>
  </si>
  <si>
    <t>Footing Labour for Machine-Assisted Holes Cleanup 450 x 450 x 1000 (100 mm pad) (10 min)</t>
  </si>
  <si>
    <t>Footing Labour for Machine-Assisted Holes Cleanup 450 x 450 x 1200 (100 mm pad) (10 min)</t>
  </si>
  <si>
    <t>Footing Labour for Machine-Assisted Holes Cleanup 450 x 450 x 1500 (100 mm pad) (10 min)</t>
  </si>
  <si>
    <t>Footing Labour for Machine-Assisted Holes Cleanup 450 x 450 x 2000 (100 mm pad) (10 min)</t>
  </si>
  <si>
    <t>Order</t>
  </si>
  <si>
    <t>Dropdown_helper</t>
  </si>
  <si>
    <t>450 x 450 x 1000 (round)</t>
  </si>
  <si>
    <t>450 x 450 x 1200 (round)</t>
  </si>
  <si>
    <t>450 x 450 x 1500 (round)</t>
  </si>
  <si>
    <t>450 x 450 x 1800 (round)</t>
  </si>
  <si>
    <t>Footing Labour for Machine-Assisted Holes Cleanup 450 x 450 x 1800 (100 mm pad) (10 min)</t>
  </si>
  <si>
    <t>450 x 450 x 2000 (round)</t>
  </si>
  <si>
    <t>450 x 450 x 800  (square)</t>
  </si>
  <si>
    <t>Footing Labour for          600 x 600 x 800 Deep  Hand Dig (60 min)</t>
  </si>
  <si>
    <t>600 x 600 x 800  (square)</t>
  </si>
  <si>
    <t>Footing dig labour</t>
  </si>
  <si>
    <t>bin permit</t>
  </si>
  <si>
    <t>Tip Fee</t>
  </si>
  <si>
    <t>6 Metre Bin Hire</t>
  </si>
  <si>
    <t>Scaffold Hire</t>
  </si>
  <si>
    <t xml:space="preserve">Scaffold hire  Minimum 2 Day      6 x 6  x  </t>
  </si>
  <si>
    <t xml:space="preserve">Scaffold hire Per day       </t>
  </si>
  <si>
    <t>Guard Rail Hire                   25 m minumin hie</t>
  </si>
  <si>
    <t>Guard rail Hire                   per metre</t>
  </si>
  <si>
    <t xml:space="preserve">LDWP Work platform          20 m Minimum      </t>
  </si>
  <si>
    <t>Deliveries  ( metro area )</t>
  </si>
  <si>
    <t>Girni lift</t>
  </si>
  <si>
    <t>400 mm high</t>
  </si>
  <si>
    <t>800 mm high</t>
  </si>
  <si>
    <t>1400 mm high</t>
  </si>
  <si>
    <t>1600 mm high</t>
  </si>
  <si>
    <t>1800 mm high</t>
  </si>
  <si>
    <t xml:space="preserve"> 2000 mm high</t>
  </si>
  <si>
    <t xml:space="preserve"> 2200 mm high</t>
  </si>
  <si>
    <t xml:space="preserve"> 2400 mm high</t>
  </si>
  <si>
    <t>Retail Price</t>
  </si>
  <si>
    <t>Markup Rate</t>
  </si>
  <si>
    <t>Total.Dimension</t>
  </si>
  <si>
    <t>Hire bin</t>
  </si>
  <si>
    <t>Mini dingo</t>
  </si>
  <si>
    <t>prices.Retail Price</t>
  </si>
  <si>
    <t>Item Description.0</t>
  </si>
  <si>
    <t>Item Description.1</t>
  </si>
  <si>
    <t>Item Description.2</t>
  </si>
  <si>
    <t>Item Description.3</t>
  </si>
  <si>
    <t>Item Description.4</t>
  </si>
  <si>
    <t>Item Description.5</t>
  </si>
  <si>
    <t>Item Description.6</t>
  </si>
  <si>
    <t>Item Description.7</t>
  </si>
  <si>
    <t>Item Description.8</t>
  </si>
  <si>
    <t>Item Description.9</t>
  </si>
  <si>
    <t>Item Description.10</t>
  </si>
  <si>
    <t>Item Description.11</t>
  </si>
  <si>
    <t>Item Description.12</t>
  </si>
  <si>
    <t>Item Description.13</t>
  </si>
  <si>
    <t>Item Description.14</t>
  </si>
  <si>
    <t>Item Description.15</t>
  </si>
  <si>
    <t>Item Description.16</t>
  </si>
  <si>
    <t>Item Description.17</t>
  </si>
  <si>
    <t>Item Description.18</t>
  </si>
  <si>
    <t>Item Description.19</t>
  </si>
  <si>
    <t>Item Description.20</t>
  </si>
  <si>
    <t>Item Description.21</t>
  </si>
  <si>
    <t>Item Description.22</t>
  </si>
  <si>
    <t>Item Description.23</t>
  </si>
  <si>
    <t>Item Description.24</t>
  </si>
  <si>
    <t>Item Description.25</t>
  </si>
  <si>
    <t>Item Description.26</t>
  </si>
  <si>
    <t>Item Description.27</t>
  </si>
  <si>
    <t>Item Description.28</t>
  </si>
  <si>
    <t>Item Description.29</t>
  </si>
  <si>
    <t>Item Description.31</t>
  </si>
  <si>
    <t>Item Description.33</t>
  </si>
  <si>
    <t>Item Description.35</t>
  </si>
  <si>
    <t>Item Description.37</t>
  </si>
  <si>
    <t>Item Description.39</t>
  </si>
  <si>
    <t>Item Description.41</t>
  </si>
  <si>
    <t>Item Description.43</t>
  </si>
  <si>
    <t>Item Description.45</t>
  </si>
  <si>
    <t>Item Description.47</t>
  </si>
  <si>
    <t>Item Description.49</t>
  </si>
  <si>
    <t>Extended Fascia Bracket  Heavy Duty</t>
  </si>
  <si>
    <t>Install roof sheet  up        5    Degrees                 metre square</t>
  </si>
  <si>
    <t>Install roof sheet  up       25    Degrees                 metre square</t>
  </si>
  <si>
    <t>Install roof sheet  up       30    Degrees                 metre square</t>
  </si>
  <si>
    <t>Install roof sheet  up       45   Degrees                  metre square</t>
  </si>
  <si>
    <t>Type.display</t>
  </si>
  <si>
    <t>Engineering - Soil report</t>
  </si>
  <si>
    <t>Normal</t>
  </si>
  <si>
    <t>366 x 60         at 2.4 m spacing can span 7.4m</t>
  </si>
  <si>
    <t>333 x 60         at 2.4 m spacing can span 6.8m</t>
  </si>
  <si>
    <t>294 x 60         at 2.4 m spacing can span 6.2m</t>
  </si>
  <si>
    <t>400 x 60         at 2.4 m spacing can span 7.4m</t>
  </si>
  <si>
    <t>ID</t>
  </si>
  <si>
    <t>Paint Calculator</t>
  </si>
  <si>
    <t>Soil Calculator</t>
  </si>
  <si>
    <t>Concrete Calculator</t>
  </si>
  <si>
    <t>Additional Information</t>
  </si>
  <si>
    <t>prices.Additional Information</t>
  </si>
  <si>
    <t>21.19</t>
  </si>
  <si>
    <t>9.7199999999999989</t>
  </si>
  <si>
    <t>2.88</t>
  </si>
  <si>
    <t>3.5999999999999996</t>
  </si>
  <si>
    <t>3.24</t>
  </si>
  <si>
    <t>paint_cal.Retail Price</t>
  </si>
  <si>
    <t>Total.Hire bin</t>
  </si>
  <si>
    <t>Plastering (PM Ceilings) Minimum Hire</t>
  </si>
  <si>
    <t>Termite Protection  Minimum Hire</t>
  </si>
  <si>
    <t>Painting Minimum Hire</t>
  </si>
  <si>
    <t>Renderer Minimum hire</t>
  </si>
  <si>
    <t>Tiled Roofing Extras Minimum Hire</t>
  </si>
  <si>
    <t>Readymix Concrete per Cubic Meter                                      1.0 Minimum hire</t>
  </si>
  <si>
    <t>Readymix Concrete per Cubic Meter                                      1.0</t>
  </si>
  <si>
    <t>Item Description.30</t>
  </si>
  <si>
    <t>Item Description.32</t>
  </si>
  <si>
    <t>Item Description.34</t>
  </si>
  <si>
    <t>Item Description.36</t>
  </si>
  <si>
    <t>Item Description.38</t>
  </si>
  <si>
    <t>Item Description.40</t>
  </si>
  <si>
    <t>Item Description.42</t>
  </si>
  <si>
    <t>Item Description.44</t>
  </si>
  <si>
    <t>Item Description.46</t>
  </si>
  <si>
    <t>Item Description.48</t>
  </si>
  <si>
    <t>Item Description.50</t>
  </si>
  <si>
    <t>Subcategory.0</t>
  </si>
  <si>
    <t>Subcategory.2</t>
  </si>
  <si>
    <t>Subcategory.4</t>
  </si>
  <si>
    <t>Subcategory.6</t>
  </si>
  <si>
    <t>Subcategory.8</t>
  </si>
  <si>
    <t>Subcategory.10</t>
  </si>
  <si>
    <t>Subcategory.12</t>
  </si>
  <si>
    <t>Subcategory.14</t>
  </si>
  <si>
    <t>Subcategory.16</t>
  </si>
  <si>
    <t>Subcategory.18</t>
  </si>
  <si>
    <t>Subcategory.20</t>
  </si>
  <si>
    <t>Subcategory.22</t>
  </si>
  <si>
    <t>Subcategory.24</t>
  </si>
  <si>
    <t>Subcategory.26</t>
  </si>
  <si>
    <t>Subcategory.28</t>
  </si>
  <si>
    <t>Subcategory.30</t>
  </si>
  <si>
    <t>Subcategory.32</t>
  </si>
  <si>
    <t>Subcategory.34</t>
  </si>
  <si>
    <t>Calculator</t>
  </si>
  <si>
    <t>LDWP Work platform          20 m Minimum</t>
  </si>
  <si>
    <t>Scaffold hire  Minimum 2 Day      6 x 6  x</t>
  </si>
  <si>
    <t>Steel post</t>
  </si>
  <si>
    <t>Gates Calculator</t>
  </si>
  <si>
    <t>Plumber Calculator</t>
  </si>
  <si>
    <t>LDWP Work Calculator</t>
  </si>
  <si>
    <t>Soil.Total_price</t>
  </si>
  <si>
    <t>hire bin</t>
  </si>
  <si>
    <t>Concrete.Total_price</t>
  </si>
  <si>
    <t>Paint.Total_price</t>
  </si>
  <si>
    <t>Mini dingo cost.Total_price</t>
  </si>
  <si>
    <t>Recipe Items</t>
  </si>
  <si>
    <t>Multipler</t>
  </si>
  <si>
    <t>Recipe</t>
  </si>
  <si>
    <t xml:space="preserve">Stirrups  in ground                                                    90 x 600 mm </t>
  </si>
  <si>
    <t>Sum</t>
  </si>
  <si>
    <t>Column1</t>
  </si>
  <si>
    <t>Pool safety Gate Latch&amp; self closing hinges</t>
  </si>
  <si>
    <t>FAQ</t>
  </si>
  <si>
    <t>The Recipe Items in this table and the Item Description in prices table does not match (missing space, special character</t>
  </si>
  <si>
    <t>Problem</t>
  </si>
  <si>
    <t>Cause</t>
  </si>
  <si>
    <t>Solution</t>
  </si>
  <si>
    <t>Navigate to the prices table. Ctr+F in the prices sheet to find the item -&gt; F2 -&gt; Ctr + A -&gt; Ctr + V and then paste into Recipe Items in this table</t>
  </si>
  <si>
    <t>Retail Price return #N/A</t>
  </si>
  <si>
    <t>Retail Price return 0</t>
  </si>
  <si>
    <t>The Retail Price on prices table might get deleted during the remodeling</t>
  </si>
  <si>
    <t>Re-input the prices on the prices sheet</t>
  </si>
  <si>
    <t>After input, still do not see in the drop down of that category and subacategory</t>
  </si>
  <si>
    <t>The data is not update</t>
  </si>
  <si>
    <t>Click the update button above</t>
  </si>
  <si>
    <t>0.162</t>
  </si>
  <si>
    <t>0.159</t>
  </si>
  <si>
    <t>0.191</t>
  </si>
  <si>
    <t>0.238</t>
  </si>
  <si>
    <t>0.286</t>
  </si>
  <si>
    <t>0.318</t>
  </si>
  <si>
    <t>0.288</t>
  </si>
  <si>
    <t>0.324</t>
  </si>
  <si>
    <t>0.382</t>
  </si>
  <si>
    <t>0.476</t>
  </si>
  <si>
    <t>0.572</t>
  </si>
  <si>
    <t>0.636</t>
  </si>
  <si>
    <t>0.576</t>
  </si>
  <si>
    <t>Mini dingo post hole digger has been allocated</t>
  </si>
  <si>
    <t xml:space="preserve">Bolt down stirrups                                                    90 x 125 mm </t>
  </si>
  <si>
    <t>Calculation</t>
  </si>
  <si>
    <t>Minimum Hire Rate</t>
  </si>
  <si>
    <t>Note:</t>
  </si>
  <si>
    <t>Client defines the rest and keep it confidential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</si>
</sst>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%"/>
    <numFmt numFmtId="165" formatCode="0.0%"/>
    <numFmt numFmtId="166" formatCode="_-&quot;$&quot;* #,##0.00_-;\-&quot;$&quot;* #,##0.00_-;_-&quot;$&quot;* &quot;-&quot;??_-;_-@_-"/>
    <numFmt numFmtId="167" formatCode="&quot;$&quot;#,##0.00"/>
    <numFmt numFmtId="168" formatCode="&quot;$&quot;#,##0.00;[Red]\-&quot;$&quot;#,##0.00"/>
    <numFmt numFmtId="169" formatCode="0.0"/>
    <numFmt numFmtId="170" formatCode="_-* #,##0.00_-;\-* #,##0.00_-;_-* &quot;-&quot;??_-;_-@_-"/>
    <numFmt numFmtId="171" formatCode="0.00000%"/>
    <numFmt numFmtId="172" formatCode="#,##0.00_ ;[Red]\-#,##0.00\ "/>
    <numFmt numFmtId="173" formatCode="&quot;$&quot;#,##0.000"/>
    <numFmt numFmtId="174" formatCode="#,##0.0"/>
  </numFmts>
  <fonts count="38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b/>
      <i/>
      <sz val="24"/>
      <color theme="0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9"/>
      <color indexed="12"/>
      <name val="Arial"/>
      <family val="2"/>
    </font>
    <font>
      <b/>
      <sz val="8"/>
      <color indexed="10"/>
      <name val="Arial"/>
      <family val="2"/>
    </font>
    <font>
      <sz val="9"/>
      <color indexed="10"/>
      <name val="Arial"/>
      <family val="2"/>
    </font>
    <font>
      <sz val="9"/>
      <color rgb="FFFF0000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  <font>
      <sz val="8"/>
      <color rgb="FF00000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name val="Arial"/>
      <family val="2"/>
    </font>
    <font>
      <b/>
      <sz val="8"/>
      <color rgb="FF0000FF"/>
      <name val="Arial"/>
      <family val="2"/>
    </font>
    <font>
      <sz val="9"/>
      <color rgb="FF000000"/>
      <name val="Arial"/>
      <family val="2"/>
    </font>
    <font>
      <sz val="8"/>
      <name val="Calibri"/>
      <family val="2"/>
      <scheme val="minor"/>
    </font>
    <font>
      <sz val="10"/>
      <color rgb="FFFFFFFF"/>
      <name val="Inherit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15C8DB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7" tint="0.39997558519241921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auto="1"/>
      </left>
      <right style="thick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9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" fillId="0" borderId="0"/>
  </cellStyleXfs>
  <cellXfs count="285">
    <xf numFmtId="0" fontId="0" fillId="0" borderId="0" xfId="0"/>
    <xf numFmtId="0" fontId="1" fillId="2" borderId="0" xfId="1" applyFill="1" applyProtection="1">
      <protection hidden="1"/>
    </xf>
    <xf numFmtId="0" fontId="1" fillId="0" borderId="0" xfId="1" applyProtection="1">
      <protection hidden="1"/>
    </xf>
    <xf numFmtId="0" fontId="10" fillId="7" borderId="0" xfId="1" applyFont="1" applyFill="1" applyAlignment="1" applyProtection="1">
      <alignment horizontal="center" vertical="center"/>
      <protection hidden="1"/>
    </xf>
    <xf numFmtId="0" fontId="1" fillId="0" borderId="0" xfId="1" applyProtection="1">
      <protection locked="0"/>
    </xf>
    <xf numFmtId="0" fontId="2" fillId="2" borderId="0" xfId="1" applyFont="1" applyFill="1" applyAlignment="1" applyProtection="1">
      <alignment horizontal="left"/>
      <protection hidden="1"/>
    </xf>
    <xf numFmtId="0" fontId="11" fillId="2" borderId="0" xfId="1" applyFont="1" applyFill="1" applyAlignment="1" applyProtection="1">
      <alignment horizontal="right" vertical="center"/>
      <protection hidden="1"/>
    </xf>
    <xf numFmtId="0" fontId="1" fillId="0" borderId="0" xfId="1" applyAlignment="1" applyProtection="1">
      <alignment horizontal="center"/>
      <protection hidden="1"/>
    </xf>
    <xf numFmtId="14" fontId="6" fillId="0" borderId="0" xfId="1" applyNumberFormat="1" applyFont="1" applyAlignment="1" applyProtection="1">
      <alignment horizontal="left"/>
      <protection hidden="1"/>
    </xf>
    <xf numFmtId="0" fontId="1" fillId="0" borderId="3" xfId="1" applyBorder="1" applyProtection="1">
      <protection hidden="1"/>
    </xf>
    <xf numFmtId="0" fontId="9" fillId="0" borderId="3" xfId="1" applyFont="1" applyBorder="1" applyProtection="1">
      <protection hidden="1"/>
    </xf>
    <xf numFmtId="0" fontId="9" fillId="0" borderId="13" xfId="1" applyFont="1" applyBorder="1" applyProtection="1">
      <protection hidden="1"/>
    </xf>
    <xf numFmtId="0" fontId="3" fillId="0" borderId="0" xfId="1" applyFont="1"/>
    <xf numFmtId="0" fontId="14" fillId="0" borderId="0" xfId="1" applyFont="1" applyProtection="1">
      <protection locked="0"/>
    </xf>
    <xf numFmtId="0" fontId="1" fillId="0" borderId="0" xfId="1"/>
    <xf numFmtId="0" fontId="13" fillId="0" borderId="0" xfId="1" applyFont="1" applyProtection="1">
      <protection hidden="1"/>
    </xf>
    <xf numFmtId="0" fontId="1" fillId="0" borderId="0" xfId="1" applyAlignment="1">
      <alignment horizontal="center"/>
    </xf>
    <xf numFmtId="0" fontId="9" fillId="0" borderId="0" xfId="1" applyFont="1"/>
    <xf numFmtId="0" fontId="9" fillId="0" borderId="9" xfId="1" applyFont="1" applyBorder="1"/>
    <xf numFmtId="0" fontId="9" fillId="0" borderId="23" xfId="1" applyFont="1" applyBorder="1"/>
    <xf numFmtId="0" fontId="9" fillId="0" borderId="24" xfId="1" applyFont="1" applyBorder="1"/>
    <xf numFmtId="0" fontId="9" fillId="0" borderId="0" xfId="1" applyFont="1" applyProtection="1">
      <protection hidden="1"/>
    </xf>
    <xf numFmtId="0" fontId="21" fillId="0" borderId="0" xfId="1" applyFont="1"/>
    <xf numFmtId="167" fontId="9" fillId="0" borderId="3" xfId="1" applyNumberFormat="1" applyFont="1" applyBorder="1" applyProtection="1">
      <protection hidden="1"/>
    </xf>
    <xf numFmtId="0" fontId="9" fillId="0" borderId="2" xfId="1" applyFont="1" applyBorder="1" applyProtection="1">
      <protection hidden="1"/>
    </xf>
    <xf numFmtId="0" fontId="2" fillId="0" borderId="0" xfId="1" applyFont="1" applyAlignment="1" applyProtection="1">
      <alignment horizontal="left"/>
      <protection locked="0"/>
    </xf>
    <xf numFmtId="167" fontId="9" fillId="0" borderId="29" xfId="1" applyNumberFormat="1" applyFont="1" applyBorder="1" applyProtection="1">
      <protection hidden="1"/>
    </xf>
    <xf numFmtId="167" fontId="9" fillId="0" borderId="0" xfId="1" applyNumberFormat="1" applyFont="1" applyProtection="1">
      <protection hidden="1"/>
    </xf>
    <xf numFmtId="4" fontId="9" fillId="0" borderId="0" xfId="1" applyNumberFormat="1" applyFont="1" applyProtection="1">
      <protection hidden="1"/>
    </xf>
    <xf numFmtId="168" fontId="9" fillId="0" borderId="3" xfId="1" applyNumberFormat="1" applyFont="1" applyBorder="1" applyProtection="1">
      <protection hidden="1"/>
    </xf>
    <xf numFmtId="0" fontId="4" fillId="0" borderId="0" xfId="1" applyFont="1" applyProtection="1">
      <protection hidden="1"/>
    </xf>
    <xf numFmtId="0" fontId="9" fillId="0" borderId="0" xfId="1" applyFont="1" applyAlignment="1" applyProtection="1">
      <alignment horizontal="center"/>
      <protection hidden="1"/>
    </xf>
    <xf numFmtId="0" fontId="1" fillId="0" borderId="9" xfId="1" applyBorder="1" applyProtection="1">
      <protection hidden="1"/>
    </xf>
    <xf numFmtId="0" fontId="16" fillId="0" borderId="2" xfId="1" applyFont="1" applyBorder="1" applyProtection="1">
      <protection hidden="1"/>
    </xf>
    <xf numFmtId="167" fontId="1" fillId="0" borderId="0" xfId="1" applyNumberFormat="1"/>
    <xf numFmtId="167" fontId="1" fillId="0" borderId="0" xfId="1" applyNumberFormat="1" applyProtection="1">
      <protection hidden="1"/>
    </xf>
    <xf numFmtId="0" fontId="1" fillId="0" borderId="3" xfId="1" applyBorder="1"/>
    <xf numFmtId="0" fontId="1" fillId="0" borderId="13" xfId="1" applyBorder="1"/>
    <xf numFmtId="167" fontId="9" fillId="0" borderId="3" xfId="1" applyNumberFormat="1" applyFont="1" applyBorder="1"/>
    <xf numFmtId="167" fontId="9" fillId="0" borderId="0" xfId="1" applyNumberFormat="1" applyFont="1"/>
    <xf numFmtId="0" fontId="13" fillId="0" borderId="0" xfId="1" applyFont="1"/>
    <xf numFmtId="0" fontId="9" fillId="0" borderId="12" xfId="1" applyFont="1" applyBorder="1" applyProtection="1">
      <protection hidden="1"/>
    </xf>
    <xf numFmtId="0" fontId="9" fillId="0" borderId="6" xfId="1" applyFont="1" applyBorder="1" applyProtection="1">
      <protection hidden="1"/>
    </xf>
    <xf numFmtId="167" fontId="9" fillId="0" borderId="6" xfId="1" applyNumberFormat="1" applyFont="1" applyBorder="1" applyProtection="1">
      <protection hidden="1"/>
    </xf>
    <xf numFmtId="167" fontId="9" fillId="0" borderId="4" xfId="1" applyNumberFormat="1" applyFont="1" applyBorder="1" applyProtection="1">
      <protection hidden="1"/>
    </xf>
    <xf numFmtId="0" fontId="1" fillId="0" borderId="2" xfId="1" applyBorder="1" applyProtection="1">
      <protection hidden="1"/>
    </xf>
    <xf numFmtId="0" fontId="9" fillId="0" borderId="22" xfId="1" applyFont="1" applyBorder="1" applyProtection="1">
      <protection hidden="1"/>
    </xf>
    <xf numFmtId="0" fontId="16" fillId="0" borderId="12" xfId="1" applyFont="1" applyBorder="1" applyProtection="1">
      <protection hidden="1"/>
    </xf>
    <xf numFmtId="0" fontId="9" fillId="0" borderId="5" xfId="1" applyFont="1" applyBorder="1" applyProtection="1">
      <protection hidden="1"/>
    </xf>
    <xf numFmtId="0" fontId="9" fillId="0" borderId="44" xfId="1" applyFont="1" applyBorder="1" applyProtection="1">
      <protection hidden="1"/>
    </xf>
    <xf numFmtId="167" fontId="9" fillId="0" borderId="22" xfId="1" applyNumberFormat="1" applyFont="1" applyBorder="1" applyProtection="1">
      <protection hidden="1"/>
    </xf>
    <xf numFmtId="0" fontId="9" fillId="0" borderId="17" xfId="1" applyFont="1" applyBorder="1" applyProtection="1">
      <protection hidden="1"/>
    </xf>
    <xf numFmtId="0" fontId="9" fillId="0" borderId="51" xfId="1" applyFont="1" applyBorder="1" applyProtection="1">
      <protection hidden="1"/>
    </xf>
    <xf numFmtId="0" fontId="3" fillId="0" borderId="0" xfId="1" applyFont="1" applyProtection="1">
      <protection hidden="1"/>
    </xf>
    <xf numFmtId="0" fontId="3" fillId="0" borderId="0" xfId="1" applyFont="1" applyAlignment="1">
      <alignment horizontal="center"/>
    </xf>
    <xf numFmtId="167" fontId="1" fillId="0" borderId="0" xfId="1" applyNumberFormat="1" applyAlignment="1">
      <alignment horizontal="center"/>
    </xf>
    <xf numFmtId="0" fontId="1" fillId="0" borderId="0" xfId="1" applyAlignment="1">
      <alignment horizontal="right"/>
    </xf>
    <xf numFmtId="0" fontId="19" fillId="0" borderId="0" xfId="1" applyFont="1" applyProtection="1">
      <protection hidden="1"/>
    </xf>
    <xf numFmtId="167" fontId="1" fillId="0" borderId="0" xfId="1" applyNumberFormat="1" applyAlignment="1">
      <alignment horizontal="left"/>
    </xf>
    <xf numFmtId="0" fontId="12" fillId="15" borderId="0" xfId="1" applyFont="1" applyFill="1"/>
    <xf numFmtId="167" fontId="4" fillId="0" borderId="0" xfId="1" applyNumberFormat="1" applyFont="1" applyProtection="1">
      <protection hidden="1"/>
    </xf>
    <xf numFmtId="0" fontId="3" fillId="0" borderId="0" xfId="1" applyFont="1" applyAlignment="1">
      <alignment horizontal="right"/>
    </xf>
    <xf numFmtId="167" fontId="3" fillId="0" borderId="0" xfId="1" applyNumberFormat="1" applyFont="1" applyAlignment="1">
      <alignment horizontal="left"/>
    </xf>
    <xf numFmtId="171" fontId="1" fillId="0" borderId="0" xfId="1" applyNumberFormat="1" applyProtection="1">
      <protection hidden="1"/>
    </xf>
    <xf numFmtId="168" fontId="9" fillId="0" borderId="0" xfId="1" applyNumberFormat="1" applyFont="1" applyProtection="1">
      <protection hidden="1"/>
    </xf>
    <xf numFmtId="166" fontId="1" fillId="0" borderId="0" xfId="3" applyFont="1" applyFill="1" applyBorder="1" applyProtection="1">
      <protection hidden="1"/>
    </xf>
    <xf numFmtId="172" fontId="9" fillId="0" borderId="0" xfId="1" applyNumberFormat="1" applyFont="1" applyProtection="1">
      <protection hidden="1"/>
    </xf>
    <xf numFmtId="14" fontId="1" fillId="0" borderId="0" xfId="1" applyNumberFormat="1" applyProtection="1">
      <protection hidden="1"/>
    </xf>
    <xf numFmtId="168" fontId="1" fillId="0" borderId="0" xfId="1" applyNumberFormat="1"/>
    <xf numFmtId="165" fontId="9" fillId="11" borderId="0" xfId="1" applyNumberFormat="1" applyFont="1" applyFill="1" applyProtection="1">
      <protection hidden="1"/>
    </xf>
    <xf numFmtId="171" fontId="1" fillId="0" borderId="0" xfId="1" applyNumberFormat="1" applyAlignment="1" applyProtection="1">
      <alignment horizontal="center"/>
      <protection hidden="1"/>
    </xf>
    <xf numFmtId="0" fontId="28" fillId="0" borderId="0" xfId="1" applyFont="1" applyProtection="1">
      <protection hidden="1"/>
    </xf>
    <xf numFmtId="14" fontId="9" fillId="0" borderId="0" xfId="1" applyNumberFormat="1" applyFont="1" applyProtection="1">
      <protection hidden="1"/>
    </xf>
    <xf numFmtId="14" fontId="1" fillId="0" borderId="0" xfId="1" applyNumberFormat="1" applyAlignment="1" applyProtection="1">
      <alignment horizontal="center"/>
      <protection hidden="1"/>
    </xf>
    <xf numFmtId="0" fontId="29" fillId="0" borderId="0" xfId="1" applyFont="1"/>
    <xf numFmtId="166" fontId="9" fillId="0" borderId="3" xfId="3" applyFont="1" applyFill="1" applyBorder="1" applyProtection="1">
      <protection hidden="1"/>
    </xf>
    <xf numFmtId="167" fontId="9" fillId="8" borderId="0" xfId="1" applyNumberFormat="1" applyFont="1" applyFill="1" applyAlignment="1">
      <alignment horizontal="center"/>
    </xf>
    <xf numFmtId="0" fontId="9" fillId="8" borderId="0" xfId="1" applyFont="1" applyFill="1" applyAlignment="1">
      <alignment horizontal="center"/>
    </xf>
    <xf numFmtId="16" fontId="1" fillId="0" borderId="0" xfId="1" applyNumberFormat="1" applyProtection="1">
      <protection hidden="1"/>
    </xf>
    <xf numFmtId="16" fontId="9" fillId="0" borderId="0" xfId="1" applyNumberFormat="1" applyFont="1" applyProtection="1">
      <protection hidden="1"/>
    </xf>
    <xf numFmtId="0" fontId="16" fillId="0" borderId="0" xfId="1" applyFont="1" applyProtection="1">
      <protection hidden="1"/>
    </xf>
    <xf numFmtId="49" fontId="9" fillId="0" borderId="0" xfId="1" applyNumberFormat="1" applyFont="1"/>
    <xf numFmtId="9" fontId="9" fillId="0" borderId="0" xfId="1" applyNumberFormat="1" applyFont="1" applyProtection="1">
      <protection hidden="1"/>
    </xf>
    <xf numFmtId="4" fontId="9" fillId="10" borderId="10" xfId="1" applyNumberFormat="1" applyFont="1" applyFill="1" applyBorder="1" applyProtection="1">
      <protection hidden="1"/>
    </xf>
    <xf numFmtId="4" fontId="9" fillId="10" borderId="12" xfId="1" applyNumberFormat="1" applyFont="1" applyFill="1" applyBorder="1" applyProtection="1">
      <protection hidden="1"/>
    </xf>
    <xf numFmtId="167" fontId="9" fillId="10" borderId="12" xfId="1" applyNumberFormat="1" applyFont="1" applyFill="1" applyBorder="1" applyProtection="1">
      <protection hidden="1"/>
    </xf>
    <xf numFmtId="168" fontId="9" fillId="10" borderId="13" xfId="1" applyNumberFormat="1" applyFont="1" applyFill="1" applyBorder="1" applyProtection="1">
      <protection hidden="1"/>
    </xf>
    <xf numFmtId="168" fontId="9" fillId="6" borderId="13" xfId="1" applyNumberFormat="1" applyFont="1" applyFill="1" applyBorder="1" applyProtection="1">
      <protection hidden="1"/>
    </xf>
    <xf numFmtId="167" fontId="9" fillId="10" borderId="17" xfId="1" applyNumberFormat="1" applyFont="1" applyFill="1" applyBorder="1" applyProtection="1">
      <protection hidden="1"/>
    </xf>
    <xf numFmtId="168" fontId="9" fillId="11" borderId="19" xfId="1" applyNumberFormat="1" applyFont="1" applyFill="1" applyBorder="1" applyProtection="1">
      <protection hidden="1"/>
    </xf>
    <xf numFmtId="0" fontId="20" fillId="0" borderId="0" xfId="1" applyFont="1" applyProtection="1">
      <protection hidden="1"/>
    </xf>
    <xf numFmtId="0" fontId="3" fillId="0" borderId="41" xfId="1" applyFont="1" applyBorder="1" applyAlignment="1" applyProtection="1">
      <alignment horizontal="center"/>
      <protection hidden="1"/>
    </xf>
    <xf numFmtId="9" fontId="18" fillId="0" borderId="47" xfId="2" applyFont="1" applyFill="1" applyBorder="1" applyAlignment="1" applyProtection="1">
      <alignment horizontal="center"/>
      <protection hidden="1"/>
    </xf>
    <xf numFmtId="0" fontId="9" fillId="14" borderId="0" xfId="1" applyFont="1" applyFill="1" applyProtection="1">
      <protection hidden="1"/>
    </xf>
    <xf numFmtId="0" fontId="20" fillId="0" borderId="0" xfId="1" applyFont="1" applyAlignment="1" applyProtection="1">
      <alignment horizontal="right"/>
      <protection hidden="1"/>
    </xf>
    <xf numFmtId="3" fontId="9" fillId="11" borderId="2" xfId="1" applyNumberFormat="1" applyFont="1" applyFill="1" applyBorder="1" applyAlignment="1" applyProtection="1">
      <alignment horizontal="center"/>
      <protection hidden="1"/>
    </xf>
    <xf numFmtId="167" fontId="9" fillId="11" borderId="13" xfId="1" applyNumberFormat="1" applyFont="1" applyFill="1" applyBorder="1" applyProtection="1">
      <protection hidden="1"/>
    </xf>
    <xf numFmtId="0" fontId="9" fillId="11" borderId="2" xfId="1" applyFont="1" applyFill="1" applyBorder="1" applyAlignment="1" applyProtection="1">
      <alignment horizontal="center"/>
      <protection hidden="1"/>
    </xf>
    <xf numFmtId="0" fontId="9" fillId="0" borderId="21" xfId="1" applyFont="1" applyBorder="1" applyAlignment="1" applyProtection="1">
      <alignment horizontal="center"/>
      <protection hidden="1"/>
    </xf>
    <xf numFmtId="0" fontId="9" fillId="0" borderId="22" xfId="1" applyFont="1" applyBorder="1" applyAlignment="1" applyProtection="1">
      <alignment horizontal="center"/>
      <protection hidden="1"/>
    </xf>
    <xf numFmtId="168" fontId="9" fillId="0" borderId="11" xfId="1" applyNumberFormat="1" applyFont="1" applyBorder="1" applyAlignment="1" applyProtection="1">
      <alignment horizontal="center"/>
      <protection hidden="1"/>
    </xf>
    <xf numFmtId="167" fontId="9" fillId="10" borderId="2" xfId="1" applyNumberFormat="1" applyFont="1" applyFill="1" applyBorder="1" applyProtection="1">
      <protection hidden="1"/>
    </xf>
    <xf numFmtId="168" fontId="9" fillId="0" borderId="13" xfId="1" applyNumberFormat="1" applyFont="1" applyBorder="1" applyProtection="1">
      <protection hidden="1"/>
    </xf>
    <xf numFmtId="167" fontId="9" fillId="0" borderId="2" xfId="1" applyNumberFormat="1" applyFont="1" applyBorder="1" applyProtection="1">
      <protection hidden="1"/>
    </xf>
    <xf numFmtId="167" fontId="9" fillId="9" borderId="2" xfId="1" applyNumberFormat="1" applyFont="1" applyFill="1" applyBorder="1" applyProtection="1">
      <protection hidden="1"/>
    </xf>
    <xf numFmtId="0" fontId="1" fillId="0" borderId="1" xfId="1" applyBorder="1"/>
    <xf numFmtId="0" fontId="1" fillId="0" borderId="49" xfId="1" applyBorder="1"/>
    <xf numFmtId="167" fontId="9" fillId="12" borderId="2" xfId="1" applyNumberFormat="1" applyFont="1" applyFill="1" applyBorder="1" applyProtection="1">
      <protection hidden="1"/>
    </xf>
    <xf numFmtId="167" fontId="9" fillId="10" borderId="28" xfId="1" applyNumberFormat="1" applyFont="1" applyFill="1" applyBorder="1" applyProtection="1">
      <protection hidden="1"/>
    </xf>
    <xf numFmtId="168" fontId="9" fillId="0" borderId="16" xfId="1" applyNumberFormat="1" applyFont="1" applyBorder="1" applyProtection="1">
      <protection hidden="1"/>
    </xf>
    <xf numFmtId="167" fontId="9" fillId="0" borderId="28" xfId="1" applyNumberFormat="1" applyFont="1" applyBorder="1" applyProtection="1">
      <protection hidden="1"/>
    </xf>
    <xf numFmtId="0" fontId="7" fillId="0" borderId="0" xfId="1" applyFont="1" applyProtection="1">
      <protection hidden="1"/>
    </xf>
    <xf numFmtId="167" fontId="9" fillId="0" borderId="50" xfId="1" applyNumberFormat="1" applyFont="1" applyBorder="1" applyProtection="1">
      <protection hidden="1"/>
    </xf>
    <xf numFmtId="0" fontId="9" fillId="0" borderId="29" xfId="1" applyFont="1" applyBorder="1" applyProtection="1">
      <protection hidden="1"/>
    </xf>
    <xf numFmtId="168" fontId="9" fillId="0" borderId="19" xfId="1" applyNumberFormat="1" applyFont="1" applyBorder="1" applyProtection="1">
      <protection hidden="1"/>
    </xf>
    <xf numFmtId="0" fontId="5" fillId="0" borderId="0" xfId="1" applyFont="1" applyProtection="1">
      <protection hidden="1"/>
    </xf>
    <xf numFmtId="0" fontId="9" fillId="0" borderId="0" xfId="1" applyFont="1" applyAlignment="1" applyProtection="1">
      <alignment horizontal="left"/>
      <protection hidden="1"/>
    </xf>
    <xf numFmtId="0" fontId="1" fillId="13" borderId="0" xfId="1" applyFill="1" applyProtection="1">
      <protection hidden="1"/>
    </xf>
    <xf numFmtId="0" fontId="9" fillId="10" borderId="0" xfId="1" applyFont="1" applyFill="1" applyProtection="1">
      <protection hidden="1"/>
    </xf>
    <xf numFmtId="0" fontId="9" fillId="0" borderId="0" xfId="1" applyFont="1" applyAlignment="1" applyProtection="1">
      <alignment horizontal="left"/>
      <protection locked="0"/>
    </xf>
    <xf numFmtId="0" fontId="1" fillId="0" borderId="21" xfId="1" applyBorder="1" applyProtection="1">
      <protection hidden="1"/>
    </xf>
    <xf numFmtId="0" fontId="9" fillId="0" borderId="53" xfId="1" applyFont="1" applyBorder="1" applyProtection="1">
      <protection hidden="1"/>
    </xf>
    <xf numFmtId="0" fontId="9" fillId="0" borderId="53" xfId="1" applyFont="1" applyBorder="1" applyAlignment="1" applyProtection="1">
      <alignment horizontal="center" vertical="center"/>
      <protection hidden="1"/>
    </xf>
    <xf numFmtId="167" fontId="9" fillId="6" borderId="27" xfId="1" applyNumberFormat="1" applyFont="1" applyFill="1" applyBorder="1" applyProtection="1">
      <protection hidden="1"/>
    </xf>
    <xf numFmtId="167" fontId="9" fillId="0" borderId="27" xfId="1" applyNumberFormat="1" applyFont="1" applyBorder="1" applyProtection="1">
      <protection hidden="1"/>
    </xf>
    <xf numFmtId="0" fontId="9" fillId="0" borderId="3" xfId="1" applyFont="1" applyBorder="1" applyAlignment="1" applyProtection="1">
      <alignment horizontal="center" vertical="center"/>
      <protection hidden="1"/>
    </xf>
    <xf numFmtId="0" fontId="1" fillId="0" borderId="2" xfId="1" applyBorder="1" applyAlignment="1" applyProtection="1">
      <alignment horizontal="center"/>
      <protection hidden="1"/>
    </xf>
    <xf numFmtId="174" fontId="9" fillId="0" borderId="3" xfId="1" applyNumberFormat="1" applyFont="1" applyBorder="1" applyAlignment="1" applyProtection="1">
      <alignment horizontal="center" vertical="center"/>
      <protection hidden="1"/>
    </xf>
    <xf numFmtId="174" fontId="9" fillId="9" borderId="3" xfId="1" applyNumberFormat="1" applyFont="1" applyFill="1" applyBorder="1" applyAlignment="1" applyProtection="1">
      <alignment horizontal="center"/>
      <protection hidden="1"/>
    </xf>
    <xf numFmtId="174" fontId="9" fillId="3" borderId="3" xfId="1" applyNumberFormat="1" applyFont="1" applyFill="1" applyBorder="1" applyAlignment="1" applyProtection="1">
      <alignment horizontal="center"/>
      <protection hidden="1"/>
    </xf>
    <xf numFmtId="174" fontId="9" fillId="0" borderId="3" xfId="1" applyNumberFormat="1" applyFont="1" applyBorder="1" applyAlignment="1" applyProtection="1">
      <alignment horizontal="center"/>
      <protection hidden="1"/>
    </xf>
    <xf numFmtId="0" fontId="9" fillId="9" borderId="0" xfId="1" applyFont="1" applyFill="1" applyProtection="1">
      <protection hidden="1"/>
    </xf>
    <xf numFmtId="168" fontId="9" fillId="0" borderId="3" xfId="1" applyNumberFormat="1" applyFont="1" applyBorder="1" applyAlignment="1" applyProtection="1">
      <alignment horizontal="center" vertical="center"/>
      <protection hidden="1"/>
    </xf>
    <xf numFmtId="0" fontId="9" fillId="0" borderId="50" xfId="1" applyFont="1" applyBorder="1" applyProtection="1">
      <protection hidden="1"/>
    </xf>
    <xf numFmtId="168" fontId="9" fillId="0" borderId="29" xfId="1" applyNumberFormat="1" applyFont="1" applyBorder="1" applyAlignment="1" applyProtection="1">
      <alignment horizontal="center" vertical="center"/>
      <protection hidden="1"/>
    </xf>
    <xf numFmtId="168" fontId="9" fillId="0" borderId="0" xfId="1" applyNumberFormat="1" applyFont="1" applyAlignment="1" applyProtection="1">
      <alignment horizontal="center" vertical="center"/>
      <protection hidden="1"/>
    </xf>
    <xf numFmtId="0" fontId="1" fillId="0" borderId="1" xfId="1" applyBorder="1" applyProtection="1">
      <protection hidden="1"/>
    </xf>
    <xf numFmtId="0" fontId="9" fillId="0" borderId="20" xfId="1" applyFont="1" applyBorder="1" applyProtection="1">
      <protection hidden="1"/>
    </xf>
    <xf numFmtId="167" fontId="9" fillId="0" borderId="53" xfId="1" applyNumberFormat="1" applyFont="1" applyBorder="1" applyProtection="1">
      <protection hidden="1"/>
    </xf>
    <xf numFmtId="167" fontId="9" fillId="0" borderId="40" xfId="1" applyNumberFormat="1" applyFont="1" applyBorder="1" applyProtection="1">
      <protection hidden="1"/>
    </xf>
    <xf numFmtId="2" fontId="9" fillId="0" borderId="25" xfId="1" applyNumberFormat="1" applyFont="1" applyBorder="1" applyAlignment="1" applyProtection="1">
      <alignment horizontal="center" vertical="center"/>
      <protection hidden="1"/>
    </xf>
    <xf numFmtId="2" fontId="9" fillId="0" borderId="13" xfId="1" applyNumberFormat="1" applyFont="1" applyBorder="1" applyAlignment="1" applyProtection="1">
      <alignment horizontal="center" vertical="center"/>
      <protection hidden="1"/>
    </xf>
    <xf numFmtId="0" fontId="1" fillId="10" borderId="1" xfId="1" applyFill="1" applyBorder="1" applyProtection="1">
      <protection hidden="1"/>
    </xf>
    <xf numFmtId="168" fontId="9" fillId="0" borderId="2" xfId="1" applyNumberFormat="1" applyFont="1" applyBorder="1" applyProtection="1">
      <protection hidden="1"/>
    </xf>
    <xf numFmtId="2" fontId="9" fillId="0" borderId="13" xfId="1" applyNumberFormat="1" applyFont="1" applyBorder="1" applyAlignment="1" applyProtection="1">
      <alignment horizontal="center"/>
      <protection hidden="1"/>
    </xf>
    <xf numFmtId="2" fontId="9" fillId="0" borderId="52" xfId="1" applyNumberFormat="1" applyFont="1" applyBorder="1" applyAlignment="1" applyProtection="1">
      <alignment horizontal="center"/>
      <protection hidden="1"/>
    </xf>
    <xf numFmtId="0" fontId="1" fillId="0" borderId="49" xfId="1" applyBorder="1" applyProtection="1">
      <protection hidden="1"/>
    </xf>
    <xf numFmtId="0" fontId="1" fillId="0" borderId="2" xfId="1" applyBorder="1"/>
    <xf numFmtId="2" fontId="9" fillId="0" borderId="5" xfId="1" applyNumberFormat="1" applyFont="1" applyBorder="1" applyAlignment="1" applyProtection="1">
      <alignment horizontal="center"/>
      <protection hidden="1"/>
    </xf>
    <xf numFmtId="0" fontId="9" fillId="0" borderId="3" xfId="1" applyFont="1" applyBorder="1" applyAlignment="1">
      <alignment horizontal="center"/>
    </xf>
    <xf numFmtId="0" fontId="1" fillId="0" borderId="54" xfId="1" applyBorder="1" applyProtection="1">
      <protection hidden="1"/>
    </xf>
    <xf numFmtId="2" fontId="9" fillId="0" borderId="19" xfId="1" applyNumberFormat="1" applyFont="1" applyBorder="1" applyAlignment="1" applyProtection="1">
      <alignment horizontal="center"/>
      <protection hidden="1"/>
    </xf>
    <xf numFmtId="0" fontId="1" fillId="0" borderId="18" xfId="1" applyBorder="1" applyProtection="1">
      <protection hidden="1"/>
    </xf>
    <xf numFmtId="0" fontId="1" fillId="10" borderId="0" xfId="1" applyFill="1" applyProtection="1">
      <protection hidden="1"/>
    </xf>
    <xf numFmtId="2" fontId="9" fillId="0" borderId="0" xfId="1" applyNumberFormat="1" applyFont="1" applyAlignment="1" applyProtection="1">
      <alignment horizontal="center"/>
      <protection hidden="1"/>
    </xf>
    <xf numFmtId="0" fontId="1" fillId="0" borderId="30" xfId="1" applyBorder="1" applyProtection="1">
      <protection hidden="1"/>
    </xf>
    <xf numFmtId="0" fontId="9" fillId="0" borderId="26" xfId="1" applyFont="1" applyBorder="1" applyProtection="1">
      <protection hidden="1"/>
    </xf>
    <xf numFmtId="0" fontId="9" fillId="0" borderId="14" xfId="1" applyFont="1" applyBorder="1" applyProtection="1">
      <protection hidden="1"/>
    </xf>
    <xf numFmtId="0" fontId="9" fillId="0" borderId="10" xfId="1" applyFont="1" applyBorder="1" applyProtection="1">
      <protection hidden="1"/>
    </xf>
    <xf numFmtId="168" fontId="9" fillId="0" borderId="22" xfId="1" applyNumberFormat="1" applyFont="1" applyBorder="1" applyProtection="1">
      <protection hidden="1"/>
    </xf>
    <xf numFmtId="4" fontId="9" fillId="0" borderId="22" xfId="1" applyNumberFormat="1" applyFont="1" applyBorder="1" applyProtection="1">
      <protection hidden="1"/>
    </xf>
    <xf numFmtId="169" fontId="9" fillId="0" borderId="22" xfId="1" applyNumberFormat="1" applyFont="1" applyBorder="1" applyAlignment="1" applyProtection="1">
      <alignment horizontal="center"/>
      <protection hidden="1"/>
    </xf>
    <xf numFmtId="168" fontId="9" fillId="0" borderId="4" xfId="1" applyNumberFormat="1" applyFont="1" applyBorder="1" applyProtection="1">
      <protection hidden="1"/>
    </xf>
    <xf numFmtId="4" fontId="9" fillId="0" borderId="4" xfId="1" applyNumberFormat="1" applyFont="1" applyBorder="1" applyProtection="1">
      <protection hidden="1"/>
    </xf>
    <xf numFmtId="169" fontId="9" fillId="0" borderId="4" xfId="1" applyNumberFormat="1" applyFont="1" applyBorder="1" applyAlignment="1" applyProtection="1">
      <alignment horizontal="center"/>
      <protection hidden="1"/>
    </xf>
    <xf numFmtId="0" fontId="9" fillId="0" borderId="40" xfId="1" applyFont="1" applyBorder="1" applyProtection="1">
      <protection hidden="1"/>
    </xf>
    <xf numFmtId="1" fontId="9" fillId="9" borderId="3" xfId="1" applyNumberFormat="1" applyFont="1" applyFill="1" applyBorder="1" applyAlignment="1" applyProtection="1">
      <alignment horizontal="center"/>
      <protection hidden="1"/>
    </xf>
    <xf numFmtId="1" fontId="9" fillId="9" borderId="4" xfId="1" applyNumberFormat="1" applyFont="1" applyFill="1" applyBorder="1" applyAlignment="1" applyProtection="1">
      <alignment horizontal="center"/>
      <protection hidden="1"/>
    </xf>
    <xf numFmtId="169" fontId="9" fillId="9" borderId="4" xfId="1" applyNumberFormat="1" applyFont="1" applyFill="1" applyBorder="1" applyAlignment="1" applyProtection="1">
      <alignment horizontal="center"/>
      <protection hidden="1"/>
    </xf>
    <xf numFmtId="1" fontId="9" fillId="0" borderId="3" xfId="1" applyNumberFormat="1" applyFont="1" applyBorder="1" applyAlignment="1" applyProtection="1">
      <alignment horizontal="center"/>
      <protection hidden="1"/>
    </xf>
    <xf numFmtId="1" fontId="9" fillId="5" borderId="3" xfId="1" applyNumberFormat="1" applyFont="1" applyFill="1" applyBorder="1" applyAlignment="1" applyProtection="1">
      <alignment horizontal="center"/>
      <protection hidden="1"/>
    </xf>
    <xf numFmtId="1" fontId="9" fillId="0" borderId="4" xfId="1" applyNumberFormat="1" applyFont="1" applyBorder="1" applyAlignment="1" applyProtection="1">
      <alignment horizontal="center"/>
      <protection hidden="1"/>
    </xf>
    <xf numFmtId="1" fontId="9" fillId="5" borderId="4" xfId="1" applyNumberFormat="1" applyFont="1" applyFill="1" applyBorder="1" applyAlignment="1" applyProtection="1">
      <alignment horizontal="center"/>
      <protection hidden="1"/>
    </xf>
    <xf numFmtId="0" fontId="1" fillId="10" borderId="47" xfId="1" applyFill="1" applyBorder="1" applyProtection="1">
      <protection hidden="1"/>
    </xf>
    <xf numFmtId="168" fontId="9" fillId="0" borderId="6" xfId="1" applyNumberFormat="1" applyFont="1" applyBorder="1" applyProtection="1">
      <protection hidden="1"/>
    </xf>
    <xf numFmtId="1" fontId="9" fillId="0" borderId="6" xfId="1" applyNumberFormat="1" applyFont="1" applyBorder="1" applyAlignment="1" applyProtection="1">
      <alignment horizontal="center"/>
      <protection hidden="1"/>
    </xf>
    <xf numFmtId="0" fontId="1" fillId="0" borderId="47" xfId="1" applyBorder="1" applyProtection="1">
      <protection hidden="1"/>
    </xf>
    <xf numFmtId="2" fontId="9" fillId="0" borderId="3" xfId="1" applyNumberFormat="1" applyFont="1" applyBorder="1" applyAlignment="1" applyProtection="1">
      <alignment horizontal="center"/>
      <protection hidden="1"/>
    </xf>
    <xf numFmtId="2" fontId="9" fillId="0" borderId="6" xfId="1" applyNumberFormat="1" applyFont="1" applyBorder="1" applyAlignment="1" applyProtection="1">
      <alignment horizontal="center"/>
      <protection hidden="1"/>
    </xf>
    <xf numFmtId="167" fontId="1" fillId="0" borderId="3" xfId="1" applyNumberFormat="1" applyBorder="1"/>
    <xf numFmtId="0" fontId="9" fillId="0" borderId="0" xfId="1" applyFont="1" applyAlignment="1">
      <alignment horizontal="center"/>
    </xf>
    <xf numFmtId="0" fontId="1" fillId="0" borderId="47" xfId="1" applyBorder="1"/>
    <xf numFmtId="0" fontId="1" fillId="0" borderId="12" xfId="1" applyBorder="1"/>
    <xf numFmtId="1" fontId="9" fillId="6" borderId="3" xfId="1" applyNumberFormat="1" applyFont="1" applyFill="1" applyBorder="1" applyAlignment="1" applyProtection="1">
      <alignment horizontal="center"/>
      <protection hidden="1"/>
    </xf>
    <xf numFmtId="0" fontId="1" fillId="0" borderId="32" xfId="1" applyBorder="1" applyProtection="1">
      <protection hidden="1"/>
    </xf>
    <xf numFmtId="1" fontId="9" fillId="3" borderId="3" xfId="1" applyNumberFormat="1" applyFont="1" applyFill="1" applyBorder="1" applyAlignment="1" applyProtection="1">
      <alignment horizontal="center"/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1" fillId="0" borderId="14" xfId="1" applyBorder="1" applyProtection="1">
      <protection hidden="1"/>
    </xf>
    <xf numFmtId="167" fontId="9" fillId="0" borderId="14" xfId="1" applyNumberFormat="1" applyFont="1" applyBorder="1" applyProtection="1">
      <protection hidden="1"/>
    </xf>
    <xf numFmtId="0" fontId="9" fillId="0" borderId="28" xfId="1" applyFont="1" applyBorder="1" applyProtection="1">
      <protection hidden="1"/>
    </xf>
    <xf numFmtId="0" fontId="1" fillId="9" borderId="47" xfId="1" applyFill="1" applyBorder="1" applyProtection="1">
      <protection hidden="1"/>
    </xf>
    <xf numFmtId="0" fontId="9" fillId="9" borderId="2" xfId="1" applyFont="1" applyFill="1" applyBorder="1" applyProtection="1">
      <protection hidden="1"/>
    </xf>
    <xf numFmtId="168" fontId="9" fillId="9" borderId="3" xfId="1" applyNumberFormat="1" applyFont="1" applyFill="1" applyBorder="1" applyProtection="1">
      <protection hidden="1"/>
    </xf>
    <xf numFmtId="167" fontId="9" fillId="9" borderId="3" xfId="1" applyNumberFormat="1" applyFont="1" applyFill="1" applyBorder="1" applyProtection="1">
      <protection hidden="1"/>
    </xf>
    <xf numFmtId="1" fontId="9" fillId="9" borderId="6" xfId="1" applyNumberFormat="1" applyFont="1" applyFill="1" applyBorder="1" applyAlignment="1" applyProtection="1">
      <alignment horizontal="center"/>
      <protection hidden="1"/>
    </xf>
    <xf numFmtId="0" fontId="9" fillId="0" borderId="21" xfId="1" applyFont="1" applyBorder="1" applyProtection="1">
      <protection hidden="1"/>
    </xf>
    <xf numFmtId="1" fontId="9" fillId="0" borderId="11" xfId="1" applyNumberFormat="1" applyFont="1" applyBorder="1" applyAlignment="1" applyProtection="1">
      <alignment horizontal="center"/>
      <protection hidden="1"/>
    </xf>
    <xf numFmtId="1" fontId="9" fillId="0" borderId="13" xfId="1" applyNumberFormat="1" applyFont="1" applyBorder="1" applyAlignment="1" applyProtection="1">
      <alignment horizontal="center"/>
      <protection hidden="1"/>
    </xf>
    <xf numFmtId="169" fontId="9" fillId="0" borderId="13" xfId="1" applyNumberFormat="1" applyFont="1" applyBorder="1" applyAlignment="1" applyProtection="1">
      <alignment horizontal="center"/>
      <protection hidden="1"/>
    </xf>
    <xf numFmtId="168" fontId="9" fillId="0" borderId="29" xfId="1" applyNumberFormat="1" applyFont="1" applyBorder="1" applyProtection="1">
      <protection hidden="1"/>
    </xf>
    <xf numFmtId="1" fontId="9" fillId="0" borderId="19" xfId="1" applyNumberFormat="1" applyFont="1" applyBorder="1" applyAlignment="1" applyProtection="1">
      <alignment horizontal="center"/>
      <protection hidden="1"/>
    </xf>
    <xf numFmtId="167" fontId="1" fillId="4" borderId="0" xfId="1" applyNumberFormat="1" applyFill="1"/>
    <xf numFmtId="0" fontId="15" fillId="0" borderId="0" xfId="1" applyFont="1" applyProtection="1">
      <protection hidden="1"/>
    </xf>
    <xf numFmtId="165" fontId="1" fillId="0" borderId="0" xfId="1" applyNumberFormat="1" applyProtection="1">
      <protection hidden="1"/>
    </xf>
    <xf numFmtId="169" fontId="9" fillId="0" borderId="3" xfId="1" applyNumberFormat="1" applyFont="1" applyBorder="1" applyAlignment="1" applyProtection="1">
      <alignment horizontal="center"/>
      <protection hidden="1"/>
    </xf>
    <xf numFmtId="1" fontId="9" fillId="0" borderId="29" xfId="1" applyNumberFormat="1" applyFont="1" applyBorder="1" applyAlignment="1" applyProtection="1">
      <alignment horizontal="center"/>
      <protection hidden="1"/>
    </xf>
    <xf numFmtId="169" fontId="9" fillId="0" borderId="0" xfId="1" applyNumberFormat="1" applyFont="1" applyAlignment="1" applyProtection="1">
      <alignment horizontal="center"/>
      <protection hidden="1"/>
    </xf>
    <xf numFmtId="0" fontId="9" fillId="0" borderId="55" xfId="1" applyFont="1" applyBorder="1"/>
    <xf numFmtId="0" fontId="9" fillId="0" borderId="56" xfId="1" applyFont="1" applyBorder="1"/>
    <xf numFmtId="0" fontId="9" fillId="0" borderId="57" xfId="1" applyFont="1" applyBorder="1" applyAlignment="1">
      <alignment horizontal="left"/>
    </xf>
    <xf numFmtId="0" fontId="9" fillId="0" borderId="57" xfId="1" applyFont="1" applyBorder="1"/>
    <xf numFmtId="0" fontId="9" fillId="0" borderId="49" xfId="1" applyFont="1" applyBorder="1"/>
    <xf numFmtId="0" fontId="9" fillId="0" borderId="54" xfId="1" applyFont="1" applyBorder="1"/>
    <xf numFmtId="0" fontId="9" fillId="0" borderId="48" xfId="1" applyFont="1" applyBorder="1"/>
    <xf numFmtId="0" fontId="27" fillId="4" borderId="26" xfId="1" applyFont="1" applyFill="1" applyBorder="1" applyAlignment="1" applyProtection="1">
      <alignment vertical="center"/>
      <protection hidden="1"/>
    </xf>
    <xf numFmtId="0" fontId="27" fillId="4" borderId="30" xfId="1" applyFont="1" applyFill="1" applyBorder="1" applyAlignment="1" applyProtection="1">
      <alignment vertical="center"/>
      <protection hidden="1"/>
    </xf>
    <xf numFmtId="0" fontId="27" fillId="4" borderId="41" xfId="1" applyFont="1" applyFill="1" applyBorder="1" applyAlignment="1" applyProtection="1">
      <alignment vertical="center"/>
      <protection hidden="1"/>
    </xf>
    <xf numFmtId="0" fontId="27" fillId="4" borderId="42" xfId="1" applyFont="1" applyFill="1" applyBorder="1" applyAlignment="1" applyProtection="1">
      <alignment vertical="center"/>
      <protection hidden="1"/>
    </xf>
    <xf numFmtId="0" fontId="27" fillId="4" borderId="9" xfId="1" applyFont="1" applyFill="1" applyBorder="1" applyAlignment="1" applyProtection="1">
      <alignment vertical="center"/>
      <protection hidden="1"/>
    </xf>
    <xf numFmtId="0" fontId="27" fillId="4" borderId="43" xfId="1" applyFont="1" applyFill="1" applyBorder="1" applyAlignment="1" applyProtection="1">
      <alignment vertical="center"/>
      <protection hidden="1"/>
    </xf>
    <xf numFmtId="0" fontId="4" fillId="0" borderId="36" xfId="1" applyFont="1" applyBorder="1" applyProtection="1">
      <protection hidden="1"/>
    </xf>
    <xf numFmtId="0" fontId="9" fillId="0" borderId="58" xfId="1" applyFont="1" applyBorder="1" applyProtection="1">
      <protection hidden="1"/>
    </xf>
    <xf numFmtId="0" fontId="9" fillId="0" borderId="59" xfId="1" applyFont="1" applyBorder="1" applyProtection="1">
      <protection hidden="1"/>
    </xf>
    <xf numFmtId="0" fontId="9" fillId="0" borderId="35" xfId="1" applyFont="1" applyBorder="1" applyProtection="1">
      <protection hidden="1"/>
    </xf>
    <xf numFmtId="0" fontId="9" fillId="0" borderId="38" xfId="1" applyFont="1" applyBorder="1" applyProtection="1">
      <protection hidden="1"/>
    </xf>
    <xf numFmtId="10" fontId="9" fillId="4" borderId="60" xfId="1" applyNumberFormat="1" applyFont="1" applyFill="1" applyBorder="1" applyProtection="1">
      <protection hidden="1"/>
    </xf>
    <xf numFmtId="0" fontId="9" fillId="0" borderId="61" xfId="1" applyFont="1" applyBorder="1" applyProtection="1">
      <protection hidden="1"/>
    </xf>
    <xf numFmtId="0" fontId="9" fillId="0" borderId="37" xfId="1" applyFont="1" applyBorder="1" applyProtection="1">
      <protection hidden="1"/>
    </xf>
    <xf numFmtId="0" fontId="31" fillId="0" borderId="0" xfId="0" applyFont="1" applyAlignment="1">
      <alignment vertical="center"/>
    </xf>
    <xf numFmtId="167" fontId="9" fillId="16" borderId="15" xfId="1" applyNumberFormat="1" applyFont="1" applyFill="1" applyBorder="1"/>
    <xf numFmtId="0" fontId="12" fillId="0" borderId="0" xfId="1" applyFont="1"/>
    <xf numFmtId="9" fontId="9" fillId="0" borderId="0" xfId="5" applyFont="1" applyFill="1" applyProtection="1">
      <protection hidden="1"/>
    </xf>
    <xf numFmtId="9" fontId="1" fillId="0" borderId="0" xfId="5" applyFont="1" applyFill="1"/>
    <xf numFmtId="9" fontId="9" fillId="0" borderId="0" xfId="5" applyFont="1" applyFill="1"/>
    <xf numFmtId="167" fontId="9" fillId="0" borderId="0" xfId="1" applyNumberFormat="1" applyFont="1" applyAlignment="1" applyProtection="1">
      <alignment horizontal="center"/>
      <protection hidden="1"/>
    </xf>
    <xf numFmtId="9" fontId="9" fillId="0" borderId="0" xfId="5" applyFont="1" applyFill="1" applyAlignment="1" applyProtection="1">
      <alignment horizontal="center"/>
      <protection hidden="1"/>
    </xf>
    <xf numFmtId="10" fontId="9" fillId="0" borderId="0" xfId="1" applyNumberFormat="1" applyFont="1" applyProtection="1">
      <protection hidden="1"/>
    </xf>
    <xf numFmtId="164" fontId="9" fillId="0" borderId="0" xfId="1" applyNumberFormat="1" applyFont="1" applyProtection="1">
      <protection hidden="1"/>
    </xf>
    <xf numFmtId="9" fontId="9" fillId="0" borderId="0" xfId="5" applyFont="1" applyFill="1" applyBorder="1" applyProtection="1">
      <protection hidden="1"/>
    </xf>
    <xf numFmtId="9" fontId="8" fillId="0" borderId="0" xfId="5" applyFont="1" applyFill="1" applyProtection="1">
      <protection hidden="1"/>
    </xf>
    <xf numFmtId="9" fontId="1" fillId="0" borderId="0" xfId="5" applyFont="1" applyFill="1" applyProtection="1">
      <protection locked="0"/>
    </xf>
    <xf numFmtId="167" fontId="9" fillId="0" borderId="0" xfId="1" applyNumberFormat="1" applyFont="1" applyProtection="1">
      <protection locked="0"/>
    </xf>
    <xf numFmtId="173" fontId="9" fillId="0" borderId="0" xfId="1" applyNumberFormat="1" applyFont="1" applyProtection="1">
      <protection hidden="1"/>
    </xf>
    <xf numFmtId="9" fontId="1" fillId="0" borderId="0" xfId="5" applyFont="1" applyFill="1" applyProtection="1">
      <protection hidden="1"/>
    </xf>
    <xf numFmtId="168" fontId="9" fillId="0" borderId="0" xfId="1" applyNumberFormat="1" applyFont="1" applyAlignment="1" applyProtection="1">
      <alignment horizontal="center"/>
      <protection locked="0"/>
    </xf>
    <xf numFmtId="167" fontId="9" fillId="0" borderId="3" xfId="0" applyNumberFormat="1" applyFont="1" applyBorder="1" applyProtection="1">
      <protection hidden="1"/>
    </xf>
    <xf numFmtId="167" fontId="9" fillId="0" borderId="13" xfId="0" applyNumberFormat="1" applyFont="1" applyBorder="1" applyProtection="1">
      <protection hidden="1"/>
    </xf>
    <xf numFmtId="44" fontId="0" fillId="0" borderId="0" xfId="6" applyFont="1"/>
    <xf numFmtId="0" fontId="36" fillId="0" borderId="0" xfId="0" applyFont="1" applyAlignment="1">
      <alignment vertical="center" wrapText="1"/>
    </xf>
    <xf numFmtId="0" fontId="12" fillId="15" borderId="0" xfId="1" applyFont="1" applyFill="1" applyProtection="1">
      <protection hidden="1"/>
    </xf>
    <xf numFmtId="167" fontId="9" fillId="10" borderId="2" xfId="0" applyNumberFormat="1" applyFont="1" applyFill="1" applyBorder="1" applyProtection="1">
      <protection hidden="1"/>
    </xf>
    <xf numFmtId="167" fontId="9" fillId="9" borderId="2" xfId="0" applyNumberFormat="1" applyFont="1" applyFill="1" applyBorder="1" applyProtection="1">
      <protection hidden="1"/>
    </xf>
    <xf numFmtId="0" fontId="9" fillId="0" borderId="3" xfId="0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37" fillId="3" borderId="0" xfId="0" applyFont="1" applyFill="1" applyAlignment="1">
      <alignment vertical="center" wrapText="1"/>
    </xf>
    <xf numFmtId="0" fontId="36" fillId="0" borderId="0" xfId="0" applyFont="1"/>
    <xf numFmtId="0" fontId="36" fillId="0" borderId="3" xfId="0" applyFont="1" applyBorder="1"/>
    <xf numFmtId="0" fontId="0" fillId="0" borderId="3" xfId="0" applyBorder="1"/>
    <xf numFmtId="0" fontId="14" fillId="17" borderId="0" xfId="1" applyFont="1" applyFill="1" applyAlignment="1" applyProtection="1">
      <alignment horizontal="left"/>
      <protection hidden="1"/>
    </xf>
    <xf numFmtId="0" fontId="14" fillId="0" borderId="0" xfId="1" applyFont="1" applyAlignment="1" applyProtection="1">
      <alignment horizontal="left"/>
      <protection hidden="1"/>
    </xf>
    <xf numFmtId="0" fontId="33" fillId="16" borderId="0" xfId="0" applyFont="1" applyFill="1"/>
    <xf numFmtId="0" fontId="0" fillId="16" borderId="0" xfId="0" applyFill="1"/>
    <xf numFmtId="167" fontId="9" fillId="16" borderId="0" xfId="1" applyNumberFormat="1" applyFont="1" applyFill="1"/>
    <xf numFmtId="0" fontId="32" fillId="0" borderId="0" xfId="0" applyFont="1"/>
    <xf numFmtId="0" fontId="12" fillId="0" borderId="0" xfId="1" applyFont="1" applyProtection="1">
      <protection hidden="1"/>
    </xf>
    <xf numFmtId="0" fontId="0" fillId="0" borderId="33" xfId="0" applyBorder="1"/>
    <xf numFmtId="0" fontId="0" fillId="0" borderId="45" xfId="0" applyBorder="1"/>
    <xf numFmtId="0" fontId="0" fillId="0" borderId="31" xfId="0" applyBorder="1"/>
    <xf numFmtId="0" fontId="0" fillId="0" borderId="32" xfId="0" applyBorder="1"/>
    <xf numFmtId="167" fontId="0" fillId="0" borderId="0" xfId="0" applyNumberFormat="1"/>
    <xf numFmtId="0" fontId="35" fillId="0" borderId="32" xfId="0" applyFont="1" applyBorder="1"/>
    <xf numFmtId="167" fontId="0" fillId="0" borderId="0" xfId="6" applyNumberFormat="1" applyFont="1" applyBorder="1"/>
    <xf numFmtId="0" fontId="0" fillId="0" borderId="8" xfId="0" applyBorder="1"/>
    <xf numFmtId="0" fontId="0" fillId="0" borderId="34" xfId="0" applyBorder="1"/>
    <xf numFmtId="167" fontId="0" fillId="0" borderId="34" xfId="0" applyNumberFormat="1" applyBorder="1"/>
    <xf numFmtId="0" fontId="0" fillId="0" borderId="46" xfId="0" applyBorder="1"/>
    <xf numFmtId="0" fontId="36" fillId="0" borderId="7" xfId="0" applyFont="1" applyBorder="1"/>
    <xf numFmtId="0" fontId="10" fillId="7" borderId="0" xfId="1" applyFont="1" applyFill="1" applyAlignment="1" applyProtection="1">
      <alignment horizontal="center" vertical="center"/>
      <protection hidden="1"/>
    </xf>
    <xf numFmtId="0" fontId="11" fillId="2" borderId="0" xfId="1" applyFont="1" applyFill="1" applyAlignment="1" applyProtection="1">
      <alignment horizontal="right" vertical="center"/>
      <protection hidden="1"/>
    </xf>
    <xf numFmtId="168" fontId="9" fillId="0" borderId="0" xfId="1" applyNumberFormat="1" applyFont="1" applyAlignment="1" applyProtection="1">
      <alignment horizontal="center"/>
      <protection hidden="1"/>
    </xf>
    <xf numFmtId="168" fontId="9" fillId="10" borderId="11" xfId="1" applyNumberFormat="1" applyFont="1" applyFill="1" applyBorder="1" applyAlignment="1" applyProtection="1">
      <alignment horizontal="center" wrapText="1"/>
      <protection hidden="1"/>
    </xf>
    <xf numFmtId="168" fontId="9" fillId="10" borderId="13" xfId="1" applyNumberFormat="1" applyFont="1" applyFill="1" applyBorder="1" applyAlignment="1" applyProtection="1">
      <alignment horizontal="center" wrapText="1"/>
      <protection hidden="1"/>
    </xf>
    <xf numFmtId="0" fontId="9" fillId="0" borderId="53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9" xfId="1" applyFont="1" applyBorder="1" applyAlignment="1" applyProtection="1">
      <alignment horizontal="center" vertical="center"/>
      <protection hidden="1"/>
    </xf>
  </cellXfs>
  <cellStyles count="8">
    <cellStyle name="Comma 2" xfId="4" xr:uid="{6B709AEC-EB9E-413A-988C-3F4933E43017}"/>
    <cellStyle name="Currency" xfId="6" builtinId="4"/>
    <cellStyle name="Currency 2" xfId="3" xr:uid="{4E719263-201D-441B-9EE3-D029AA001A33}"/>
    <cellStyle name="Normal" xfId="0" builtinId="0"/>
    <cellStyle name="Normal 2" xfId="1" xr:uid="{26EE69F3-CE4B-4E5B-816A-FADAECC96973}"/>
    <cellStyle name="Normal 2 2" xfId="7" xr:uid="{F9E5A25C-9C07-4E24-A98F-9E64148EC917}"/>
    <cellStyle name="Percent" xfId="5" builtinId="5"/>
    <cellStyle name="Percent 2" xfId="2" xr:uid="{5C27721D-89F6-4F14-8F25-D55FC56B97A5}"/>
  </cellStyles>
  <dxfs count="1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,##0.0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border diagonalUp="0" diagonalDown="0">
        <left/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428625</xdr:colOff>
      <xdr:row>304</xdr:row>
      <xdr:rowOff>104775</xdr:rowOff>
    </xdr:from>
    <xdr:ext cx="76200" cy="200025"/>
    <xdr:sp macro="" textlink="">
      <xdr:nvSpPr>
        <xdr:cNvPr id="2" name="Text Box 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22877145" y="6246685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49" name="CbBGC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50" name="CbBGC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51" name="CbBGC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114300</xdr:rowOff>
        </xdr:from>
        <xdr:to>
          <xdr:col>49</xdr:col>
          <xdr:colOff>647700</xdr:colOff>
          <xdr:row>605</xdr:row>
          <xdr:rowOff>123825</xdr:rowOff>
        </xdr:to>
        <xdr:sp macro="" textlink="">
          <xdr:nvSpPr>
            <xdr:cNvPr id="2052" name="CbBGC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622</xdr:row>
          <xdr:rowOff>19050</xdr:rowOff>
        </xdr:from>
        <xdr:to>
          <xdr:col>49</xdr:col>
          <xdr:colOff>647700</xdr:colOff>
          <xdr:row>623</xdr:row>
          <xdr:rowOff>28575</xdr:rowOff>
        </xdr:to>
        <xdr:sp macro="" textlink="">
          <xdr:nvSpPr>
            <xdr:cNvPr id="2053" name="CbBGC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312965</xdr:colOff>
      <xdr:row>4</xdr:row>
      <xdr:rowOff>258536</xdr:rowOff>
    </xdr:from>
    <xdr:to>
      <xdr:col>0</xdr:col>
      <xdr:colOff>4980215</xdr:colOff>
      <xdr:row>4</xdr:row>
      <xdr:rowOff>625929</xdr:rowOff>
    </xdr:to>
    <xdr:sp macro="[0]!Refresh_Table_form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965" y="2612572"/>
          <a:ext cx="4667250" cy="367393"/>
        </a:xfrm>
        <a:prstGeom prst="rect">
          <a:avLst/>
        </a:prstGeom>
        <a:solidFill>
          <a:schemeClr val="accent6"/>
        </a:solidFill>
        <a:ln w="28575" cap="sq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Table_form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9525</xdr:rowOff>
    </xdr:from>
    <xdr:to>
      <xdr:col>10</xdr:col>
      <xdr:colOff>361950</xdr:colOff>
      <xdr:row>1</xdr:row>
      <xdr:rowOff>19050</xdr:rowOff>
    </xdr:to>
    <xdr:sp macro="[0]!Refresh_Drop_dow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706475" y="9525"/>
          <a:ext cx="914400" cy="200025"/>
        </a:xfrm>
        <a:prstGeom prst="rect">
          <a:avLst/>
        </a:prstGeom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9BADC3CE-CB02-4BA3-824F-EA682D39E769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Description" tableColumnId="1"/>
      <queryTableField id="2" name="Total.Dimension" tableColumnId="2"/>
      <queryTableField id="3" name="Hire bin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1" xr16:uid="{C0BD406D-93E8-44E5-8E89-ECCDC05005DA}" autoFormatId="16" applyNumberFormats="0" applyBorderFormats="0" applyFontFormats="0" applyPatternFormats="0" applyAlignmentFormats="0" applyWidthHeightFormats="0">
  <queryTableRefresh nextId="5">
    <queryTableFields count="4">
      <queryTableField id="1" name="Category" tableColumnId="1"/>
      <queryTableField id="2" name="Subcategory" tableColumnId="2"/>
      <queryTableField id="3" name="Item Description" tableColumnId="3"/>
      <queryTableField id="4" name="Retail Price" tableColumnId="4"/>
    </queryTableFields>
  </queryTableRefresh>
  <extLst>
    <ext xmlns:x15="http://schemas.microsoft.com/office/spreadsheetml/2010/11/main" uri="{883FBD77-0823-4a55-B5E3-86C4891E6966}">
      <x15:queryTable sourceDataName="Query - dim_minimum_hir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4032BA36-DB1A-4519-98B0-557D99035614}" autoFormatId="16" applyNumberFormats="0" applyBorderFormats="0" applyFontFormats="0" applyPatternFormats="0" applyAlignmentFormats="0" applyWidthHeightFormats="0">
  <queryTableRefresh nextId="5">
    <queryTableFields count="4">
      <queryTableField id="1" name="Item Description" tableColumnId="1"/>
      <queryTableField id="2" name="Retail Price" tableColumnId="2"/>
      <queryTableField id="3" name="Qty" tableColumnId="3"/>
      <queryTableField id="4" name="Soil.Total_pric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50C5748E-6AA3-4A9E-A69C-3B5A1A63E4F3}" autoFormatId="16" applyNumberFormats="0" applyBorderFormats="0" applyFontFormats="0" applyPatternFormats="0" applyAlignmentFormats="0" applyWidthHeightFormats="0">
  <queryTableRefresh nextId="5">
    <queryTableFields count="4">
      <queryTableField id="1" name="Item Description" tableColumnId="1"/>
      <queryTableField id="2" name="Retail Price" tableColumnId="2"/>
      <queryTableField id="3" name="Qty" tableColumnId="3"/>
      <queryTableField id="4" name="Concrete.Total_pric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4C21E3F-AF73-4FD1-B143-CD913D283864}" autoFormatId="16" applyNumberFormats="0" applyBorderFormats="0" applyFontFormats="0" applyPatternFormats="0" applyAlignmentFormats="0" applyWidthHeightFormats="0">
  <queryTableRefresh nextId="5">
    <queryTableFields count="4">
      <queryTableField id="1" name="Mini dingo" tableColumnId="1"/>
      <queryTableField id="2" name="Qty" tableColumnId="2"/>
      <queryTableField id="3" name="prices.Retail Price" tableColumnId="3"/>
      <queryTableField id="4" name="Mini dingo cost.Total_pric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2" xr16:uid="{65E2C392-AA16-4DD0-ADDF-6FD408D8E71F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Qty" tableColumnId="2"/>
      <queryTableField id="3" name="paint_cal.Retail Price" tableColumnId="3"/>
      <queryTableField id="4" name="Paint.Total_price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5" xr16:uid="{7091D483-B853-4D54-AE97-EF1B6B0D0D2C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Type.display" tableColumnId="2"/>
      <queryTableField id="3" name="Category" tableColumnId="3"/>
      <queryTableField id="4" name="Subcategory" tableColumnId="4"/>
      <queryTableField id="5" name="Type" tableColumnId="5"/>
      <queryTableField id="6" name="Item Description" tableColumnId="6"/>
      <queryTableField id="7" name="Additional Information" tableColumnId="7"/>
      <queryTableField id="8" name="Price" tableColumnId="8"/>
      <queryTableField id="9" name="Markup Rate" tableColumnId="9"/>
      <queryTableField id="10" name="Markup" tableColumnId="10"/>
      <queryTableField id="11" name="Retail Price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9C5207B1-92F5-4166-84A7-B770916530AA}" autoFormatId="16" applyNumberFormats="0" applyBorderFormats="0" applyFontFormats="0" applyPatternFormats="0" applyAlignmentFormats="0" applyWidthHeightFormats="0">
  <queryTableRefresh nextId="829">
    <queryTableFields count="37">
      <queryTableField id="1" name="Category" tableColumnId="1"/>
      <queryTableField id="793" name="Subcategory.0" tableColumnId="2"/>
      <queryTableField id="3" name="Subcategory.1" tableColumnId="3"/>
      <queryTableField id="794" name="Subcategory.2" tableColumnId="4"/>
      <queryTableField id="5" name="Subcategory.3" tableColumnId="5"/>
      <queryTableField id="795" name="Subcategory.4" tableColumnId="6"/>
      <queryTableField id="7" name="Subcategory.5" tableColumnId="7"/>
      <queryTableField id="796" name="Subcategory.6" tableColumnId="8"/>
      <queryTableField id="9" name="Subcategory.7" tableColumnId="9"/>
      <queryTableField id="797" name="Subcategory.8" tableColumnId="10"/>
      <queryTableField id="11" name="Subcategory.9" tableColumnId="11"/>
      <queryTableField id="798" name="Subcategory.10" tableColumnId="12"/>
      <queryTableField id="13" name="Subcategory.11" tableColumnId="13"/>
      <queryTableField id="799" name="Subcategory.12" tableColumnId="14"/>
      <queryTableField id="15" name="Subcategory.13" tableColumnId="15"/>
      <queryTableField id="800" name="Subcategory.14" tableColumnId="16"/>
      <queryTableField id="17" name="Subcategory.15" tableColumnId="17"/>
      <queryTableField id="801" name="Subcategory.16" tableColumnId="18"/>
      <queryTableField id="19" name="Subcategory.17" tableColumnId="19"/>
      <queryTableField id="802" name="Subcategory.18" tableColumnId="20"/>
      <queryTableField id="21" name="Subcategory.19" tableColumnId="21"/>
      <queryTableField id="803" name="Subcategory.20" tableColumnId="22"/>
      <queryTableField id="23" name="Subcategory.21" tableColumnId="23"/>
      <queryTableField id="804" name="Subcategory.22" tableColumnId="24"/>
      <queryTableField id="25" name="Subcategory.23" tableColumnId="25"/>
      <queryTableField id="805" name="Subcategory.24" tableColumnId="26"/>
      <queryTableField id="27" name="Subcategory.25" tableColumnId="27"/>
      <queryTableField id="806" name="Subcategory.26" tableColumnId="28"/>
      <queryTableField id="29" name="Subcategory.27" tableColumnId="29"/>
      <queryTableField id="807" name="Subcategory.28" tableColumnId="30"/>
      <queryTableField id="31" name="Subcategory.29" tableColumnId="31"/>
      <queryTableField id="808" name="Subcategory.30" tableColumnId="32"/>
      <queryTableField id="33" name="Subcategory.31" tableColumnId="33"/>
      <queryTableField id="809" name="Subcategory.32" tableColumnId="34"/>
      <queryTableField id="35" name="Subcategory.33" tableColumnId="35"/>
      <queryTableField id="810" name="Subcategory.34" tableColumnId="36"/>
      <queryTableField id="37" name="Subcategory.35" tableColumnId="3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72FEEFC-E8AD-4CE2-96B9-B34E254F47F4}" autoFormatId="16" applyNumberFormats="0" applyBorderFormats="0" applyFontFormats="0" applyPatternFormats="0" applyAlignmentFormats="0" applyWidthHeightFormats="0">
  <queryTableRefresh nextId="399">
    <queryTableFields count="52">
      <queryTableField id="1" name="Subcategory" tableColumnId="1"/>
      <queryTableField id="61" name="Item Description.0" tableColumnId="2"/>
      <queryTableField id="62" name="Item Description.1" tableColumnId="3"/>
      <queryTableField id="63" name="Item Description.2" tableColumnId="4"/>
      <queryTableField id="64" name="Item Description.3" tableColumnId="5"/>
      <queryTableField id="65" name="Item Description.4" tableColumnId="6"/>
      <queryTableField id="66" name="Item Description.5" tableColumnId="7"/>
      <queryTableField id="67" name="Item Description.6" tableColumnId="8"/>
      <queryTableField id="68" name="Item Description.7" tableColumnId="9"/>
      <queryTableField id="69" name="Item Description.8" tableColumnId="10"/>
      <queryTableField id="70" name="Item Description.9" tableColumnId="11"/>
      <queryTableField id="71" name="Item Description.10" tableColumnId="12"/>
      <queryTableField id="72" name="Item Description.11" tableColumnId="13"/>
      <queryTableField id="73" name="Item Description.12" tableColumnId="14"/>
      <queryTableField id="74" name="Item Description.13" tableColumnId="15"/>
      <queryTableField id="75" name="Item Description.14" tableColumnId="16"/>
      <queryTableField id="76" name="Item Description.15" tableColumnId="17"/>
      <queryTableField id="77" name="Item Description.16" tableColumnId="18"/>
      <queryTableField id="78" name="Item Description.17" tableColumnId="19"/>
      <queryTableField id="79" name="Item Description.18" tableColumnId="20"/>
      <queryTableField id="80" name="Item Description.19" tableColumnId="21"/>
      <queryTableField id="81" name="Item Description.20" tableColumnId="22"/>
      <queryTableField id="82" name="Item Description.21" tableColumnId="23"/>
      <queryTableField id="83" name="Item Description.22" tableColumnId="24"/>
      <queryTableField id="84" name="Item Description.23" tableColumnId="25"/>
      <queryTableField id="85" name="Item Description.24" tableColumnId="26"/>
      <queryTableField id="86" name="Item Description.25" tableColumnId="27"/>
      <queryTableField id="87" name="Item Description.26" tableColumnId="28"/>
      <queryTableField id="88" name="Item Description.27" tableColumnId="29"/>
      <queryTableField id="89" name="Item Description.28" tableColumnId="30"/>
      <queryTableField id="90" name="Item Description.29" tableColumnId="31"/>
      <queryTableField id="363" name="Item Description.30" tableColumnId="32"/>
      <queryTableField id="92" name="Item Description.31" tableColumnId="33"/>
      <queryTableField id="364" name="Item Description.32" tableColumnId="34"/>
      <queryTableField id="94" name="Item Description.33" tableColumnId="35"/>
      <queryTableField id="365" name="Item Description.34" tableColumnId="36"/>
      <queryTableField id="96" name="Item Description.35" tableColumnId="37"/>
      <queryTableField id="366" name="Item Description.36" tableColumnId="38"/>
      <queryTableField id="98" name="Item Description.37" tableColumnId="39"/>
      <queryTableField id="367" name="Item Description.38" tableColumnId="40"/>
      <queryTableField id="100" name="Item Description.39" tableColumnId="41"/>
      <queryTableField id="368" name="Item Description.40" tableColumnId="42"/>
      <queryTableField id="102" name="Item Description.41" tableColumnId="43"/>
      <queryTableField id="369" name="Item Description.42" tableColumnId="44"/>
      <queryTableField id="104" name="Item Description.43" tableColumnId="45"/>
      <queryTableField id="370" name="Item Description.44" tableColumnId="46"/>
      <queryTableField id="106" name="Item Description.45" tableColumnId="47"/>
      <queryTableField id="371" name="Item Description.46" tableColumnId="48"/>
      <queryTableField id="108" name="Item Description.47" tableColumnId="49"/>
      <queryTableField id="372" name="Item Description.48" tableColumnId="50"/>
      <queryTableField id="110" name="Item Description.49" tableColumnId="51"/>
      <queryTableField id="373" name="Item Description.50" tableColumnId="5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4" xr16:uid="{1AF25023-C77A-4BA9-971B-C9465979E046}" autoFormatId="16" applyNumberFormats="0" applyBorderFormats="0" applyFontFormats="0" applyPatternFormats="0" applyAlignmentFormats="0" applyWidthHeightFormats="0">
  <queryTableRefresh nextId="6">
    <queryTableFields count="5">
      <queryTableField id="1" name="Category.get" tableColumnId="1"/>
      <queryTableField id="2" name="Qty" tableColumnId="2"/>
      <queryTableField id="3" name="prices.Subcategory" tableColumnId="3"/>
      <queryTableField id="4" name="prices.Item Description" tableColumnId="4"/>
      <queryTableField id="5" name="prices.Additional Information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DBD5D9-1022-48B0-A6C9-BC923CE13519}" name="verandah_table" displayName="verandah_table" ref="A6:L1099" headerRowDxfId="147" dataDxfId="146" tableBorderDxfId="145" headerRowCellStyle="Normal 2" dataCellStyle="Normal 2">
  <autoFilter ref="A6:L1099" xr:uid="{A7DBD5D9-1022-48B0-A6C9-BC923CE13519}"/>
  <tableColumns count="12">
    <tableColumn id="1" xr3:uid="{FD02BE0B-82CD-4712-AE7B-313D93AEF29E}" name="Category" totalsRowLabel="Total"/>
    <tableColumn id="2" xr3:uid="{5B7511A0-7F57-4A6A-A1AC-0C4AB5966975}" name="Qty"/>
    <tableColumn id="3" xr3:uid="{F6056166-9725-4AF3-AF62-3B6ACDB711C4}" name="Subcategory"/>
    <tableColumn id="4" xr3:uid="{EB1C721C-59F6-4EB0-A37E-FB6E4BF3C1AB}" name="Description"/>
    <tableColumn id="5" xr3:uid="{C70B0EFC-5993-436C-A70F-095A740FAC21}" name="Additional Information"/>
    <tableColumn id="6" xr3:uid="{102057C8-EC2C-4960-8E07-B7E20792BD1E}" name="Note"/>
    <tableColumn id="7" xr3:uid="{C52C177D-7371-4810-8DCE-E476BA1011AA}" name="Material" dataDxfId="144" totalsRowDxfId="143" dataCellStyle="Normal 2">
      <calculatedColumnFormula array="1">IFERROR(INDEX(dim_price[Retail Price], MATCH(1, ($D7=dim_price[Item Description]) * (G$6=dim_price[Type])*(dim_price[Item Description]&lt;&gt;0)*($C7=dim_price[Subcategory]), 0))*$B7,"")</calculatedColumnFormula>
    </tableColumn>
    <tableColumn id="8" xr3:uid="{E0845137-0A9D-42C0-9F54-5BB1E43C9109}" name="Carpentry" dataDxfId="142" totalsRowDxfId="141" dataCellStyle="Normal 2">
      <calculatedColumnFormula array="1">IFERROR(INDEX(dim_price[Retail Price], MATCH(1, ($D7=dim_price[Item Description]) * (H$6=dim_price[Type])*(dim_price[Item Description]&lt;&gt;0)*($C7=dim_price[Subcategory]), 0))*$B7,"")</calculatedColumnFormula>
    </tableColumn>
    <tableColumn id="9" xr3:uid="{DC0E1477-7334-4255-A43A-5943295C0DE3}" name="Plumbing" dataDxfId="140" totalsRowDxfId="139" dataCellStyle="Normal 2">
      <calculatedColumnFormula array="1">IFERROR(INDEX(dim_price[Retail Price], MATCH(1, ($D7=dim_price[Item Description]) * (I$6=dim_price[Type])*(dim_price[Item Description]&lt;&gt;0)*($C7=dim_price[Subcategory]), 0))*$B7,"")</calculatedColumnFormula>
    </tableColumn>
    <tableColumn id="10" xr3:uid="{C7940785-7EF1-4254-B8A8-BC15E6A39C54}" name="Painting" dataDxfId="138" totalsRowDxfId="137" dataCellStyle="Normal 2">
      <calculatedColumnFormula array="1">IFERROR(INDEX(dim_price[Retail Price], MATCH(1, ($D7=dim_price[Item Description]) * (J$6=dim_price[Type])*(dim_price[Item Description]&lt;&gt;0)*($C7=dim_price[Subcategory]), 0))*$B7,"")</calculatedColumnFormula>
    </tableColumn>
    <tableColumn id="11" xr3:uid="{A6621D31-8933-4686-BEA8-6A261074700B}" name="Labour" dataDxfId="136" totalsRowDxfId="135" dataCellStyle="Normal 2">
      <calculatedColumnFormula array="1">IFERROR(INDEX(dim_price[Retail Price], MATCH(1, ($D7=dim_price[Item Description]) * (K$6=dim_price[Type])*(dim_price[Item Description]&lt;&gt;0)*($C7=dim_price[Subcategory]), 0))*$B7,"")</calculatedColumnFormula>
    </tableColumn>
    <tableColumn id="12" xr3:uid="{DD265E5B-DB27-4209-9174-DC5644791DE0}" name="Dropdown_helper" totalsRowFunction="count" dataDxfId="134" totalsRowDxfId="133" dataCellStyle="Normal 2">
      <calculatedColumnFormula array="1">IF($A7&lt;&gt;"", $A7, LOOKUP(2, 1/((A$7:INDEX(A:A, ROW()))&lt;&gt;""), A$7:INDEX(A:A, ROW())))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3D3ED62-8563-474E-A387-CA8A880339AE}" name="Table_hire_bin" displayName="Table_hire_bin" ref="B31:E33" tableType="queryTable" totalsRowCount="1">
  <autoFilter ref="B31:E32" xr:uid="{53D3ED62-8563-474E-A387-CA8A880339AE}"/>
  <tableColumns count="4">
    <tableColumn id="1" xr3:uid="{9E52A0D9-97B8-471F-9B1E-21A48D7E12F6}" uniqueName="1" name="Description" totalsRowLabel="Total" queryTableFieldId="1" dataDxfId="132"/>
    <tableColumn id="2" xr3:uid="{E4719BD0-8700-41A3-80BA-F6D020D9EDC9}" uniqueName="2" name="Total.Dimension" queryTableFieldId="2"/>
    <tableColumn id="3" xr3:uid="{05190FF7-2A6D-4B28-ABC9-68071FF69DBA}" uniqueName="3" name="Hire bin" queryTableFieldId="3" dataDxfId="131"/>
    <tableColumn id="4" xr3:uid="{1BDCD239-F454-405D-A3E6-34149E565AF9}" uniqueName="4" name="Total.Hire bin" totalsRowFunction="sum" queryTableFieldId="4" dataDxfId="130" totalsRowDxfId="129" dataCellStyle="Currency">
      <calculatedColumnFormula>IFERROR(INDEX(dim_price[Retail Price],MATCH(Table_hire_bin[[#This Row],[Hire bin]],dim_price[Item Description],0))+INDEX(dim_price[Retail Price],MATCH("bin permit", dim_price[Item Description],0)),0)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9DEF22-531C-4684-B3F9-A735AEA4652F}" name="Table_dim_minimum_hire" displayName="Table_dim_minimum_hire" ref="H3:K18" tableType="queryTable" totalsRowShown="0">
  <autoFilter ref="H3:K18" xr:uid="{E09DEF22-531C-4684-B3F9-A735AEA4652F}"/>
  <tableColumns count="4">
    <tableColumn id="1" xr3:uid="{B2CF66C5-B3CD-46CA-A99A-0F82A448FE01}" uniqueName="1" name="Category" queryTableFieldId="1" dataDxfId="128"/>
    <tableColumn id="2" xr3:uid="{B75B6405-CB39-4960-90C3-2A2C02742144}" uniqueName="2" name="Subcategory" queryTableFieldId="2" dataDxfId="127"/>
    <tableColumn id="3" xr3:uid="{6CCC5334-E590-4D12-89F6-C7BE6A0DDF36}" uniqueName="3" name="Item Description" queryTableFieldId="3" dataDxfId="126"/>
    <tableColumn id="4" xr3:uid="{69A97451-12E3-432A-81B3-BAEADA54C9E1}" uniqueName="4" name="Retail Pric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7FDF635-8D8D-49F7-80F6-22E4089D89AD}" name="Table_soil_cal" displayName="Table_soil_cal" ref="B3:E11" tableType="queryTable" totalsRowCount="1">
  <autoFilter ref="B3:E10" xr:uid="{F7FDF635-8D8D-49F7-80F6-22E4089D89AD}"/>
  <tableColumns count="4">
    <tableColumn id="1" xr3:uid="{03773588-79A0-4EA4-BBA0-B557242C5B58}" uniqueName="1" name="Item Description" totalsRowLabel="Total" queryTableFieldId="1" dataDxfId="125"/>
    <tableColumn id="2" xr3:uid="{66466E27-DAAF-4D47-A08C-597A5DD888A4}" uniqueName="2" name="Retail Price" queryTableFieldId="2"/>
    <tableColumn id="3" xr3:uid="{5828D5F1-B3EA-491C-9231-1EDB462FADC0}" uniqueName="3" name="Qty" queryTableFieldId="3" dataDxfId="124"/>
    <tableColumn id="4" xr3:uid="{E80FD506-5420-4C4E-9CFA-9FCA9789233C}" uniqueName="4" name="Soil.Total_price" totalsRowFunction="sum" queryTableFieldId="4" dataDxfId="123" totalsRowDxfId="12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4BCB485-D15D-455F-9EB6-96CFCB1BE5AF}" name="Table_concrete_cal" displayName="Table_concrete_cal" ref="B14:E22" tableType="queryTable" totalsRowCount="1">
  <autoFilter ref="B14:E21" xr:uid="{D4BCB485-D15D-455F-9EB6-96CFCB1BE5AF}"/>
  <tableColumns count="4">
    <tableColumn id="1" xr3:uid="{2F07A261-CED9-4566-A521-BD57BB5578C1}" uniqueName="1" name="Item Description" totalsRowLabel="Total" queryTableFieldId="1" dataDxfId="121"/>
    <tableColumn id="2" xr3:uid="{8BDEE8D0-5610-469E-8F75-2ECAD66F325D}" uniqueName="2" name="Retail Price" queryTableFieldId="2"/>
    <tableColumn id="3" xr3:uid="{6B6AFF16-68C4-4E22-AA68-F30F32597063}" uniqueName="3" name="Qty" queryTableFieldId="3"/>
    <tableColumn id="4" xr3:uid="{C12B42B3-6769-4381-B360-37E2089B7407}" uniqueName="4" name="Concrete.Total_price" totalsRowFunction="custom" queryTableFieldId="4" dataDxfId="120" totalsRowDxfId="119">
      <totalsRowFormula>MAX(SUBTOTAL(109,Table_concrete_cal[Concrete.Total_price]),INDEX(Table_dim_minimum_hire[Retail Price],MATCH("Concrete Calculator",Table_dim_minimum_hire[Subcategory],0)))</totalsRow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D54DAFE-58AA-49F2-9C63-F0210956B0D0}" name="Table_mini_dingo" displayName="Table_mini_dingo" ref="B25:E27" tableType="queryTable" totalsRowCount="1">
  <autoFilter ref="B25:E26" xr:uid="{2D54DAFE-58AA-49F2-9C63-F0210956B0D0}"/>
  <tableColumns count="4">
    <tableColumn id="1" xr3:uid="{1728827F-1842-4EB0-822B-64245772C741}" uniqueName="1" name="Mini dingo" totalsRowLabel="Total" queryTableFieldId="1" dataDxfId="118"/>
    <tableColumn id="2" xr3:uid="{F3414939-5A02-4551-85EC-B1CC948C6F50}" uniqueName="2" name="Qty" queryTableFieldId="2"/>
    <tableColumn id="3" xr3:uid="{51AB6F26-FB66-4A8E-95E2-242158D92888}" uniqueName="3" name="prices.Retail Price" queryTableFieldId="3" dataDxfId="117" totalsRowDxfId="116"/>
    <tableColumn id="4" xr3:uid="{97EB70D9-7F13-4DBC-AABF-B464F77F0841}" uniqueName="4" name="Mini dingo cost.Total_price" totalsRowFunction="sum" queryTableFieldId="4" dataDxfId="115" totalsRowDxfId="1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74AF7B-C1E3-4017-B217-058D79F04966}" name="Table_paint_cal" displayName="Table_paint_cal" ref="B37:E62" tableType="queryTable" totalsRowCount="1">
  <autoFilter ref="B37:E61" xr:uid="{E774AF7B-C1E3-4017-B217-058D79F04966}"/>
  <tableColumns count="4">
    <tableColumn id="1" xr3:uid="{2DA1B600-FDEC-4F19-BECD-4C28E81FB643}" uniqueName="1" name="Description" totalsRowLabel="Total" queryTableFieldId="1" dataDxfId="113"/>
    <tableColumn id="2" xr3:uid="{58BEF8E8-120D-4293-B1CE-8A996C192694}" uniqueName="2" name="Qty" totalsRowFunction="sum" queryTableFieldId="2"/>
    <tableColumn id="3" xr3:uid="{C812AE42-4AEF-47CB-9341-44719F1EC99C}" uniqueName="3" name="paint_cal.Retail Price" queryTableFieldId="3" dataDxfId="112" totalsRowDxfId="111"/>
    <tableColumn id="4" xr3:uid="{E8D5102E-68D7-448B-AAF5-8DBBCB6DE178}" uniqueName="4" name="Paint.Total_price" totalsRowFunction="custom" queryTableFieldId="4" dataDxfId="110" totalsRowDxfId="109">
      <totalsRowFormula>IF(SUBTOTAL(109,Table_paint_cal[Qty])&gt;0,MAX(SUBTOTAL(109,Table_paint_cal[Paint.Total_price]),INDEX(Table_dim_minimum_hire[Retail Price],MATCH("Painting Minimum Hire",Table_dim_minimum_hire[Item Description],0))),0)</totalsRow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A8D4C-203A-40AC-A41D-5CFE27CB07B6}" name="dim_price" displayName="dim_price" ref="A9:L1137" totalsRowShown="0" headerRowDxfId="108">
  <autoFilter ref="A9:L1137" xr:uid="{501A8D4C-203A-40AC-A41D-5CFE27CB07B6}"/>
  <sortState xmlns:xlrd2="http://schemas.microsoft.com/office/spreadsheetml/2017/richdata2" ref="A10:K1137">
    <sortCondition ref="A9:A1137"/>
  </sortState>
  <tableColumns count="12">
    <tableColumn id="11" xr3:uid="{3D520A44-202F-41F7-8F41-09535D81622B}" name="ID" dataCellStyle="Normal 2"/>
    <tableColumn id="10" xr3:uid="{810198AC-E2A5-45C0-8F5F-E96C29A90576}" name="Type.display" dataCellStyle="Normal 2"/>
    <tableColumn id="1" xr3:uid="{FB0B6BA4-1530-4ABE-8B94-00FCFB0EFF60}" name="Category" dataDxfId="107"/>
    <tableColumn id="2" xr3:uid="{8F21BD5F-9E63-4478-A5B3-9BAFFA319A4E}" name="Subcategory" dataDxfId="106"/>
    <tableColumn id="3" xr3:uid="{34FA1BAC-0A1D-473A-88F2-0B70521B03AA}" name="Type" dataDxfId="105"/>
    <tableColumn id="4" xr3:uid="{766DB70A-C010-40F9-83B5-C39BCB5B5A3D}" name="Item Description" dataDxfId="104"/>
    <tableColumn id="5" xr3:uid="{CBFB8915-1005-4132-A716-F518FBAF9C7B}" name="Additional Information" dataDxfId="103"/>
    <tableColumn id="6" xr3:uid="{73B5B935-BC9B-45E7-AA17-A45A9D9AAB25}" name="Price" dataDxfId="102"/>
    <tableColumn id="7" xr3:uid="{B95F5FA2-4871-4F98-B468-F7AA9F161B21}" name="Markup Rate" dataDxfId="101" dataCellStyle="Percent"/>
    <tableColumn id="8" xr3:uid="{7830D09A-1D93-4BEC-9203-047BAB411D8A}" name="Markup" dataDxfId="100">
      <calculatedColumnFormula>H10*$D$6</calculatedColumnFormula>
    </tableColumn>
    <tableColumn id="9" xr3:uid="{BB5FF8B6-3F1E-435C-95D6-B978CCBA7EC5}" name="Retail Price" dataDxfId="99">
      <calculatedColumnFormula>H10+I10+J10</calculatedColumnFormula>
    </tableColumn>
    <tableColumn id="12" xr3:uid="{079264D8-7DAF-4A8A-9205-7A76B6D2A626}" name="Column1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7ADA7F-3BA1-4086-8F65-FB54E243257A}" name="dim_recipe" displayName="dim_recipe" ref="A1:I9" totalsRowShown="0" headerRowDxfId="98">
  <autoFilter ref="A1:I9" xr:uid="{707ADA7F-3BA1-4086-8F65-FB54E243257A}"/>
  <tableColumns count="9">
    <tableColumn id="1" xr3:uid="{FE5C53E8-EA58-4D05-94B4-2C2339C97E6F}" name="Type.display"/>
    <tableColumn id="2" xr3:uid="{12039A75-D392-4C65-87C6-3640FF3B4D7C}" name="Category"/>
    <tableColumn id="3" xr3:uid="{7CA7A81C-98A2-4C01-97CE-CDA09511078F}" name="Subcategory"/>
    <tableColumn id="9" xr3:uid="{65D8E28A-BC54-45CD-8E39-C668905B066E}" name="Type"/>
    <tableColumn id="4" xr3:uid="{D17DA803-1759-4F6E-8AAB-410B26BA30F1}" name="Item Description"/>
    <tableColumn id="5" xr3:uid="{C7430C92-8598-44C1-9DAC-534F41855B02}" name="Recipe Items"/>
    <tableColumn id="6" xr3:uid="{FA8F46CA-0D70-4B27-85A0-AEB888C72CE5}" name="Multipler"/>
    <tableColumn id="7" xr3:uid="{463F3BD4-CE0C-4A85-B7AA-DD7EB3F29EDB}" name="Retail Price">
      <calculatedColumnFormula>INDEX(dim_price[Retail Price],MATCH(F2,dim_price[Item Description],0))</calculatedColumnFormula>
    </tableColumn>
    <tableColumn id="8" xr3:uid="{1697C68D-D9BA-4267-9E1F-49A0087B808C}" name="Sum">
      <calculatedColumnFormula>G2*H2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5243816-7180-44D4-9F77-CC10B4277456}" name="Table_dim_price_recipe" displayName="Table_dim_price_recipe" ref="A1:K1133" tableType="queryTable" totalsRowShown="0">
  <autoFilter ref="A1:K1133" xr:uid="{45243816-7180-44D4-9F77-CC10B4277456}"/>
  <tableColumns count="11">
    <tableColumn id="1" xr3:uid="{5024609F-830F-4CB5-8E68-6B454E7A8A8F}" uniqueName="1" name="ID" queryTableFieldId="1"/>
    <tableColumn id="2" xr3:uid="{B33B1F5E-3397-4F66-8FEA-09C25E9B50F8}" uniqueName="2" name="Type.display" queryTableFieldId="2" dataDxfId="97"/>
    <tableColumn id="3" xr3:uid="{D2A403DE-7B5D-4FA4-AC12-AA97AFD58A04}" uniqueName="3" name="Category" queryTableFieldId="3" dataDxfId="96"/>
    <tableColumn id="4" xr3:uid="{42B12E00-3477-4684-B935-7FD8AAE0314E}" uniqueName="4" name="Subcategory" queryTableFieldId="4" dataDxfId="95"/>
    <tableColumn id="5" xr3:uid="{2323C76C-C216-4D1A-9C07-DBDAE42FA7D2}" uniqueName="5" name="Type" queryTableFieldId="5" dataDxfId="94"/>
    <tableColumn id="6" xr3:uid="{51DFBA4E-AA2A-45D4-8FA8-ABD751F1763E}" uniqueName="6" name="Item Description" queryTableFieldId="6" dataDxfId="93"/>
    <tableColumn id="7" xr3:uid="{D06A1AD7-C2C2-4C31-9E87-922001A81B74}" uniqueName="7" name="Additional Information" queryTableFieldId="7" dataDxfId="92"/>
    <tableColumn id="8" xr3:uid="{0E38042B-FC9F-4ECF-94E2-D1E3ECFCC13A}" uniqueName="8" name="Price" queryTableFieldId="8"/>
    <tableColumn id="9" xr3:uid="{72D7293E-66D3-4AE2-A2D7-DFD9F57B9089}" uniqueName="9" name="Markup Rate" queryTableFieldId="9"/>
    <tableColumn id="10" xr3:uid="{EF3F3B93-0F88-40B7-849D-108126A4C3FD}" uniqueName="10" name="Markup" queryTableFieldId="10"/>
    <tableColumn id="11" xr3:uid="{C4CCED67-704F-4237-9FFC-C551111C775C}" uniqueName="11" name="Retail Price" queryTableFieldId="1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3C42B8-77A4-4099-8DFE-3B6DEA3F84A4}" name="Table_form_index" displayName="Table_form_index" ref="A1:A44" totalsRowShown="0">
  <autoFilter ref="A1:A44" xr:uid="{FC3C42B8-77A4-4099-8DFE-3B6DEA3F84A4}"/>
  <tableColumns count="1">
    <tableColumn id="1" xr3:uid="{DFE198B0-3E1F-46F0-812E-34351A1E771C}" name="table_prices_header.Category" dataDxfId="91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40C9221-0F0E-4A84-A93A-A9BECC202A25}" name="dim_table_form" displayName="dim_table_form" ref="C1:D52" totalsRowShown="0">
  <autoFilter ref="C1:D52" xr:uid="{940C9221-0F0E-4A84-A93A-A9BECC202A25}"/>
  <tableColumns count="2">
    <tableColumn id="1" xr3:uid="{E990EB0E-741E-41EA-886D-F31A1B0193F6}" name="Order"/>
    <tableColumn id="2" xr3:uid="{C2177F84-A595-4492-8C60-03F6B6A26EE5}" name="Category">
      <calculatedColumnFormula>Table_form_index[[#This Row],[table_prices_header.Category]]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7E6828-E65E-4FA6-B198-891419E76123}" name="Table_dropdown_1" displayName="Table_dropdown_1" ref="A1:AK44" tableType="queryTable" totalsRowShown="0">
  <autoFilter ref="A1:AK44" xr:uid="{DA7E6828-E65E-4FA6-B198-891419E76123}"/>
  <tableColumns count="37">
    <tableColumn id="1" xr3:uid="{6B4EB024-DE9E-4DD1-9AFE-65E6CA04F5D0}" uniqueName="1" name="Category" queryTableFieldId="1" dataDxfId="90"/>
    <tableColumn id="2" xr3:uid="{18E3AD5A-9AAB-4D1B-BAE7-594E1995C5DA}" uniqueName="2" name="Subcategory.0" queryTableFieldId="793" dataDxfId="89"/>
    <tableColumn id="3" xr3:uid="{87B564D9-B823-4812-A78D-F625B60B42A0}" uniqueName="3" name="Subcategory.1" queryTableFieldId="3" dataDxfId="88"/>
    <tableColumn id="4" xr3:uid="{36FB422C-D63E-418D-B37A-DF488405BF55}" uniqueName="4" name="Subcategory.2" queryTableFieldId="794" dataDxfId="87"/>
    <tableColumn id="5" xr3:uid="{D64D6B30-F692-4AA4-BDFF-DFDE1DF552CA}" uniqueName="5" name="Subcategory.3" queryTableFieldId="5" dataDxfId="86"/>
    <tableColumn id="6" xr3:uid="{42943D02-A02E-45D0-A3FA-706F88914FD6}" uniqueName="6" name="Subcategory.4" queryTableFieldId="795" dataDxfId="85"/>
    <tableColumn id="7" xr3:uid="{1B0E106A-CF02-449D-AF27-62CE314F8458}" uniqueName="7" name="Subcategory.5" queryTableFieldId="7" dataDxfId="84"/>
    <tableColumn id="8" xr3:uid="{81786C00-9844-4F84-AAE1-2855A814EB37}" uniqueName="8" name="Subcategory.6" queryTableFieldId="796" dataDxfId="83"/>
    <tableColumn id="9" xr3:uid="{49CF1E33-B16E-4556-BBF9-BE018794DBF1}" uniqueName="9" name="Subcategory.7" queryTableFieldId="9" dataDxfId="82"/>
    <tableColumn id="10" xr3:uid="{72EDB6EE-CF96-4E8B-B571-99C179F823ED}" uniqueName="10" name="Subcategory.8" queryTableFieldId="797" dataDxfId="81"/>
    <tableColumn id="11" xr3:uid="{C18FAB0D-8731-4365-A339-6C04F70E7981}" uniqueName="11" name="Subcategory.9" queryTableFieldId="11" dataDxfId="80"/>
    <tableColumn id="12" xr3:uid="{D9FBF577-6069-4F0F-BE57-CEADD3B2B3F8}" uniqueName="12" name="Subcategory.10" queryTableFieldId="798" dataDxfId="79"/>
    <tableColumn id="13" xr3:uid="{AB9B3317-C694-45EC-A1E6-D82BDFD61045}" uniqueName="13" name="Subcategory.11" queryTableFieldId="13" dataDxfId="78"/>
    <tableColumn id="14" xr3:uid="{BB32FE8F-964F-4DDD-BD70-5236B0041D1C}" uniqueName="14" name="Subcategory.12" queryTableFieldId="799" dataDxfId="77"/>
    <tableColumn id="15" xr3:uid="{31AC620D-666C-460B-88A9-4A5E68197864}" uniqueName="15" name="Subcategory.13" queryTableFieldId="15" dataDxfId="76"/>
    <tableColumn id="16" xr3:uid="{DB3EDF7F-9637-4209-8E61-208D40C441DD}" uniqueName="16" name="Subcategory.14" queryTableFieldId="800" dataDxfId="75"/>
    <tableColumn id="17" xr3:uid="{3A1F3289-FF55-4926-BBC5-2CF5F47F7C55}" uniqueName="17" name="Subcategory.15" queryTableFieldId="17" dataDxfId="74"/>
    <tableColumn id="18" xr3:uid="{7A9B2567-AE74-4AA4-B1ED-F0993FBC8745}" uniqueName="18" name="Subcategory.16" queryTableFieldId="801" dataDxfId="73"/>
    <tableColumn id="19" xr3:uid="{31D98252-D6D7-4647-9B89-1C9CF4E7BB68}" uniqueName="19" name="Subcategory.17" queryTableFieldId="19" dataDxfId="72"/>
    <tableColumn id="20" xr3:uid="{8F9B75AC-13AC-4D92-834F-D68D40281DE6}" uniqueName="20" name="Subcategory.18" queryTableFieldId="802" dataDxfId="71"/>
    <tableColumn id="21" xr3:uid="{713FE680-CACC-42B1-9B73-709FB1A5BA71}" uniqueName="21" name="Subcategory.19" queryTableFieldId="21" dataDxfId="70"/>
    <tableColumn id="22" xr3:uid="{84D41B84-F6BF-4227-8CE4-9ECF4B65F371}" uniqueName="22" name="Subcategory.20" queryTableFieldId="803" dataDxfId="69"/>
    <tableColumn id="23" xr3:uid="{D8661430-B1A4-4CFE-AE7F-5EE8321B9521}" uniqueName="23" name="Subcategory.21" queryTableFieldId="23" dataDxfId="68"/>
    <tableColumn id="24" xr3:uid="{433F1210-B197-4ED7-8D9E-6011793961FE}" uniqueName="24" name="Subcategory.22" queryTableFieldId="804" dataDxfId="67"/>
    <tableColumn id="25" xr3:uid="{1EBBC42E-9DE1-4A85-85F9-2E9E549653EB}" uniqueName="25" name="Subcategory.23" queryTableFieldId="25" dataDxfId="66"/>
    <tableColumn id="26" xr3:uid="{06E44F37-7017-4A3C-8A4C-1FEE5DEC289A}" uniqueName="26" name="Subcategory.24" queryTableFieldId="805" dataDxfId="65"/>
    <tableColumn id="27" xr3:uid="{EBE8539C-A0E5-4037-892D-812E86F35200}" uniqueName="27" name="Subcategory.25" queryTableFieldId="27" dataDxfId="64"/>
    <tableColumn id="28" xr3:uid="{7EC1AB7C-C50E-4A34-BCB9-89AD3E6700B5}" uniqueName="28" name="Subcategory.26" queryTableFieldId="806" dataDxfId="63"/>
    <tableColumn id="29" xr3:uid="{9057462D-8150-4E30-B139-7E11E60126E6}" uniqueName="29" name="Subcategory.27" queryTableFieldId="29" dataDxfId="62"/>
    <tableColumn id="30" xr3:uid="{00B87502-5B98-45C4-96F4-33E78655B926}" uniqueName="30" name="Subcategory.28" queryTableFieldId="807" dataDxfId="61"/>
    <tableColumn id="31" xr3:uid="{FA9B78B7-B744-4354-B51C-96F29D825119}" uniqueName="31" name="Subcategory.29" queryTableFieldId="31" dataDxfId="60"/>
    <tableColumn id="32" xr3:uid="{AFAA042B-0188-44F1-910D-9AF29D22DB0E}" uniqueName="32" name="Subcategory.30" queryTableFieldId="808" dataDxfId="59"/>
    <tableColumn id="33" xr3:uid="{B8673EBB-3C32-4980-B291-8898F93EEAE6}" uniqueName="33" name="Subcategory.31" queryTableFieldId="33" dataDxfId="58"/>
    <tableColumn id="34" xr3:uid="{4DAA15AA-1AB7-4979-80BB-9FB96ECE7B33}" uniqueName="34" name="Subcategory.32" queryTableFieldId="809" dataDxfId="57"/>
    <tableColumn id="35" xr3:uid="{44AB96B3-66F0-43E5-9131-BAD261EA2328}" uniqueName="35" name="Subcategory.33" queryTableFieldId="35" dataDxfId="56"/>
    <tableColumn id="36" xr3:uid="{B5FC8D65-49BA-4935-A16B-755462DAB912}" uniqueName="36" name="Subcategory.34" queryTableFieldId="810" dataDxfId="55"/>
    <tableColumn id="37" xr3:uid="{0CE39918-29E5-4852-A377-42664CC4DED3}" uniqueName="37" name="Subcategory.35" queryTableFieldId="37" dataDxfId="5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4EC5E6-5D04-4E59-8D01-9DEB2C76F489}" name="Table_dropdown_2" displayName="Table_dropdown_2" ref="A1:AZ150" tableType="queryTable" totalsRowShown="0">
  <autoFilter ref="A1:AZ150" xr:uid="{FF4EC5E6-5D04-4E59-8D01-9DEB2C76F489}"/>
  <tableColumns count="52">
    <tableColumn id="1" xr3:uid="{5938EB0A-E174-4D8D-A426-D4916E82D22B}" uniqueName="1" name="Subcategory" queryTableFieldId="1" dataDxfId="53"/>
    <tableColumn id="2" xr3:uid="{7104D32B-5E46-4512-8518-7B7877384D5F}" uniqueName="2" name="Item Description.0" queryTableFieldId="61" dataDxfId="52"/>
    <tableColumn id="3" xr3:uid="{8D61A56B-1E09-4D6F-9F7A-456475F00697}" uniqueName="3" name="Item Description.1" queryTableFieldId="62" dataDxfId="51"/>
    <tableColumn id="4" xr3:uid="{DE658A5A-AAC0-4830-A83D-ACA6036C3FD8}" uniqueName="4" name="Item Description.2" queryTableFieldId="63" dataDxfId="50"/>
    <tableColumn id="5" xr3:uid="{18CE5324-DF7E-49A1-9998-059AC16C4131}" uniqueName="5" name="Item Description.3" queryTableFieldId="64" dataDxfId="49"/>
    <tableColumn id="6" xr3:uid="{B0EE795D-CCC1-4148-A5B3-2799DDDD7A2C}" uniqueName="6" name="Item Description.4" queryTableFieldId="65" dataDxfId="48"/>
    <tableColumn id="7" xr3:uid="{5948AD08-122D-4D54-AA63-DB687B56A0DB}" uniqueName="7" name="Item Description.5" queryTableFieldId="66" dataDxfId="47"/>
    <tableColumn id="8" xr3:uid="{C5176FD8-E069-4AE0-915A-DB81C1452523}" uniqueName="8" name="Item Description.6" queryTableFieldId="67" dataDxfId="46"/>
    <tableColumn id="9" xr3:uid="{9A2EAFDB-3DE9-40E2-987B-C3718CE0E984}" uniqueName="9" name="Item Description.7" queryTableFieldId="68" dataDxfId="45"/>
    <tableColumn id="10" xr3:uid="{8CF6B606-B4F0-4470-B017-8A1013DE0A25}" uniqueName="10" name="Item Description.8" queryTableFieldId="69" dataDxfId="44"/>
    <tableColumn id="11" xr3:uid="{A37415A7-2416-4799-8413-A2AACD4AB60A}" uniqueName="11" name="Item Description.9" queryTableFieldId="70" dataDxfId="43"/>
    <tableColumn id="12" xr3:uid="{97BC8E4B-6093-46D2-A2C8-203BFB259124}" uniqueName="12" name="Item Description.10" queryTableFieldId="71" dataDxfId="42"/>
    <tableColumn id="13" xr3:uid="{73F90778-9E1D-465D-BD48-A3154FB11262}" uniqueName="13" name="Item Description.11" queryTableFieldId="72" dataDxfId="41"/>
    <tableColumn id="14" xr3:uid="{A4859D7B-5B7D-4444-80AB-53E0FDC15DAF}" uniqueName="14" name="Item Description.12" queryTableFieldId="73" dataDxfId="40"/>
    <tableColumn id="15" xr3:uid="{009CA2F8-FA7E-419E-94C3-F479C8678407}" uniqueName="15" name="Item Description.13" queryTableFieldId="74" dataDxfId="39"/>
    <tableColumn id="16" xr3:uid="{7180365D-5FD6-4D59-9662-B3345576ED68}" uniqueName="16" name="Item Description.14" queryTableFieldId="75" dataDxfId="38"/>
    <tableColumn id="17" xr3:uid="{BE560420-C8C5-4C14-9B6E-7B8AA1E4EDA8}" uniqueName="17" name="Item Description.15" queryTableFieldId="76" dataDxfId="37"/>
    <tableColumn id="18" xr3:uid="{7B246DA9-DE5F-4078-A342-3A435DFCDEE4}" uniqueName="18" name="Item Description.16" queryTableFieldId="77" dataDxfId="36"/>
    <tableColumn id="19" xr3:uid="{FAADA476-ED43-475D-863E-0AB5138AD0E3}" uniqueName="19" name="Item Description.17" queryTableFieldId="78" dataDxfId="35"/>
    <tableColumn id="20" xr3:uid="{374DB681-C39A-4988-A985-50324A003ED2}" uniqueName="20" name="Item Description.18" queryTableFieldId="79" dataDxfId="34"/>
    <tableColumn id="21" xr3:uid="{5571AD15-B632-4CAA-B4A0-B27027715AC5}" uniqueName="21" name="Item Description.19" queryTableFieldId="80" dataDxfId="33"/>
    <tableColumn id="22" xr3:uid="{5EB89463-C163-4949-926E-53D410E08550}" uniqueName="22" name="Item Description.20" queryTableFieldId="81" dataDxfId="32"/>
    <tableColumn id="23" xr3:uid="{8FFC4B48-0A74-43FE-A7F6-8B6FD68F6C8D}" uniqueName="23" name="Item Description.21" queryTableFieldId="82" dataDxfId="31"/>
    <tableColumn id="24" xr3:uid="{85838B15-516E-4C98-A1BA-6F6574C41D5C}" uniqueName="24" name="Item Description.22" queryTableFieldId="83" dataDxfId="30"/>
    <tableColumn id="25" xr3:uid="{E4DBAF3F-8248-4B84-A022-FA063D9731D2}" uniqueName="25" name="Item Description.23" queryTableFieldId="84" dataDxfId="29"/>
    <tableColumn id="26" xr3:uid="{8388961F-1DD6-49BE-86BB-F28A17AD0323}" uniqueName="26" name="Item Description.24" queryTableFieldId="85" dataDxfId="28"/>
    <tableColumn id="27" xr3:uid="{B4E17386-D769-4D9F-B73E-BF9DB00330A3}" uniqueName="27" name="Item Description.25" queryTableFieldId="86" dataDxfId="27"/>
    <tableColumn id="28" xr3:uid="{71F62D7D-4FFD-4DE3-85FD-8DD797684BAF}" uniqueName="28" name="Item Description.26" queryTableFieldId="87" dataDxfId="26"/>
    <tableColumn id="29" xr3:uid="{6799072E-44AD-462D-889D-FA80CCF2E6F3}" uniqueName="29" name="Item Description.27" queryTableFieldId="88" dataDxfId="25"/>
    <tableColumn id="30" xr3:uid="{2B57AED5-118B-43ED-8D5A-E0AF53E89A15}" uniqueName="30" name="Item Description.28" queryTableFieldId="89" dataDxfId="24"/>
    <tableColumn id="31" xr3:uid="{17187BFB-8855-46E0-B8C5-427DD7F3825D}" uniqueName="31" name="Item Description.29" queryTableFieldId="90" dataDxfId="23"/>
    <tableColumn id="32" xr3:uid="{BB8CF3E4-EA28-48FF-AEED-EAD445C2371B}" uniqueName="32" name="Item Description.30" queryTableFieldId="363" dataDxfId="22"/>
    <tableColumn id="33" xr3:uid="{010E4129-0595-49E9-90E3-FD7A06C23557}" uniqueName="33" name="Item Description.31" queryTableFieldId="92" dataDxfId="21"/>
    <tableColumn id="34" xr3:uid="{4C04490C-9D63-40B9-A2E2-B5AF8D68B8FD}" uniqueName="34" name="Item Description.32" queryTableFieldId="364" dataDxfId="20"/>
    <tableColumn id="35" xr3:uid="{A98BCFF8-4997-4E88-9DFE-B44AC6F56A18}" uniqueName="35" name="Item Description.33" queryTableFieldId="94" dataDxfId="19"/>
    <tableColumn id="36" xr3:uid="{976E5D1C-2827-47FF-9398-299EF86476E1}" uniqueName="36" name="Item Description.34" queryTableFieldId="365" dataDxfId="18"/>
    <tableColumn id="37" xr3:uid="{593B3692-3F86-4933-B691-BD3D9FE5B075}" uniqueName="37" name="Item Description.35" queryTableFieldId="96" dataDxfId="17"/>
    <tableColumn id="38" xr3:uid="{F1AC59F4-C3E5-484F-9282-9BED46570274}" uniqueName="38" name="Item Description.36" queryTableFieldId="366" dataDxfId="16"/>
    <tableColumn id="39" xr3:uid="{087EFE66-C941-4FB3-B96B-C2314FD392F0}" uniqueName="39" name="Item Description.37" queryTableFieldId="98" dataDxfId="15"/>
    <tableColumn id="40" xr3:uid="{38EA48D0-F0A9-4061-BECE-325332956F98}" uniqueName="40" name="Item Description.38" queryTableFieldId="367" dataDxfId="14"/>
    <tableColumn id="41" xr3:uid="{C30625AE-2FD5-4986-BB59-70FAE3070A4B}" uniqueName="41" name="Item Description.39" queryTableFieldId="100" dataDxfId="13"/>
    <tableColumn id="42" xr3:uid="{4252184F-DCBA-4266-99C5-B006D742DD93}" uniqueName="42" name="Item Description.40" queryTableFieldId="368" dataDxfId="12"/>
    <tableColumn id="43" xr3:uid="{99204E02-92FD-4B9F-9F31-EE817731F75A}" uniqueName="43" name="Item Description.41" queryTableFieldId="102" dataDxfId="11"/>
    <tableColumn id="44" xr3:uid="{892510A5-ACE2-42B6-95B4-6F6919793AB7}" uniqueName="44" name="Item Description.42" queryTableFieldId="369" dataDxfId="10"/>
    <tableColumn id="45" xr3:uid="{D6F362A1-A3E2-4427-B88F-9F8B6C97E65C}" uniqueName="45" name="Item Description.43" queryTableFieldId="104" dataDxfId="9"/>
    <tableColumn id="46" xr3:uid="{C41A285C-55F1-482B-874A-85F3ECF60BEC}" uniqueName="46" name="Item Description.44" queryTableFieldId="370" dataDxfId="8"/>
    <tableColumn id="47" xr3:uid="{B99674C0-0C0E-457B-B885-1BD25F4E1276}" uniqueName="47" name="Item Description.45" queryTableFieldId="106" dataDxfId="7"/>
    <tableColumn id="48" xr3:uid="{91BDB6FE-FCA2-4C4E-804D-F3CFCF420495}" uniqueName="48" name="Item Description.46" queryTableFieldId="371" dataDxfId="6"/>
    <tableColumn id="49" xr3:uid="{6A646697-5354-4598-B0F7-29041D3A1058}" uniqueName="49" name="Item Description.47" queryTableFieldId="108" dataDxfId="5"/>
    <tableColumn id="50" xr3:uid="{FDD60E59-3722-4D10-8D13-348AF52B744B}" uniqueName="50" name="Item Description.48" queryTableFieldId="372" dataDxfId="4"/>
    <tableColumn id="51" xr3:uid="{BB8E67EE-E8D6-43A0-BB12-C4B552DD544E}" uniqueName="51" name="Item Description.49" queryTableFieldId="110" dataDxfId="3"/>
    <tableColumn id="52" xr3:uid="{C2B00D4D-C304-4EDA-A2BD-320F1F6CCF0B}" uniqueName="52" name="Item Description.50" queryTableFieldId="373" dataDxf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4F0D61-E085-4F16-A002-0BDEE8BF6152}" name="Table_table_form" displayName="Table_table_form" ref="A1:E1095" tableType="queryTable" totalsRowShown="0">
  <autoFilter ref="A1:E1095" xr:uid="{0C4F0D61-E085-4F16-A002-0BDEE8BF6152}"/>
  <tableColumns count="5">
    <tableColumn id="1" xr3:uid="{F83EFB36-4EBC-4B93-A7C6-F6ECE8FD2ECC}" uniqueName="1" name="Category.get" queryTableFieldId="1"/>
    <tableColumn id="2" xr3:uid="{0AC94360-0CD7-4E6D-A312-97D9D8817EC9}" uniqueName="2" name="Qty" queryTableFieldId="2"/>
    <tableColumn id="3" xr3:uid="{74241A50-EEA4-4D8C-AA90-3629622BC9B9}" uniqueName="3" name="prices.Subcategory" queryTableFieldId="3"/>
    <tableColumn id="4" xr3:uid="{6B03F749-A2D1-43DB-85BC-051EA892A6A1}" uniqueName="4" name="prices.Item Description" queryTableFieldId="4" dataDxfId="1"/>
    <tableColumn id="5" xr3:uid="{73CA93A7-03A8-45C6-804C-DD6A240280C1}" uniqueName="5" name="prices.Additional Information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4.v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8986F-036D-4171-AB67-E1F45B39E79F}">
  <sheetPr codeName="Sheet3">
    <tabColor theme="7" tint="0.39997558519241921"/>
  </sheetPr>
  <dimension ref="A1:BZ1101"/>
  <sheetViews>
    <sheetView showZeros="0" topLeftCell="B1" zoomScale="70" zoomScaleNormal="70" workbookViewId="0">
      <selection activeCell="I13" sqref="I13"/>
    </sheetView>
  </sheetViews>
  <sheetFormatPr defaultColWidth="9.140625" defaultRowHeight="15"/>
  <cols>
    <col min="1" max="1" width="80.85546875" style="25" bestFit="1" customWidth="1"/>
    <col min="2" max="2" width="7.42578125" style="4" bestFit="1" customWidth="1"/>
    <col min="3" max="3" width="77.42578125" style="4" bestFit="1" customWidth="1"/>
    <col min="4" max="4" width="84.42578125" style="4" bestFit="1" customWidth="1"/>
    <col min="5" max="5" width="28.140625" style="4" customWidth="1"/>
    <col min="6" max="6" width="12.28515625" style="4" bestFit="1" customWidth="1"/>
    <col min="7" max="7" width="13.28515625" style="4" customWidth="1"/>
    <col min="8" max="8" width="14" style="4" customWidth="1"/>
    <col min="9" max="9" width="13.28515625" style="4" customWidth="1"/>
    <col min="10" max="11" width="15" style="4" customWidth="1"/>
    <col min="12" max="12" width="55.140625" style="4" hidden="1" customWidth="1"/>
    <col min="13" max="13" width="10.7109375" style="4" customWidth="1"/>
    <col min="14" max="14" width="52.140625" customWidth="1"/>
    <col min="15" max="15" width="28.28515625" customWidth="1"/>
    <col min="16" max="16" width="80.85546875" bestFit="1" customWidth="1"/>
    <col min="17" max="17" width="12.28515625" bestFit="1" customWidth="1"/>
    <col min="18" max="18" width="14.42578125" bestFit="1" customWidth="1"/>
    <col min="19" max="19" width="21.5703125" bestFit="1" customWidth="1"/>
    <col min="20" max="20" width="16.42578125" bestFit="1" customWidth="1"/>
    <col min="21" max="21" width="23.5703125" bestFit="1" customWidth="1"/>
    <col min="22" max="22" width="8.5703125" bestFit="1" customWidth="1"/>
    <col min="23" max="23" width="12.42578125" bestFit="1" customWidth="1"/>
    <col min="24" max="24" width="12.28515625" bestFit="1" customWidth="1"/>
    <col min="25" max="25" width="14.42578125" bestFit="1" customWidth="1"/>
    <col min="26" max="26" width="9.140625" customWidth="1"/>
    <col min="27" max="27" width="73.28515625" bestFit="1" customWidth="1"/>
    <col min="28" max="29" width="37" bestFit="1" customWidth="1"/>
    <col min="30" max="35" width="32.28515625" bestFit="1" customWidth="1"/>
    <col min="36" max="36" width="11.5703125" customWidth="1"/>
    <col min="37" max="37" width="58.85546875" bestFit="1" customWidth="1"/>
    <col min="38" max="38" width="73.28515625" bestFit="1" customWidth="1"/>
    <col min="39" max="54" width="11.5703125" customWidth="1"/>
    <col min="55" max="55" width="33.28515625" bestFit="1" customWidth="1"/>
    <col min="56" max="78" width="11.5703125" customWidth="1"/>
    <col min="79" max="125" width="11.5703125" style="4" customWidth="1"/>
    <col min="126" max="158" width="12.5703125" style="4" customWidth="1"/>
    <col min="159" max="16384" width="9.140625" style="4"/>
  </cols>
  <sheetData>
    <row r="1" spans="1:78" ht="24" customHeight="1">
      <c r="A1" s="277" t="s">
        <v>2</v>
      </c>
      <c r="B1" s="277"/>
      <c r="C1" s="277"/>
      <c r="D1" s="277"/>
      <c r="E1" s="3"/>
      <c r="F1"/>
      <c r="G1"/>
      <c r="H1"/>
      <c r="I1"/>
      <c r="J1"/>
      <c r="K1"/>
      <c r="L1"/>
      <c r="M1"/>
    </row>
    <row r="2" spans="1:78" ht="18.75" customHeight="1">
      <c r="A2" s="277"/>
      <c r="B2" s="277"/>
      <c r="C2" s="277"/>
      <c r="D2" s="277"/>
      <c r="E2" s="3"/>
      <c r="F2"/>
      <c r="G2"/>
      <c r="H2"/>
      <c r="I2"/>
      <c r="J2"/>
      <c r="K2"/>
      <c r="L2"/>
      <c r="M2"/>
    </row>
    <row r="3" spans="1:78" ht="17.25" customHeight="1">
      <c r="A3" s="5"/>
      <c r="B3" s="1"/>
      <c r="C3" s="1"/>
      <c r="D3" s="278"/>
      <c r="E3" s="6"/>
      <c r="F3"/>
      <c r="G3"/>
      <c r="H3"/>
      <c r="I3"/>
      <c r="J3"/>
      <c r="K3"/>
      <c r="L3"/>
      <c r="M3"/>
    </row>
    <row r="4" spans="1:78">
      <c r="A4" s="5"/>
      <c r="B4" s="1"/>
      <c r="C4" s="1"/>
      <c r="D4" s="278"/>
      <c r="E4" s="6"/>
      <c r="F4"/>
      <c r="G4"/>
      <c r="H4"/>
      <c r="I4"/>
      <c r="J4"/>
      <c r="K4"/>
      <c r="L4"/>
      <c r="M4"/>
    </row>
    <row r="5" spans="1:78" ht="67.5" customHeight="1">
      <c r="A5" s="264"/>
      <c r="C5" s="53"/>
      <c r="D5" s="8"/>
      <c r="E5" s="8"/>
      <c r="F5"/>
      <c r="G5"/>
      <c r="H5"/>
      <c r="I5"/>
      <c r="J5"/>
      <c r="K5"/>
      <c r="L5"/>
      <c r="M5"/>
    </row>
    <row r="6" spans="1:78" s="13" customFormat="1" ht="15.75">
      <c r="A6" s="258" t="s">
        <v>1107</v>
      </c>
      <c r="B6" s="258" t="s">
        <v>3</v>
      </c>
      <c r="C6" s="258" t="s">
        <v>4</v>
      </c>
      <c r="D6" s="258" t="s">
        <v>5</v>
      </c>
      <c r="E6" s="258" t="s">
        <v>1304</v>
      </c>
      <c r="F6" s="259" t="s">
        <v>6</v>
      </c>
      <c r="G6" s="259" t="s">
        <v>7</v>
      </c>
      <c r="H6" s="259" t="s">
        <v>8</v>
      </c>
      <c r="I6" s="259" t="s">
        <v>9</v>
      </c>
      <c r="J6" s="259" t="s">
        <v>10</v>
      </c>
      <c r="K6" s="259" t="s">
        <v>767</v>
      </c>
      <c r="L6" s="259" t="s">
        <v>1212</v>
      </c>
      <c r="M6" s="4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A7" s="260" t="s">
        <v>11</v>
      </c>
      <c r="B7" s="261"/>
      <c r="C7" s="261"/>
      <c r="D7" s="261"/>
      <c r="E7" s="261"/>
      <c r="F7" s="261"/>
      <c r="G7" s="229"/>
      <c r="H7" s="229"/>
      <c r="I7" s="229"/>
      <c r="J7" s="229"/>
      <c r="K7" s="229"/>
      <c r="L7" s="262" t="str" cm="1">
        <f t="array" ref="L7">IF($A7&lt;&gt;"", $A7, LOOKUP(2, 1/((A$7:INDEX(A:A, ROW()))&lt;&gt;""), A$7:INDEX(A:A, ROW())))</f>
        <v>FOOTINGS</v>
      </c>
    </row>
    <row r="8" spans="1:78">
      <c r="A8" s="263"/>
      <c r="B8" s="263"/>
      <c r="C8" s="263" t="s">
        <v>225</v>
      </c>
      <c r="D8" s="263" t="s">
        <v>228</v>
      </c>
      <c r="E8" s="263"/>
      <c r="F8" s="263"/>
      <c r="G8" s="39" cm="1">
        <f t="array" ref="G8">IFERROR(INDEX(Table_dim_price_recipe[Retail Price], MATCH(1, ("Calculator"&lt;&gt;Table_dim_price_recipe[Type.display])*($L8=Table_dim_price_recipe[Category])*($D8=Table_dim_price_recipe[Item Description]) * (G$6=Table_dim_price_recipe[Type])*(Table_dim_price_recipe[Retail Price]&lt;&gt;0)*($C8=Table_dim_price_recipe[Subcategory]), 0))*$B8,"")</f>
        <v>0</v>
      </c>
      <c r="H8" s="39" t="str" cm="1">
        <f t="array" ref="H8">IFERROR(INDEX(Table_dim_price_recipe[Retail Price], MATCH(1, ("Calculator"&lt;&gt;Table_dim_price_recipe[Type.display])*($L8=Table_dim_price_recipe[Category])*($D8=Table_dim_price_recipe[Item Description]) * (H$6=Table_dim_price_recipe[Type])*(Table_dim_price_recipe[Retail Price]&lt;&gt;0)*($C8=Table_dim_price_recipe[Subcategory]), 0))*$B8,"")</f>
        <v/>
      </c>
      <c r="I8" s="39" t="str" cm="1">
        <f t="array" ref="I8">IFERROR(INDEX(Table_dim_price_recipe[Retail Price], MATCH(1, ("Calculator"&lt;&gt;Table_dim_price_recipe[Type.display])*($L8=Table_dim_price_recipe[Category])*($D8=Table_dim_price_recipe[Item Description]) * (I$6=Table_dim_price_recipe[Type])*(Table_dim_price_recipe[Retail Price]&lt;&gt;0)*($C8=Table_dim_price_recipe[Subcategory]), 0))*$B8,"")</f>
        <v/>
      </c>
      <c r="J8" s="39" t="str" cm="1">
        <f t="array" ref="J8">IFERROR(INDEX(Table_dim_price_recipe[Retail Price], MATCH(1, ("Calculator"&lt;&gt;Table_dim_price_recipe[Type.display])*($L8=Table_dim_price_recipe[Category])*($D8=Table_dim_price_recipe[Item Description]) * (J$6=Table_dim_price_recipe[Type])*(Table_dim_price_recipe[Retail Price]&lt;&gt;0)*($C8=Table_dim_price_recipe[Subcategory]), 0))*$B8,"")</f>
        <v/>
      </c>
      <c r="K8" s="39" t="str" cm="1">
        <f t="array" ref="K8">IFERROR(INDEX(Table_dim_price_recipe[Retail Price], MATCH(1, ("Calculator"&lt;&gt;Table_dim_price_recipe[Type.display])*($L8=Table_dim_price_recipe[Category])*($D8=Table_dim_price_recipe[Item Description]) * (K$6=Table_dim_price_recipe[Type])*(Table_dim_price_recipe[Retail Price]&lt;&gt;0)*($C8=Table_dim_price_recipe[Subcategory]), 0))*$B8,"")</f>
        <v/>
      </c>
      <c r="L8" s="39" t="str" cm="1">
        <f t="array" ref="L8">IF($A8&lt;&gt;"", $A8, LOOKUP(2, 1/((A$7:INDEX(A:A, ROW()))&lt;&gt;""), A$7:INDEX(A:A, ROW())))</f>
        <v>FOOTINGS</v>
      </c>
    </row>
    <row r="9" spans="1:78">
      <c r="A9" s="263"/>
      <c r="B9" s="263"/>
      <c r="C9" s="263" t="s">
        <v>225</v>
      </c>
      <c r="D9" s="263" t="s">
        <v>232</v>
      </c>
      <c r="E9" s="263"/>
      <c r="F9" s="263"/>
      <c r="G9" s="39" cm="1">
        <f t="array" ref="G9">IFERROR(INDEX(Table_dim_price_recipe[Retail Price], MATCH(1, ("Calculator"&lt;&gt;Table_dim_price_recipe[Type.display])*($L9=Table_dim_price_recipe[Category])*($D9=Table_dim_price_recipe[Item Description]) * (G$6=Table_dim_price_recipe[Type])*(Table_dim_price_recipe[Retail Price]&lt;&gt;0)*($C9=Table_dim_price_recipe[Subcategory]), 0))*$B9,"")</f>
        <v>0</v>
      </c>
      <c r="H9" s="39" t="str" cm="1">
        <f t="array" ref="H9">IFERROR(INDEX(Table_dim_price_recipe[Retail Price], MATCH(1, ("Calculator"&lt;&gt;Table_dim_price_recipe[Type.display])*($L9=Table_dim_price_recipe[Category])*($D9=Table_dim_price_recipe[Item Description]) * (H$6=Table_dim_price_recipe[Type])*(Table_dim_price_recipe[Retail Price]&lt;&gt;0)*($C9=Table_dim_price_recipe[Subcategory]), 0))*$B9,"")</f>
        <v/>
      </c>
      <c r="I9" s="39" t="str" cm="1">
        <f t="array" ref="I9">IFERROR(INDEX(Table_dim_price_recipe[Retail Price], MATCH(1, ("Calculator"&lt;&gt;Table_dim_price_recipe[Type.display])*($L9=Table_dim_price_recipe[Category])*($D9=Table_dim_price_recipe[Item Description]) * (I$6=Table_dim_price_recipe[Type])*(Table_dim_price_recipe[Retail Price]&lt;&gt;0)*($C9=Table_dim_price_recipe[Subcategory]), 0))*$B9,"")</f>
        <v/>
      </c>
      <c r="J9" s="39" t="str" cm="1">
        <f t="array" ref="J9">IFERROR(INDEX(Table_dim_price_recipe[Retail Price], MATCH(1, ("Calculator"&lt;&gt;Table_dim_price_recipe[Type.display])*($L9=Table_dim_price_recipe[Category])*($D9=Table_dim_price_recipe[Item Description]) * (J$6=Table_dim_price_recipe[Type])*(Table_dim_price_recipe[Retail Price]&lt;&gt;0)*($C9=Table_dim_price_recipe[Subcategory]), 0))*$B9,"")</f>
        <v/>
      </c>
      <c r="K9" s="39" t="str" cm="1">
        <f t="array" ref="K9">IFERROR(INDEX(Table_dim_price_recipe[Retail Price], MATCH(1, ("Calculator"&lt;&gt;Table_dim_price_recipe[Type.display])*($L9=Table_dim_price_recipe[Category])*($D9=Table_dim_price_recipe[Item Description]) * (K$6=Table_dim_price_recipe[Type])*(Table_dim_price_recipe[Retail Price]&lt;&gt;0)*($C9=Table_dim_price_recipe[Subcategory]), 0))*$B9,"")</f>
        <v/>
      </c>
      <c r="L9" s="39" t="str" cm="1">
        <f t="array" ref="L9">IF($A9&lt;&gt;"", $A9, LOOKUP(2, 1/((A$7:INDEX(A:A, ROW()))&lt;&gt;""), A$7:INDEX(A:A, ROW())))</f>
        <v>FOOTINGS</v>
      </c>
    </row>
    <row r="10" spans="1:78">
      <c r="A10" s="263"/>
      <c r="B10" s="263"/>
      <c r="C10" s="263" t="s">
        <v>225</v>
      </c>
      <c r="D10" s="263" t="s">
        <v>226</v>
      </c>
      <c r="E10" s="263"/>
      <c r="F10" s="263"/>
      <c r="G10" s="39" cm="1">
        <f t="array" ref="G10">IFERROR(INDEX(Table_dim_price_recipe[Retail Price], MATCH(1, ("Calculator"&lt;&gt;Table_dim_price_recipe[Type.display])*($L10=Table_dim_price_recipe[Category])*($D10=Table_dim_price_recipe[Item Description]) * (G$6=Table_dim_price_recipe[Type])*(Table_dim_price_recipe[Retail Price]&lt;&gt;0)*($C10=Table_dim_price_recipe[Subcategory]), 0))*$B10,"")</f>
        <v>0</v>
      </c>
      <c r="H10" s="39" t="str" cm="1">
        <f t="array" ref="H10">IFERROR(INDEX(Table_dim_price_recipe[Retail Price], MATCH(1, ("Calculator"&lt;&gt;Table_dim_price_recipe[Type.display])*($L10=Table_dim_price_recipe[Category])*($D10=Table_dim_price_recipe[Item Description]) * (H$6=Table_dim_price_recipe[Type])*(Table_dim_price_recipe[Retail Price]&lt;&gt;0)*($C10=Table_dim_price_recipe[Subcategory]), 0))*$B10,"")</f>
        <v/>
      </c>
      <c r="I10" s="39" t="str" cm="1">
        <f t="array" ref="I10">IFERROR(INDEX(Table_dim_price_recipe[Retail Price], MATCH(1, ("Calculator"&lt;&gt;Table_dim_price_recipe[Type.display])*($L10=Table_dim_price_recipe[Category])*($D10=Table_dim_price_recipe[Item Description]) * (I$6=Table_dim_price_recipe[Type])*(Table_dim_price_recipe[Retail Price]&lt;&gt;0)*($C10=Table_dim_price_recipe[Subcategory]), 0))*$B10,"")</f>
        <v/>
      </c>
      <c r="J10" s="39" t="str" cm="1">
        <f t="array" ref="J10">IFERROR(INDEX(Table_dim_price_recipe[Retail Price], MATCH(1, ("Calculator"&lt;&gt;Table_dim_price_recipe[Type.display])*($L10=Table_dim_price_recipe[Category])*($D10=Table_dim_price_recipe[Item Description]) * (J$6=Table_dim_price_recipe[Type])*(Table_dim_price_recipe[Retail Price]&lt;&gt;0)*($C10=Table_dim_price_recipe[Subcategory]), 0))*$B10,"")</f>
        <v/>
      </c>
      <c r="K10" s="39" t="str" cm="1">
        <f t="array" ref="K10">IFERROR(INDEX(Table_dim_price_recipe[Retail Price], MATCH(1, ("Calculator"&lt;&gt;Table_dim_price_recipe[Type.display])*($L10=Table_dim_price_recipe[Category])*($D10=Table_dim_price_recipe[Item Description]) * (K$6=Table_dim_price_recipe[Type])*(Table_dim_price_recipe[Retail Price]&lt;&gt;0)*($C10=Table_dim_price_recipe[Subcategory]), 0))*$B10,"")</f>
        <v/>
      </c>
      <c r="L10" s="39" t="str" cm="1">
        <f t="array" ref="L10">IF($A10&lt;&gt;"", $A10, LOOKUP(2, 1/((A$7:INDEX(A:A, ROW()))&lt;&gt;""), A$7:INDEX(A:A, ROW())))</f>
        <v>FOOTINGS</v>
      </c>
    </row>
    <row r="11" spans="1:78">
      <c r="A11" s="263"/>
      <c r="B11" s="263"/>
      <c r="C11" s="263" t="s">
        <v>225</v>
      </c>
      <c r="D11" s="263" t="s">
        <v>227</v>
      </c>
      <c r="E11" s="263"/>
      <c r="F11" s="263"/>
      <c r="G11" s="39" cm="1">
        <f t="array" ref="G11">IFERROR(INDEX(Table_dim_price_recipe[Retail Price], MATCH(1, ("Calculator"&lt;&gt;Table_dim_price_recipe[Type.display])*($L11=Table_dim_price_recipe[Category])*($D11=Table_dim_price_recipe[Item Description]) * (G$6=Table_dim_price_recipe[Type])*(Table_dim_price_recipe[Retail Price]&lt;&gt;0)*($C11=Table_dim_price_recipe[Subcategory]), 0))*$B11,"")</f>
        <v>0</v>
      </c>
      <c r="H11" s="39" t="str" cm="1">
        <f t="array" ref="H11">IFERROR(INDEX(Table_dim_price_recipe[Retail Price], MATCH(1, ("Calculator"&lt;&gt;Table_dim_price_recipe[Type.display])*($L11=Table_dim_price_recipe[Category])*($D11=Table_dim_price_recipe[Item Description]) * (H$6=Table_dim_price_recipe[Type])*(Table_dim_price_recipe[Retail Price]&lt;&gt;0)*($C11=Table_dim_price_recipe[Subcategory]), 0))*$B11,"")</f>
        <v/>
      </c>
      <c r="I11" s="39" t="str" cm="1">
        <f t="array" ref="I11">IFERROR(INDEX(Table_dim_price_recipe[Retail Price], MATCH(1, ("Calculator"&lt;&gt;Table_dim_price_recipe[Type.display])*($L11=Table_dim_price_recipe[Category])*($D11=Table_dim_price_recipe[Item Description]) * (I$6=Table_dim_price_recipe[Type])*(Table_dim_price_recipe[Retail Price]&lt;&gt;0)*($C11=Table_dim_price_recipe[Subcategory]), 0))*$B11,"")</f>
        <v/>
      </c>
      <c r="J11" s="39" t="str" cm="1">
        <f t="array" ref="J11">IFERROR(INDEX(Table_dim_price_recipe[Retail Price], MATCH(1, ("Calculator"&lt;&gt;Table_dim_price_recipe[Type.display])*($L11=Table_dim_price_recipe[Category])*($D11=Table_dim_price_recipe[Item Description]) * (J$6=Table_dim_price_recipe[Type])*(Table_dim_price_recipe[Retail Price]&lt;&gt;0)*($C11=Table_dim_price_recipe[Subcategory]), 0))*$B11,"")</f>
        <v/>
      </c>
      <c r="K11" s="39" t="str" cm="1">
        <f t="array" ref="K11">IFERROR(INDEX(Table_dim_price_recipe[Retail Price], MATCH(1, ("Calculator"&lt;&gt;Table_dim_price_recipe[Type.display])*($L11=Table_dim_price_recipe[Category])*($D11=Table_dim_price_recipe[Item Description]) * (K$6=Table_dim_price_recipe[Type])*(Table_dim_price_recipe[Retail Price]&lt;&gt;0)*($C11=Table_dim_price_recipe[Subcategory]), 0))*$B11,"")</f>
        <v/>
      </c>
      <c r="L11" s="39" t="str" cm="1">
        <f t="array" ref="L11">IF($A11&lt;&gt;"", $A11, LOOKUP(2, 1/((A$7:INDEX(A:A, ROW()))&lt;&gt;""), A$7:INDEX(A:A, ROW())))</f>
        <v>FOOTINGS</v>
      </c>
    </row>
    <row r="12" spans="1:78">
      <c r="A12" s="263"/>
      <c r="B12" s="263"/>
      <c r="C12" s="263" t="s">
        <v>225</v>
      </c>
      <c r="D12" s="263" t="s">
        <v>229</v>
      </c>
      <c r="E12" s="263"/>
      <c r="F12" s="263"/>
      <c r="G12" s="39" cm="1">
        <f t="array" ref="G12">IFERROR(INDEX(Table_dim_price_recipe[Retail Price], MATCH(1, ("Calculator"&lt;&gt;Table_dim_price_recipe[Type.display])*($L12=Table_dim_price_recipe[Category])*($D12=Table_dim_price_recipe[Item Description]) * (G$6=Table_dim_price_recipe[Type])*(Table_dim_price_recipe[Retail Price]&lt;&gt;0)*($C12=Table_dim_price_recipe[Subcategory]), 0))*$B12,"")</f>
        <v>0</v>
      </c>
      <c r="H12" s="39" t="str" cm="1">
        <f t="array" ref="H12">IFERROR(INDEX(Table_dim_price_recipe[Retail Price], MATCH(1, ("Calculator"&lt;&gt;Table_dim_price_recipe[Type.display])*($L12=Table_dim_price_recipe[Category])*($D12=Table_dim_price_recipe[Item Description]) * (H$6=Table_dim_price_recipe[Type])*(Table_dim_price_recipe[Retail Price]&lt;&gt;0)*($C12=Table_dim_price_recipe[Subcategory]), 0))*$B12,"")</f>
        <v/>
      </c>
      <c r="I12" s="39" t="str" cm="1">
        <f t="array" ref="I12">IFERROR(INDEX(Table_dim_price_recipe[Retail Price], MATCH(1, ("Calculator"&lt;&gt;Table_dim_price_recipe[Type.display])*($L12=Table_dim_price_recipe[Category])*($D12=Table_dim_price_recipe[Item Description]) * (I$6=Table_dim_price_recipe[Type])*(Table_dim_price_recipe[Retail Price]&lt;&gt;0)*($C12=Table_dim_price_recipe[Subcategory]), 0))*$B12,"")</f>
        <v/>
      </c>
      <c r="J12" s="39" t="str" cm="1">
        <f t="array" ref="J12">IFERROR(INDEX(Table_dim_price_recipe[Retail Price], MATCH(1, ("Calculator"&lt;&gt;Table_dim_price_recipe[Type.display])*($L12=Table_dim_price_recipe[Category])*($D12=Table_dim_price_recipe[Item Description]) * (J$6=Table_dim_price_recipe[Type])*(Table_dim_price_recipe[Retail Price]&lt;&gt;0)*($C12=Table_dim_price_recipe[Subcategory]), 0))*$B12,"")</f>
        <v/>
      </c>
      <c r="K12" s="39" t="str" cm="1">
        <f t="array" ref="K12">IFERROR(INDEX(Table_dim_price_recipe[Retail Price], MATCH(1, ("Calculator"&lt;&gt;Table_dim_price_recipe[Type.display])*($L12=Table_dim_price_recipe[Category])*($D12=Table_dim_price_recipe[Item Description]) * (K$6=Table_dim_price_recipe[Type])*(Table_dim_price_recipe[Retail Price]&lt;&gt;0)*($C12=Table_dim_price_recipe[Subcategory]), 0))*$B12,"")</f>
        <v/>
      </c>
      <c r="L12" s="39" t="str" cm="1">
        <f t="array" ref="L12">IF($A12&lt;&gt;"", $A12, LOOKUP(2, 1/((A$7:INDEX(A:A, ROW()))&lt;&gt;""), A$7:INDEX(A:A, ROW())))</f>
        <v>FOOTINGS</v>
      </c>
    </row>
    <row r="13" spans="1:78">
      <c r="A13" s="263"/>
      <c r="B13" s="263"/>
      <c r="C13" s="263" t="s">
        <v>225</v>
      </c>
      <c r="D13" s="263" t="s">
        <v>230</v>
      </c>
      <c r="E13" s="263"/>
      <c r="F13" s="263"/>
      <c r="G13" s="39" cm="1">
        <f t="array" ref="G13">IFERROR(INDEX(Table_dim_price_recipe[Retail Price], MATCH(1, ("Calculator"&lt;&gt;Table_dim_price_recipe[Type.display])*($L13=Table_dim_price_recipe[Category])*($D13=Table_dim_price_recipe[Item Description]) * (G$6=Table_dim_price_recipe[Type])*(Table_dim_price_recipe[Retail Price]&lt;&gt;0)*($C13=Table_dim_price_recipe[Subcategory]), 0))*$B13,"")</f>
        <v>0</v>
      </c>
      <c r="H13" s="39" t="str" cm="1">
        <f t="array" ref="H13">IFERROR(INDEX(Table_dim_price_recipe[Retail Price], MATCH(1, ("Calculator"&lt;&gt;Table_dim_price_recipe[Type.display])*($L13=Table_dim_price_recipe[Category])*($D13=Table_dim_price_recipe[Item Description]) * (H$6=Table_dim_price_recipe[Type])*(Table_dim_price_recipe[Retail Price]&lt;&gt;0)*($C13=Table_dim_price_recipe[Subcategory]), 0))*$B13,"")</f>
        <v/>
      </c>
      <c r="I13" s="39" t="str" cm="1">
        <f t="array" ref="I13">IFERROR(INDEX(Table_dim_price_recipe[Retail Price], MATCH(1, ("Calculator"&lt;&gt;Table_dim_price_recipe[Type.display])*($L13=Table_dim_price_recipe[Category])*($D13=Table_dim_price_recipe[Item Description]) * (I$6=Table_dim_price_recipe[Type])*(Table_dim_price_recipe[Retail Price]&lt;&gt;0)*($C13=Table_dim_price_recipe[Subcategory]), 0))*$B13,"")</f>
        <v/>
      </c>
      <c r="J13" s="39" t="str" cm="1">
        <f t="array" ref="J13">IFERROR(INDEX(Table_dim_price_recipe[Retail Price], MATCH(1, ("Calculator"&lt;&gt;Table_dim_price_recipe[Type.display])*($L13=Table_dim_price_recipe[Category])*($D13=Table_dim_price_recipe[Item Description]) * (J$6=Table_dim_price_recipe[Type])*(Table_dim_price_recipe[Retail Price]&lt;&gt;0)*($C13=Table_dim_price_recipe[Subcategory]), 0))*$B13,"")</f>
        <v/>
      </c>
      <c r="K13" s="39" t="str" cm="1">
        <f t="array" ref="K13">IFERROR(INDEX(Table_dim_price_recipe[Retail Price], MATCH(1, ("Calculator"&lt;&gt;Table_dim_price_recipe[Type.display])*($L13=Table_dim_price_recipe[Category])*($D13=Table_dim_price_recipe[Item Description]) * (K$6=Table_dim_price_recipe[Type])*(Table_dim_price_recipe[Retail Price]&lt;&gt;0)*($C13=Table_dim_price_recipe[Subcategory]), 0))*$B13,"")</f>
        <v/>
      </c>
      <c r="L13" s="39" t="str" cm="1">
        <f t="array" ref="L13">IF($A13&lt;&gt;"", $A13, LOOKUP(2, 1/((A$7:INDEX(A:A, ROW()))&lt;&gt;""), A$7:INDEX(A:A, ROW())))</f>
        <v>FOOTINGS</v>
      </c>
    </row>
    <row r="14" spans="1:78">
      <c r="A14" s="263"/>
      <c r="B14" s="263"/>
      <c r="C14" s="263" t="s">
        <v>225</v>
      </c>
      <c r="D14" s="263" t="s">
        <v>231</v>
      </c>
      <c r="E14" s="263"/>
      <c r="F14" s="263"/>
      <c r="G14" s="39" cm="1">
        <f t="array" ref="G14">IFERROR(INDEX(Table_dim_price_recipe[Retail Price], MATCH(1, ("Calculator"&lt;&gt;Table_dim_price_recipe[Type.display])*($L14=Table_dim_price_recipe[Category])*($D14=Table_dim_price_recipe[Item Description]) * (G$6=Table_dim_price_recipe[Type])*(Table_dim_price_recipe[Retail Price]&lt;&gt;0)*($C14=Table_dim_price_recipe[Subcategory]), 0))*$B14,"")</f>
        <v>0</v>
      </c>
      <c r="H14" s="39" t="str" cm="1">
        <f t="array" ref="H14">IFERROR(INDEX(Table_dim_price_recipe[Retail Price], MATCH(1, ("Calculator"&lt;&gt;Table_dim_price_recipe[Type.display])*($L14=Table_dim_price_recipe[Category])*($D14=Table_dim_price_recipe[Item Description]) * (H$6=Table_dim_price_recipe[Type])*(Table_dim_price_recipe[Retail Price]&lt;&gt;0)*($C14=Table_dim_price_recipe[Subcategory]), 0))*$B14,"")</f>
        <v/>
      </c>
      <c r="I14" s="39" t="str" cm="1">
        <f t="array" ref="I14">IFERROR(INDEX(Table_dim_price_recipe[Retail Price], MATCH(1, ("Calculator"&lt;&gt;Table_dim_price_recipe[Type.display])*($L14=Table_dim_price_recipe[Category])*($D14=Table_dim_price_recipe[Item Description]) * (I$6=Table_dim_price_recipe[Type])*(Table_dim_price_recipe[Retail Price]&lt;&gt;0)*($C14=Table_dim_price_recipe[Subcategory]), 0))*$B14,"")</f>
        <v/>
      </c>
      <c r="J14" s="39" t="str" cm="1">
        <f t="array" ref="J14">IFERROR(INDEX(Table_dim_price_recipe[Retail Price], MATCH(1, ("Calculator"&lt;&gt;Table_dim_price_recipe[Type.display])*($L14=Table_dim_price_recipe[Category])*($D14=Table_dim_price_recipe[Item Description]) * (J$6=Table_dim_price_recipe[Type])*(Table_dim_price_recipe[Retail Price]&lt;&gt;0)*($C14=Table_dim_price_recipe[Subcategory]), 0))*$B14,"")</f>
        <v/>
      </c>
      <c r="K14" s="39" t="str" cm="1">
        <f t="array" ref="K14">IFERROR(INDEX(Table_dim_price_recipe[Retail Price], MATCH(1, ("Calculator"&lt;&gt;Table_dim_price_recipe[Type.display])*($L14=Table_dim_price_recipe[Category])*($D14=Table_dim_price_recipe[Item Description]) * (K$6=Table_dim_price_recipe[Type])*(Table_dim_price_recipe[Retail Price]&lt;&gt;0)*($C14=Table_dim_price_recipe[Subcategory]), 0))*$B14,"")</f>
        <v/>
      </c>
      <c r="L14" s="39" t="str" cm="1">
        <f t="array" ref="L14">IF($A14&lt;&gt;"", $A14, LOOKUP(2, 1/((A$7:INDEX(A:A, ROW()))&lt;&gt;""), A$7:INDEX(A:A, ROW())))</f>
        <v>FOOTINGS</v>
      </c>
    </row>
    <row r="15" spans="1:78">
      <c r="A15" s="263"/>
      <c r="B15" s="263"/>
      <c r="C15" s="263" t="s">
        <v>225</v>
      </c>
      <c r="D15" s="263"/>
      <c r="E15" s="263"/>
      <c r="F15" s="263"/>
      <c r="G15" s="39" t="str" cm="1">
        <f t="array" ref="G15">IFERROR(INDEX(Table_dim_price_recipe[Retail Price], MATCH(1, ("Calculator"&lt;&gt;Table_dim_price_recipe[Type.display])*($L15=Table_dim_price_recipe[Category])*($D15=Table_dim_price_recipe[Item Description]) * (G$6=Table_dim_price_recipe[Type])*(Table_dim_price_recipe[Retail Price]&lt;&gt;0)*($C15=Table_dim_price_recipe[Subcategory]), 0))*$B15,"")</f>
        <v/>
      </c>
      <c r="H15" s="39" t="str" cm="1">
        <f t="array" ref="H15">IFERROR(INDEX(Table_dim_price_recipe[Retail Price], MATCH(1, ("Calculator"&lt;&gt;Table_dim_price_recipe[Type.display])*($L15=Table_dim_price_recipe[Category])*($D15=Table_dim_price_recipe[Item Description]) * (H$6=Table_dim_price_recipe[Type])*(Table_dim_price_recipe[Retail Price]&lt;&gt;0)*($C15=Table_dim_price_recipe[Subcategory]), 0))*$B15,"")</f>
        <v/>
      </c>
      <c r="I15" s="39" t="str" cm="1">
        <f t="array" ref="I15">IFERROR(INDEX(Table_dim_price_recipe[Retail Price], MATCH(1, ("Calculator"&lt;&gt;Table_dim_price_recipe[Type.display])*($L15=Table_dim_price_recipe[Category])*($D15=Table_dim_price_recipe[Item Description]) * (I$6=Table_dim_price_recipe[Type])*(Table_dim_price_recipe[Retail Price]&lt;&gt;0)*($C15=Table_dim_price_recipe[Subcategory]), 0))*$B15,"")</f>
        <v/>
      </c>
      <c r="J15" s="39" t="str" cm="1">
        <f t="array" ref="J15">IFERROR(INDEX(Table_dim_price_recipe[Retail Price], MATCH(1, ("Calculator"&lt;&gt;Table_dim_price_recipe[Type.display])*($L15=Table_dim_price_recipe[Category])*($D15=Table_dim_price_recipe[Item Description]) * (J$6=Table_dim_price_recipe[Type])*(Table_dim_price_recipe[Retail Price]&lt;&gt;0)*($C15=Table_dim_price_recipe[Subcategory]), 0))*$B15,"")</f>
        <v/>
      </c>
      <c r="K15" s="39" t="str" cm="1">
        <f t="array" ref="K15">IFERROR(INDEX(Table_dim_price_recipe[Retail Price], MATCH(1, ("Calculator"&lt;&gt;Table_dim_price_recipe[Type.display])*($L15=Table_dim_price_recipe[Category])*($D15=Table_dim_price_recipe[Item Description]) * (K$6=Table_dim_price_recipe[Type])*(Table_dim_price_recipe[Retail Price]&lt;&gt;0)*($C15=Table_dim_price_recipe[Subcategory]), 0))*$B15,"")</f>
        <v/>
      </c>
      <c r="L15" s="39" t="str" cm="1">
        <f t="array" ref="L15">IF($A15&lt;&gt;"", $A15, LOOKUP(2, 1/((A$7:INDEX(A:A, ROW()))&lt;&gt;""), A$7:INDEX(A:A, ROW())))</f>
        <v>FOOTINGS</v>
      </c>
    </row>
    <row r="16" spans="1:78">
      <c r="A16" s="263"/>
      <c r="B16" s="263"/>
      <c r="C16" s="263" t="s">
        <v>225</v>
      </c>
      <c r="D16" s="263"/>
      <c r="E16" s="263"/>
      <c r="F16" s="263"/>
      <c r="G16" s="39" t="str" cm="1">
        <f t="array" ref="G16">IFERROR(INDEX(Table_dim_price_recipe[Retail Price], MATCH(1, ("Calculator"&lt;&gt;Table_dim_price_recipe[Type.display])*($L16=Table_dim_price_recipe[Category])*($D16=Table_dim_price_recipe[Item Description]) * (G$6=Table_dim_price_recipe[Type])*(Table_dim_price_recipe[Retail Price]&lt;&gt;0)*($C16=Table_dim_price_recipe[Subcategory]), 0))*$B16,"")</f>
        <v/>
      </c>
      <c r="H16" s="39" t="str" cm="1">
        <f t="array" ref="H16">IFERROR(INDEX(Table_dim_price_recipe[Retail Price], MATCH(1, ("Calculator"&lt;&gt;Table_dim_price_recipe[Type.display])*($L16=Table_dim_price_recipe[Category])*($D16=Table_dim_price_recipe[Item Description]) * (H$6=Table_dim_price_recipe[Type])*(Table_dim_price_recipe[Retail Price]&lt;&gt;0)*($C16=Table_dim_price_recipe[Subcategory]), 0))*$B16,"")</f>
        <v/>
      </c>
      <c r="I16" s="39" t="str" cm="1">
        <f t="array" ref="I16">IFERROR(INDEX(Table_dim_price_recipe[Retail Price], MATCH(1, ("Calculator"&lt;&gt;Table_dim_price_recipe[Type.display])*($L16=Table_dim_price_recipe[Category])*($D16=Table_dim_price_recipe[Item Description]) * (I$6=Table_dim_price_recipe[Type])*(Table_dim_price_recipe[Retail Price]&lt;&gt;0)*($C16=Table_dim_price_recipe[Subcategory]), 0))*$B16,"")</f>
        <v/>
      </c>
      <c r="J16" s="39" t="str" cm="1">
        <f t="array" ref="J16">IFERROR(INDEX(Table_dim_price_recipe[Retail Price], MATCH(1, ("Calculator"&lt;&gt;Table_dim_price_recipe[Type.display])*($L16=Table_dim_price_recipe[Category])*($D16=Table_dim_price_recipe[Item Description]) * (J$6=Table_dim_price_recipe[Type])*(Table_dim_price_recipe[Retail Price]&lt;&gt;0)*($C16=Table_dim_price_recipe[Subcategory]), 0))*$B16,"")</f>
        <v/>
      </c>
      <c r="K16" s="39" t="str" cm="1">
        <f t="array" ref="K16">IFERROR(INDEX(Table_dim_price_recipe[Retail Price], MATCH(1, ("Calculator"&lt;&gt;Table_dim_price_recipe[Type.display])*($L16=Table_dim_price_recipe[Category])*($D16=Table_dim_price_recipe[Item Description]) * (K$6=Table_dim_price_recipe[Type])*(Table_dim_price_recipe[Retail Price]&lt;&gt;0)*($C16=Table_dim_price_recipe[Subcategory]), 0))*$B16,"")</f>
        <v/>
      </c>
      <c r="L16" s="39" t="str" cm="1">
        <f t="array" ref="L16">IF($A16&lt;&gt;"", $A16, LOOKUP(2, 1/((A$7:INDEX(A:A, ROW()))&lt;&gt;""), A$7:INDEX(A:A, ROW())))</f>
        <v>FOOTINGS</v>
      </c>
    </row>
    <row r="17" spans="1:12">
      <c r="A17" s="263"/>
      <c r="B17" s="263"/>
      <c r="C17" s="263" t="s">
        <v>235</v>
      </c>
      <c r="D17" s="263" t="s">
        <v>237</v>
      </c>
      <c r="E17" s="263"/>
      <c r="F17" s="263"/>
      <c r="G17" s="39" cm="1">
        <f t="array" ref="G17">IFERROR(INDEX(Table_dim_price_recipe[Retail Price], MATCH(1, ("Calculator"&lt;&gt;Table_dim_price_recipe[Type.display])*($L17=Table_dim_price_recipe[Category])*($D17=Table_dim_price_recipe[Item Description]) * (G$6=Table_dim_price_recipe[Type])*(Table_dim_price_recipe[Retail Price]&lt;&gt;0)*($C17=Table_dim_price_recipe[Subcategory]), 0))*$B17,"")</f>
        <v>0</v>
      </c>
      <c r="H17" s="39" t="str" cm="1">
        <f t="array" ref="H17">IFERROR(INDEX(Table_dim_price_recipe[Retail Price], MATCH(1, ("Calculator"&lt;&gt;Table_dim_price_recipe[Type.display])*($L17=Table_dim_price_recipe[Category])*($D17=Table_dim_price_recipe[Item Description]) * (H$6=Table_dim_price_recipe[Type])*(Table_dim_price_recipe[Retail Price]&lt;&gt;0)*($C17=Table_dim_price_recipe[Subcategory]), 0))*$B17,"")</f>
        <v/>
      </c>
      <c r="I17" s="39" t="str" cm="1">
        <f t="array" ref="I17">IFERROR(INDEX(Table_dim_price_recipe[Retail Price], MATCH(1, ("Calculator"&lt;&gt;Table_dim_price_recipe[Type.display])*($L17=Table_dim_price_recipe[Category])*($D17=Table_dim_price_recipe[Item Description]) * (I$6=Table_dim_price_recipe[Type])*(Table_dim_price_recipe[Retail Price]&lt;&gt;0)*($C17=Table_dim_price_recipe[Subcategory]), 0))*$B17,"")</f>
        <v/>
      </c>
      <c r="J17" s="39" t="str" cm="1">
        <f t="array" ref="J17">IFERROR(INDEX(Table_dim_price_recipe[Retail Price], MATCH(1, ("Calculator"&lt;&gt;Table_dim_price_recipe[Type.display])*($L17=Table_dim_price_recipe[Category])*($D17=Table_dim_price_recipe[Item Description]) * (J$6=Table_dim_price_recipe[Type])*(Table_dim_price_recipe[Retail Price]&lt;&gt;0)*($C17=Table_dim_price_recipe[Subcategory]), 0))*$B17,"")</f>
        <v/>
      </c>
      <c r="K17" s="39" t="str" cm="1">
        <f t="array" ref="K17">IFERROR(INDEX(Table_dim_price_recipe[Retail Price], MATCH(1, ("Calculator"&lt;&gt;Table_dim_price_recipe[Type.display])*($L17=Table_dim_price_recipe[Category])*($D17=Table_dim_price_recipe[Item Description]) * (K$6=Table_dim_price_recipe[Type])*(Table_dim_price_recipe[Retail Price]&lt;&gt;0)*($C17=Table_dim_price_recipe[Subcategory]), 0))*$B17,"")</f>
        <v/>
      </c>
      <c r="L17" s="39" t="str" cm="1">
        <f t="array" ref="L17">IF($A17&lt;&gt;"", $A17, LOOKUP(2, 1/((A$7:INDEX(A:A, ROW()))&lt;&gt;""), A$7:INDEX(A:A, ROW())))</f>
        <v>FOOTINGS</v>
      </c>
    </row>
    <row r="18" spans="1:12">
      <c r="A18" s="263"/>
      <c r="B18" s="263"/>
      <c r="C18" s="263" t="s">
        <v>235</v>
      </c>
      <c r="D18" s="263" t="s">
        <v>238</v>
      </c>
      <c r="E18" s="263"/>
      <c r="F18" s="263"/>
      <c r="G18" s="39" cm="1">
        <f t="array" ref="G18">IFERROR(INDEX(Table_dim_price_recipe[Retail Price], MATCH(1, ("Calculator"&lt;&gt;Table_dim_price_recipe[Type.display])*($L18=Table_dim_price_recipe[Category])*($D18=Table_dim_price_recipe[Item Description]) * (G$6=Table_dim_price_recipe[Type])*(Table_dim_price_recipe[Retail Price]&lt;&gt;0)*($C18=Table_dim_price_recipe[Subcategory]), 0))*$B18,"")</f>
        <v>0</v>
      </c>
      <c r="H18" s="39" t="str" cm="1">
        <f t="array" ref="H18">IFERROR(INDEX(Table_dim_price_recipe[Retail Price], MATCH(1, ("Calculator"&lt;&gt;Table_dim_price_recipe[Type.display])*($L18=Table_dim_price_recipe[Category])*($D18=Table_dim_price_recipe[Item Description]) * (H$6=Table_dim_price_recipe[Type])*(Table_dim_price_recipe[Retail Price]&lt;&gt;0)*($C18=Table_dim_price_recipe[Subcategory]), 0))*$B18,"")</f>
        <v/>
      </c>
      <c r="I18" s="39" t="str" cm="1">
        <f t="array" ref="I18">IFERROR(INDEX(Table_dim_price_recipe[Retail Price], MATCH(1, ("Calculator"&lt;&gt;Table_dim_price_recipe[Type.display])*($L18=Table_dim_price_recipe[Category])*($D18=Table_dim_price_recipe[Item Description]) * (I$6=Table_dim_price_recipe[Type])*(Table_dim_price_recipe[Retail Price]&lt;&gt;0)*($C18=Table_dim_price_recipe[Subcategory]), 0))*$B18,"")</f>
        <v/>
      </c>
      <c r="J18" s="39" t="str" cm="1">
        <f t="array" ref="J18">IFERROR(INDEX(Table_dim_price_recipe[Retail Price], MATCH(1, ("Calculator"&lt;&gt;Table_dim_price_recipe[Type.display])*($L18=Table_dim_price_recipe[Category])*($D18=Table_dim_price_recipe[Item Description]) * (J$6=Table_dim_price_recipe[Type])*(Table_dim_price_recipe[Retail Price]&lt;&gt;0)*($C18=Table_dim_price_recipe[Subcategory]), 0))*$B18,"")</f>
        <v/>
      </c>
      <c r="K18" s="39" t="str" cm="1">
        <f t="array" ref="K18">IFERROR(INDEX(Table_dim_price_recipe[Retail Price], MATCH(1, ("Calculator"&lt;&gt;Table_dim_price_recipe[Type.display])*($L18=Table_dim_price_recipe[Category])*($D18=Table_dim_price_recipe[Item Description]) * (K$6=Table_dim_price_recipe[Type])*(Table_dim_price_recipe[Retail Price]&lt;&gt;0)*($C18=Table_dim_price_recipe[Subcategory]), 0))*$B18,"")</f>
        <v/>
      </c>
      <c r="L18" s="39" t="str" cm="1">
        <f t="array" ref="L18">IF($A18&lt;&gt;"", $A18, LOOKUP(2, 1/((A$7:INDEX(A:A, ROW()))&lt;&gt;""), A$7:INDEX(A:A, ROW())))</f>
        <v>FOOTINGS</v>
      </c>
    </row>
    <row r="19" spans="1:12">
      <c r="A19" s="263"/>
      <c r="B19" s="263"/>
      <c r="C19" s="263" t="s">
        <v>235</v>
      </c>
      <c r="D19" s="263" t="s">
        <v>239</v>
      </c>
      <c r="E19" s="263"/>
      <c r="F19" s="263"/>
      <c r="G19" s="39" cm="1">
        <f t="array" ref="G19">IFERROR(INDEX(Table_dim_price_recipe[Retail Price], MATCH(1, ("Calculator"&lt;&gt;Table_dim_price_recipe[Type.display])*($L19=Table_dim_price_recipe[Category])*($D19=Table_dim_price_recipe[Item Description]) * (G$6=Table_dim_price_recipe[Type])*(Table_dim_price_recipe[Retail Price]&lt;&gt;0)*($C19=Table_dim_price_recipe[Subcategory]), 0))*$B19,"")</f>
        <v>0</v>
      </c>
      <c r="H19" s="39" t="str" cm="1">
        <f t="array" ref="H19">IFERROR(INDEX(Table_dim_price_recipe[Retail Price], MATCH(1, ("Calculator"&lt;&gt;Table_dim_price_recipe[Type.display])*($L19=Table_dim_price_recipe[Category])*($D19=Table_dim_price_recipe[Item Description]) * (H$6=Table_dim_price_recipe[Type])*(Table_dim_price_recipe[Retail Price]&lt;&gt;0)*($C19=Table_dim_price_recipe[Subcategory]), 0))*$B19,"")</f>
        <v/>
      </c>
      <c r="I19" s="39" t="str" cm="1">
        <f t="array" ref="I19">IFERROR(INDEX(Table_dim_price_recipe[Retail Price], MATCH(1, ("Calculator"&lt;&gt;Table_dim_price_recipe[Type.display])*($L19=Table_dim_price_recipe[Category])*($D19=Table_dim_price_recipe[Item Description]) * (I$6=Table_dim_price_recipe[Type])*(Table_dim_price_recipe[Retail Price]&lt;&gt;0)*($C19=Table_dim_price_recipe[Subcategory]), 0))*$B19,"")</f>
        <v/>
      </c>
      <c r="J19" s="39" t="str" cm="1">
        <f t="array" ref="J19">IFERROR(INDEX(Table_dim_price_recipe[Retail Price], MATCH(1, ("Calculator"&lt;&gt;Table_dim_price_recipe[Type.display])*($L19=Table_dim_price_recipe[Category])*($D19=Table_dim_price_recipe[Item Description]) * (J$6=Table_dim_price_recipe[Type])*(Table_dim_price_recipe[Retail Price]&lt;&gt;0)*($C19=Table_dim_price_recipe[Subcategory]), 0))*$B19,"")</f>
        <v/>
      </c>
      <c r="K19" s="39" t="str" cm="1">
        <f t="array" ref="K19">IFERROR(INDEX(Table_dim_price_recipe[Retail Price], MATCH(1, ("Calculator"&lt;&gt;Table_dim_price_recipe[Type.display])*($L19=Table_dim_price_recipe[Category])*($D19=Table_dim_price_recipe[Item Description]) * (K$6=Table_dim_price_recipe[Type])*(Table_dim_price_recipe[Retail Price]&lt;&gt;0)*($C19=Table_dim_price_recipe[Subcategory]), 0))*$B19,"")</f>
        <v/>
      </c>
      <c r="L19" s="39" t="str" cm="1">
        <f t="array" ref="L19">IF($A19&lt;&gt;"", $A19, LOOKUP(2, 1/((A$7:INDEX(A:A, ROW()))&lt;&gt;""), A$7:INDEX(A:A, ROW())))</f>
        <v>FOOTINGS</v>
      </c>
    </row>
    <row r="20" spans="1:12">
      <c r="A20" s="263"/>
      <c r="B20" s="263"/>
      <c r="C20" s="263" t="s">
        <v>235</v>
      </c>
      <c r="D20" s="263" t="s">
        <v>240</v>
      </c>
      <c r="E20" s="263"/>
      <c r="F20" s="263"/>
      <c r="G20" s="39" cm="1">
        <f t="array" ref="G20">IFERROR(INDEX(Table_dim_price_recipe[Retail Price], MATCH(1, ("Calculator"&lt;&gt;Table_dim_price_recipe[Type.display])*($L20=Table_dim_price_recipe[Category])*($D20=Table_dim_price_recipe[Item Description]) * (G$6=Table_dim_price_recipe[Type])*(Table_dim_price_recipe[Retail Price]&lt;&gt;0)*($C20=Table_dim_price_recipe[Subcategory]), 0))*$B20,"")</f>
        <v>0</v>
      </c>
      <c r="H20" s="39" t="str" cm="1">
        <f t="array" ref="H20">IFERROR(INDEX(Table_dim_price_recipe[Retail Price], MATCH(1, ("Calculator"&lt;&gt;Table_dim_price_recipe[Type.display])*($L20=Table_dim_price_recipe[Category])*($D20=Table_dim_price_recipe[Item Description]) * (H$6=Table_dim_price_recipe[Type])*(Table_dim_price_recipe[Retail Price]&lt;&gt;0)*($C20=Table_dim_price_recipe[Subcategory]), 0))*$B20,"")</f>
        <v/>
      </c>
      <c r="I20" s="39" t="str" cm="1">
        <f t="array" ref="I20">IFERROR(INDEX(Table_dim_price_recipe[Retail Price], MATCH(1, ("Calculator"&lt;&gt;Table_dim_price_recipe[Type.display])*($L20=Table_dim_price_recipe[Category])*($D20=Table_dim_price_recipe[Item Description]) * (I$6=Table_dim_price_recipe[Type])*(Table_dim_price_recipe[Retail Price]&lt;&gt;0)*($C20=Table_dim_price_recipe[Subcategory]), 0))*$B20,"")</f>
        <v/>
      </c>
      <c r="J20" s="39" t="str" cm="1">
        <f t="array" ref="J20">IFERROR(INDEX(Table_dim_price_recipe[Retail Price], MATCH(1, ("Calculator"&lt;&gt;Table_dim_price_recipe[Type.display])*($L20=Table_dim_price_recipe[Category])*($D20=Table_dim_price_recipe[Item Description]) * (J$6=Table_dim_price_recipe[Type])*(Table_dim_price_recipe[Retail Price]&lt;&gt;0)*($C20=Table_dim_price_recipe[Subcategory]), 0))*$B20,"")</f>
        <v/>
      </c>
      <c r="K20" s="39" t="str" cm="1">
        <f t="array" ref="K20">IFERROR(INDEX(Table_dim_price_recipe[Retail Price], MATCH(1, ("Calculator"&lt;&gt;Table_dim_price_recipe[Type.display])*($L20=Table_dim_price_recipe[Category])*($D20=Table_dim_price_recipe[Item Description]) * (K$6=Table_dim_price_recipe[Type])*(Table_dim_price_recipe[Retail Price]&lt;&gt;0)*($C20=Table_dim_price_recipe[Subcategory]), 0))*$B20,"")</f>
        <v/>
      </c>
      <c r="L20" s="39" t="str" cm="1">
        <f t="array" ref="L20">IF($A20&lt;&gt;"", $A20, LOOKUP(2, 1/((A$7:INDEX(A:A, ROW()))&lt;&gt;""), A$7:INDEX(A:A, ROW())))</f>
        <v>FOOTINGS</v>
      </c>
    </row>
    <row r="21" spans="1:12">
      <c r="A21" s="263"/>
      <c r="B21" s="263"/>
      <c r="C21" s="263" t="s">
        <v>235</v>
      </c>
      <c r="D21" s="263"/>
      <c r="E21" s="263"/>
      <c r="F21" s="263"/>
      <c r="G21" s="39" t="str" cm="1">
        <f t="array" ref="G21">IFERROR(INDEX(Table_dim_price_recipe[Retail Price], MATCH(1, ("Calculator"&lt;&gt;Table_dim_price_recipe[Type.display])*($L21=Table_dim_price_recipe[Category])*($D21=Table_dim_price_recipe[Item Description]) * (G$6=Table_dim_price_recipe[Type])*(Table_dim_price_recipe[Retail Price]&lt;&gt;0)*($C21=Table_dim_price_recipe[Subcategory]), 0))*$B21,"")</f>
        <v/>
      </c>
      <c r="H21" s="39" t="str" cm="1">
        <f t="array" ref="H21">IFERROR(INDEX(Table_dim_price_recipe[Retail Price], MATCH(1, ("Calculator"&lt;&gt;Table_dim_price_recipe[Type.display])*($L21=Table_dim_price_recipe[Category])*($D21=Table_dim_price_recipe[Item Description]) * (H$6=Table_dim_price_recipe[Type])*(Table_dim_price_recipe[Retail Price]&lt;&gt;0)*($C21=Table_dim_price_recipe[Subcategory]), 0))*$B21,"")</f>
        <v/>
      </c>
      <c r="I21" s="39" t="str" cm="1">
        <f t="array" ref="I21">IFERROR(INDEX(Table_dim_price_recipe[Retail Price], MATCH(1, ("Calculator"&lt;&gt;Table_dim_price_recipe[Type.display])*($L21=Table_dim_price_recipe[Category])*($D21=Table_dim_price_recipe[Item Description]) * (I$6=Table_dim_price_recipe[Type])*(Table_dim_price_recipe[Retail Price]&lt;&gt;0)*($C21=Table_dim_price_recipe[Subcategory]), 0))*$B21,"")</f>
        <v/>
      </c>
      <c r="J21" s="39" t="str" cm="1">
        <f t="array" ref="J21">IFERROR(INDEX(Table_dim_price_recipe[Retail Price], MATCH(1, ("Calculator"&lt;&gt;Table_dim_price_recipe[Type.display])*($L21=Table_dim_price_recipe[Category])*($D21=Table_dim_price_recipe[Item Description]) * (J$6=Table_dim_price_recipe[Type])*(Table_dim_price_recipe[Retail Price]&lt;&gt;0)*($C21=Table_dim_price_recipe[Subcategory]), 0))*$B21,"")</f>
        <v/>
      </c>
      <c r="K21" s="39" t="str" cm="1">
        <f t="array" ref="K21">IFERROR(INDEX(Table_dim_price_recipe[Retail Price], MATCH(1, ("Calculator"&lt;&gt;Table_dim_price_recipe[Type.display])*($L21=Table_dim_price_recipe[Category])*($D21=Table_dim_price_recipe[Item Description]) * (K$6=Table_dim_price_recipe[Type])*(Table_dim_price_recipe[Retail Price]&lt;&gt;0)*($C21=Table_dim_price_recipe[Subcategory]), 0))*$B21,"")</f>
        <v/>
      </c>
      <c r="L21" s="39" t="str" cm="1">
        <f t="array" ref="L21">IF($A21&lt;&gt;"", $A21, LOOKUP(2, 1/((A$7:INDEX(A:A, ROW()))&lt;&gt;""), A$7:INDEX(A:A, ROW())))</f>
        <v>FOOTINGS</v>
      </c>
    </row>
    <row r="22" spans="1:12">
      <c r="A22" s="263"/>
      <c r="B22" s="263"/>
      <c r="C22" s="263" t="s">
        <v>235</v>
      </c>
      <c r="D22" s="263"/>
      <c r="E22" s="263"/>
      <c r="F22" s="263"/>
      <c r="G22" s="39" t="str" cm="1">
        <f t="array" ref="G22">IFERROR(INDEX(Table_dim_price_recipe[Retail Price], MATCH(1, ("Calculator"&lt;&gt;Table_dim_price_recipe[Type.display])*($L22=Table_dim_price_recipe[Category])*($D22=Table_dim_price_recipe[Item Description]) * (G$6=Table_dim_price_recipe[Type])*(Table_dim_price_recipe[Retail Price]&lt;&gt;0)*($C22=Table_dim_price_recipe[Subcategory]), 0))*$B22,"")</f>
        <v/>
      </c>
      <c r="H22" s="39" t="str" cm="1">
        <f t="array" ref="H22">IFERROR(INDEX(Table_dim_price_recipe[Retail Price], MATCH(1, ("Calculator"&lt;&gt;Table_dim_price_recipe[Type.display])*($L22=Table_dim_price_recipe[Category])*($D22=Table_dim_price_recipe[Item Description]) * (H$6=Table_dim_price_recipe[Type])*(Table_dim_price_recipe[Retail Price]&lt;&gt;0)*($C22=Table_dim_price_recipe[Subcategory]), 0))*$B22,"")</f>
        <v/>
      </c>
      <c r="I22" s="39" t="str" cm="1">
        <f t="array" ref="I22">IFERROR(INDEX(Table_dim_price_recipe[Retail Price], MATCH(1, ("Calculator"&lt;&gt;Table_dim_price_recipe[Type.display])*($L22=Table_dim_price_recipe[Category])*($D22=Table_dim_price_recipe[Item Description]) * (I$6=Table_dim_price_recipe[Type])*(Table_dim_price_recipe[Retail Price]&lt;&gt;0)*($C22=Table_dim_price_recipe[Subcategory]), 0))*$B22,"")</f>
        <v/>
      </c>
      <c r="J22" s="39" t="str" cm="1">
        <f t="array" ref="J22">IFERROR(INDEX(Table_dim_price_recipe[Retail Price], MATCH(1, ("Calculator"&lt;&gt;Table_dim_price_recipe[Type.display])*($L22=Table_dim_price_recipe[Category])*($D22=Table_dim_price_recipe[Item Description]) * (J$6=Table_dim_price_recipe[Type])*(Table_dim_price_recipe[Retail Price]&lt;&gt;0)*($C22=Table_dim_price_recipe[Subcategory]), 0))*$B22,"")</f>
        <v/>
      </c>
      <c r="K22" s="39" t="str" cm="1">
        <f t="array" ref="K22">IFERROR(INDEX(Table_dim_price_recipe[Retail Price], MATCH(1, ("Calculator"&lt;&gt;Table_dim_price_recipe[Type.display])*($L22=Table_dim_price_recipe[Category])*($D22=Table_dim_price_recipe[Item Description]) * (K$6=Table_dim_price_recipe[Type])*(Table_dim_price_recipe[Retail Price]&lt;&gt;0)*($C22=Table_dim_price_recipe[Subcategory]), 0))*$B22,"")</f>
        <v/>
      </c>
      <c r="L22" s="39" t="str" cm="1">
        <f t="array" ref="L22">IF($A22&lt;&gt;"", $A22, LOOKUP(2, 1/((A$7:INDEX(A:A, ROW()))&lt;&gt;""), A$7:INDEX(A:A, ROW())))</f>
        <v>FOOTINGS</v>
      </c>
    </row>
    <row r="23" spans="1:12">
      <c r="A23" s="263"/>
      <c r="B23" s="263"/>
      <c r="C23" s="263" t="s">
        <v>233</v>
      </c>
      <c r="D23" s="263" t="s">
        <v>234</v>
      </c>
      <c r="E23" s="263"/>
      <c r="F23" s="263"/>
      <c r="G23" s="39" cm="1">
        <f t="array" ref="G23">IFERROR(INDEX(Table_dim_price_recipe[Retail Price], MATCH(1, ("Calculator"&lt;&gt;Table_dim_price_recipe[Type.display])*($L23=Table_dim_price_recipe[Category])*($D23=Table_dim_price_recipe[Item Description]) * (G$6=Table_dim_price_recipe[Type])*(Table_dim_price_recipe[Retail Price]&lt;&gt;0)*($C23=Table_dim_price_recipe[Subcategory]), 0))*$B23,"")</f>
        <v>0</v>
      </c>
      <c r="H23" s="39" t="str" cm="1">
        <f t="array" ref="H23">IFERROR(INDEX(Table_dim_price_recipe[Retail Price], MATCH(1, ("Calculator"&lt;&gt;Table_dim_price_recipe[Type.display])*($L23=Table_dim_price_recipe[Category])*($D23=Table_dim_price_recipe[Item Description]) * (H$6=Table_dim_price_recipe[Type])*(Table_dim_price_recipe[Retail Price]&lt;&gt;0)*($C23=Table_dim_price_recipe[Subcategory]), 0))*$B23,"")</f>
        <v/>
      </c>
      <c r="I23" s="39" t="str" cm="1">
        <f t="array" ref="I23">IFERROR(INDEX(Table_dim_price_recipe[Retail Price], MATCH(1, ("Calculator"&lt;&gt;Table_dim_price_recipe[Type.display])*($L23=Table_dim_price_recipe[Category])*($D23=Table_dim_price_recipe[Item Description]) * (I$6=Table_dim_price_recipe[Type])*(Table_dim_price_recipe[Retail Price]&lt;&gt;0)*($C23=Table_dim_price_recipe[Subcategory]), 0))*$B23,"")</f>
        <v/>
      </c>
      <c r="J23" s="39" t="str" cm="1">
        <f t="array" ref="J23">IFERROR(INDEX(Table_dim_price_recipe[Retail Price], MATCH(1, ("Calculator"&lt;&gt;Table_dim_price_recipe[Type.display])*($L23=Table_dim_price_recipe[Category])*($D23=Table_dim_price_recipe[Item Description]) * (J$6=Table_dim_price_recipe[Type])*(Table_dim_price_recipe[Retail Price]&lt;&gt;0)*($C23=Table_dim_price_recipe[Subcategory]), 0))*$B23,"")</f>
        <v/>
      </c>
      <c r="K23" s="39" t="str" cm="1">
        <f t="array" ref="K23">IFERROR(INDEX(Table_dim_price_recipe[Retail Price], MATCH(1, ("Calculator"&lt;&gt;Table_dim_price_recipe[Type.display])*($L23=Table_dim_price_recipe[Category])*($D23=Table_dim_price_recipe[Item Description]) * (K$6=Table_dim_price_recipe[Type])*(Table_dim_price_recipe[Retail Price]&lt;&gt;0)*($C23=Table_dim_price_recipe[Subcategory]), 0))*$B23,"")</f>
        <v/>
      </c>
      <c r="L23" s="39" t="str" cm="1">
        <f t="array" ref="L23">IF($A23&lt;&gt;"", $A23, LOOKUP(2, 1/((A$7:INDEX(A:A, ROW()))&lt;&gt;""), A$7:INDEX(A:A, ROW())))</f>
        <v>FOOTINGS</v>
      </c>
    </row>
    <row r="24" spans="1:12">
      <c r="A24" s="263"/>
      <c r="B24" s="263"/>
      <c r="C24" s="263" t="s">
        <v>233</v>
      </c>
      <c r="D24" s="263"/>
      <c r="E24" s="263"/>
      <c r="F24" s="263"/>
      <c r="G24" s="39" t="str" cm="1">
        <f t="array" ref="G24">IFERROR(INDEX(Table_dim_price_recipe[Retail Price], MATCH(1, ("Calculator"&lt;&gt;Table_dim_price_recipe[Type.display])*($L24=Table_dim_price_recipe[Category])*($D24=Table_dim_price_recipe[Item Description]) * (G$6=Table_dim_price_recipe[Type])*(Table_dim_price_recipe[Retail Price]&lt;&gt;0)*($C24=Table_dim_price_recipe[Subcategory]), 0))*$B24,"")</f>
        <v/>
      </c>
      <c r="H24" s="39" t="str" cm="1">
        <f t="array" ref="H24">IFERROR(INDEX(Table_dim_price_recipe[Retail Price], MATCH(1, ("Calculator"&lt;&gt;Table_dim_price_recipe[Type.display])*($L24=Table_dim_price_recipe[Category])*($D24=Table_dim_price_recipe[Item Description]) * (H$6=Table_dim_price_recipe[Type])*(Table_dim_price_recipe[Retail Price]&lt;&gt;0)*($C24=Table_dim_price_recipe[Subcategory]), 0))*$B24,"")</f>
        <v/>
      </c>
      <c r="I24" s="39" t="str" cm="1">
        <f t="array" ref="I24">IFERROR(INDEX(Table_dim_price_recipe[Retail Price], MATCH(1, ("Calculator"&lt;&gt;Table_dim_price_recipe[Type.display])*($L24=Table_dim_price_recipe[Category])*($D24=Table_dim_price_recipe[Item Description]) * (I$6=Table_dim_price_recipe[Type])*(Table_dim_price_recipe[Retail Price]&lt;&gt;0)*($C24=Table_dim_price_recipe[Subcategory]), 0))*$B24,"")</f>
        <v/>
      </c>
      <c r="J24" s="39" t="str" cm="1">
        <f t="array" ref="J24">IFERROR(INDEX(Table_dim_price_recipe[Retail Price], MATCH(1, ("Calculator"&lt;&gt;Table_dim_price_recipe[Type.display])*($L24=Table_dim_price_recipe[Category])*($D24=Table_dim_price_recipe[Item Description]) * (J$6=Table_dim_price_recipe[Type])*(Table_dim_price_recipe[Retail Price]&lt;&gt;0)*($C24=Table_dim_price_recipe[Subcategory]), 0))*$B24,"")</f>
        <v/>
      </c>
      <c r="K24" s="39" t="str" cm="1">
        <f t="array" ref="K24">IFERROR(INDEX(Table_dim_price_recipe[Retail Price], MATCH(1, ("Calculator"&lt;&gt;Table_dim_price_recipe[Type.display])*($L24=Table_dim_price_recipe[Category])*($D24=Table_dim_price_recipe[Item Description]) * (K$6=Table_dim_price_recipe[Type])*(Table_dim_price_recipe[Retail Price]&lt;&gt;0)*($C24=Table_dim_price_recipe[Subcategory]), 0))*$B24,"")</f>
        <v/>
      </c>
      <c r="L24" s="39" t="str" cm="1">
        <f t="array" ref="L24">IF($A24&lt;&gt;"", $A24, LOOKUP(2, 1/((A$7:INDEX(A:A, ROW()))&lt;&gt;""), A$7:INDEX(A:A, ROW())))</f>
        <v>FOOTINGS</v>
      </c>
    </row>
    <row r="25" spans="1:12">
      <c r="A25" s="263"/>
      <c r="B25" s="263"/>
      <c r="C25" s="263" t="s">
        <v>233</v>
      </c>
      <c r="D25" s="263"/>
      <c r="E25" s="263"/>
      <c r="F25" s="263"/>
      <c r="G25" s="39" t="str" cm="1">
        <f t="array" ref="G25">IFERROR(INDEX(Table_dim_price_recipe[Retail Price], MATCH(1, ("Calculator"&lt;&gt;Table_dim_price_recipe[Type.display])*($L25=Table_dim_price_recipe[Category])*($D25=Table_dim_price_recipe[Item Description]) * (G$6=Table_dim_price_recipe[Type])*(Table_dim_price_recipe[Retail Price]&lt;&gt;0)*($C25=Table_dim_price_recipe[Subcategory]), 0))*$B25,"")</f>
        <v/>
      </c>
      <c r="H25" s="39" t="str" cm="1">
        <f t="array" ref="H25">IFERROR(INDEX(Table_dim_price_recipe[Retail Price], MATCH(1, ("Calculator"&lt;&gt;Table_dim_price_recipe[Type.display])*($L25=Table_dim_price_recipe[Category])*($D25=Table_dim_price_recipe[Item Description]) * (H$6=Table_dim_price_recipe[Type])*(Table_dim_price_recipe[Retail Price]&lt;&gt;0)*($C25=Table_dim_price_recipe[Subcategory]), 0))*$B25,"")</f>
        <v/>
      </c>
      <c r="I25" s="39" t="str" cm="1">
        <f t="array" ref="I25">IFERROR(INDEX(Table_dim_price_recipe[Retail Price], MATCH(1, ("Calculator"&lt;&gt;Table_dim_price_recipe[Type.display])*($L25=Table_dim_price_recipe[Category])*($D25=Table_dim_price_recipe[Item Description]) * (I$6=Table_dim_price_recipe[Type])*(Table_dim_price_recipe[Retail Price]&lt;&gt;0)*($C25=Table_dim_price_recipe[Subcategory]), 0))*$B25,"")</f>
        <v/>
      </c>
      <c r="J25" s="39" t="str" cm="1">
        <f t="array" ref="J25">IFERROR(INDEX(Table_dim_price_recipe[Retail Price], MATCH(1, ("Calculator"&lt;&gt;Table_dim_price_recipe[Type.display])*($L25=Table_dim_price_recipe[Category])*($D25=Table_dim_price_recipe[Item Description]) * (J$6=Table_dim_price_recipe[Type])*(Table_dim_price_recipe[Retail Price]&lt;&gt;0)*($C25=Table_dim_price_recipe[Subcategory]), 0))*$B25,"")</f>
        <v/>
      </c>
      <c r="K25" s="39" t="str" cm="1">
        <f t="array" ref="K25">IFERROR(INDEX(Table_dim_price_recipe[Retail Price], MATCH(1, ("Calculator"&lt;&gt;Table_dim_price_recipe[Type.display])*($L25=Table_dim_price_recipe[Category])*($D25=Table_dim_price_recipe[Item Description]) * (K$6=Table_dim_price_recipe[Type])*(Table_dim_price_recipe[Retail Price]&lt;&gt;0)*($C25=Table_dim_price_recipe[Subcategory]), 0))*$B25,"")</f>
        <v/>
      </c>
      <c r="L25" s="39" t="str" cm="1">
        <f t="array" ref="L25">IF($A25&lt;&gt;"", $A25, LOOKUP(2, 1/((A$7:INDEX(A:A, ROW()))&lt;&gt;""), A$7:INDEX(A:A, ROW())))</f>
        <v>FOOTINGS</v>
      </c>
    </row>
    <row r="26" spans="1:12">
      <c r="A26" s="263"/>
      <c r="B26" s="263">
        <v>1</v>
      </c>
      <c r="C26" s="263" t="s">
        <v>1222</v>
      </c>
      <c r="D26" s="263" t="s">
        <v>1206</v>
      </c>
      <c r="E26" s="263" t="s">
        <v>1219</v>
      </c>
      <c r="F26" s="263"/>
      <c r="G26" s="39" t="str" cm="1">
        <f t="array" ref="G26">IFERROR(INDEX(Table_dim_price_recipe[Retail Price], MATCH(1, ("Calculator"&lt;&gt;Table_dim_price_recipe[Type.display])*($L26=Table_dim_price_recipe[Category])*($D26=Table_dim_price_recipe[Item Description]) * (G$6=Table_dim_price_recipe[Type])*(Table_dim_price_recipe[Retail Price]&lt;&gt;0)*($C26=Table_dim_price_recipe[Subcategory]), 0))*$B26,"")</f>
        <v/>
      </c>
      <c r="H26" s="39" cm="1">
        <f t="array" ref="H26">IFERROR(INDEX(Table_dim_price_recipe[Retail Price], MATCH(1, ("Calculator"&lt;&gt;Table_dim_price_recipe[Type.display])*($L26=Table_dim_price_recipe[Category])*($D26=Table_dim_price_recipe[Item Description]) * (H$6=Table_dim_price_recipe[Type])*(Table_dim_price_recipe[Retail Price]&lt;&gt;0)*($C26=Table_dim_price_recipe[Subcategory]), 0))*$B26,"")</f>
        <v>64</v>
      </c>
      <c r="I26" s="39" t="str" cm="1">
        <f t="array" ref="I26">IFERROR(INDEX(Table_dim_price_recipe[Retail Price], MATCH(1, ("Calculator"&lt;&gt;Table_dim_price_recipe[Type.display])*($L26=Table_dim_price_recipe[Category])*($D26=Table_dim_price_recipe[Item Description]) * (I$6=Table_dim_price_recipe[Type])*(Table_dim_price_recipe[Retail Price]&lt;&gt;0)*($C26=Table_dim_price_recipe[Subcategory]), 0))*$B26,"")</f>
        <v/>
      </c>
      <c r="J26" s="39" t="str" cm="1">
        <f t="array" ref="J26">IFERROR(INDEX(Table_dim_price_recipe[Retail Price], MATCH(1, ("Calculator"&lt;&gt;Table_dim_price_recipe[Type.display])*($L26=Table_dim_price_recipe[Category])*($D26=Table_dim_price_recipe[Item Description]) * (J$6=Table_dim_price_recipe[Type])*(Table_dim_price_recipe[Retail Price]&lt;&gt;0)*($C26=Table_dim_price_recipe[Subcategory]), 0))*$B26,"")</f>
        <v/>
      </c>
      <c r="K26" s="39" t="str" cm="1">
        <f t="array" ref="K26">IFERROR(INDEX(Table_dim_price_recipe[Retail Price], MATCH(1, ("Calculator"&lt;&gt;Table_dim_price_recipe[Type.display])*($L26=Table_dim_price_recipe[Category])*($D26=Table_dim_price_recipe[Item Description]) * (K$6=Table_dim_price_recipe[Type])*(Table_dim_price_recipe[Retail Price]&lt;&gt;0)*($C26=Table_dim_price_recipe[Subcategory]), 0))*$B26,"")</f>
        <v/>
      </c>
      <c r="L26" s="39" t="str" cm="1">
        <f t="array" ref="L26">IF($A26&lt;&gt;"", $A26, LOOKUP(2, 1/((A$7:INDEX(A:A, ROW()))&lt;&gt;""), A$7:INDEX(A:A, ROW())))</f>
        <v>FOOTINGS</v>
      </c>
    </row>
    <row r="27" spans="1:12">
      <c r="A27" s="263"/>
      <c r="B27" s="263">
        <v>1</v>
      </c>
      <c r="C27" s="263" t="s">
        <v>1222</v>
      </c>
      <c r="D27" s="263" t="s">
        <v>1220</v>
      </c>
      <c r="E27" s="263" t="s">
        <v>1221</v>
      </c>
      <c r="F27" s="263"/>
      <c r="G27" s="39" t="str" cm="1">
        <f t="array" ref="G27">IFERROR(INDEX(Table_dim_price_recipe[Retail Price], MATCH(1, ("Calculator"&lt;&gt;Table_dim_price_recipe[Type.display])*($L27=Table_dim_price_recipe[Category])*($D27=Table_dim_price_recipe[Item Description]) * (G$6=Table_dim_price_recipe[Type])*(Table_dim_price_recipe[Retail Price]&lt;&gt;0)*($C27=Table_dim_price_recipe[Subcategory]), 0))*$B27,"")</f>
        <v/>
      </c>
      <c r="H27" s="39" cm="1">
        <f t="array" ref="H27">IFERROR(INDEX(Table_dim_price_recipe[Retail Price], MATCH(1, ("Calculator"&lt;&gt;Table_dim_price_recipe[Type.display])*($L27=Table_dim_price_recipe[Category])*($D27=Table_dim_price_recipe[Item Description]) * (H$6=Table_dim_price_recipe[Type])*(Table_dim_price_recipe[Retail Price]&lt;&gt;0)*($C27=Table_dim_price_recipe[Subcategory]), 0))*$B27,"")</f>
        <v>128</v>
      </c>
      <c r="I27" s="39" t="str" cm="1">
        <f t="array" ref="I27">IFERROR(INDEX(Table_dim_price_recipe[Retail Price], MATCH(1, ("Calculator"&lt;&gt;Table_dim_price_recipe[Type.display])*($L27=Table_dim_price_recipe[Category])*($D27=Table_dim_price_recipe[Item Description]) * (I$6=Table_dim_price_recipe[Type])*(Table_dim_price_recipe[Retail Price]&lt;&gt;0)*($C27=Table_dim_price_recipe[Subcategory]), 0))*$B27,"")</f>
        <v/>
      </c>
      <c r="J27" s="39" t="str" cm="1">
        <f t="array" ref="J27">IFERROR(INDEX(Table_dim_price_recipe[Retail Price], MATCH(1, ("Calculator"&lt;&gt;Table_dim_price_recipe[Type.display])*($L27=Table_dim_price_recipe[Category])*($D27=Table_dim_price_recipe[Item Description]) * (J$6=Table_dim_price_recipe[Type])*(Table_dim_price_recipe[Retail Price]&lt;&gt;0)*($C27=Table_dim_price_recipe[Subcategory]), 0))*$B27,"")</f>
        <v/>
      </c>
      <c r="K27" s="39" t="str" cm="1">
        <f t="array" ref="K27">IFERROR(INDEX(Table_dim_price_recipe[Retail Price], MATCH(1, ("Calculator"&lt;&gt;Table_dim_price_recipe[Type.display])*($L27=Table_dim_price_recipe[Category])*($D27=Table_dim_price_recipe[Item Description]) * (K$6=Table_dim_price_recipe[Type])*(Table_dim_price_recipe[Retail Price]&lt;&gt;0)*($C27=Table_dim_price_recipe[Subcategory]), 0))*$B27,"")</f>
        <v/>
      </c>
      <c r="L27" s="39" t="str" cm="1">
        <f t="array" ref="L27">IF($A27&lt;&gt;"", $A27, LOOKUP(2, 1/((A$7:INDEX(A:A, ROW()))&lt;&gt;""), A$7:INDEX(A:A, ROW())))</f>
        <v>FOOTINGS</v>
      </c>
    </row>
    <row r="28" spans="1:12">
      <c r="A28" s="263"/>
      <c r="B28" s="263">
        <v>3</v>
      </c>
      <c r="C28" s="263" t="s">
        <v>1222</v>
      </c>
      <c r="D28" s="263" t="s">
        <v>1207</v>
      </c>
      <c r="E28" s="263" t="s">
        <v>1213</v>
      </c>
      <c r="F28" s="263"/>
      <c r="G28" s="39" t="str" cm="1">
        <f t="array" ref="G28">IFERROR(INDEX(Table_dim_price_recipe[Retail Price], MATCH(1, ("Calculator"&lt;&gt;Table_dim_price_recipe[Type.display])*($L28=Table_dim_price_recipe[Category])*($D28=Table_dim_price_recipe[Item Description]) * (G$6=Table_dim_price_recipe[Type])*(Table_dim_price_recipe[Retail Price]&lt;&gt;0)*($C28=Table_dim_price_recipe[Subcategory]), 0))*$B28,"")</f>
        <v/>
      </c>
      <c r="H28" s="39" cm="1">
        <f t="array" ref="H28">IFERROR(INDEX(Table_dim_price_recipe[Retail Price], MATCH(1, ("Calculator"&lt;&gt;Table_dim_price_recipe[Type.display])*($L28=Table_dim_price_recipe[Category])*($D28=Table_dim_price_recipe[Item Description]) * (H$6=Table_dim_price_recipe[Type])*(Table_dim_price_recipe[Retail Price]&lt;&gt;0)*($C28=Table_dim_price_recipe[Subcategory]), 0))*$B28,"")</f>
        <v>63.999900000000004</v>
      </c>
      <c r="I28" s="39" t="str" cm="1">
        <f t="array" ref="I28">IFERROR(INDEX(Table_dim_price_recipe[Retail Price], MATCH(1, ("Calculator"&lt;&gt;Table_dim_price_recipe[Type.display])*($L28=Table_dim_price_recipe[Category])*($D28=Table_dim_price_recipe[Item Description]) * (I$6=Table_dim_price_recipe[Type])*(Table_dim_price_recipe[Retail Price]&lt;&gt;0)*($C28=Table_dim_price_recipe[Subcategory]), 0))*$B28,"")</f>
        <v/>
      </c>
      <c r="J28" s="39" t="str" cm="1">
        <f t="array" ref="J28">IFERROR(INDEX(Table_dim_price_recipe[Retail Price], MATCH(1, ("Calculator"&lt;&gt;Table_dim_price_recipe[Type.display])*($L28=Table_dim_price_recipe[Category])*($D28=Table_dim_price_recipe[Item Description]) * (J$6=Table_dim_price_recipe[Type])*(Table_dim_price_recipe[Retail Price]&lt;&gt;0)*($C28=Table_dim_price_recipe[Subcategory]), 0))*$B28,"")</f>
        <v/>
      </c>
      <c r="K28" s="39" t="str" cm="1">
        <f t="array" ref="K28">IFERROR(INDEX(Table_dim_price_recipe[Retail Price], MATCH(1, ("Calculator"&lt;&gt;Table_dim_price_recipe[Type.display])*($L28=Table_dim_price_recipe[Category])*($D28=Table_dim_price_recipe[Item Description]) * (K$6=Table_dim_price_recipe[Type])*(Table_dim_price_recipe[Retail Price]&lt;&gt;0)*($C28=Table_dim_price_recipe[Subcategory]), 0))*$B28,"")</f>
        <v/>
      </c>
      <c r="L28" s="39" t="str" cm="1">
        <f t="array" ref="L28">IF($A28&lt;&gt;"", $A28, LOOKUP(2, 1/((A$7:INDEX(A:A, ROW()))&lt;&gt;""), A$7:INDEX(A:A, ROW())))</f>
        <v>FOOTINGS</v>
      </c>
    </row>
    <row r="29" spans="1:12">
      <c r="A29" s="263"/>
      <c r="B29" s="263">
        <v>1</v>
      </c>
      <c r="C29" s="263" t="s">
        <v>1222</v>
      </c>
      <c r="D29" s="263" t="s">
        <v>1208</v>
      </c>
      <c r="E29" s="263" t="s">
        <v>1214</v>
      </c>
      <c r="F29" s="263"/>
      <c r="G29" s="39" t="str" cm="1">
        <f t="array" ref="G29">IFERROR(INDEX(Table_dim_price_recipe[Retail Price], MATCH(1, ("Calculator"&lt;&gt;Table_dim_price_recipe[Type.display])*($L29=Table_dim_price_recipe[Category])*($D29=Table_dim_price_recipe[Item Description]) * (G$6=Table_dim_price_recipe[Type])*(Table_dim_price_recipe[Retail Price]&lt;&gt;0)*($C29=Table_dim_price_recipe[Subcategory]), 0))*$B29,"")</f>
        <v/>
      </c>
      <c r="H29" s="39" cm="1">
        <f t="array" ref="H29">IFERROR(INDEX(Table_dim_price_recipe[Retail Price], MATCH(1, ("Calculator"&lt;&gt;Table_dim_price_recipe[Type.display])*($L29=Table_dim_price_recipe[Category])*($D29=Table_dim_price_recipe[Item Description]) * (H$6=Table_dim_price_recipe[Type])*(Table_dim_price_recipe[Retail Price]&lt;&gt;0)*($C29=Table_dim_price_recipe[Subcategory]), 0))*$B29,"")</f>
        <v>21.333300000000001</v>
      </c>
      <c r="I29" s="39" t="str" cm="1">
        <f t="array" ref="I29">IFERROR(INDEX(Table_dim_price_recipe[Retail Price], MATCH(1, ("Calculator"&lt;&gt;Table_dim_price_recipe[Type.display])*($L29=Table_dim_price_recipe[Category])*($D29=Table_dim_price_recipe[Item Description]) * (I$6=Table_dim_price_recipe[Type])*(Table_dim_price_recipe[Retail Price]&lt;&gt;0)*($C29=Table_dim_price_recipe[Subcategory]), 0))*$B29,"")</f>
        <v/>
      </c>
      <c r="J29" s="39" t="str" cm="1">
        <f t="array" ref="J29">IFERROR(INDEX(Table_dim_price_recipe[Retail Price], MATCH(1, ("Calculator"&lt;&gt;Table_dim_price_recipe[Type.display])*($L29=Table_dim_price_recipe[Category])*($D29=Table_dim_price_recipe[Item Description]) * (J$6=Table_dim_price_recipe[Type])*(Table_dim_price_recipe[Retail Price]&lt;&gt;0)*($C29=Table_dim_price_recipe[Subcategory]), 0))*$B29,"")</f>
        <v/>
      </c>
      <c r="K29" s="39" t="str" cm="1">
        <f t="array" ref="K29">IFERROR(INDEX(Table_dim_price_recipe[Retail Price], MATCH(1, ("Calculator"&lt;&gt;Table_dim_price_recipe[Type.display])*($L29=Table_dim_price_recipe[Category])*($D29=Table_dim_price_recipe[Item Description]) * (K$6=Table_dim_price_recipe[Type])*(Table_dim_price_recipe[Retail Price]&lt;&gt;0)*($C29=Table_dim_price_recipe[Subcategory]), 0))*$B29,"")</f>
        <v/>
      </c>
      <c r="L29" s="39" t="str" cm="1">
        <f t="array" ref="L29">IF($A29&lt;&gt;"", $A29, LOOKUP(2, 1/((A$7:INDEX(A:A, ROW()))&lt;&gt;""), A$7:INDEX(A:A, ROW())))</f>
        <v>FOOTINGS</v>
      </c>
    </row>
    <row r="30" spans="1:12">
      <c r="A30" s="263"/>
      <c r="B30" s="263">
        <v>1</v>
      </c>
      <c r="C30" s="263" t="s">
        <v>1222</v>
      </c>
      <c r="D30" s="263" t="s">
        <v>1209</v>
      </c>
      <c r="E30" s="263" t="s">
        <v>1215</v>
      </c>
      <c r="F30" s="263"/>
      <c r="G30" s="39" t="str" cm="1">
        <f t="array" ref="G30">IFERROR(INDEX(Table_dim_price_recipe[Retail Price], MATCH(1, ("Calculator"&lt;&gt;Table_dim_price_recipe[Type.display])*($L30=Table_dim_price_recipe[Category])*($D30=Table_dim_price_recipe[Item Description]) * (G$6=Table_dim_price_recipe[Type])*(Table_dim_price_recipe[Retail Price]&lt;&gt;0)*($C30=Table_dim_price_recipe[Subcategory]), 0))*$B30,"")</f>
        <v/>
      </c>
      <c r="H30" s="39" cm="1">
        <f t="array" ref="H30">IFERROR(INDEX(Table_dim_price_recipe[Retail Price], MATCH(1, ("Calculator"&lt;&gt;Table_dim_price_recipe[Type.display])*($L30=Table_dim_price_recipe[Category])*($D30=Table_dim_price_recipe[Item Description]) * (H$6=Table_dim_price_recipe[Type])*(Table_dim_price_recipe[Retail Price]&lt;&gt;0)*($C30=Table_dim_price_recipe[Subcategory]), 0))*$B30,"")</f>
        <v>21.333300000000001</v>
      </c>
      <c r="I30" s="39" t="str" cm="1">
        <f t="array" ref="I30">IFERROR(INDEX(Table_dim_price_recipe[Retail Price], MATCH(1, ("Calculator"&lt;&gt;Table_dim_price_recipe[Type.display])*($L30=Table_dim_price_recipe[Category])*($D30=Table_dim_price_recipe[Item Description]) * (I$6=Table_dim_price_recipe[Type])*(Table_dim_price_recipe[Retail Price]&lt;&gt;0)*($C30=Table_dim_price_recipe[Subcategory]), 0))*$B30,"")</f>
        <v/>
      </c>
      <c r="J30" s="39" t="str" cm="1">
        <f t="array" ref="J30">IFERROR(INDEX(Table_dim_price_recipe[Retail Price], MATCH(1, ("Calculator"&lt;&gt;Table_dim_price_recipe[Type.display])*($L30=Table_dim_price_recipe[Category])*($D30=Table_dim_price_recipe[Item Description]) * (J$6=Table_dim_price_recipe[Type])*(Table_dim_price_recipe[Retail Price]&lt;&gt;0)*($C30=Table_dim_price_recipe[Subcategory]), 0))*$B30,"")</f>
        <v/>
      </c>
      <c r="K30" s="39" t="str" cm="1">
        <f t="array" ref="K30">IFERROR(INDEX(Table_dim_price_recipe[Retail Price], MATCH(1, ("Calculator"&lt;&gt;Table_dim_price_recipe[Type.display])*($L30=Table_dim_price_recipe[Category])*($D30=Table_dim_price_recipe[Item Description]) * (K$6=Table_dim_price_recipe[Type])*(Table_dim_price_recipe[Retail Price]&lt;&gt;0)*($C30=Table_dim_price_recipe[Subcategory]), 0))*$B30,"")</f>
        <v/>
      </c>
      <c r="L30" s="39" t="str" cm="1">
        <f t="array" ref="L30">IF($A30&lt;&gt;"", $A30, LOOKUP(2, 1/((A$7:INDEX(A:A, ROW()))&lt;&gt;""), A$7:INDEX(A:A, ROW())))</f>
        <v>FOOTINGS</v>
      </c>
    </row>
    <row r="31" spans="1:12">
      <c r="A31" s="263"/>
      <c r="B31" s="263">
        <v>2</v>
      </c>
      <c r="C31" s="263" t="s">
        <v>1222</v>
      </c>
      <c r="D31" s="263" t="s">
        <v>1217</v>
      </c>
      <c r="E31" s="263" t="s">
        <v>1216</v>
      </c>
      <c r="F31" s="263"/>
      <c r="G31" s="39" t="str" cm="1">
        <f t="array" ref="G31">IFERROR(INDEX(Table_dim_price_recipe[Retail Price], MATCH(1, ("Calculator"&lt;&gt;Table_dim_price_recipe[Type.display])*($L31=Table_dim_price_recipe[Category])*($D31=Table_dim_price_recipe[Item Description]) * (G$6=Table_dim_price_recipe[Type])*(Table_dim_price_recipe[Retail Price]&lt;&gt;0)*($C31=Table_dim_price_recipe[Subcategory]), 0))*$B31,"")</f>
        <v/>
      </c>
      <c r="H31" s="39" cm="1">
        <f t="array" ref="H31">IFERROR(INDEX(Table_dim_price_recipe[Retail Price], MATCH(1, ("Calculator"&lt;&gt;Table_dim_price_recipe[Type.display])*($L31=Table_dim_price_recipe[Category])*($D31=Table_dim_price_recipe[Item Description]) * (H$6=Table_dim_price_recipe[Type])*(Table_dim_price_recipe[Retail Price]&lt;&gt;0)*($C31=Table_dim_price_recipe[Subcategory]), 0))*$B31,"")</f>
        <v>42.666600000000003</v>
      </c>
      <c r="I31" s="39" t="str" cm="1">
        <f t="array" ref="I31">IFERROR(INDEX(Table_dim_price_recipe[Retail Price], MATCH(1, ("Calculator"&lt;&gt;Table_dim_price_recipe[Type.display])*($L31=Table_dim_price_recipe[Category])*($D31=Table_dim_price_recipe[Item Description]) * (I$6=Table_dim_price_recipe[Type])*(Table_dim_price_recipe[Retail Price]&lt;&gt;0)*($C31=Table_dim_price_recipe[Subcategory]), 0))*$B31,"")</f>
        <v/>
      </c>
      <c r="J31" s="39" t="str" cm="1">
        <f t="array" ref="J31">IFERROR(INDEX(Table_dim_price_recipe[Retail Price], MATCH(1, ("Calculator"&lt;&gt;Table_dim_price_recipe[Type.display])*($L31=Table_dim_price_recipe[Category])*($D31=Table_dim_price_recipe[Item Description]) * (J$6=Table_dim_price_recipe[Type])*(Table_dim_price_recipe[Retail Price]&lt;&gt;0)*($C31=Table_dim_price_recipe[Subcategory]), 0))*$B31,"")</f>
        <v/>
      </c>
      <c r="K31" s="39" t="str" cm="1">
        <f t="array" ref="K31">IFERROR(INDEX(Table_dim_price_recipe[Retail Price], MATCH(1, ("Calculator"&lt;&gt;Table_dim_price_recipe[Type.display])*($L31=Table_dim_price_recipe[Category])*($D31=Table_dim_price_recipe[Item Description]) * (K$6=Table_dim_price_recipe[Type])*(Table_dim_price_recipe[Retail Price]&lt;&gt;0)*($C31=Table_dim_price_recipe[Subcategory]), 0))*$B31,"")</f>
        <v/>
      </c>
      <c r="L31" s="39" t="str" cm="1">
        <f t="array" ref="L31">IF($A31&lt;&gt;"", $A31, LOOKUP(2, 1/((A$7:INDEX(A:A, ROW()))&lt;&gt;""), A$7:INDEX(A:A, ROW())))</f>
        <v>FOOTINGS</v>
      </c>
    </row>
    <row r="32" spans="1:12">
      <c r="A32" s="263"/>
      <c r="B32" s="263">
        <v>1</v>
      </c>
      <c r="C32" s="263" t="s">
        <v>1222</v>
      </c>
      <c r="D32" s="263" t="s">
        <v>1210</v>
      </c>
      <c r="E32" s="263" t="s">
        <v>1218</v>
      </c>
      <c r="F32" s="263"/>
      <c r="G32" s="39" t="str" cm="1">
        <f t="array" ref="G32">IFERROR(INDEX(Table_dim_price_recipe[Retail Price], MATCH(1, ("Calculator"&lt;&gt;Table_dim_price_recipe[Type.display])*($L32=Table_dim_price_recipe[Category])*($D32=Table_dim_price_recipe[Item Description]) * (G$6=Table_dim_price_recipe[Type])*(Table_dim_price_recipe[Retail Price]&lt;&gt;0)*($C32=Table_dim_price_recipe[Subcategory]), 0))*$B32,"")</f>
        <v/>
      </c>
      <c r="H32" s="39" cm="1">
        <f t="array" ref="H32">IFERROR(INDEX(Table_dim_price_recipe[Retail Price], MATCH(1, ("Calculator"&lt;&gt;Table_dim_price_recipe[Type.display])*($L32=Table_dim_price_recipe[Category])*($D32=Table_dim_price_recipe[Item Description]) * (H$6=Table_dim_price_recipe[Type])*(Table_dim_price_recipe[Retail Price]&lt;&gt;0)*($C32=Table_dim_price_recipe[Subcategory]), 0))*$B32,"")</f>
        <v>21.333300000000001</v>
      </c>
      <c r="I32" s="39" t="str" cm="1">
        <f t="array" ref="I32">IFERROR(INDEX(Table_dim_price_recipe[Retail Price], MATCH(1, ("Calculator"&lt;&gt;Table_dim_price_recipe[Type.display])*($L32=Table_dim_price_recipe[Category])*($D32=Table_dim_price_recipe[Item Description]) * (I$6=Table_dim_price_recipe[Type])*(Table_dim_price_recipe[Retail Price]&lt;&gt;0)*($C32=Table_dim_price_recipe[Subcategory]), 0))*$B32,"")</f>
        <v/>
      </c>
      <c r="J32" s="39" t="str" cm="1">
        <f t="array" ref="J32">IFERROR(INDEX(Table_dim_price_recipe[Retail Price], MATCH(1, ("Calculator"&lt;&gt;Table_dim_price_recipe[Type.display])*($L32=Table_dim_price_recipe[Category])*($D32=Table_dim_price_recipe[Item Description]) * (J$6=Table_dim_price_recipe[Type])*(Table_dim_price_recipe[Retail Price]&lt;&gt;0)*($C32=Table_dim_price_recipe[Subcategory]), 0))*$B32,"")</f>
        <v/>
      </c>
      <c r="K32" s="39" t="str" cm="1">
        <f t="array" ref="K32">IFERROR(INDEX(Table_dim_price_recipe[Retail Price], MATCH(1, ("Calculator"&lt;&gt;Table_dim_price_recipe[Type.display])*($L32=Table_dim_price_recipe[Category])*($D32=Table_dim_price_recipe[Item Description]) * (K$6=Table_dim_price_recipe[Type])*(Table_dim_price_recipe[Retail Price]&lt;&gt;0)*($C32=Table_dim_price_recipe[Subcategory]), 0))*$B32,"")</f>
        <v/>
      </c>
      <c r="L32" s="39" t="str" cm="1">
        <f t="array" ref="L32">IF($A32&lt;&gt;"", $A32, LOOKUP(2, 1/((A$7:INDEX(A:A, ROW()))&lt;&gt;""), A$7:INDEX(A:A, ROW())))</f>
        <v>FOOTINGS</v>
      </c>
    </row>
    <row r="33" spans="1:12">
      <c r="A33" s="263"/>
      <c r="B33" s="263"/>
      <c r="C33" s="263" t="s">
        <v>1222</v>
      </c>
      <c r="D33" s="263"/>
      <c r="E33" s="263"/>
      <c r="F33" s="263"/>
      <c r="G33" s="39" t="str" cm="1">
        <f t="array" ref="G33">IFERROR(INDEX(Table_dim_price_recipe[Retail Price], MATCH(1, ("Calculator"&lt;&gt;Table_dim_price_recipe[Type.display])*($L33=Table_dim_price_recipe[Category])*($D33=Table_dim_price_recipe[Item Description]) * (G$6=Table_dim_price_recipe[Type])*(Table_dim_price_recipe[Retail Price]&lt;&gt;0)*($C33=Table_dim_price_recipe[Subcategory]), 0))*$B33,"")</f>
        <v/>
      </c>
      <c r="H33" s="39" t="str" cm="1">
        <f t="array" ref="H33">IFERROR(INDEX(Table_dim_price_recipe[Retail Price], MATCH(1, ("Calculator"&lt;&gt;Table_dim_price_recipe[Type.display])*($L33=Table_dim_price_recipe[Category])*($D33=Table_dim_price_recipe[Item Description]) * (H$6=Table_dim_price_recipe[Type])*(Table_dim_price_recipe[Retail Price]&lt;&gt;0)*($C33=Table_dim_price_recipe[Subcategory]), 0))*$B33,"")</f>
        <v/>
      </c>
      <c r="I33" s="39" t="str" cm="1">
        <f t="array" ref="I33">IFERROR(INDEX(Table_dim_price_recipe[Retail Price], MATCH(1, ("Calculator"&lt;&gt;Table_dim_price_recipe[Type.display])*($L33=Table_dim_price_recipe[Category])*($D33=Table_dim_price_recipe[Item Description]) * (I$6=Table_dim_price_recipe[Type])*(Table_dim_price_recipe[Retail Price]&lt;&gt;0)*($C33=Table_dim_price_recipe[Subcategory]), 0))*$B33,"")</f>
        <v/>
      </c>
      <c r="J33" s="39" t="str" cm="1">
        <f t="array" ref="J33">IFERROR(INDEX(Table_dim_price_recipe[Retail Price], MATCH(1, ("Calculator"&lt;&gt;Table_dim_price_recipe[Type.display])*($L33=Table_dim_price_recipe[Category])*($D33=Table_dim_price_recipe[Item Description]) * (J$6=Table_dim_price_recipe[Type])*(Table_dim_price_recipe[Retail Price]&lt;&gt;0)*($C33=Table_dim_price_recipe[Subcategory]), 0))*$B33,"")</f>
        <v/>
      </c>
      <c r="K33" s="39" t="str" cm="1">
        <f t="array" ref="K33">IFERROR(INDEX(Table_dim_price_recipe[Retail Price], MATCH(1, ("Calculator"&lt;&gt;Table_dim_price_recipe[Type.display])*($L33=Table_dim_price_recipe[Category])*($D33=Table_dim_price_recipe[Item Description]) * (K$6=Table_dim_price_recipe[Type])*(Table_dim_price_recipe[Retail Price]&lt;&gt;0)*($C33=Table_dim_price_recipe[Subcategory]), 0))*$B33,"")</f>
        <v/>
      </c>
      <c r="L33" s="39" t="str" cm="1">
        <f t="array" ref="L33">IF($A33&lt;&gt;"", $A33, LOOKUP(2, 1/((A$7:INDEX(A:A, ROW()))&lt;&gt;""), A$7:INDEX(A:A, ROW())))</f>
        <v>FOOTINGS</v>
      </c>
    </row>
    <row r="34" spans="1:12">
      <c r="A34" s="263"/>
      <c r="B34" s="263"/>
      <c r="C34" s="263" t="s">
        <v>1222</v>
      </c>
      <c r="D34" s="263"/>
      <c r="E34" s="263"/>
      <c r="F34" s="263"/>
      <c r="G34" s="39" t="str" cm="1">
        <f t="array" ref="G34">IFERROR(INDEX(Table_dim_price_recipe[Retail Price], MATCH(1, ("Calculator"&lt;&gt;Table_dim_price_recipe[Type.display])*($L34=Table_dim_price_recipe[Category])*($D34=Table_dim_price_recipe[Item Description]) * (G$6=Table_dim_price_recipe[Type])*(Table_dim_price_recipe[Retail Price]&lt;&gt;0)*($C34=Table_dim_price_recipe[Subcategory]), 0))*$B34,"")</f>
        <v/>
      </c>
      <c r="H34" s="39" t="str" cm="1">
        <f t="array" ref="H34">IFERROR(INDEX(Table_dim_price_recipe[Retail Price], MATCH(1, ("Calculator"&lt;&gt;Table_dim_price_recipe[Type.display])*($L34=Table_dim_price_recipe[Category])*($D34=Table_dim_price_recipe[Item Description]) * (H$6=Table_dim_price_recipe[Type])*(Table_dim_price_recipe[Retail Price]&lt;&gt;0)*($C34=Table_dim_price_recipe[Subcategory]), 0))*$B34,"")</f>
        <v/>
      </c>
      <c r="I34" s="39" t="str" cm="1">
        <f t="array" ref="I34">IFERROR(INDEX(Table_dim_price_recipe[Retail Price], MATCH(1, ("Calculator"&lt;&gt;Table_dim_price_recipe[Type.display])*($L34=Table_dim_price_recipe[Category])*($D34=Table_dim_price_recipe[Item Description]) * (I$6=Table_dim_price_recipe[Type])*(Table_dim_price_recipe[Retail Price]&lt;&gt;0)*($C34=Table_dim_price_recipe[Subcategory]), 0))*$B34,"")</f>
        <v/>
      </c>
      <c r="J34" s="39" t="str" cm="1">
        <f t="array" ref="J34">IFERROR(INDEX(Table_dim_price_recipe[Retail Price], MATCH(1, ("Calculator"&lt;&gt;Table_dim_price_recipe[Type.display])*($L34=Table_dim_price_recipe[Category])*($D34=Table_dim_price_recipe[Item Description]) * (J$6=Table_dim_price_recipe[Type])*(Table_dim_price_recipe[Retail Price]&lt;&gt;0)*($C34=Table_dim_price_recipe[Subcategory]), 0))*$B34,"")</f>
        <v/>
      </c>
      <c r="K34" s="39" t="str" cm="1">
        <f t="array" ref="K34">IFERROR(INDEX(Table_dim_price_recipe[Retail Price], MATCH(1, ("Calculator"&lt;&gt;Table_dim_price_recipe[Type.display])*($L34=Table_dim_price_recipe[Category])*($D34=Table_dim_price_recipe[Item Description]) * (K$6=Table_dim_price_recipe[Type])*(Table_dim_price_recipe[Retail Price]&lt;&gt;0)*($C34=Table_dim_price_recipe[Subcategory]), 0))*$B34,"")</f>
        <v/>
      </c>
      <c r="L34" s="39" t="str" cm="1">
        <f t="array" ref="L34">IF($A34&lt;&gt;"", $A34, LOOKUP(2, 1/((A$7:INDEX(A:A, ROW()))&lt;&gt;""), A$7:INDEX(A:A, ROW())))</f>
        <v>FOOTINGS</v>
      </c>
    </row>
    <row r="35" spans="1:12">
      <c r="A35" s="263"/>
      <c r="B35" s="263"/>
      <c r="C35" s="263" t="s">
        <v>15</v>
      </c>
      <c r="D35" s="263" t="s">
        <v>21</v>
      </c>
      <c r="E35" s="263"/>
      <c r="F35" s="263"/>
      <c r="G35" s="39" t="str" cm="1">
        <f t="array" ref="G35">IFERROR(INDEX(Table_dim_price_recipe[Retail Price], MATCH(1, ("Calculator"&lt;&gt;Table_dim_price_recipe[Type.display])*($L35=Table_dim_price_recipe[Category])*($D35=Table_dim_price_recipe[Item Description]) * (G$6=Table_dim_price_recipe[Type])*(Table_dim_price_recipe[Retail Price]&lt;&gt;0)*($C35=Table_dim_price_recipe[Subcategory]), 0))*$B35,"")</f>
        <v/>
      </c>
      <c r="H35" s="39" cm="1">
        <f t="array" ref="H35">IFERROR(INDEX(Table_dim_price_recipe[Retail Price], MATCH(1, ("Calculator"&lt;&gt;Table_dim_price_recipe[Type.display])*($L35=Table_dim_price_recipe[Category])*($D35=Table_dim_price_recipe[Item Description]) * (H$6=Table_dim_price_recipe[Type])*(Table_dim_price_recipe[Retail Price]&lt;&gt;0)*($C35=Table_dim_price_recipe[Subcategory]), 0))*$B35,"")</f>
        <v>0</v>
      </c>
      <c r="I35" s="39" t="str" cm="1">
        <f t="array" ref="I35">IFERROR(INDEX(Table_dim_price_recipe[Retail Price], MATCH(1, ("Calculator"&lt;&gt;Table_dim_price_recipe[Type.display])*($L35=Table_dim_price_recipe[Category])*($D35=Table_dim_price_recipe[Item Description]) * (I$6=Table_dim_price_recipe[Type])*(Table_dim_price_recipe[Retail Price]&lt;&gt;0)*($C35=Table_dim_price_recipe[Subcategory]), 0))*$B35,"")</f>
        <v/>
      </c>
      <c r="J35" s="39" t="str" cm="1">
        <f t="array" ref="J35">IFERROR(INDEX(Table_dim_price_recipe[Retail Price], MATCH(1, ("Calculator"&lt;&gt;Table_dim_price_recipe[Type.display])*($L35=Table_dim_price_recipe[Category])*($D35=Table_dim_price_recipe[Item Description]) * (J$6=Table_dim_price_recipe[Type])*(Table_dim_price_recipe[Retail Price]&lt;&gt;0)*($C35=Table_dim_price_recipe[Subcategory]), 0))*$B35,"")</f>
        <v/>
      </c>
      <c r="K35" s="39" t="str" cm="1">
        <f t="array" ref="K35">IFERROR(INDEX(Table_dim_price_recipe[Retail Price], MATCH(1, ("Calculator"&lt;&gt;Table_dim_price_recipe[Type.display])*($L35=Table_dim_price_recipe[Category])*($D35=Table_dim_price_recipe[Item Description]) * (K$6=Table_dim_price_recipe[Type])*(Table_dim_price_recipe[Retail Price]&lt;&gt;0)*($C35=Table_dim_price_recipe[Subcategory]), 0))*$B35,"")</f>
        <v/>
      </c>
      <c r="L35" s="39" t="str" cm="1">
        <f t="array" ref="L35">IF($A35&lt;&gt;"", $A35, LOOKUP(2, 1/((A$7:INDEX(A:A, ROW()))&lt;&gt;""), A$7:INDEX(A:A, ROW())))</f>
        <v>FOOTINGS</v>
      </c>
    </row>
    <row r="36" spans="1:12">
      <c r="A36" s="263"/>
      <c r="B36" s="263"/>
      <c r="C36" s="263" t="s">
        <v>15</v>
      </c>
      <c r="D36" s="263" t="s">
        <v>17</v>
      </c>
      <c r="E36" s="263"/>
      <c r="F36" s="263"/>
      <c r="G36" s="39" t="str" cm="1">
        <f t="array" ref="G36">IFERROR(INDEX(Table_dim_price_recipe[Retail Price], MATCH(1, ("Calculator"&lt;&gt;Table_dim_price_recipe[Type.display])*($L36=Table_dim_price_recipe[Category])*($D36=Table_dim_price_recipe[Item Description]) * (G$6=Table_dim_price_recipe[Type])*(Table_dim_price_recipe[Retail Price]&lt;&gt;0)*($C36=Table_dim_price_recipe[Subcategory]), 0))*$B36,"")</f>
        <v/>
      </c>
      <c r="H36" s="39" cm="1">
        <f t="array" ref="H36">IFERROR(INDEX(Table_dim_price_recipe[Retail Price], MATCH(1, ("Calculator"&lt;&gt;Table_dim_price_recipe[Type.display])*($L36=Table_dim_price_recipe[Category])*($D36=Table_dim_price_recipe[Item Description]) * (H$6=Table_dim_price_recipe[Type])*(Table_dim_price_recipe[Retail Price]&lt;&gt;0)*($C36=Table_dim_price_recipe[Subcategory]), 0))*$B36,"")</f>
        <v>0</v>
      </c>
      <c r="I36" s="39" t="str" cm="1">
        <f t="array" ref="I36">IFERROR(INDEX(Table_dim_price_recipe[Retail Price], MATCH(1, ("Calculator"&lt;&gt;Table_dim_price_recipe[Type.display])*($L36=Table_dim_price_recipe[Category])*($D36=Table_dim_price_recipe[Item Description]) * (I$6=Table_dim_price_recipe[Type])*(Table_dim_price_recipe[Retail Price]&lt;&gt;0)*($C36=Table_dim_price_recipe[Subcategory]), 0))*$B36,"")</f>
        <v/>
      </c>
      <c r="J36" s="39" t="str" cm="1">
        <f t="array" ref="J36">IFERROR(INDEX(Table_dim_price_recipe[Retail Price], MATCH(1, ("Calculator"&lt;&gt;Table_dim_price_recipe[Type.display])*($L36=Table_dim_price_recipe[Category])*($D36=Table_dim_price_recipe[Item Description]) * (J$6=Table_dim_price_recipe[Type])*(Table_dim_price_recipe[Retail Price]&lt;&gt;0)*($C36=Table_dim_price_recipe[Subcategory]), 0))*$B36,"")</f>
        <v/>
      </c>
      <c r="K36" s="39" t="str" cm="1">
        <f t="array" ref="K36">IFERROR(INDEX(Table_dim_price_recipe[Retail Price], MATCH(1, ("Calculator"&lt;&gt;Table_dim_price_recipe[Type.display])*($L36=Table_dim_price_recipe[Category])*($D36=Table_dim_price_recipe[Item Description]) * (K$6=Table_dim_price_recipe[Type])*(Table_dim_price_recipe[Retail Price]&lt;&gt;0)*($C36=Table_dim_price_recipe[Subcategory]), 0))*$B36,"")</f>
        <v/>
      </c>
      <c r="L36" s="39" t="str" cm="1">
        <f t="array" ref="L36">IF($A36&lt;&gt;"", $A36, LOOKUP(2, 1/((A$7:INDEX(A:A, ROW()))&lt;&gt;""), A$7:INDEX(A:A, ROW())))</f>
        <v>FOOTINGS</v>
      </c>
    </row>
    <row r="37" spans="1:12">
      <c r="A37" s="263"/>
      <c r="B37" s="263"/>
      <c r="C37" s="263" t="s">
        <v>15</v>
      </c>
      <c r="D37" s="263" t="s">
        <v>206</v>
      </c>
      <c r="E37" s="263"/>
      <c r="F37" s="263"/>
      <c r="G37" s="39" t="str" cm="1">
        <f t="array" ref="G37">IFERROR(INDEX(Table_dim_price_recipe[Retail Price], MATCH(1, ("Calculator"&lt;&gt;Table_dim_price_recipe[Type.display])*($L37=Table_dim_price_recipe[Category])*($D37=Table_dim_price_recipe[Item Description]) * (G$6=Table_dim_price_recipe[Type])*(Table_dim_price_recipe[Retail Price]&lt;&gt;0)*($C37=Table_dim_price_recipe[Subcategory]), 0))*$B37,"")</f>
        <v/>
      </c>
      <c r="H37" s="39" cm="1">
        <f t="array" ref="H37">IFERROR(INDEX(Table_dim_price_recipe[Retail Price], MATCH(1, ("Calculator"&lt;&gt;Table_dim_price_recipe[Type.display])*($L37=Table_dim_price_recipe[Category])*($D37=Table_dim_price_recipe[Item Description]) * (H$6=Table_dim_price_recipe[Type])*(Table_dim_price_recipe[Retail Price]&lt;&gt;0)*($C37=Table_dim_price_recipe[Subcategory]), 0))*$B37,"")</f>
        <v>0</v>
      </c>
      <c r="I37" s="39" t="str" cm="1">
        <f t="array" ref="I37">IFERROR(INDEX(Table_dim_price_recipe[Retail Price], MATCH(1, ("Calculator"&lt;&gt;Table_dim_price_recipe[Type.display])*($L37=Table_dim_price_recipe[Category])*($D37=Table_dim_price_recipe[Item Description]) * (I$6=Table_dim_price_recipe[Type])*(Table_dim_price_recipe[Retail Price]&lt;&gt;0)*($C37=Table_dim_price_recipe[Subcategory]), 0))*$B37,"")</f>
        <v/>
      </c>
      <c r="J37" s="39" t="str" cm="1">
        <f t="array" ref="J37">IFERROR(INDEX(Table_dim_price_recipe[Retail Price], MATCH(1, ("Calculator"&lt;&gt;Table_dim_price_recipe[Type.display])*($L37=Table_dim_price_recipe[Category])*($D37=Table_dim_price_recipe[Item Description]) * (J$6=Table_dim_price_recipe[Type])*(Table_dim_price_recipe[Retail Price]&lt;&gt;0)*($C37=Table_dim_price_recipe[Subcategory]), 0))*$B37,"")</f>
        <v/>
      </c>
      <c r="K37" s="39" t="str" cm="1">
        <f t="array" ref="K37">IFERROR(INDEX(Table_dim_price_recipe[Retail Price], MATCH(1, ("Calculator"&lt;&gt;Table_dim_price_recipe[Type.display])*($L37=Table_dim_price_recipe[Category])*($D37=Table_dim_price_recipe[Item Description]) * (K$6=Table_dim_price_recipe[Type])*(Table_dim_price_recipe[Retail Price]&lt;&gt;0)*($C37=Table_dim_price_recipe[Subcategory]), 0))*$B37,"")</f>
        <v/>
      </c>
      <c r="L37" s="39" t="str" cm="1">
        <f t="array" ref="L37">IF($A37&lt;&gt;"", $A37, LOOKUP(2, 1/((A$7:INDEX(A:A, ROW()))&lt;&gt;""), A$7:INDEX(A:A, ROW())))</f>
        <v>FOOTINGS</v>
      </c>
    </row>
    <row r="38" spans="1:12">
      <c r="A38" s="263"/>
      <c r="B38" s="263"/>
      <c r="C38" s="263" t="s">
        <v>15</v>
      </c>
      <c r="D38" s="263" t="s">
        <v>19</v>
      </c>
      <c r="E38" s="263"/>
      <c r="F38" s="263"/>
      <c r="G38" s="39" t="str" cm="1">
        <f t="array" ref="G38">IFERROR(INDEX(Table_dim_price_recipe[Retail Price], MATCH(1, ("Calculator"&lt;&gt;Table_dim_price_recipe[Type.display])*($L38=Table_dim_price_recipe[Category])*($D38=Table_dim_price_recipe[Item Description]) * (G$6=Table_dim_price_recipe[Type])*(Table_dim_price_recipe[Retail Price]&lt;&gt;0)*($C38=Table_dim_price_recipe[Subcategory]), 0))*$B38,"")</f>
        <v/>
      </c>
      <c r="H38" s="39" cm="1">
        <f t="array" ref="H38">IFERROR(INDEX(Table_dim_price_recipe[Retail Price], MATCH(1, ("Calculator"&lt;&gt;Table_dim_price_recipe[Type.display])*($L38=Table_dim_price_recipe[Category])*($D38=Table_dim_price_recipe[Item Description]) * (H$6=Table_dim_price_recipe[Type])*(Table_dim_price_recipe[Retail Price]&lt;&gt;0)*($C38=Table_dim_price_recipe[Subcategory]), 0))*$B38,"")</f>
        <v>0</v>
      </c>
      <c r="I38" s="39" t="str" cm="1">
        <f t="array" ref="I38">IFERROR(INDEX(Table_dim_price_recipe[Retail Price], MATCH(1, ("Calculator"&lt;&gt;Table_dim_price_recipe[Type.display])*($L38=Table_dim_price_recipe[Category])*($D38=Table_dim_price_recipe[Item Description]) * (I$6=Table_dim_price_recipe[Type])*(Table_dim_price_recipe[Retail Price]&lt;&gt;0)*($C38=Table_dim_price_recipe[Subcategory]), 0))*$B38,"")</f>
        <v/>
      </c>
      <c r="J38" s="39" t="str" cm="1">
        <f t="array" ref="J38">IFERROR(INDEX(Table_dim_price_recipe[Retail Price], MATCH(1, ("Calculator"&lt;&gt;Table_dim_price_recipe[Type.display])*($L38=Table_dim_price_recipe[Category])*($D38=Table_dim_price_recipe[Item Description]) * (J$6=Table_dim_price_recipe[Type])*(Table_dim_price_recipe[Retail Price]&lt;&gt;0)*($C38=Table_dim_price_recipe[Subcategory]), 0))*$B38,"")</f>
        <v/>
      </c>
      <c r="K38" s="39" t="str" cm="1">
        <f t="array" ref="K38">IFERROR(INDEX(Table_dim_price_recipe[Retail Price], MATCH(1, ("Calculator"&lt;&gt;Table_dim_price_recipe[Type.display])*($L38=Table_dim_price_recipe[Category])*($D38=Table_dim_price_recipe[Item Description]) * (K$6=Table_dim_price_recipe[Type])*(Table_dim_price_recipe[Retail Price]&lt;&gt;0)*($C38=Table_dim_price_recipe[Subcategory]), 0))*$B38,"")</f>
        <v/>
      </c>
      <c r="L38" s="39" t="str" cm="1">
        <f t="array" ref="L38">IF($A38&lt;&gt;"", $A38, LOOKUP(2, 1/((A$7:INDEX(A:A, ROW()))&lt;&gt;""), A$7:INDEX(A:A, ROW())))</f>
        <v>FOOTINGS</v>
      </c>
    </row>
    <row r="39" spans="1:12">
      <c r="A39" s="263"/>
      <c r="B39" s="263"/>
      <c r="C39" s="263" t="s">
        <v>15</v>
      </c>
      <c r="D39" s="263" t="s">
        <v>205</v>
      </c>
      <c r="E39" s="263"/>
      <c r="F39" s="263"/>
      <c r="G39" s="39" t="str" cm="1">
        <f t="array" ref="G39">IFERROR(INDEX(Table_dim_price_recipe[Retail Price], MATCH(1, ("Calculator"&lt;&gt;Table_dim_price_recipe[Type.display])*($L39=Table_dim_price_recipe[Category])*($D39=Table_dim_price_recipe[Item Description]) * (G$6=Table_dim_price_recipe[Type])*(Table_dim_price_recipe[Retail Price]&lt;&gt;0)*($C39=Table_dim_price_recipe[Subcategory]), 0))*$B39,"")</f>
        <v/>
      </c>
      <c r="H39" s="39" cm="1">
        <f t="array" ref="H39">IFERROR(INDEX(Table_dim_price_recipe[Retail Price], MATCH(1, ("Calculator"&lt;&gt;Table_dim_price_recipe[Type.display])*($L39=Table_dim_price_recipe[Category])*($D39=Table_dim_price_recipe[Item Description]) * (H$6=Table_dim_price_recipe[Type])*(Table_dim_price_recipe[Retail Price]&lt;&gt;0)*($C39=Table_dim_price_recipe[Subcategory]), 0))*$B39,"")</f>
        <v>0</v>
      </c>
      <c r="I39" s="39" t="str" cm="1">
        <f t="array" ref="I39">IFERROR(INDEX(Table_dim_price_recipe[Retail Price], MATCH(1, ("Calculator"&lt;&gt;Table_dim_price_recipe[Type.display])*($L39=Table_dim_price_recipe[Category])*($D39=Table_dim_price_recipe[Item Description]) * (I$6=Table_dim_price_recipe[Type])*(Table_dim_price_recipe[Retail Price]&lt;&gt;0)*($C39=Table_dim_price_recipe[Subcategory]), 0))*$B39,"")</f>
        <v/>
      </c>
      <c r="J39" s="39" t="str" cm="1">
        <f t="array" ref="J39">IFERROR(INDEX(Table_dim_price_recipe[Retail Price], MATCH(1, ("Calculator"&lt;&gt;Table_dim_price_recipe[Type.display])*($L39=Table_dim_price_recipe[Category])*($D39=Table_dim_price_recipe[Item Description]) * (J$6=Table_dim_price_recipe[Type])*(Table_dim_price_recipe[Retail Price]&lt;&gt;0)*($C39=Table_dim_price_recipe[Subcategory]), 0))*$B39,"")</f>
        <v/>
      </c>
      <c r="K39" s="39" t="str" cm="1">
        <f t="array" ref="K39">IFERROR(INDEX(Table_dim_price_recipe[Retail Price], MATCH(1, ("Calculator"&lt;&gt;Table_dim_price_recipe[Type.display])*($L39=Table_dim_price_recipe[Category])*($D39=Table_dim_price_recipe[Item Description]) * (K$6=Table_dim_price_recipe[Type])*(Table_dim_price_recipe[Retail Price]&lt;&gt;0)*($C39=Table_dim_price_recipe[Subcategory]), 0))*$B39,"")</f>
        <v/>
      </c>
      <c r="L39" s="39" t="str" cm="1">
        <f t="array" ref="L39">IF($A39&lt;&gt;"", $A39, LOOKUP(2, 1/((A$7:INDEX(A:A, ROW()))&lt;&gt;""), A$7:INDEX(A:A, ROW())))</f>
        <v>FOOTINGS</v>
      </c>
    </row>
    <row r="40" spans="1:12">
      <c r="A40" s="263"/>
      <c r="B40" s="263"/>
      <c r="C40" s="263" t="s">
        <v>15</v>
      </c>
      <c r="D40" s="263" t="s">
        <v>20</v>
      </c>
      <c r="E40" s="263"/>
      <c r="F40" s="263"/>
      <c r="G40" s="39" t="str" cm="1">
        <f t="array" ref="G40">IFERROR(INDEX(Table_dim_price_recipe[Retail Price], MATCH(1, ("Calculator"&lt;&gt;Table_dim_price_recipe[Type.display])*($L40=Table_dim_price_recipe[Category])*($D40=Table_dim_price_recipe[Item Description]) * (G$6=Table_dim_price_recipe[Type])*(Table_dim_price_recipe[Retail Price]&lt;&gt;0)*($C40=Table_dim_price_recipe[Subcategory]), 0))*$B40,"")</f>
        <v/>
      </c>
      <c r="H40" s="39" cm="1">
        <f t="array" ref="H40">IFERROR(INDEX(Table_dim_price_recipe[Retail Price], MATCH(1, ("Calculator"&lt;&gt;Table_dim_price_recipe[Type.display])*($L40=Table_dim_price_recipe[Category])*($D40=Table_dim_price_recipe[Item Description]) * (H$6=Table_dim_price_recipe[Type])*(Table_dim_price_recipe[Retail Price]&lt;&gt;0)*($C40=Table_dim_price_recipe[Subcategory]), 0))*$B40,"")</f>
        <v>0</v>
      </c>
      <c r="I40" s="39" t="str" cm="1">
        <f t="array" ref="I40">IFERROR(INDEX(Table_dim_price_recipe[Retail Price], MATCH(1, ("Calculator"&lt;&gt;Table_dim_price_recipe[Type.display])*($L40=Table_dim_price_recipe[Category])*($D40=Table_dim_price_recipe[Item Description]) * (I$6=Table_dim_price_recipe[Type])*(Table_dim_price_recipe[Retail Price]&lt;&gt;0)*($C40=Table_dim_price_recipe[Subcategory]), 0))*$B40,"")</f>
        <v/>
      </c>
      <c r="J40" s="39" t="str" cm="1">
        <f t="array" ref="J40">IFERROR(INDEX(Table_dim_price_recipe[Retail Price], MATCH(1, ("Calculator"&lt;&gt;Table_dim_price_recipe[Type.display])*($L40=Table_dim_price_recipe[Category])*($D40=Table_dim_price_recipe[Item Description]) * (J$6=Table_dim_price_recipe[Type])*(Table_dim_price_recipe[Retail Price]&lt;&gt;0)*($C40=Table_dim_price_recipe[Subcategory]), 0))*$B40,"")</f>
        <v/>
      </c>
      <c r="K40" s="39" t="str" cm="1">
        <f t="array" ref="K40">IFERROR(INDEX(Table_dim_price_recipe[Retail Price], MATCH(1, ("Calculator"&lt;&gt;Table_dim_price_recipe[Type.display])*($L40=Table_dim_price_recipe[Category])*($D40=Table_dim_price_recipe[Item Description]) * (K$6=Table_dim_price_recipe[Type])*(Table_dim_price_recipe[Retail Price]&lt;&gt;0)*($C40=Table_dim_price_recipe[Subcategory]), 0))*$B40,"")</f>
        <v/>
      </c>
      <c r="L40" s="39" t="str" cm="1">
        <f t="array" ref="L40">IF($A40&lt;&gt;"", $A40, LOOKUP(2, 1/((A$7:INDEX(A:A, ROW()))&lt;&gt;""), A$7:INDEX(A:A, ROW())))</f>
        <v>FOOTINGS</v>
      </c>
    </row>
    <row r="41" spans="1:12">
      <c r="A41" s="263"/>
      <c r="B41" s="263"/>
      <c r="C41" s="263" t="s">
        <v>15</v>
      </c>
      <c r="D41" s="263"/>
      <c r="E41" s="263"/>
      <c r="F41" s="263"/>
      <c r="G41" s="39" t="str" cm="1">
        <f t="array" ref="G41">IFERROR(INDEX(Table_dim_price_recipe[Retail Price], MATCH(1, ("Calculator"&lt;&gt;Table_dim_price_recipe[Type.display])*($L41=Table_dim_price_recipe[Category])*($D41=Table_dim_price_recipe[Item Description]) * (G$6=Table_dim_price_recipe[Type])*(Table_dim_price_recipe[Retail Price]&lt;&gt;0)*($C41=Table_dim_price_recipe[Subcategory]), 0))*$B41,"")</f>
        <v/>
      </c>
      <c r="H41" s="39" t="str" cm="1">
        <f t="array" ref="H41">IFERROR(INDEX(Table_dim_price_recipe[Retail Price], MATCH(1, ("Calculator"&lt;&gt;Table_dim_price_recipe[Type.display])*($L41=Table_dim_price_recipe[Category])*($D41=Table_dim_price_recipe[Item Description]) * (H$6=Table_dim_price_recipe[Type])*(Table_dim_price_recipe[Retail Price]&lt;&gt;0)*($C41=Table_dim_price_recipe[Subcategory]), 0))*$B41,"")</f>
        <v/>
      </c>
      <c r="I41" s="39" t="str" cm="1">
        <f t="array" ref="I41">IFERROR(INDEX(Table_dim_price_recipe[Retail Price], MATCH(1, ("Calculator"&lt;&gt;Table_dim_price_recipe[Type.display])*($L41=Table_dim_price_recipe[Category])*($D41=Table_dim_price_recipe[Item Description]) * (I$6=Table_dim_price_recipe[Type])*(Table_dim_price_recipe[Retail Price]&lt;&gt;0)*($C41=Table_dim_price_recipe[Subcategory]), 0))*$B41,"")</f>
        <v/>
      </c>
      <c r="J41" s="39" t="str" cm="1">
        <f t="array" ref="J41">IFERROR(INDEX(Table_dim_price_recipe[Retail Price], MATCH(1, ("Calculator"&lt;&gt;Table_dim_price_recipe[Type.display])*($L41=Table_dim_price_recipe[Category])*($D41=Table_dim_price_recipe[Item Description]) * (J$6=Table_dim_price_recipe[Type])*(Table_dim_price_recipe[Retail Price]&lt;&gt;0)*($C41=Table_dim_price_recipe[Subcategory]), 0))*$B41,"")</f>
        <v/>
      </c>
      <c r="K41" s="39" t="str" cm="1">
        <f t="array" ref="K41">IFERROR(INDEX(Table_dim_price_recipe[Retail Price], MATCH(1, ("Calculator"&lt;&gt;Table_dim_price_recipe[Type.display])*($L41=Table_dim_price_recipe[Category])*($D41=Table_dim_price_recipe[Item Description]) * (K$6=Table_dim_price_recipe[Type])*(Table_dim_price_recipe[Retail Price]&lt;&gt;0)*($C41=Table_dim_price_recipe[Subcategory]), 0))*$B41,"")</f>
        <v/>
      </c>
      <c r="L41" s="39" t="str" cm="1">
        <f t="array" ref="L41">IF($A41&lt;&gt;"", $A41, LOOKUP(2, 1/((A$7:INDEX(A:A, ROW()))&lt;&gt;""), A$7:INDEX(A:A, ROW())))</f>
        <v>FOOTINGS</v>
      </c>
    </row>
    <row r="42" spans="1:12">
      <c r="A42" s="263"/>
      <c r="B42" s="263"/>
      <c r="C42" s="263" t="s">
        <v>15</v>
      </c>
      <c r="D42" s="263"/>
      <c r="E42" s="263"/>
      <c r="F42" s="263"/>
      <c r="G42" s="39" t="str" cm="1">
        <f t="array" ref="G42">IFERROR(INDEX(Table_dim_price_recipe[Retail Price], MATCH(1, ("Calculator"&lt;&gt;Table_dim_price_recipe[Type.display])*($L42=Table_dim_price_recipe[Category])*($D42=Table_dim_price_recipe[Item Description]) * (G$6=Table_dim_price_recipe[Type])*(Table_dim_price_recipe[Retail Price]&lt;&gt;0)*($C42=Table_dim_price_recipe[Subcategory]), 0))*$B42,"")</f>
        <v/>
      </c>
      <c r="H42" s="39" t="str" cm="1">
        <f t="array" ref="H42">IFERROR(INDEX(Table_dim_price_recipe[Retail Price], MATCH(1, ("Calculator"&lt;&gt;Table_dim_price_recipe[Type.display])*($L42=Table_dim_price_recipe[Category])*($D42=Table_dim_price_recipe[Item Description]) * (H$6=Table_dim_price_recipe[Type])*(Table_dim_price_recipe[Retail Price]&lt;&gt;0)*($C42=Table_dim_price_recipe[Subcategory]), 0))*$B42,"")</f>
        <v/>
      </c>
      <c r="I42" s="39" t="str" cm="1">
        <f t="array" ref="I42">IFERROR(INDEX(Table_dim_price_recipe[Retail Price], MATCH(1, ("Calculator"&lt;&gt;Table_dim_price_recipe[Type.display])*($L42=Table_dim_price_recipe[Category])*($D42=Table_dim_price_recipe[Item Description]) * (I$6=Table_dim_price_recipe[Type])*(Table_dim_price_recipe[Retail Price]&lt;&gt;0)*($C42=Table_dim_price_recipe[Subcategory]), 0))*$B42,"")</f>
        <v/>
      </c>
      <c r="J42" s="39" t="str" cm="1">
        <f t="array" ref="J42">IFERROR(INDEX(Table_dim_price_recipe[Retail Price], MATCH(1, ("Calculator"&lt;&gt;Table_dim_price_recipe[Type.display])*($L42=Table_dim_price_recipe[Category])*($D42=Table_dim_price_recipe[Item Description]) * (J$6=Table_dim_price_recipe[Type])*(Table_dim_price_recipe[Retail Price]&lt;&gt;0)*($C42=Table_dim_price_recipe[Subcategory]), 0))*$B42,"")</f>
        <v/>
      </c>
      <c r="K42" s="39" t="str" cm="1">
        <f t="array" ref="K42">IFERROR(INDEX(Table_dim_price_recipe[Retail Price], MATCH(1, ("Calculator"&lt;&gt;Table_dim_price_recipe[Type.display])*($L42=Table_dim_price_recipe[Category])*($D42=Table_dim_price_recipe[Item Description]) * (K$6=Table_dim_price_recipe[Type])*(Table_dim_price_recipe[Retail Price]&lt;&gt;0)*($C42=Table_dim_price_recipe[Subcategory]), 0))*$B42,"")</f>
        <v/>
      </c>
      <c r="L42" s="39" t="str" cm="1">
        <f t="array" ref="L42">IF($A42&lt;&gt;"", $A42, LOOKUP(2, 1/((A$7:INDEX(A:A, ROW()))&lt;&gt;""), A$7:INDEX(A:A, ROW())))</f>
        <v>FOOTINGS</v>
      </c>
    </row>
    <row r="43" spans="1:12">
      <c r="A43" s="263"/>
      <c r="B43" s="263"/>
      <c r="C43" s="263" t="s">
        <v>13</v>
      </c>
      <c r="D43" s="263" t="s">
        <v>202</v>
      </c>
      <c r="E43" s="263"/>
      <c r="F43" s="263"/>
      <c r="G43" s="39" cm="1">
        <f t="array" ref="G43">IFERROR(INDEX(Table_dim_price_recipe[Retail Price], MATCH(1, ("Calculator"&lt;&gt;Table_dim_price_recipe[Type.display])*($L43=Table_dim_price_recipe[Category])*($D43=Table_dim_price_recipe[Item Description]) * (G$6=Table_dim_price_recipe[Type])*(Table_dim_price_recipe[Retail Price]&lt;&gt;0)*($C43=Table_dim_price_recipe[Subcategory]), 0))*$B43,"")</f>
        <v>0</v>
      </c>
      <c r="H43" s="39" t="str" cm="1">
        <f t="array" ref="H43">IFERROR(INDEX(Table_dim_price_recipe[Retail Price], MATCH(1, ("Calculator"&lt;&gt;Table_dim_price_recipe[Type.display])*($L43=Table_dim_price_recipe[Category])*($D43=Table_dim_price_recipe[Item Description]) * (H$6=Table_dim_price_recipe[Type])*(Table_dim_price_recipe[Retail Price]&lt;&gt;0)*($C43=Table_dim_price_recipe[Subcategory]), 0))*$B43,"")</f>
        <v/>
      </c>
      <c r="I43" s="39" t="str" cm="1">
        <f t="array" ref="I43">IFERROR(INDEX(Table_dim_price_recipe[Retail Price], MATCH(1, ("Calculator"&lt;&gt;Table_dim_price_recipe[Type.display])*($L43=Table_dim_price_recipe[Category])*($D43=Table_dim_price_recipe[Item Description]) * (I$6=Table_dim_price_recipe[Type])*(Table_dim_price_recipe[Retail Price]&lt;&gt;0)*($C43=Table_dim_price_recipe[Subcategory]), 0))*$B43,"")</f>
        <v/>
      </c>
      <c r="J43" s="39" t="str" cm="1">
        <f t="array" ref="J43">IFERROR(INDEX(Table_dim_price_recipe[Retail Price], MATCH(1, ("Calculator"&lt;&gt;Table_dim_price_recipe[Type.display])*($L43=Table_dim_price_recipe[Category])*($D43=Table_dim_price_recipe[Item Description]) * (J$6=Table_dim_price_recipe[Type])*(Table_dim_price_recipe[Retail Price]&lt;&gt;0)*($C43=Table_dim_price_recipe[Subcategory]), 0))*$B43,"")</f>
        <v/>
      </c>
      <c r="K43" s="39" t="str" cm="1">
        <f t="array" ref="K43">IFERROR(INDEX(Table_dim_price_recipe[Retail Price], MATCH(1, ("Calculator"&lt;&gt;Table_dim_price_recipe[Type.display])*($L43=Table_dim_price_recipe[Category])*($D43=Table_dim_price_recipe[Item Description]) * (K$6=Table_dim_price_recipe[Type])*(Table_dim_price_recipe[Retail Price]&lt;&gt;0)*($C43=Table_dim_price_recipe[Subcategory]), 0))*$B43,"")</f>
        <v/>
      </c>
      <c r="L43" s="39" t="str" cm="1">
        <f t="array" ref="L43">IF($A43&lt;&gt;"", $A43, LOOKUP(2, 1/((A$7:INDEX(A:A, ROW()))&lt;&gt;""), A$7:INDEX(A:A, ROW())))</f>
        <v>FOOTINGS</v>
      </c>
    </row>
    <row r="44" spans="1:12">
      <c r="A44" s="263"/>
      <c r="B44" s="263"/>
      <c r="C44" s="263" t="s">
        <v>13</v>
      </c>
      <c r="D44" s="263" t="s">
        <v>1319</v>
      </c>
      <c r="E44" s="263"/>
      <c r="F44" s="263"/>
      <c r="G44" s="39" cm="1">
        <f t="array" ref="G44">IFERROR(INDEX(Table_dim_price_recipe[Retail Price], MATCH(1, ("Calculator"&lt;&gt;Table_dim_price_recipe[Type.display])*($L44=Table_dim_price_recipe[Category])*($D44=Table_dim_price_recipe[Item Description]) * (G$6=Table_dim_price_recipe[Type])*(Table_dim_price_recipe[Retail Price]&lt;&gt;0)*($C44=Table_dim_price_recipe[Subcategory]), 0))*$B44,"")</f>
        <v>0</v>
      </c>
      <c r="H44" s="39" t="str" cm="1">
        <f t="array" ref="H44">IFERROR(INDEX(Table_dim_price_recipe[Retail Price], MATCH(1, ("Calculator"&lt;&gt;Table_dim_price_recipe[Type.display])*($L44=Table_dim_price_recipe[Category])*($D44=Table_dim_price_recipe[Item Description]) * (H$6=Table_dim_price_recipe[Type])*(Table_dim_price_recipe[Retail Price]&lt;&gt;0)*($C44=Table_dim_price_recipe[Subcategory]), 0))*$B44,"")</f>
        <v/>
      </c>
      <c r="I44" s="39" t="str" cm="1">
        <f t="array" ref="I44">IFERROR(INDEX(Table_dim_price_recipe[Retail Price], MATCH(1, ("Calculator"&lt;&gt;Table_dim_price_recipe[Type.display])*($L44=Table_dim_price_recipe[Category])*($D44=Table_dim_price_recipe[Item Description]) * (I$6=Table_dim_price_recipe[Type])*(Table_dim_price_recipe[Retail Price]&lt;&gt;0)*($C44=Table_dim_price_recipe[Subcategory]), 0))*$B44,"")</f>
        <v/>
      </c>
      <c r="J44" s="39" t="str" cm="1">
        <f t="array" ref="J44">IFERROR(INDEX(Table_dim_price_recipe[Retail Price], MATCH(1, ("Calculator"&lt;&gt;Table_dim_price_recipe[Type.display])*($L44=Table_dim_price_recipe[Category])*($D44=Table_dim_price_recipe[Item Description]) * (J$6=Table_dim_price_recipe[Type])*(Table_dim_price_recipe[Retail Price]&lt;&gt;0)*($C44=Table_dim_price_recipe[Subcategory]), 0))*$B44,"")</f>
        <v/>
      </c>
      <c r="K44" s="39" t="str" cm="1">
        <f t="array" ref="K44">IFERROR(INDEX(Table_dim_price_recipe[Retail Price], MATCH(1, ("Calculator"&lt;&gt;Table_dim_price_recipe[Type.display])*($L44=Table_dim_price_recipe[Category])*($D44=Table_dim_price_recipe[Item Description]) * (K$6=Table_dim_price_recipe[Type])*(Table_dim_price_recipe[Retail Price]&lt;&gt;0)*($C44=Table_dim_price_recipe[Subcategory]), 0))*$B44,"")</f>
        <v/>
      </c>
      <c r="L44" s="39" t="str" cm="1">
        <f t="array" ref="L44">IF($A44&lt;&gt;"", $A44, LOOKUP(2, 1/((A$7:INDEX(A:A, ROW()))&lt;&gt;""), A$7:INDEX(A:A, ROW())))</f>
        <v>FOOTINGS</v>
      </c>
    </row>
    <row r="45" spans="1:12">
      <c r="A45" s="263"/>
      <c r="B45" s="263"/>
      <c r="C45" s="263" t="s">
        <v>13</v>
      </c>
      <c r="D45" s="263" t="s">
        <v>204</v>
      </c>
      <c r="E45" s="263"/>
      <c r="F45" s="263"/>
      <c r="G45" s="39" cm="1">
        <f t="array" ref="G45">IFERROR(INDEX(Table_dim_price_recipe[Retail Price], MATCH(1, ("Calculator"&lt;&gt;Table_dim_price_recipe[Type.display])*($L45=Table_dim_price_recipe[Category])*($D45=Table_dim_price_recipe[Item Description]) * (G$6=Table_dim_price_recipe[Type])*(Table_dim_price_recipe[Retail Price]&lt;&gt;0)*($C45=Table_dim_price_recipe[Subcategory]), 0))*$B45,"")</f>
        <v>0</v>
      </c>
      <c r="H45" s="39" t="str" cm="1">
        <f t="array" ref="H45">IFERROR(INDEX(Table_dim_price_recipe[Retail Price], MATCH(1, ("Calculator"&lt;&gt;Table_dim_price_recipe[Type.display])*($L45=Table_dim_price_recipe[Category])*($D45=Table_dim_price_recipe[Item Description]) * (H$6=Table_dim_price_recipe[Type])*(Table_dim_price_recipe[Retail Price]&lt;&gt;0)*($C45=Table_dim_price_recipe[Subcategory]), 0))*$B45,"")</f>
        <v/>
      </c>
      <c r="I45" s="39" t="str" cm="1">
        <f t="array" ref="I45">IFERROR(INDEX(Table_dim_price_recipe[Retail Price], MATCH(1, ("Calculator"&lt;&gt;Table_dim_price_recipe[Type.display])*($L45=Table_dim_price_recipe[Category])*($D45=Table_dim_price_recipe[Item Description]) * (I$6=Table_dim_price_recipe[Type])*(Table_dim_price_recipe[Retail Price]&lt;&gt;0)*($C45=Table_dim_price_recipe[Subcategory]), 0))*$B45,"")</f>
        <v/>
      </c>
      <c r="J45" s="39" t="str" cm="1">
        <f t="array" ref="J45">IFERROR(INDEX(Table_dim_price_recipe[Retail Price], MATCH(1, ("Calculator"&lt;&gt;Table_dim_price_recipe[Type.display])*($L45=Table_dim_price_recipe[Category])*($D45=Table_dim_price_recipe[Item Description]) * (J$6=Table_dim_price_recipe[Type])*(Table_dim_price_recipe[Retail Price]&lt;&gt;0)*($C45=Table_dim_price_recipe[Subcategory]), 0))*$B45,"")</f>
        <v/>
      </c>
      <c r="K45" s="39" t="str" cm="1">
        <f t="array" ref="K45">IFERROR(INDEX(Table_dim_price_recipe[Retail Price], MATCH(1, ("Calculator"&lt;&gt;Table_dim_price_recipe[Type.display])*($L45=Table_dim_price_recipe[Category])*($D45=Table_dim_price_recipe[Item Description]) * (K$6=Table_dim_price_recipe[Type])*(Table_dim_price_recipe[Retail Price]&lt;&gt;0)*($C45=Table_dim_price_recipe[Subcategory]), 0))*$B45,"")</f>
        <v/>
      </c>
      <c r="L45" s="39" t="str" cm="1">
        <f t="array" ref="L45">IF($A45&lt;&gt;"", $A45, LOOKUP(2, 1/((A$7:INDEX(A:A, ROW()))&lt;&gt;""), A$7:INDEX(A:A, ROW())))</f>
        <v>FOOTINGS</v>
      </c>
    </row>
    <row r="46" spans="1:12">
      <c r="A46" s="263"/>
      <c r="B46" s="263"/>
      <c r="C46" s="263" t="s">
        <v>13</v>
      </c>
      <c r="D46" s="263"/>
      <c r="E46" s="263"/>
      <c r="F46" s="263"/>
      <c r="G46" s="39" t="str" cm="1">
        <f t="array" ref="G46">IFERROR(INDEX(Table_dim_price_recipe[Retail Price], MATCH(1, ("Calculator"&lt;&gt;Table_dim_price_recipe[Type.display])*($L46=Table_dim_price_recipe[Category])*($D46=Table_dim_price_recipe[Item Description]) * (G$6=Table_dim_price_recipe[Type])*(Table_dim_price_recipe[Retail Price]&lt;&gt;0)*($C46=Table_dim_price_recipe[Subcategory]), 0))*$B46,"")</f>
        <v/>
      </c>
      <c r="H46" s="39" t="str" cm="1">
        <f t="array" ref="H46">IFERROR(INDEX(Table_dim_price_recipe[Retail Price], MATCH(1, ("Calculator"&lt;&gt;Table_dim_price_recipe[Type.display])*($L46=Table_dim_price_recipe[Category])*($D46=Table_dim_price_recipe[Item Description]) * (H$6=Table_dim_price_recipe[Type])*(Table_dim_price_recipe[Retail Price]&lt;&gt;0)*($C46=Table_dim_price_recipe[Subcategory]), 0))*$B46,"")</f>
        <v/>
      </c>
      <c r="I46" s="39" t="str" cm="1">
        <f t="array" ref="I46">IFERROR(INDEX(Table_dim_price_recipe[Retail Price], MATCH(1, ("Calculator"&lt;&gt;Table_dim_price_recipe[Type.display])*($L46=Table_dim_price_recipe[Category])*($D46=Table_dim_price_recipe[Item Description]) * (I$6=Table_dim_price_recipe[Type])*(Table_dim_price_recipe[Retail Price]&lt;&gt;0)*($C46=Table_dim_price_recipe[Subcategory]), 0))*$B46,"")</f>
        <v/>
      </c>
      <c r="J46" s="39" t="str" cm="1">
        <f t="array" ref="J46">IFERROR(INDEX(Table_dim_price_recipe[Retail Price], MATCH(1, ("Calculator"&lt;&gt;Table_dim_price_recipe[Type.display])*($L46=Table_dim_price_recipe[Category])*($D46=Table_dim_price_recipe[Item Description]) * (J$6=Table_dim_price_recipe[Type])*(Table_dim_price_recipe[Retail Price]&lt;&gt;0)*($C46=Table_dim_price_recipe[Subcategory]), 0))*$B46,"")</f>
        <v/>
      </c>
      <c r="K46" s="39" t="str" cm="1">
        <f t="array" ref="K46">IFERROR(INDEX(Table_dim_price_recipe[Retail Price], MATCH(1, ("Calculator"&lt;&gt;Table_dim_price_recipe[Type.display])*($L46=Table_dim_price_recipe[Category])*($D46=Table_dim_price_recipe[Item Description]) * (K$6=Table_dim_price_recipe[Type])*(Table_dim_price_recipe[Retail Price]&lt;&gt;0)*($C46=Table_dim_price_recipe[Subcategory]), 0))*$B46,"")</f>
        <v/>
      </c>
      <c r="L46" s="39" t="str" cm="1">
        <f t="array" ref="L46">IF($A46&lt;&gt;"", $A46, LOOKUP(2, 1/((A$7:INDEX(A:A, ROW()))&lt;&gt;""), A$7:INDEX(A:A, ROW())))</f>
        <v>FOOTINGS</v>
      </c>
    </row>
    <row r="47" spans="1:12" ht="12" customHeight="1">
      <c r="A47" s="263"/>
      <c r="B47" s="263"/>
      <c r="C47" s="263" t="s">
        <v>13</v>
      </c>
      <c r="D47" s="263"/>
      <c r="E47" s="263"/>
      <c r="F47" s="263"/>
      <c r="G47" s="39" t="str" cm="1">
        <f t="array" ref="G47">IFERROR(INDEX(Table_dim_price_recipe[Retail Price], MATCH(1, ("Calculator"&lt;&gt;Table_dim_price_recipe[Type.display])*($L47=Table_dim_price_recipe[Category])*($D47=Table_dim_price_recipe[Item Description]) * (G$6=Table_dim_price_recipe[Type])*(Table_dim_price_recipe[Retail Price]&lt;&gt;0)*($C47=Table_dim_price_recipe[Subcategory]), 0))*$B47,"")</f>
        <v/>
      </c>
      <c r="H47" s="39" t="str" cm="1">
        <f t="array" ref="H47">IFERROR(INDEX(Table_dim_price_recipe[Retail Price], MATCH(1, ("Calculator"&lt;&gt;Table_dim_price_recipe[Type.display])*($L47=Table_dim_price_recipe[Category])*($D47=Table_dim_price_recipe[Item Description]) * (H$6=Table_dim_price_recipe[Type])*(Table_dim_price_recipe[Retail Price]&lt;&gt;0)*($C47=Table_dim_price_recipe[Subcategory]), 0))*$B47,"")</f>
        <v/>
      </c>
      <c r="I47" s="39" t="str" cm="1">
        <f t="array" ref="I47">IFERROR(INDEX(Table_dim_price_recipe[Retail Price], MATCH(1, ("Calculator"&lt;&gt;Table_dim_price_recipe[Type.display])*($L47=Table_dim_price_recipe[Category])*($D47=Table_dim_price_recipe[Item Description]) * (I$6=Table_dim_price_recipe[Type])*(Table_dim_price_recipe[Retail Price]&lt;&gt;0)*($C47=Table_dim_price_recipe[Subcategory]), 0))*$B47,"")</f>
        <v/>
      </c>
      <c r="J47" s="39" t="str" cm="1">
        <f t="array" ref="J47">IFERROR(INDEX(Table_dim_price_recipe[Retail Price], MATCH(1, ("Calculator"&lt;&gt;Table_dim_price_recipe[Type.display])*($L47=Table_dim_price_recipe[Category])*($D47=Table_dim_price_recipe[Item Description]) * (J$6=Table_dim_price_recipe[Type])*(Table_dim_price_recipe[Retail Price]&lt;&gt;0)*($C47=Table_dim_price_recipe[Subcategory]), 0))*$B47,"")</f>
        <v/>
      </c>
      <c r="K47" s="39" t="str" cm="1">
        <f t="array" ref="K47">IFERROR(INDEX(Table_dim_price_recipe[Retail Price], MATCH(1, ("Calculator"&lt;&gt;Table_dim_price_recipe[Type.display])*($L47=Table_dim_price_recipe[Category])*($D47=Table_dim_price_recipe[Item Description]) * (K$6=Table_dim_price_recipe[Type])*(Table_dim_price_recipe[Retail Price]&lt;&gt;0)*($C47=Table_dim_price_recipe[Subcategory]), 0))*$B47,"")</f>
        <v/>
      </c>
      <c r="L47" s="39" t="str" cm="1">
        <f t="array" ref="L47">IF($A47&lt;&gt;"", $A47, LOOKUP(2, 1/((A$7:INDEX(A:A, ROW()))&lt;&gt;""), A$7:INDEX(A:A, ROW())))</f>
        <v>FOOTINGS</v>
      </c>
    </row>
    <row r="48" spans="1:12">
      <c r="A48" s="263"/>
      <c r="B48" s="263"/>
      <c r="C48" s="263" t="s">
        <v>207</v>
      </c>
      <c r="D48" s="263" t="s">
        <v>212</v>
      </c>
      <c r="E48" s="263"/>
      <c r="F48" s="263"/>
      <c r="G48" s="39" cm="1">
        <f t="array" ref="G48">IFERROR(INDEX(Table_dim_price_recipe[Retail Price], MATCH(1, ("Calculator"&lt;&gt;Table_dim_price_recipe[Type.display])*($L48=Table_dim_price_recipe[Category])*($D48=Table_dim_price_recipe[Item Description]) * (G$6=Table_dim_price_recipe[Type])*(Table_dim_price_recipe[Retail Price]&lt;&gt;0)*($C48=Table_dim_price_recipe[Subcategory]), 0))*$B48,"")</f>
        <v>0</v>
      </c>
      <c r="H48" s="39" t="str" cm="1">
        <f t="array" ref="H48">IFERROR(INDEX(Table_dim_price_recipe[Retail Price], MATCH(1, ("Calculator"&lt;&gt;Table_dim_price_recipe[Type.display])*($L48=Table_dim_price_recipe[Category])*($D48=Table_dim_price_recipe[Item Description]) * (H$6=Table_dim_price_recipe[Type])*(Table_dim_price_recipe[Retail Price]&lt;&gt;0)*($C48=Table_dim_price_recipe[Subcategory]), 0))*$B48,"")</f>
        <v/>
      </c>
      <c r="I48" s="39" t="str" cm="1">
        <f t="array" ref="I48">IFERROR(INDEX(Table_dim_price_recipe[Retail Price], MATCH(1, ("Calculator"&lt;&gt;Table_dim_price_recipe[Type.display])*($L48=Table_dim_price_recipe[Category])*($D48=Table_dim_price_recipe[Item Description]) * (I$6=Table_dim_price_recipe[Type])*(Table_dim_price_recipe[Retail Price]&lt;&gt;0)*($C48=Table_dim_price_recipe[Subcategory]), 0))*$B48,"")</f>
        <v/>
      </c>
      <c r="J48" s="39" t="str" cm="1">
        <f t="array" ref="J48">IFERROR(INDEX(Table_dim_price_recipe[Retail Price], MATCH(1, ("Calculator"&lt;&gt;Table_dim_price_recipe[Type.display])*($L48=Table_dim_price_recipe[Category])*($D48=Table_dim_price_recipe[Item Description]) * (J$6=Table_dim_price_recipe[Type])*(Table_dim_price_recipe[Retail Price]&lt;&gt;0)*($C48=Table_dim_price_recipe[Subcategory]), 0))*$B48,"")</f>
        <v/>
      </c>
      <c r="K48" s="39" t="str" cm="1">
        <f t="array" ref="K48">IFERROR(INDEX(Table_dim_price_recipe[Retail Price], MATCH(1, ("Calculator"&lt;&gt;Table_dim_price_recipe[Type.display])*($L48=Table_dim_price_recipe[Category])*($D48=Table_dim_price_recipe[Item Description]) * (K$6=Table_dim_price_recipe[Type])*(Table_dim_price_recipe[Retail Price]&lt;&gt;0)*($C48=Table_dim_price_recipe[Subcategory]), 0))*$B48,"")</f>
        <v/>
      </c>
      <c r="L48" s="39" t="str" cm="1">
        <f t="array" ref="L48">IF($A48&lt;&gt;"", $A48, LOOKUP(2, 1/((A$7:INDEX(A:A, ROW()))&lt;&gt;""), A$7:INDEX(A:A, ROW())))</f>
        <v>FOOTINGS</v>
      </c>
    </row>
    <row r="49" spans="1:12">
      <c r="A49" s="263"/>
      <c r="B49" s="263"/>
      <c r="C49" s="263" t="s">
        <v>207</v>
      </c>
      <c r="D49" s="263" t="s">
        <v>214</v>
      </c>
      <c r="E49" s="263"/>
      <c r="F49" s="263"/>
      <c r="G49" s="39" cm="1">
        <f t="array" ref="G49">IFERROR(INDEX(Table_dim_price_recipe[Retail Price], MATCH(1, ("Calculator"&lt;&gt;Table_dim_price_recipe[Type.display])*($L49=Table_dim_price_recipe[Category])*($D49=Table_dim_price_recipe[Item Description]) * (G$6=Table_dim_price_recipe[Type])*(Table_dim_price_recipe[Retail Price]&lt;&gt;0)*($C49=Table_dim_price_recipe[Subcategory]), 0))*$B49,"")</f>
        <v>0</v>
      </c>
      <c r="H49" s="39" t="str" cm="1">
        <f t="array" ref="H49">IFERROR(INDEX(Table_dim_price_recipe[Retail Price], MATCH(1, ("Calculator"&lt;&gt;Table_dim_price_recipe[Type.display])*($L49=Table_dim_price_recipe[Category])*($D49=Table_dim_price_recipe[Item Description]) * (H$6=Table_dim_price_recipe[Type])*(Table_dim_price_recipe[Retail Price]&lt;&gt;0)*($C49=Table_dim_price_recipe[Subcategory]), 0))*$B49,"")</f>
        <v/>
      </c>
      <c r="I49" s="39" t="str" cm="1">
        <f t="array" ref="I49">IFERROR(INDEX(Table_dim_price_recipe[Retail Price], MATCH(1, ("Calculator"&lt;&gt;Table_dim_price_recipe[Type.display])*($L49=Table_dim_price_recipe[Category])*($D49=Table_dim_price_recipe[Item Description]) * (I$6=Table_dim_price_recipe[Type])*(Table_dim_price_recipe[Retail Price]&lt;&gt;0)*($C49=Table_dim_price_recipe[Subcategory]), 0))*$B49,"")</f>
        <v/>
      </c>
      <c r="J49" s="39" t="str" cm="1">
        <f t="array" ref="J49">IFERROR(INDEX(Table_dim_price_recipe[Retail Price], MATCH(1, ("Calculator"&lt;&gt;Table_dim_price_recipe[Type.display])*($L49=Table_dim_price_recipe[Category])*($D49=Table_dim_price_recipe[Item Description]) * (J$6=Table_dim_price_recipe[Type])*(Table_dim_price_recipe[Retail Price]&lt;&gt;0)*($C49=Table_dim_price_recipe[Subcategory]), 0))*$B49,"")</f>
        <v/>
      </c>
      <c r="K49" s="39" t="str" cm="1">
        <f t="array" ref="K49">IFERROR(INDEX(Table_dim_price_recipe[Retail Price], MATCH(1, ("Calculator"&lt;&gt;Table_dim_price_recipe[Type.display])*($L49=Table_dim_price_recipe[Category])*($D49=Table_dim_price_recipe[Item Description]) * (K$6=Table_dim_price_recipe[Type])*(Table_dim_price_recipe[Retail Price]&lt;&gt;0)*($C49=Table_dim_price_recipe[Subcategory]), 0))*$B49,"")</f>
        <v/>
      </c>
      <c r="L49" s="39" t="str" cm="1">
        <f t="array" ref="L49">IF($A49&lt;&gt;"", $A49, LOOKUP(2, 1/((A$7:INDEX(A:A, ROW()))&lt;&gt;""), A$7:INDEX(A:A, ROW())))</f>
        <v>FOOTINGS</v>
      </c>
    </row>
    <row r="50" spans="1:12">
      <c r="A50" s="263"/>
      <c r="B50" s="263"/>
      <c r="C50" s="263" t="s">
        <v>207</v>
      </c>
      <c r="D50" s="263" t="s">
        <v>215</v>
      </c>
      <c r="E50" s="263"/>
      <c r="F50" s="263"/>
      <c r="G50" s="39" cm="1">
        <f t="array" ref="G50">IFERROR(INDEX(Table_dim_price_recipe[Retail Price], MATCH(1, ("Calculator"&lt;&gt;Table_dim_price_recipe[Type.display])*($L50=Table_dim_price_recipe[Category])*($D50=Table_dim_price_recipe[Item Description]) * (G$6=Table_dim_price_recipe[Type])*(Table_dim_price_recipe[Retail Price]&lt;&gt;0)*($C50=Table_dim_price_recipe[Subcategory]), 0))*$B50,"")</f>
        <v>0</v>
      </c>
      <c r="H50" s="39" t="str" cm="1">
        <f t="array" ref="H50">IFERROR(INDEX(Table_dim_price_recipe[Retail Price], MATCH(1, ("Calculator"&lt;&gt;Table_dim_price_recipe[Type.display])*($L50=Table_dim_price_recipe[Category])*($D50=Table_dim_price_recipe[Item Description]) * (H$6=Table_dim_price_recipe[Type])*(Table_dim_price_recipe[Retail Price]&lt;&gt;0)*($C50=Table_dim_price_recipe[Subcategory]), 0))*$B50,"")</f>
        <v/>
      </c>
      <c r="I50" s="39" t="str" cm="1">
        <f t="array" ref="I50">IFERROR(INDEX(Table_dim_price_recipe[Retail Price], MATCH(1, ("Calculator"&lt;&gt;Table_dim_price_recipe[Type.display])*($L50=Table_dim_price_recipe[Category])*($D50=Table_dim_price_recipe[Item Description]) * (I$6=Table_dim_price_recipe[Type])*(Table_dim_price_recipe[Retail Price]&lt;&gt;0)*($C50=Table_dim_price_recipe[Subcategory]), 0))*$B50,"")</f>
        <v/>
      </c>
      <c r="J50" s="39" t="str" cm="1">
        <f t="array" ref="J50">IFERROR(INDEX(Table_dim_price_recipe[Retail Price], MATCH(1, ("Calculator"&lt;&gt;Table_dim_price_recipe[Type.display])*($L50=Table_dim_price_recipe[Category])*($D50=Table_dim_price_recipe[Item Description]) * (J$6=Table_dim_price_recipe[Type])*(Table_dim_price_recipe[Retail Price]&lt;&gt;0)*($C50=Table_dim_price_recipe[Subcategory]), 0))*$B50,"")</f>
        <v/>
      </c>
      <c r="K50" s="39" t="str" cm="1">
        <f t="array" ref="K50">IFERROR(INDEX(Table_dim_price_recipe[Retail Price], MATCH(1, ("Calculator"&lt;&gt;Table_dim_price_recipe[Type.display])*($L50=Table_dim_price_recipe[Category])*($D50=Table_dim_price_recipe[Item Description]) * (K$6=Table_dim_price_recipe[Type])*(Table_dim_price_recipe[Retail Price]&lt;&gt;0)*($C50=Table_dim_price_recipe[Subcategory]), 0))*$B50,"")</f>
        <v/>
      </c>
      <c r="L50" s="39" t="str" cm="1">
        <f t="array" ref="L50">IF($A50&lt;&gt;"", $A50, LOOKUP(2, 1/((A$7:INDEX(A:A, ROW()))&lt;&gt;""), A$7:INDEX(A:A, ROW())))</f>
        <v>FOOTINGS</v>
      </c>
    </row>
    <row r="51" spans="1:12">
      <c r="A51" s="263"/>
      <c r="B51" s="263"/>
      <c r="C51" s="263" t="s">
        <v>207</v>
      </c>
      <c r="D51" s="263" t="s">
        <v>213</v>
      </c>
      <c r="E51" s="263"/>
      <c r="F51" s="263"/>
      <c r="G51" s="39" cm="1">
        <f t="array" ref="G51">IFERROR(INDEX(Table_dim_price_recipe[Retail Price], MATCH(1, ("Calculator"&lt;&gt;Table_dim_price_recipe[Type.display])*($L51=Table_dim_price_recipe[Category])*($D51=Table_dim_price_recipe[Item Description]) * (G$6=Table_dim_price_recipe[Type])*(Table_dim_price_recipe[Retail Price]&lt;&gt;0)*($C51=Table_dim_price_recipe[Subcategory]), 0))*$B51,"")</f>
        <v>0</v>
      </c>
      <c r="H51" s="39" t="str" cm="1">
        <f t="array" ref="H51">IFERROR(INDEX(Table_dim_price_recipe[Retail Price], MATCH(1, ("Calculator"&lt;&gt;Table_dim_price_recipe[Type.display])*($L51=Table_dim_price_recipe[Category])*($D51=Table_dim_price_recipe[Item Description]) * (H$6=Table_dim_price_recipe[Type])*(Table_dim_price_recipe[Retail Price]&lt;&gt;0)*($C51=Table_dim_price_recipe[Subcategory]), 0))*$B51,"")</f>
        <v/>
      </c>
      <c r="I51" s="39" t="str" cm="1">
        <f t="array" ref="I51">IFERROR(INDEX(Table_dim_price_recipe[Retail Price], MATCH(1, ("Calculator"&lt;&gt;Table_dim_price_recipe[Type.display])*($L51=Table_dim_price_recipe[Category])*($D51=Table_dim_price_recipe[Item Description]) * (I$6=Table_dim_price_recipe[Type])*(Table_dim_price_recipe[Retail Price]&lt;&gt;0)*($C51=Table_dim_price_recipe[Subcategory]), 0))*$B51,"")</f>
        <v/>
      </c>
      <c r="J51" s="39" t="str" cm="1">
        <f t="array" ref="J51">IFERROR(INDEX(Table_dim_price_recipe[Retail Price], MATCH(1, ("Calculator"&lt;&gt;Table_dim_price_recipe[Type.display])*($L51=Table_dim_price_recipe[Category])*($D51=Table_dim_price_recipe[Item Description]) * (J$6=Table_dim_price_recipe[Type])*(Table_dim_price_recipe[Retail Price]&lt;&gt;0)*($C51=Table_dim_price_recipe[Subcategory]), 0))*$B51,"")</f>
        <v/>
      </c>
      <c r="K51" s="39" t="str" cm="1">
        <f t="array" ref="K51">IFERROR(INDEX(Table_dim_price_recipe[Retail Price], MATCH(1, ("Calculator"&lt;&gt;Table_dim_price_recipe[Type.display])*($L51=Table_dim_price_recipe[Category])*($D51=Table_dim_price_recipe[Item Description]) * (K$6=Table_dim_price_recipe[Type])*(Table_dim_price_recipe[Retail Price]&lt;&gt;0)*($C51=Table_dim_price_recipe[Subcategory]), 0))*$B51,"")</f>
        <v/>
      </c>
      <c r="L51" s="39" t="str" cm="1">
        <f t="array" ref="L51">IF($A51&lt;&gt;"", $A51, LOOKUP(2, 1/((A$7:INDEX(A:A, ROW()))&lt;&gt;""), A$7:INDEX(A:A, ROW())))</f>
        <v>FOOTINGS</v>
      </c>
    </row>
    <row r="52" spans="1:12">
      <c r="A52" s="263"/>
      <c r="B52" s="263"/>
      <c r="C52" s="263" t="s">
        <v>207</v>
      </c>
      <c r="D52" s="263" t="s">
        <v>216</v>
      </c>
      <c r="E52" s="263"/>
      <c r="F52" s="263"/>
      <c r="G52" s="39" cm="1">
        <f t="array" ref="G52">IFERROR(INDEX(Table_dim_price_recipe[Retail Price], MATCH(1, ("Calculator"&lt;&gt;Table_dim_price_recipe[Type.display])*($L52=Table_dim_price_recipe[Category])*($D52=Table_dim_price_recipe[Item Description]) * (G$6=Table_dim_price_recipe[Type])*(Table_dim_price_recipe[Retail Price]&lt;&gt;0)*($C52=Table_dim_price_recipe[Subcategory]), 0))*$B52,"")</f>
        <v>0</v>
      </c>
      <c r="H52" s="39" t="str" cm="1">
        <f t="array" ref="H52">IFERROR(INDEX(Table_dim_price_recipe[Retail Price], MATCH(1, ("Calculator"&lt;&gt;Table_dim_price_recipe[Type.display])*($L52=Table_dim_price_recipe[Category])*($D52=Table_dim_price_recipe[Item Description]) * (H$6=Table_dim_price_recipe[Type])*(Table_dim_price_recipe[Retail Price]&lt;&gt;0)*($C52=Table_dim_price_recipe[Subcategory]), 0))*$B52,"")</f>
        <v/>
      </c>
      <c r="I52" s="39" t="str" cm="1">
        <f t="array" ref="I52">IFERROR(INDEX(Table_dim_price_recipe[Retail Price], MATCH(1, ("Calculator"&lt;&gt;Table_dim_price_recipe[Type.display])*($L52=Table_dim_price_recipe[Category])*($D52=Table_dim_price_recipe[Item Description]) * (I$6=Table_dim_price_recipe[Type])*(Table_dim_price_recipe[Retail Price]&lt;&gt;0)*($C52=Table_dim_price_recipe[Subcategory]), 0))*$B52,"")</f>
        <v/>
      </c>
      <c r="J52" s="39" t="str" cm="1">
        <f t="array" ref="J52">IFERROR(INDEX(Table_dim_price_recipe[Retail Price], MATCH(1, ("Calculator"&lt;&gt;Table_dim_price_recipe[Type.display])*($L52=Table_dim_price_recipe[Category])*($D52=Table_dim_price_recipe[Item Description]) * (J$6=Table_dim_price_recipe[Type])*(Table_dim_price_recipe[Retail Price]&lt;&gt;0)*($C52=Table_dim_price_recipe[Subcategory]), 0))*$B52,"")</f>
        <v/>
      </c>
      <c r="K52" s="39" t="str" cm="1">
        <f t="array" ref="K52">IFERROR(INDEX(Table_dim_price_recipe[Retail Price], MATCH(1, ("Calculator"&lt;&gt;Table_dim_price_recipe[Type.display])*($L52=Table_dim_price_recipe[Category])*($D52=Table_dim_price_recipe[Item Description]) * (K$6=Table_dim_price_recipe[Type])*(Table_dim_price_recipe[Retail Price]&lt;&gt;0)*($C52=Table_dim_price_recipe[Subcategory]), 0))*$B52,"")</f>
        <v/>
      </c>
      <c r="L52" s="39" t="str" cm="1">
        <f t="array" ref="L52">IF($A52&lt;&gt;"", $A52, LOOKUP(2, 1/((A$7:INDEX(A:A, ROW()))&lt;&gt;""), A$7:INDEX(A:A, ROW())))</f>
        <v>FOOTINGS</v>
      </c>
    </row>
    <row r="53" spans="1:12">
      <c r="A53" s="263"/>
      <c r="B53" s="263"/>
      <c r="C53" s="263" t="s">
        <v>207</v>
      </c>
      <c r="D53" s="263" t="s">
        <v>208</v>
      </c>
      <c r="E53" s="263"/>
      <c r="F53" s="263"/>
      <c r="G53" s="39" cm="1">
        <f t="array" ref="G53">IFERROR(INDEX(Table_dim_price_recipe[Retail Price], MATCH(1, ("Calculator"&lt;&gt;Table_dim_price_recipe[Type.display])*($L53=Table_dim_price_recipe[Category])*($D53=Table_dim_price_recipe[Item Description]) * (G$6=Table_dim_price_recipe[Type])*(Table_dim_price_recipe[Retail Price]&lt;&gt;0)*($C53=Table_dim_price_recipe[Subcategory]), 0))*$B53,"")</f>
        <v>0</v>
      </c>
      <c r="H53" s="39" t="str" cm="1">
        <f t="array" ref="H53">IFERROR(INDEX(Table_dim_price_recipe[Retail Price], MATCH(1, ("Calculator"&lt;&gt;Table_dim_price_recipe[Type.display])*($L53=Table_dim_price_recipe[Category])*($D53=Table_dim_price_recipe[Item Description]) * (H$6=Table_dim_price_recipe[Type])*(Table_dim_price_recipe[Retail Price]&lt;&gt;0)*($C53=Table_dim_price_recipe[Subcategory]), 0))*$B53,"")</f>
        <v/>
      </c>
      <c r="I53" s="39" t="str" cm="1">
        <f t="array" ref="I53">IFERROR(INDEX(Table_dim_price_recipe[Retail Price], MATCH(1, ("Calculator"&lt;&gt;Table_dim_price_recipe[Type.display])*($L53=Table_dim_price_recipe[Category])*($D53=Table_dim_price_recipe[Item Description]) * (I$6=Table_dim_price_recipe[Type])*(Table_dim_price_recipe[Retail Price]&lt;&gt;0)*($C53=Table_dim_price_recipe[Subcategory]), 0))*$B53,"")</f>
        <v/>
      </c>
      <c r="J53" s="39" t="str" cm="1">
        <f t="array" ref="J53">IFERROR(INDEX(Table_dim_price_recipe[Retail Price], MATCH(1, ("Calculator"&lt;&gt;Table_dim_price_recipe[Type.display])*($L53=Table_dim_price_recipe[Category])*($D53=Table_dim_price_recipe[Item Description]) * (J$6=Table_dim_price_recipe[Type])*(Table_dim_price_recipe[Retail Price]&lt;&gt;0)*($C53=Table_dim_price_recipe[Subcategory]), 0))*$B53,"")</f>
        <v/>
      </c>
      <c r="K53" s="39" t="str" cm="1">
        <f t="array" ref="K53">IFERROR(INDEX(Table_dim_price_recipe[Retail Price], MATCH(1, ("Calculator"&lt;&gt;Table_dim_price_recipe[Type.display])*($L53=Table_dim_price_recipe[Category])*($D53=Table_dim_price_recipe[Item Description]) * (K$6=Table_dim_price_recipe[Type])*(Table_dim_price_recipe[Retail Price]&lt;&gt;0)*($C53=Table_dim_price_recipe[Subcategory]), 0))*$B53,"")</f>
        <v/>
      </c>
      <c r="L53" s="39" t="str" cm="1">
        <f t="array" ref="L53">IF($A53&lt;&gt;"", $A53, LOOKUP(2, 1/((A$7:INDEX(A:A, ROW()))&lt;&gt;""), A$7:INDEX(A:A, ROW())))</f>
        <v>FOOTINGS</v>
      </c>
    </row>
    <row r="54" spans="1:12">
      <c r="A54" s="263"/>
      <c r="B54" s="263"/>
      <c r="C54" s="263" t="s">
        <v>207</v>
      </c>
      <c r="D54" s="263" t="s">
        <v>209</v>
      </c>
      <c r="E54" s="263"/>
      <c r="F54" s="263"/>
      <c r="G54" s="39" cm="1">
        <f t="array" ref="G54">IFERROR(INDEX(Table_dim_price_recipe[Retail Price], MATCH(1, ("Calculator"&lt;&gt;Table_dim_price_recipe[Type.display])*($L54=Table_dim_price_recipe[Category])*($D54=Table_dim_price_recipe[Item Description]) * (G$6=Table_dim_price_recipe[Type])*(Table_dim_price_recipe[Retail Price]&lt;&gt;0)*($C54=Table_dim_price_recipe[Subcategory]), 0))*$B54,"")</f>
        <v>0</v>
      </c>
      <c r="H54" s="39" t="str" cm="1">
        <f t="array" ref="H54">IFERROR(INDEX(Table_dim_price_recipe[Retail Price], MATCH(1, ("Calculator"&lt;&gt;Table_dim_price_recipe[Type.display])*($L54=Table_dim_price_recipe[Category])*($D54=Table_dim_price_recipe[Item Description]) * (H$6=Table_dim_price_recipe[Type])*(Table_dim_price_recipe[Retail Price]&lt;&gt;0)*($C54=Table_dim_price_recipe[Subcategory]), 0))*$B54,"")</f>
        <v/>
      </c>
      <c r="I54" s="39" t="str" cm="1">
        <f t="array" ref="I54">IFERROR(INDEX(Table_dim_price_recipe[Retail Price], MATCH(1, ("Calculator"&lt;&gt;Table_dim_price_recipe[Type.display])*($L54=Table_dim_price_recipe[Category])*($D54=Table_dim_price_recipe[Item Description]) * (I$6=Table_dim_price_recipe[Type])*(Table_dim_price_recipe[Retail Price]&lt;&gt;0)*($C54=Table_dim_price_recipe[Subcategory]), 0))*$B54,"")</f>
        <v/>
      </c>
      <c r="J54" s="39" t="str" cm="1">
        <f t="array" ref="J54">IFERROR(INDEX(Table_dim_price_recipe[Retail Price], MATCH(1, ("Calculator"&lt;&gt;Table_dim_price_recipe[Type.display])*($L54=Table_dim_price_recipe[Category])*($D54=Table_dim_price_recipe[Item Description]) * (J$6=Table_dim_price_recipe[Type])*(Table_dim_price_recipe[Retail Price]&lt;&gt;0)*($C54=Table_dim_price_recipe[Subcategory]), 0))*$B54,"")</f>
        <v/>
      </c>
      <c r="K54" s="39" t="str" cm="1">
        <f t="array" ref="K54">IFERROR(INDEX(Table_dim_price_recipe[Retail Price], MATCH(1, ("Calculator"&lt;&gt;Table_dim_price_recipe[Type.display])*($L54=Table_dim_price_recipe[Category])*($D54=Table_dim_price_recipe[Item Description]) * (K$6=Table_dim_price_recipe[Type])*(Table_dim_price_recipe[Retail Price]&lt;&gt;0)*($C54=Table_dim_price_recipe[Subcategory]), 0))*$B54,"")</f>
        <v/>
      </c>
      <c r="L54" s="39" t="str" cm="1">
        <f t="array" ref="L54">IF($A54&lt;&gt;"", $A54, LOOKUP(2, 1/((A$7:INDEX(A:A, ROW()))&lt;&gt;""), A$7:INDEX(A:A, ROW())))</f>
        <v>FOOTINGS</v>
      </c>
    </row>
    <row r="55" spans="1:12">
      <c r="A55" s="263"/>
      <c r="B55" s="263"/>
      <c r="C55" s="263" t="s">
        <v>207</v>
      </c>
      <c r="D55" s="263" t="s">
        <v>221</v>
      </c>
      <c r="E55" s="263"/>
      <c r="F55" s="263"/>
      <c r="G55" s="39" cm="1">
        <f t="array" ref="G55">IFERROR(INDEX(Table_dim_price_recipe[Retail Price], MATCH(1, ("Calculator"&lt;&gt;Table_dim_price_recipe[Type.display])*($L55=Table_dim_price_recipe[Category])*($D55=Table_dim_price_recipe[Item Description]) * (G$6=Table_dim_price_recipe[Type])*(Table_dim_price_recipe[Retail Price]&lt;&gt;0)*($C55=Table_dim_price_recipe[Subcategory]), 0))*$B55,"")</f>
        <v>0</v>
      </c>
      <c r="H55" s="39" t="str" cm="1">
        <f t="array" ref="H55">IFERROR(INDEX(Table_dim_price_recipe[Retail Price], MATCH(1, ("Calculator"&lt;&gt;Table_dim_price_recipe[Type.display])*($L55=Table_dim_price_recipe[Category])*($D55=Table_dim_price_recipe[Item Description]) * (H$6=Table_dim_price_recipe[Type])*(Table_dim_price_recipe[Retail Price]&lt;&gt;0)*($C55=Table_dim_price_recipe[Subcategory]), 0))*$B55,"")</f>
        <v/>
      </c>
      <c r="I55" s="39" t="str" cm="1">
        <f t="array" ref="I55">IFERROR(INDEX(Table_dim_price_recipe[Retail Price], MATCH(1, ("Calculator"&lt;&gt;Table_dim_price_recipe[Type.display])*($L55=Table_dim_price_recipe[Category])*($D55=Table_dim_price_recipe[Item Description]) * (I$6=Table_dim_price_recipe[Type])*(Table_dim_price_recipe[Retail Price]&lt;&gt;0)*($C55=Table_dim_price_recipe[Subcategory]), 0))*$B55,"")</f>
        <v/>
      </c>
      <c r="J55" s="39" t="str" cm="1">
        <f t="array" ref="J55">IFERROR(INDEX(Table_dim_price_recipe[Retail Price], MATCH(1, ("Calculator"&lt;&gt;Table_dim_price_recipe[Type.display])*($L55=Table_dim_price_recipe[Category])*($D55=Table_dim_price_recipe[Item Description]) * (J$6=Table_dim_price_recipe[Type])*(Table_dim_price_recipe[Retail Price]&lt;&gt;0)*($C55=Table_dim_price_recipe[Subcategory]), 0))*$B55,"")</f>
        <v/>
      </c>
      <c r="K55" s="39" t="str" cm="1">
        <f t="array" ref="K55">IFERROR(INDEX(Table_dim_price_recipe[Retail Price], MATCH(1, ("Calculator"&lt;&gt;Table_dim_price_recipe[Type.display])*($L55=Table_dim_price_recipe[Category])*($D55=Table_dim_price_recipe[Item Description]) * (K$6=Table_dim_price_recipe[Type])*(Table_dim_price_recipe[Retail Price]&lt;&gt;0)*($C55=Table_dim_price_recipe[Subcategory]), 0))*$B55,"")</f>
        <v/>
      </c>
      <c r="L55" s="39" t="str" cm="1">
        <f t="array" ref="L55">IF($A55&lt;&gt;"", $A55, LOOKUP(2, 1/((A$7:INDEX(A:A, ROW()))&lt;&gt;""), A$7:INDEX(A:A, ROW())))</f>
        <v>FOOTINGS</v>
      </c>
    </row>
    <row r="56" spans="1:12">
      <c r="A56" s="263"/>
      <c r="B56" s="263"/>
      <c r="C56" s="263" t="s">
        <v>207</v>
      </c>
      <c r="D56" s="263" t="s">
        <v>222</v>
      </c>
      <c r="E56" s="263"/>
      <c r="F56" s="263"/>
      <c r="G56" s="39" cm="1">
        <f t="array" ref="G56">IFERROR(INDEX(Table_dim_price_recipe[Retail Price], MATCH(1, ("Calculator"&lt;&gt;Table_dim_price_recipe[Type.display])*($L56=Table_dim_price_recipe[Category])*($D56=Table_dim_price_recipe[Item Description]) * (G$6=Table_dim_price_recipe[Type])*(Table_dim_price_recipe[Retail Price]&lt;&gt;0)*($C56=Table_dim_price_recipe[Subcategory]), 0))*$B56,"")</f>
        <v>0</v>
      </c>
      <c r="H56" s="39" t="str" cm="1">
        <f t="array" ref="H56">IFERROR(INDEX(Table_dim_price_recipe[Retail Price], MATCH(1, ("Calculator"&lt;&gt;Table_dim_price_recipe[Type.display])*($L56=Table_dim_price_recipe[Category])*($D56=Table_dim_price_recipe[Item Description]) * (H$6=Table_dim_price_recipe[Type])*(Table_dim_price_recipe[Retail Price]&lt;&gt;0)*($C56=Table_dim_price_recipe[Subcategory]), 0))*$B56,"")</f>
        <v/>
      </c>
      <c r="I56" s="39" t="str" cm="1">
        <f t="array" ref="I56">IFERROR(INDEX(Table_dim_price_recipe[Retail Price], MATCH(1, ("Calculator"&lt;&gt;Table_dim_price_recipe[Type.display])*($L56=Table_dim_price_recipe[Category])*($D56=Table_dim_price_recipe[Item Description]) * (I$6=Table_dim_price_recipe[Type])*(Table_dim_price_recipe[Retail Price]&lt;&gt;0)*($C56=Table_dim_price_recipe[Subcategory]), 0))*$B56,"")</f>
        <v/>
      </c>
      <c r="J56" s="39" t="str" cm="1">
        <f t="array" ref="J56">IFERROR(INDEX(Table_dim_price_recipe[Retail Price], MATCH(1, ("Calculator"&lt;&gt;Table_dim_price_recipe[Type.display])*($L56=Table_dim_price_recipe[Category])*($D56=Table_dim_price_recipe[Item Description]) * (J$6=Table_dim_price_recipe[Type])*(Table_dim_price_recipe[Retail Price]&lt;&gt;0)*($C56=Table_dim_price_recipe[Subcategory]), 0))*$B56,"")</f>
        <v/>
      </c>
      <c r="K56" s="39" t="str" cm="1">
        <f t="array" ref="K56">IFERROR(INDEX(Table_dim_price_recipe[Retail Price], MATCH(1, ("Calculator"&lt;&gt;Table_dim_price_recipe[Type.display])*($L56=Table_dim_price_recipe[Category])*($D56=Table_dim_price_recipe[Item Description]) * (K$6=Table_dim_price_recipe[Type])*(Table_dim_price_recipe[Retail Price]&lt;&gt;0)*($C56=Table_dim_price_recipe[Subcategory]), 0))*$B56,"")</f>
        <v/>
      </c>
      <c r="L56" s="39" t="str" cm="1">
        <f t="array" ref="L56">IF($A56&lt;&gt;"", $A56, LOOKUP(2, 1/((A$7:INDEX(A:A, ROW()))&lt;&gt;""), A$7:INDEX(A:A, ROW())))</f>
        <v>FOOTINGS</v>
      </c>
    </row>
    <row r="57" spans="1:12">
      <c r="A57" s="263"/>
      <c r="B57" s="263"/>
      <c r="C57" s="263" t="s">
        <v>207</v>
      </c>
      <c r="D57" s="263" t="s">
        <v>211</v>
      </c>
      <c r="E57" s="263"/>
      <c r="F57" s="263"/>
      <c r="G57" s="39" cm="1">
        <f t="array" ref="G57">IFERROR(INDEX(Table_dim_price_recipe[Retail Price], MATCH(1, ("Calculator"&lt;&gt;Table_dim_price_recipe[Type.display])*($L57=Table_dim_price_recipe[Category])*($D57=Table_dim_price_recipe[Item Description]) * (G$6=Table_dim_price_recipe[Type])*(Table_dim_price_recipe[Retail Price]&lt;&gt;0)*($C57=Table_dim_price_recipe[Subcategory]), 0))*$B57,"")</f>
        <v>0</v>
      </c>
      <c r="H57" s="39" t="str" cm="1">
        <f t="array" ref="H57">IFERROR(INDEX(Table_dim_price_recipe[Retail Price], MATCH(1, ("Calculator"&lt;&gt;Table_dim_price_recipe[Type.display])*($L57=Table_dim_price_recipe[Category])*($D57=Table_dim_price_recipe[Item Description]) * (H$6=Table_dim_price_recipe[Type])*(Table_dim_price_recipe[Retail Price]&lt;&gt;0)*($C57=Table_dim_price_recipe[Subcategory]), 0))*$B57,"")</f>
        <v/>
      </c>
      <c r="I57" s="39" t="str" cm="1">
        <f t="array" ref="I57">IFERROR(INDEX(Table_dim_price_recipe[Retail Price], MATCH(1, ("Calculator"&lt;&gt;Table_dim_price_recipe[Type.display])*($L57=Table_dim_price_recipe[Category])*($D57=Table_dim_price_recipe[Item Description]) * (I$6=Table_dim_price_recipe[Type])*(Table_dim_price_recipe[Retail Price]&lt;&gt;0)*($C57=Table_dim_price_recipe[Subcategory]), 0))*$B57,"")</f>
        <v/>
      </c>
      <c r="J57" s="39" t="str" cm="1">
        <f t="array" ref="J57">IFERROR(INDEX(Table_dim_price_recipe[Retail Price], MATCH(1, ("Calculator"&lt;&gt;Table_dim_price_recipe[Type.display])*($L57=Table_dim_price_recipe[Category])*($D57=Table_dim_price_recipe[Item Description]) * (J$6=Table_dim_price_recipe[Type])*(Table_dim_price_recipe[Retail Price]&lt;&gt;0)*($C57=Table_dim_price_recipe[Subcategory]), 0))*$B57,"")</f>
        <v/>
      </c>
      <c r="K57" s="39" t="str" cm="1">
        <f t="array" ref="K57">IFERROR(INDEX(Table_dim_price_recipe[Retail Price], MATCH(1, ("Calculator"&lt;&gt;Table_dim_price_recipe[Type.display])*($L57=Table_dim_price_recipe[Category])*($D57=Table_dim_price_recipe[Item Description]) * (K$6=Table_dim_price_recipe[Type])*(Table_dim_price_recipe[Retail Price]&lt;&gt;0)*($C57=Table_dim_price_recipe[Subcategory]), 0))*$B57,"")</f>
        <v/>
      </c>
      <c r="L57" s="39" t="str" cm="1">
        <f t="array" ref="L57">IF($A57&lt;&gt;"", $A57, LOOKUP(2, 1/((A$7:INDEX(A:A, ROW()))&lt;&gt;""), A$7:INDEX(A:A, ROW())))</f>
        <v>FOOTINGS</v>
      </c>
    </row>
    <row r="58" spans="1:12">
      <c r="A58" s="263"/>
      <c r="B58" s="263"/>
      <c r="C58" s="263" t="s">
        <v>207</v>
      </c>
      <c r="D58" s="263" t="s">
        <v>210</v>
      </c>
      <c r="E58" s="263"/>
      <c r="F58" s="263"/>
      <c r="G58" s="39" cm="1">
        <f t="array" ref="G58">IFERROR(INDEX(Table_dim_price_recipe[Retail Price], MATCH(1, ("Calculator"&lt;&gt;Table_dim_price_recipe[Type.display])*($L58=Table_dim_price_recipe[Category])*($D58=Table_dim_price_recipe[Item Description]) * (G$6=Table_dim_price_recipe[Type])*(Table_dim_price_recipe[Retail Price]&lt;&gt;0)*($C58=Table_dim_price_recipe[Subcategory]), 0))*$B58,"")</f>
        <v>0</v>
      </c>
      <c r="H58" s="39" t="str" cm="1">
        <f t="array" ref="H58">IFERROR(INDEX(Table_dim_price_recipe[Retail Price], MATCH(1, ("Calculator"&lt;&gt;Table_dim_price_recipe[Type.display])*($L58=Table_dim_price_recipe[Category])*($D58=Table_dim_price_recipe[Item Description]) * (H$6=Table_dim_price_recipe[Type])*(Table_dim_price_recipe[Retail Price]&lt;&gt;0)*($C58=Table_dim_price_recipe[Subcategory]), 0))*$B58,"")</f>
        <v/>
      </c>
      <c r="I58" s="39" t="str" cm="1">
        <f t="array" ref="I58">IFERROR(INDEX(Table_dim_price_recipe[Retail Price], MATCH(1, ("Calculator"&lt;&gt;Table_dim_price_recipe[Type.display])*($L58=Table_dim_price_recipe[Category])*($D58=Table_dim_price_recipe[Item Description]) * (I$6=Table_dim_price_recipe[Type])*(Table_dim_price_recipe[Retail Price]&lt;&gt;0)*($C58=Table_dim_price_recipe[Subcategory]), 0))*$B58,"")</f>
        <v/>
      </c>
      <c r="J58" s="39" t="str" cm="1">
        <f t="array" ref="J58">IFERROR(INDEX(Table_dim_price_recipe[Retail Price], MATCH(1, ("Calculator"&lt;&gt;Table_dim_price_recipe[Type.display])*($L58=Table_dim_price_recipe[Category])*($D58=Table_dim_price_recipe[Item Description]) * (J$6=Table_dim_price_recipe[Type])*(Table_dim_price_recipe[Retail Price]&lt;&gt;0)*($C58=Table_dim_price_recipe[Subcategory]), 0))*$B58,"")</f>
        <v/>
      </c>
      <c r="K58" s="39" t="str" cm="1">
        <f t="array" ref="K58">IFERROR(INDEX(Table_dim_price_recipe[Retail Price], MATCH(1, ("Calculator"&lt;&gt;Table_dim_price_recipe[Type.display])*($L58=Table_dim_price_recipe[Category])*($D58=Table_dim_price_recipe[Item Description]) * (K$6=Table_dim_price_recipe[Type])*(Table_dim_price_recipe[Retail Price]&lt;&gt;0)*($C58=Table_dim_price_recipe[Subcategory]), 0))*$B58,"")</f>
        <v/>
      </c>
      <c r="L58" s="39" t="str" cm="1">
        <f t="array" ref="L58">IF($A58&lt;&gt;"", $A58, LOOKUP(2, 1/((A$7:INDEX(A:A, ROW()))&lt;&gt;""), A$7:INDEX(A:A, ROW())))</f>
        <v>FOOTINGS</v>
      </c>
    </row>
    <row r="59" spans="1:12">
      <c r="A59" s="263"/>
      <c r="B59" s="263"/>
      <c r="C59" s="263" t="s">
        <v>207</v>
      </c>
      <c r="D59" s="263" t="s">
        <v>220</v>
      </c>
      <c r="E59" s="263"/>
      <c r="F59" s="263"/>
      <c r="G59" s="39" cm="1">
        <f t="array" ref="G59">IFERROR(INDEX(Table_dim_price_recipe[Retail Price], MATCH(1, ("Calculator"&lt;&gt;Table_dim_price_recipe[Type.display])*($L59=Table_dim_price_recipe[Category])*($D59=Table_dim_price_recipe[Item Description]) * (G$6=Table_dim_price_recipe[Type])*(Table_dim_price_recipe[Retail Price]&lt;&gt;0)*($C59=Table_dim_price_recipe[Subcategory]), 0))*$B59,"")</f>
        <v>0</v>
      </c>
      <c r="H59" s="39" t="str" cm="1">
        <f t="array" ref="H59">IFERROR(INDEX(Table_dim_price_recipe[Retail Price], MATCH(1, ("Calculator"&lt;&gt;Table_dim_price_recipe[Type.display])*($L59=Table_dim_price_recipe[Category])*($D59=Table_dim_price_recipe[Item Description]) * (H$6=Table_dim_price_recipe[Type])*(Table_dim_price_recipe[Retail Price]&lt;&gt;0)*($C59=Table_dim_price_recipe[Subcategory]), 0))*$B59,"")</f>
        <v/>
      </c>
      <c r="I59" s="39" t="str" cm="1">
        <f t="array" ref="I59">IFERROR(INDEX(Table_dim_price_recipe[Retail Price], MATCH(1, ("Calculator"&lt;&gt;Table_dim_price_recipe[Type.display])*($L59=Table_dim_price_recipe[Category])*($D59=Table_dim_price_recipe[Item Description]) * (I$6=Table_dim_price_recipe[Type])*(Table_dim_price_recipe[Retail Price]&lt;&gt;0)*($C59=Table_dim_price_recipe[Subcategory]), 0))*$B59,"")</f>
        <v/>
      </c>
      <c r="J59" s="39" t="str" cm="1">
        <f t="array" ref="J59">IFERROR(INDEX(Table_dim_price_recipe[Retail Price], MATCH(1, ("Calculator"&lt;&gt;Table_dim_price_recipe[Type.display])*($L59=Table_dim_price_recipe[Category])*($D59=Table_dim_price_recipe[Item Description]) * (J$6=Table_dim_price_recipe[Type])*(Table_dim_price_recipe[Retail Price]&lt;&gt;0)*($C59=Table_dim_price_recipe[Subcategory]), 0))*$B59,"")</f>
        <v/>
      </c>
      <c r="K59" s="39" t="str" cm="1">
        <f t="array" ref="K59">IFERROR(INDEX(Table_dim_price_recipe[Retail Price], MATCH(1, ("Calculator"&lt;&gt;Table_dim_price_recipe[Type.display])*($L59=Table_dim_price_recipe[Category])*($D59=Table_dim_price_recipe[Item Description]) * (K$6=Table_dim_price_recipe[Type])*(Table_dim_price_recipe[Retail Price]&lt;&gt;0)*($C59=Table_dim_price_recipe[Subcategory]), 0))*$B59,"")</f>
        <v/>
      </c>
      <c r="L59" s="39" t="str" cm="1">
        <f t="array" ref="L59">IF($A59&lt;&gt;"", $A59, LOOKUP(2, 1/((A$7:INDEX(A:A, ROW()))&lt;&gt;""), A$7:INDEX(A:A, ROW())))</f>
        <v>FOOTINGS</v>
      </c>
    </row>
    <row r="60" spans="1:12">
      <c r="A60" s="263"/>
      <c r="B60" s="263"/>
      <c r="C60" s="263" t="s">
        <v>207</v>
      </c>
      <c r="D60" s="263" t="s">
        <v>217</v>
      </c>
      <c r="E60" s="263"/>
      <c r="F60" s="263"/>
      <c r="G60" s="39" cm="1">
        <f t="array" ref="G60">IFERROR(INDEX(Table_dim_price_recipe[Retail Price], MATCH(1, ("Calculator"&lt;&gt;Table_dim_price_recipe[Type.display])*($L60=Table_dim_price_recipe[Category])*($D60=Table_dim_price_recipe[Item Description]) * (G$6=Table_dim_price_recipe[Type])*(Table_dim_price_recipe[Retail Price]&lt;&gt;0)*($C60=Table_dim_price_recipe[Subcategory]), 0))*$B60,"")</f>
        <v>0</v>
      </c>
      <c r="H60" s="39" t="str" cm="1">
        <f t="array" ref="H60">IFERROR(INDEX(Table_dim_price_recipe[Retail Price], MATCH(1, ("Calculator"&lt;&gt;Table_dim_price_recipe[Type.display])*($L60=Table_dim_price_recipe[Category])*($D60=Table_dim_price_recipe[Item Description]) * (H$6=Table_dim_price_recipe[Type])*(Table_dim_price_recipe[Retail Price]&lt;&gt;0)*($C60=Table_dim_price_recipe[Subcategory]), 0))*$B60,"")</f>
        <v/>
      </c>
      <c r="I60" s="39" t="str" cm="1">
        <f t="array" ref="I60">IFERROR(INDEX(Table_dim_price_recipe[Retail Price], MATCH(1, ("Calculator"&lt;&gt;Table_dim_price_recipe[Type.display])*($L60=Table_dim_price_recipe[Category])*($D60=Table_dim_price_recipe[Item Description]) * (I$6=Table_dim_price_recipe[Type])*(Table_dim_price_recipe[Retail Price]&lt;&gt;0)*($C60=Table_dim_price_recipe[Subcategory]), 0))*$B60,"")</f>
        <v/>
      </c>
      <c r="J60" s="39" t="str" cm="1">
        <f t="array" ref="J60">IFERROR(INDEX(Table_dim_price_recipe[Retail Price], MATCH(1, ("Calculator"&lt;&gt;Table_dim_price_recipe[Type.display])*($L60=Table_dim_price_recipe[Category])*($D60=Table_dim_price_recipe[Item Description]) * (J$6=Table_dim_price_recipe[Type])*(Table_dim_price_recipe[Retail Price]&lt;&gt;0)*($C60=Table_dim_price_recipe[Subcategory]), 0))*$B60,"")</f>
        <v/>
      </c>
      <c r="K60" s="39" t="str" cm="1">
        <f t="array" ref="K60">IFERROR(INDEX(Table_dim_price_recipe[Retail Price], MATCH(1, ("Calculator"&lt;&gt;Table_dim_price_recipe[Type.display])*($L60=Table_dim_price_recipe[Category])*($D60=Table_dim_price_recipe[Item Description]) * (K$6=Table_dim_price_recipe[Type])*(Table_dim_price_recipe[Retail Price]&lt;&gt;0)*($C60=Table_dim_price_recipe[Subcategory]), 0))*$B60,"")</f>
        <v/>
      </c>
      <c r="L60" s="39" t="str" cm="1">
        <f t="array" ref="L60">IF($A60&lt;&gt;"", $A60, LOOKUP(2, 1/((A$7:INDEX(A:A, ROW()))&lt;&gt;""), A$7:INDEX(A:A, ROW())))</f>
        <v>FOOTINGS</v>
      </c>
    </row>
    <row r="61" spans="1:12">
      <c r="A61" s="263"/>
      <c r="B61" s="263"/>
      <c r="C61" s="263" t="s">
        <v>207</v>
      </c>
      <c r="D61" s="263" t="s">
        <v>218</v>
      </c>
      <c r="E61" s="263"/>
      <c r="F61" s="263"/>
      <c r="G61" s="39" cm="1">
        <f t="array" ref="G61">IFERROR(INDEX(Table_dim_price_recipe[Retail Price], MATCH(1, ("Calculator"&lt;&gt;Table_dim_price_recipe[Type.display])*($L61=Table_dim_price_recipe[Category])*($D61=Table_dim_price_recipe[Item Description]) * (G$6=Table_dim_price_recipe[Type])*(Table_dim_price_recipe[Retail Price]&lt;&gt;0)*($C61=Table_dim_price_recipe[Subcategory]), 0))*$B61,"")</f>
        <v>0</v>
      </c>
      <c r="H61" s="39" t="str" cm="1">
        <f t="array" ref="H61">IFERROR(INDEX(Table_dim_price_recipe[Retail Price], MATCH(1, ("Calculator"&lt;&gt;Table_dim_price_recipe[Type.display])*($L61=Table_dim_price_recipe[Category])*($D61=Table_dim_price_recipe[Item Description]) * (H$6=Table_dim_price_recipe[Type])*(Table_dim_price_recipe[Retail Price]&lt;&gt;0)*($C61=Table_dim_price_recipe[Subcategory]), 0))*$B61,"")</f>
        <v/>
      </c>
      <c r="I61" s="39" t="str" cm="1">
        <f t="array" ref="I61">IFERROR(INDEX(Table_dim_price_recipe[Retail Price], MATCH(1, ("Calculator"&lt;&gt;Table_dim_price_recipe[Type.display])*($L61=Table_dim_price_recipe[Category])*($D61=Table_dim_price_recipe[Item Description]) * (I$6=Table_dim_price_recipe[Type])*(Table_dim_price_recipe[Retail Price]&lt;&gt;0)*($C61=Table_dim_price_recipe[Subcategory]), 0))*$B61,"")</f>
        <v/>
      </c>
      <c r="J61" s="39" t="str" cm="1">
        <f t="array" ref="J61">IFERROR(INDEX(Table_dim_price_recipe[Retail Price], MATCH(1, ("Calculator"&lt;&gt;Table_dim_price_recipe[Type.display])*($L61=Table_dim_price_recipe[Category])*($D61=Table_dim_price_recipe[Item Description]) * (J$6=Table_dim_price_recipe[Type])*(Table_dim_price_recipe[Retail Price]&lt;&gt;0)*($C61=Table_dim_price_recipe[Subcategory]), 0))*$B61,"")</f>
        <v/>
      </c>
      <c r="K61" s="39" t="str" cm="1">
        <f t="array" ref="K61">IFERROR(INDEX(Table_dim_price_recipe[Retail Price], MATCH(1, ("Calculator"&lt;&gt;Table_dim_price_recipe[Type.display])*($L61=Table_dim_price_recipe[Category])*($D61=Table_dim_price_recipe[Item Description]) * (K$6=Table_dim_price_recipe[Type])*(Table_dim_price_recipe[Retail Price]&lt;&gt;0)*($C61=Table_dim_price_recipe[Subcategory]), 0))*$B61,"")</f>
        <v/>
      </c>
      <c r="L61" s="39" t="str" cm="1">
        <f t="array" ref="L61">IF($A61&lt;&gt;"", $A61, LOOKUP(2, 1/((A$7:INDEX(A:A, ROW()))&lt;&gt;""), A$7:INDEX(A:A, ROW())))</f>
        <v>FOOTINGS</v>
      </c>
    </row>
    <row r="62" spans="1:12">
      <c r="A62" s="263"/>
      <c r="B62" s="263"/>
      <c r="C62" s="263" t="s">
        <v>207</v>
      </c>
      <c r="D62" s="263" t="s">
        <v>219</v>
      </c>
      <c r="E62" s="263"/>
      <c r="F62" s="263"/>
      <c r="G62" s="39" cm="1">
        <f t="array" ref="G62">IFERROR(INDEX(Table_dim_price_recipe[Retail Price], MATCH(1, ("Calculator"&lt;&gt;Table_dim_price_recipe[Type.display])*($L62=Table_dim_price_recipe[Category])*($D62=Table_dim_price_recipe[Item Description]) * (G$6=Table_dim_price_recipe[Type])*(Table_dim_price_recipe[Retail Price]&lt;&gt;0)*($C62=Table_dim_price_recipe[Subcategory]), 0))*$B62,"")</f>
        <v>0</v>
      </c>
      <c r="H62" s="39" t="str" cm="1">
        <f t="array" ref="H62">IFERROR(INDEX(Table_dim_price_recipe[Retail Price], MATCH(1, ("Calculator"&lt;&gt;Table_dim_price_recipe[Type.display])*($L62=Table_dim_price_recipe[Category])*($D62=Table_dim_price_recipe[Item Description]) * (H$6=Table_dim_price_recipe[Type])*(Table_dim_price_recipe[Retail Price]&lt;&gt;0)*($C62=Table_dim_price_recipe[Subcategory]), 0))*$B62,"")</f>
        <v/>
      </c>
      <c r="I62" s="39" t="str" cm="1">
        <f t="array" ref="I62">IFERROR(INDEX(Table_dim_price_recipe[Retail Price], MATCH(1, ("Calculator"&lt;&gt;Table_dim_price_recipe[Type.display])*($L62=Table_dim_price_recipe[Category])*($D62=Table_dim_price_recipe[Item Description]) * (I$6=Table_dim_price_recipe[Type])*(Table_dim_price_recipe[Retail Price]&lt;&gt;0)*($C62=Table_dim_price_recipe[Subcategory]), 0))*$B62,"")</f>
        <v/>
      </c>
      <c r="J62" s="39" t="str" cm="1">
        <f t="array" ref="J62">IFERROR(INDEX(Table_dim_price_recipe[Retail Price], MATCH(1, ("Calculator"&lt;&gt;Table_dim_price_recipe[Type.display])*($L62=Table_dim_price_recipe[Category])*($D62=Table_dim_price_recipe[Item Description]) * (J$6=Table_dim_price_recipe[Type])*(Table_dim_price_recipe[Retail Price]&lt;&gt;0)*($C62=Table_dim_price_recipe[Subcategory]), 0))*$B62,"")</f>
        <v/>
      </c>
      <c r="K62" s="39" t="str" cm="1">
        <f t="array" ref="K62">IFERROR(INDEX(Table_dim_price_recipe[Retail Price], MATCH(1, ("Calculator"&lt;&gt;Table_dim_price_recipe[Type.display])*($L62=Table_dim_price_recipe[Category])*($D62=Table_dim_price_recipe[Item Description]) * (K$6=Table_dim_price_recipe[Type])*(Table_dim_price_recipe[Retail Price]&lt;&gt;0)*($C62=Table_dim_price_recipe[Subcategory]), 0))*$B62,"")</f>
        <v/>
      </c>
      <c r="L62" s="39" t="str" cm="1">
        <f t="array" ref="L62">IF($A62&lt;&gt;"", $A62, LOOKUP(2, 1/((A$7:INDEX(A:A, ROW()))&lt;&gt;""), A$7:INDEX(A:A, ROW())))</f>
        <v>FOOTINGS</v>
      </c>
    </row>
    <row r="63" spans="1:12">
      <c r="A63" s="263"/>
      <c r="B63" s="263"/>
      <c r="C63" s="263" t="s">
        <v>207</v>
      </c>
      <c r="D63" s="263" t="s">
        <v>223</v>
      </c>
      <c r="E63" s="263"/>
      <c r="F63" s="263"/>
      <c r="G63" s="39" cm="1">
        <f t="array" ref="G63">IFERROR(INDEX(Table_dim_price_recipe[Retail Price], MATCH(1, ("Calculator"&lt;&gt;Table_dim_price_recipe[Type.display])*($L63=Table_dim_price_recipe[Category])*($D63=Table_dim_price_recipe[Item Description]) * (G$6=Table_dim_price_recipe[Type])*(Table_dim_price_recipe[Retail Price]&lt;&gt;0)*($C63=Table_dim_price_recipe[Subcategory]), 0))*$B63,"")</f>
        <v>0</v>
      </c>
      <c r="H63" s="39" t="str" cm="1">
        <f t="array" ref="H63">IFERROR(INDEX(Table_dim_price_recipe[Retail Price], MATCH(1, ("Calculator"&lt;&gt;Table_dim_price_recipe[Type.display])*($L63=Table_dim_price_recipe[Category])*($D63=Table_dim_price_recipe[Item Description]) * (H$6=Table_dim_price_recipe[Type])*(Table_dim_price_recipe[Retail Price]&lt;&gt;0)*($C63=Table_dim_price_recipe[Subcategory]), 0))*$B63,"")</f>
        <v/>
      </c>
      <c r="I63" s="39" t="str" cm="1">
        <f t="array" ref="I63">IFERROR(INDEX(Table_dim_price_recipe[Retail Price], MATCH(1, ("Calculator"&lt;&gt;Table_dim_price_recipe[Type.display])*($L63=Table_dim_price_recipe[Category])*($D63=Table_dim_price_recipe[Item Description]) * (I$6=Table_dim_price_recipe[Type])*(Table_dim_price_recipe[Retail Price]&lt;&gt;0)*($C63=Table_dim_price_recipe[Subcategory]), 0))*$B63,"")</f>
        <v/>
      </c>
      <c r="J63" s="39" t="str" cm="1">
        <f t="array" ref="J63">IFERROR(INDEX(Table_dim_price_recipe[Retail Price], MATCH(1, ("Calculator"&lt;&gt;Table_dim_price_recipe[Type.display])*($L63=Table_dim_price_recipe[Category])*($D63=Table_dim_price_recipe[Item Description]) * (J$6=Table_dim_price_recipe[Type])*(Table_dim_price_recipe[Retail Price]&lt;&gt;0)*($C63=Table_dim_price_recipe[Subcategory]), 0))*$B63,"")</f>
        <v/>
      </c>
      <c r="K63" s="39" t="str" cm="1">
        <f t="array" ref="K63">IFERROR(INDEX(Table_dim_price_recipe[Retail Price], MATCH(1, ("Calculator"&lt;&gt;Table_dim_price_recipe[Type.display])*($L63=Table_dim_price_recipe[Category])*($D63=Table_dim_price_recipe[Item Description]) * (K$6=Table_dim_price_recipe[Type])*(Table_dim_price_recipe[Retail Price]&lt;&gt;0)*($C63=Table_dim_price_recipe[Subcategory]), 0))*$B63,"")</f>
        <v/>
      </c>
      <c r="L63" s="39" t="str" cm="1">
        <f t="array" ref="L63">IF($A63&lt;&gt;"", $A63, LOOKUP(2, 1/((A$7:INDEX(A:A, ROW()))&lt;&gt;""), A$7:INDEX(A:A, ROW())))</f>
        <v>FOOTINGS</v>
      </c>
    </row>
    <row r="64" spans="1:12">
      <c r="A64" s="263"/>
      <c r="B64" s="263"/>
      <c r="C64" s="263" t="s">
        <v>207</v>
      </c>
      <c r="D64" s="263" t="s">
        <v>224</v>
      </c>
      <c r="E64" s="263"/>
      <c r="F64" s="263"/>
      <c r="G64" s="39" cm="1">
        <f t="array" ref="G64">IFERROR(INDEX(Table_dim_price_recipe[Retail Price], MATCH(1, ("Calculator"&lt;&gt;Table_dim_price_recipe[Type.display])*($L64=Table_dim_price_recipe[Category])*($D64=Table_dim_price_recipe[Item Description]) * (G$6=Table_dim_price_recipe[Type])*(Table_dim_price_recipe[Retail Price]&lt;&gt;0)*($C64=Table_dim_price_recipe[Subcategory]), 0))*$B64,"")</f>
        <v>0</v>
      </c>
      <c r="H64" s="39" t="str" cm="1">
        <f t="array" ref="H64">IFERROR(INDEX(Table_dim_price_recipe[Retail Price], MATCH(1, ("Calculator"&lt;&gt;Table_dim_price_recipe[Type.display])*($L64=Table_dim_price_recipe[Category])*($D64=Table_dim_price_recipe[Item Description]) * (H$6=Table_dim_price_recipe[Type])*(Table_dim_price_recipe[Retail Price]&lt;&gt;0)*($C64=Table_dim_price_recipe[Subcategory]), 0))*$B64,"")</f>
        <v/>
      </c>
      <c r="I64" s="39" t="str" cm="1">
        <f t="array" ref="I64">IFERROR(INDEX(Table_dim_price_recipe[Retail Price], MATCH(1, ("Calculator"&lt;&gt;Table_dim_price_recipe[Type.display])*($L64=Table_dim_price_recipe[Category])*($D64=Table_dim_price_recipe[Item Description]) * (I$6=Table_dim_price_recipe[Type])*(Table_dim_price_recipe[Retail Price]&lt;&gt;0)*($C64=Table_dim_price_recipe[Subcategory]), 0))*$B64,"")</f>
        <v/>
      </c>
      <c r="J64" s="39" t="str" cm="1">
        <f t="array" ref="J64">IFERROR(INDEX(Table_dim_price_recipe[Retail Price], MATCH(1, ("Calculator"&lt;&gt;Table_dim_price_recipe[Type.display])*($L64=Table_dim_price_recipe[Category])*($D64=Table_dim_price_recipe[Item Description]) * (J$6=Table_dim_price_recipe[Type])*(Table_dim_price_recipe[Retail Price]&lt;&gt;0)*($C64=Table_dim_price_recipe[Subcategory]), 0))*$B64,"")</f>
        <v/>
      </c>
      <c r="K64" s="39" t="str" cm="1">
        <f t="array" ref="K64">IFERROR(INDEX(Table_dim_price_recipe[Retail Price], MATCH(1, ("Calculator"&lt;&gt;Table_dim_price_recipe[Type.display])*($L64=Table_dim_price_recipe[Category])*($D64=Table_dim_price_recipe[Item Description]) * (K$6=Table_dim_price_recipe[Type])*(Table_dim_price_recipe[Retail Price]&lt;&gt;0)*($C64=Table_dim_price_recipe[Subcategory]), 0))*$B64,"")</f>
        <v/>
      </c>
      <c r="L64" s="39" t="str" cm="1">
        <f t="array" ref="L64">IF($A64&lt;&gt;"", $A64, LOOKUP(2, 1/((A$7:INDEX(A:A, ROW()))&lt;&gt;""), A$7:INDEX(A:A, ROW())))</f>
        <v>FOOTINGS</v>
      </c>
    </row>
    <row r="65" spans="1:13">
      <c r="A65" s="263"/>
      <c r="B65" s="263"/>
      <c r="C65" s="263" t="s">
        <v>207</v>
      </c>
      <c r="D65" s="263"/>
      <c r="E65" s="263"/>
      <c r="F65" s="263"/>
      <c r="G65" s="39" t="str" cm="1">
        <f t="array" ref="G65">IFERROR(INDEX(Table_dim_price_recipe[Retail Price], MATCH(1, ("Calculator"&lt;&gt;Table_dim_price_recipe[Type.display])*($L65=Table_dim_price_recipe[Category])*($D65=Table_dim_price_recipe[Item Description]) * (G$6=Table_dim_price_recipe[Type])*(Table_dim_price_recipe[Retail Price]&lt;&gt;0)*($C65=Table_dim_price_recipe[Subcategory]), 0))*$B65,"")</f>
        <v/>
      </c>
      <c r="H65" s="39" t="str" cm="1">
        <f t="array" ref="H65">IFERROR(INDEX(Table_dim_price_recipe[Retail Price], MATCH(1, ("Calculator"&lt;&gt;Table_dim_price_recipe[Type.display])*($L65=Table_dim_price_recipe[Category])*($D65=Table_dim_price_recipe[Item Description]) * (H$6=Table_dim_price_recipe[Type])*(Table_dim_price_recipe[Retail Price]&lt;&gt;0)*($C65=Table_dim_price_recipe[Subcategory]), 0))*$B65,"")</f>
        <v/>
      </c>
      <c r="I65" s="39" t="str" cm="1">
        <f t="array" ref="I65">IFERROR(INDEX(Table_dim_price_recipe[Retail Price], MATCH(1, ("Calculator"&lt;&gt;Table_dim_price_recipe[Type.display])*($L65=Table_dim_price_recipe[Category])*($D65=Table_dim_price_recipe[Item Description]) * (I$6=Table_dim_price_recipe[Type])*(Table_dim_price_recipe[Retail Price]&lt;&gt;0)*($C65=Table_dim_price_recipe[Subcategory]), 0))*$B65,"")</f>
        <v/>
      </c>
      <c r="J65" s="39" t="str" cm="1">
        <f t="array" ref="J65">IFERROR(INDEX(Table_dim_price_recipe[Retail Price], MATCH(1, ("Calculator"&lt;&gt;Table_dim_price_recipe[Type.display])*($L65=Table_dim_price_recipe[Category])*($D65=Table_dim_price_recipe[Item Description]) * (J$6=Table_dim_price_recipe[Type])*(Table_dim_price_recipe[Retail Price]&lt;&gt;0)*($C65=Table_dim_price_recipe[Subcategory]), 0))*$B65,"")</f>
        <v/>
      </c>
      <c r="K65" s="39" t="str" cm="1">
        <f t="array" ref="K65">IFERROR(INDEX(Table_dim_price_recipe[Retail Price], MATCH(1, ("Calculator"&lt;&gt;Table_dim_price_recipe[Type.display])*($L65=Table_dim_price_recipe[Category])*($D65=Table_dim_price_recipe[Item Description]) * (K$6=Table_dim_price_recipe[Type])*(Table_dim_price_recipe[Retail Price]&lt;&gt;0)*($C65=Table_dim_price_recipe[Subcategory]), 0))*$B65,"")</f>
        <v/>
      </c>
      <c r="L65" s="39" t="str" cm="1">
        <f t="array" ref="L65">IF($A65&lt;&gt;"", $A65, LOOKUP(2, 1/((A$7:INDEX(A:A, ROW()))&lt;&gt;""), A$7:INDEX(A:A, ROW())))</f>
        <v>FOOTINGS</v>
      </c>
    </row>
    <row r="66" spans="1:13">
      <c r="A66" s="263"/>
      <c r="B66" s="263"/>
      <c r="C66" s="263" t="s">
        <v>207</v>
      </c>
      <c r="D66" s="263"/>
      <c r="E66" s="263"/>
      <c r="F66" s="263"/>
      <c r="G66" s="39" t="str" cm="1">
        <f t="array" ref="G66">IFERROR(INDEX(Table_dim_price_recipe[Retail Price], MATCH(1, ("Calculator"&lt;&gt;Table_dim_price_recipe[Type.display])*($L66=Table_dim_price_recipe[Category])*($D66=Table_dim_price_recipe[Item Description]) * (G$6=Table_dim_price_recipe[Type])*(Table_dim_price_recipe[Retail Price]&lt;&gt;0)*($C66=Table_dim_price_recipe[Subcategory]), 0))*$B66,"")</f>
        <v/>
      </c>
      <c r="H66" s="39" t="str" cm="1">
        <f t="array" ref="H66">IFERROR(INDEX(Table_dim_price_recipe[Retail Price], MATCH(1, ("Calculator"&lt;&gt;Table_dim_price_recipe[Type.display])*($L66=Table_dim_price_recipe[Category])*($D66=Table_dim_price_recipe[Item Description]) * (H$6=Table_dim_price_recipe[Type])*(Table_dim_price_recipe[Retail Price]&lt;&gt;0)*($C66=Table_dim_price_recipe[Subcategory]), 0))*$B66,"")</f>
        <v/>
      </c>
      <c r="I66" s="39" t="str" cm="1">
        <f t="array" ref="I66">IFERROR(INDEX(Table_dim_price_recipe[Retail Price], MATCH(1, ("Calculator"&lt;&gt;Table_dim_price_recipe[Type.display])*($L66=Table_dim_price_recipe[Category])*($D66=Table_dim_price_recipe[Item Description]) * (I$6=Table_dim_price_recipe[Type])*(Table_dim_price_recipe[Retail Price]&lt;&gt;0)*($C66=Table_dim_price_recipe[Subcategory]), 0))*$B66,"")</f>
        <v/>
      </c>
      <c r="J66" s="39" t="str" cm="1">
        <f t="array" ref="J66">IFERROR(INDEX(Table_dim_price_recipe[Retail Price], MATCH(1, ("Calculator"&lt;&gt;Table_dim_price_recipe[Type.display])*($L66=Table_dim_price_recipe[Category])*($D66=Table_dim_price_recipe[Item Description]) * (J$6=Table_dim_price_recipe[Type])*(Table_dim_price_recipe[Retail Price]&lt;&gt;0)*($C66=Table_dim_price_recipe[Subcategory]), 0))*$B66,"")</f>
        <v/>
      </c>
      <c r="K66" s="39" t="str" cm="1">
        <f t="array" ref="K66">IFERROR(INDEX(Table_dim_price_recipe[Retail Price], MATCH(1, ("Calculator"&lt;&gt;Table_dim_price_recipe[Type.display])*($L66=Table_dim_price_recipe[Category])*($D66=Table_dim_price_recipe[Item Description]) * (K$6=Table_dim_price_recipe[Type])*(Table_dim_price_recipe[Retail Price]&lt;&gt;0)*($C66=Table_dim_price_recipe[Subcategory]), 0))*$B66,"")</f>
        <v/>
      </c>
      <c r="L66" s="39" t="str" cm="1">
        <f t="array" ref="L66">IF($A66&lt;&gt;"", $A66, LOOKUP(2, 1/((A$7:INDEX(A:A, ROW()))&lt;&gt;""), A$7:INDEX(A:A, ROW())))</f>
        <v>FOOTINGS</v>
      </c>
    </row>
    <row r="67" spans="1:13">
      <c r="A67" s="263"/>
      <c r="B67" s="263"/>
      <c r="C67" s="263" t="s">
        <v>16</v>
      </c>
      <c r="D67" s="263" t="s">
        <v>21</v>
      </c>
      <c r="E67" s="263"/>
      <c r="F67" s="263"/>
      <c r="G67" s="39" cm="1">
        <f t="array" ref="G67">IFERROR(INDEX(Table_dim_price_recipe[Retail Price], MATCH(1, ("Calculator"&lt;&gt;Table_dim_price_recipe[Type.display])*($L67=Table_dim_price_recipe[Category])*($D67=Table_dim_price_recipe[Item Description]) * (G$6=Table_dim_price_recipe[Type])*(Table_dim_price_recipe[Retail Price]&lt;&gt;0)*($C67=Table_dim_price_recipe[Subcategory]), 0))*$B67,"")</f>
        <v>0</v>
      </c>
      <c r="H67" s="39" t="str" cm="1">
        <f t="array" ref="H67">IFERROR(INDEX(Table_dim_price_recipe[Retail Price], MATCH(1, ("Calculator"&lt;&gt;Table_dim_price_recipe[Type.display])*($L67=Table_dim_price_recipe[Category])*($D67=Table_dim_price_recipe[Item Description]) * (H$6=Table_dim_price_recipe[Type])*(Table_dim_price_recipe[Retail Price]&lt;&gt;0)*($C67=Table_dim_price_recipe[Subcategory]), 0))*$B67,"")</f>
        <v/>
      </c>
      <c r="I67" s="39" t="str" cm="1">
        <f t="array" ref="I67">IFERROR(INDEX(Table_dim_price_recipe[Retail Price], MATCH(1, ("Calculator"&lt;&gt;Table_dim_price_recipe[Type.display])*($L67=Table_dim_price_recipe[Category])*($D67=Table_dim_price_recipe[Item Description]) * (I$6=Table_dim_price_recipe[Type])*(Table_dim_price_recipe[Retail Price]&lt;&gt;0)*($C67=Table_dim_price_recipe[Subcategory]), 0))*$B67,"")</f>
        <v/>
      </c>
      <c r="J67" s="39" t="str" cm="1">
        <f t="array" ref="J67">IFERROR(INDEX(Table_dim_price_recipe[Retail Price], MATCH(1, ("Calculator"&lt;&gt;Table_dim_price_recipe[Type.display])*($L67=Table_dim_price_recipe[Category])*($D67=Table_dim_price_recipe[Item Description]) * (J$6=Table_dim_price_recipe[Type])*(Table_dim_price_recipe[Retail Price]&lt;&gt;0)*($C67=Table_dim_price_recipe[Subcategory]), 0))*$B67,"")</f>
        <v/>
      </c>
      <c r="K67" s="39" t="str" cm="1">
        <f t="array" ref="K67">IFERROR(INDEX(Table_dim_price_recipe[Retail Price], MATCH(1, ("Calculator"&lt;&gt;Table_dim_price_recipe[Type.display])*($L67=Table_dim_price_recipe[Category])*($D67=Table_dim_price_recipe[Item Description]) * (K$6=Table_dim_price_recipe[Type])*(Table_dim_price_recipe[Retail Price]&lt;&gt;0)*($C67=Table_dim_price_recipe[Subcategory]), 0))*$B67,"")</f>
        <v/>
      </c>
      <c r="L67" s="39" t="str" cm="1">
        <f t="array" ref="L67">IF($A67&lt;&gt;"", $A67, LOOKUP(2, 1/((A$7:INDEX(A:A, ROW()))&lt;&gt;""), A$7:INDEX(A:A, ROW())))</f>
        <v>FOOTINGS</v>
      </c>
    </row>
    <row r="68" spans="1:13">
      <c r="A68" s="263"/>
      <c r="B68" s="263"/>
      <c r="C68" s="263" t="s">
        <v>16</v>
      </c>
      <c r="D68" s="263" t="s">
        <v>206</v>
      </c>
      <c r="E68" s="263"/>
      <c r="F68" s="263"/>
      <c r="G68" s="39" cm="1">
        <f t="array" ref="G68">IFERROR(INDEX(Table_dim_price_recipe[Retail Price], MATCH(1, ("Calculator"&lt;&gt;Table_dim_price_recipe[Type.display])*($L68=Table_dim_price_recipe[Category])*($D68=Table_dim_price_recipe[Item Description]) * (G$6=Table_dim_price_recipe[Type])*(Table_dim_price_recipe[Retail Price]&lt;&gt;0)*($C68=Table_dim_price_recipe[Subcategory]), 0))*$B68,"")</f>
        <v>0</v>
      </c>
      <c r="H68" s="39" t="str" cm="1">
        <f t="array" ref="H68">IFERROR(INDEX(Table_dim_price_recipe[Retail Price], MATCH(1, ("Calculator"&lt;&gt;Table_dim_price_recipe[Type.display])*($L68=Table_dim_price_recipe[Category])*($D68=Table_dim_price_recipe[Item Description]) * (H$6=Table_dim_price_recipe[Type])*(Table_dim_price_recipe[Retail Price]&lt;&gt;0)*($C68=Table_dim_price_recipe[Subcategory]), 0))*$B68,"")</f>
        <v/>
      </c>
      <c r="I68" s="39" t="str" cm="1">
        <f t="array" ref="I68">IFERROR(INDEX(Table_dim_price_recipe[Retail Price], MATCH(1, ("Calculator"&lt;&gt;Table_dim_price_recipe[Type.display])*($L68=Table_dim_price_recipe[Category])*($D68=Table_dim_price_recipe[Item Description]) * (I$6=Table_dim_price_recipe[Type])*(Table_dim_price_recipe[Retail Price]&lt;&gt;0)*($C68=Table_dim_price_recipe[Subcategory]), 0))*$B68,"")</f>
        <v/>
      </c>
      <c r="J68" s="39" t="str" cm="1">
        <f t="array" ref="J68">IFERROR(INDEX(Table_dim_price_recipe[Retail Price], MATCH(1, ("Calculator"&lt;&gt;Table_dim_price_recipe[Type.display])*($L68=Table_dim_price_recipe[Category])*($D68=Table_dim_price_recipe[Item Description]) * (J$6=Table_dim_price_recipe[Type])*(Table_dim_price_recipe[Retail Price]&lt;&gt;0)*($C68=Table_dim_price_recipe[Subcategory]), 0))*$B68,"")</f>
        <v/>
      </c>
      <c r="K68" s="39" t="str" cm="1">
        <f t="array" ref="K68">IFERROR(INDEX(Table_dim_price_recipe[Retail Price], MATCH(1, ("Calculator"&lt;&gt;Table_dim_price_recipe[Type.display])*($L68=Table_dim_price_recipe[Category])*($D68=Table_dim_price_recipe[Item Description]) * (K$6=Table_dim_price_recipe[Type])*(Table_dim_price_recipe[Retail Price]&lt;&gt;0)*($C68=Table_dim_price_recipe[Subcategory]), 0))*$B68,"")</f>
        <v/>
      </c>
      <c r="L68" s="39" t="str" cm="1">
        <f t="array" ref="L68">IF($A68&lt;&gt;"", $A68, LOOKUP(2, 1/((A$7:INDEX(A:A, ROW()))&lt;&gt;""), A$7:INDEX(A:A, ROW())))</f>
        <v>FOOTINGS</v>
      </c>
    </row>
    <row r="69" spans="1:13">
      <c r="A69" s="263"/>
      <c r="B69" s="263"/>
      <c r="C69" s="263" t="s">
        <v>16</v>
      </c>
      <c r="D69" s="263" t="s">
        <v>19</v>
      </c>
      <c r="E69" s="263"/>
      <c r="F69" s="263"/>
      <c r="G69" s="39" cm="1">
        <f t="array" ref="G69">IFERROR(INDEX(Table_dim_price_recipe[Retail Price], MATCH(1, ("Calculator"&lt;&gt;Table_dim_price_recipe[Type.display])*($L69=Table_dim_price_recipe[Category])*($D69=Table_dim_price_recipe[Item Description]) * (G$6=Table_dim_price_recipe[Type])*(Table_dim_price_recipe[Retail Price]&lt;&gt;0)*($C69=Table_dim_price_recipe[Subcategory]), 0))*$B69,"")</f>
        <v>0</v>
      </c>
      <c r="H69" s="39" t="str" cm="1">
        <f t="array" ref="H69">IFERROR(INDEX(Table_dim_price_recipe[Retail Price], MATCH(1, ("Calculator"&lt;&gt;Table_dim_price_recipe[Type.display])*($L69=Table_dim_price_recipe[Category])*($D69=Table_dim_price_recipe[Item Description]) * (H$6=Table_dim_price_recipe[Type])*(Table_dim_price_recipe[Retail Price]&lt;&gt;0)*($C69=Table_dim_price_recipe[Subcategory]), 0))*$B69,"")</f>
        <v/>
      </c>
      <c r="I69" s="39" t="str" cm="1">
        <f t="array" ref="I69">IFERROR(INDEX(Table_dim_price_recipe[Retail Price], MATCH(1, ("Calculator"&lt;&gt;Table_dim_price_recipe[Type.display])*($L69=Table_dim_price_recipe[Category])*($D69=Table_dim_price_recipe[Item Description]) * (I$6=Table_dim_price_recipe[Type])*(Table_dim_price_recipe[Retail Price]&lt;&gt;0)*($C69=Table_dim_price_recipe[Subcategory]), 0))*$B69,"")</f>
        <v/>
      </c>
      <c r="J69" s="39" t="str" cm="1">
        <f t="array" ref="J69">IFERROR(INDEX(Table_dim_price_recipe[Retail Price], MATCH(1, ("Calculator"&lt;&gt;Table_dim_price_recipe[Type.display])*($L69=Table_dim_price_recipe[Category])*($D69=Table_dim_price_recipe[Item Description]) * (J$6=Table_dim_price_recipe[Type])*(Table_dim_price_recipe[Retail Price]&lt;&gt;0)*($C69=Table_dim_price_recipe[Subcategory]), 0))*$B69,"")</f>
        <v/>
      </c>
      <c r="K69" s="39" t="str" cm="1">
        <f t="array" ref="K69">IFERROR(INDEX(Table_dim_price_recipe[Retail Price], MATCH(1, ("Calculator"&lt;&gt;Table_dim_price_recipe[Type.display])*($L69=Table_dim_price_recipe[Category])*($D69=Table_dim_price_recipe[Item Description]) * (K$6=Table_dim_price_recipe[Type])*(Table_dim_price_recipe[Retail Price]&lt;&gt;0)*($C69=Table_dim_price_recipe[Subcategory]), 0))*$B69,"")</f>
        <v/>
      </c>
      <c r="L69" s="39" t="str" cm="1">
        <f t="array" ref="L69">IF($A69&lt;&gt;"", $A69, LOOKUP(2, 1/((A$7:INDEX(A:A, ROW()))&lt;&gt;""), A$7:INDEX(A:A, ROW())))</f>
        <v>FOOTINGS</v>
      </c>
    </row>
    <row r="70" spans="1:13">
      <c r="A70" s="263"/>
      <c r="B70" s="263"/>
      <c r="C70" s="263" t="s">
        <v>16</v>
      </c>
      <c r="D70" s="263" t="s">
        <v>205</v>
      </c>
      <c r="E70" s="263"/>
      <c r="F70" s="263"/>
      <c r="G70" s="39" cm="1">
        <f t="array" ref="G70">IFERROR(INDEX(Table_dim_price_recipe[Retail Price], MATCH(1, ("Calculator"&lt;&gt;Table_dim_price_recipe[Type.display])*($L70=Table_dim_price_recipe[Category])*($D70=Table_dim_price_recipe[Item Description]) * (G$6=Table_dim_price_recipe[Type])*(Table_dim_price_recipe[Retail Price]&lt;&gt;0)*($C70=Table_dim_price_recipe[Subcategory]), 0))*$B70,"")</f>
        <v>0</v>
      </c>
      <c r="H70" s="39" t="str" cm="1">
        <f t="array" ref="H70">IFERROR(INDEX(Table_dim_price_recipe[Retail Price], MATCH(1, ("Calculator"&lt;&gt;Table_dim_price_recipe[Type.display])*($L70=Table_dim_price_recipe[Category])*($D70=Table_dim_price_recipe[Item Description]) * (H$6=Table_dim_price_recipe[Type])*(Table_dim_price_recipe[Retail Price]&lt;&gt;0)*($C70=Table_dim_price_recipe[Subcategory]), 0))*$B70,"")</f>
        <v/>
      </c>
      <c r="I70" s="39" t="str" cm="1">
        <f t="array" ref="I70">IFERROR(INDEX(Table_dim_price_recipe[Retail Price], MATCH(1, ("Calculator"&lt;&gt;Table_dim_price_recipe[Type.display])*($L70=Table_dim_price_recipe[Category])*($D70=Table_dim_price_recipe[Item Description]) * (I$6=Table_dim_price_recipe[Type])*(Table_dim_price_recipe[Retail Price]&lt;&gt;0)*($C70=Table_dim_price_recipe[Subcategory]), 0))*$B70,"")</f>
        <v/>
      </c>
      <c r="J70" s="39" t="str" cm="1">
        <f t="array" ref="J70">IFERROR(INDEX(Table_dim_price_recipe[Retail Price], MATCH(1, ("Calculator"&lt;&gt;Table_dim_price_recipe[Type.display])*($L70=Table_dim_price_recipe[Category])*($D70=Table_dim_price_recipe[Item Description]) * (J$6=Table_dim_price_recipe[Type])*(Table_dim_price_recipe[Retail Price]&lt;&gt;0)*($C70=Table_dim_price_recipe[Subcategory]), 0))*$B70,"")</f>
        <v/>
      </c>
      <c r="K70" s="39" t="str" cm="1">
        <f t="array" ref="K70">IFERROR(INDEX(Table_dim_price_recipe[Retail Price], MATCH(1, ("Calculator"&lt;&gt;Table_dim_price_recipe[Type.display])*($L70=Table_dim_price_recipe[Category])*($D70=Table_dim_price_recipe[Item Description]) * (K$6=Table_dim_price_recipe[Type])*(Table_dim_price_recipe[Retail Price]&lt;&gt;0)*($C70=Table_dim_price_recipe[Subcategory]), 0))*$B70,"")</f>
        <v/>
      </c>
      <c r="L70" s="39" t="str" cm="1">
        <f t="array" ref="L70">IF($A70&lt;&gt;"", $A70, LOOKUP(2, 1/((A$7:INDEX(A:A, ROW()))&lt;&gt;""), A$7:INDEX(A:A, ROW())))</f>
        <v>FOOTINGS</v>
      </c>
    </row>
    <row r="71" spans="1:13">
      <c r="A71" s="263"/>
      <c r="B71" s="263"/>
      <c r="C71" s="263" t="s">
        <v>16</v>
      </c>
      <c r="D71" s="263" t="s">
        <v>20</v>
      </c>
      <c r="E71" s="263"/>
      <c r="F71" s="263"/>
      <c r="G71" s="39" cm="1">
        <f t="array" ref="G71">IFERROR(INDEX(Table_dim_price_recipe[Retail Price], MATCH(1, ("Calculator"&lt;&gt;Table_dim_price_recipe[Type.display])*($L71=Table_dim_price_recipe[Category])*($D71=Table_dim_price_recipe[Item Description]) * (G$6=Table_dim_price_recipe[Type])*(Table_dim_price_recipe[Retail Price]&lt;&gt;0)*($C71=Table_dim_price_recipe[Subcategory]), 0))*$B71,"")</f>
        <v>0</v>
      </c>
      <c r="H71" s="39" t="str" cm="1">
        <f t="array" ref="H71">IFERROR(INDEX(Table_dim_price_recipe[Retail Price], MATCH(1, ("Calculator"&lt;&gt;Table_dim_price_recipe[Type.display])*($L71=Table_dim_price_recipe[Category])*($D71=Table_dim_price_recipe[Item Description]) * (H$6=Table_dim_price_recipe[Type])*(Table_dim_price_recipe[Retail Price]&lt;&gt;0)*($C71=Table_dim_price_recipe[Subcategory]), 0))*$B71,"")</f>
        <v/>
      </c>
      <c r="I71" s="39" t="str" cm="1">
        <f t="array" ref="I71">IFERROR(INDEX(Table_dim_price_recipe[Retail Price], MATCH(1, ("Calculator"&lt;&gt;Table_dim_price_recipe[Type.display])*($L71=Table_dim_price_recipe[Category])*($D71=Table_dim_price_recipe[Item Description]) * (I$6=Table_dim_price_recipe[Type])*(Table_dim_price_recipe[Retail Price]&lt;&gt;0)*($C71=Table_dim_price_recipe[Subcategory]), 0))*$B71,"")</f>
        <v/>
      </c>
      <c r="J71" s="39" t="str" cm="1">
        <f t="array" ref="J71">IFERROR(INDEX(Table_dim_price_recipe[Retail Price], MATCH(1, ("Calculator"&lt;&gt;Table_dim_price_recipe[Type.display])*($L71=Table_dim_price_recipe[Category])*($D71=Table_dim_price_recipe[Item Description]) * (J$6=Table_dim_price_recipe[Type])*(Table_dim_price_recipe[Retail Price]&lt;&gt;0)*($C71=Table_dim_price_recipe[Subcategory]), 0))*$B71,"")</f>
        <v/>
      </c>
      <c r="K71" s="39" t="str" cm="1">
        <f t="array" ref="K71">IFERROR(INDEX(Table_dim_price_recipe[Retail Price], MATCH(1, ("Calculator"&lt;&gt;Table_dim_price_recipe[Type.display])*($L71=Table_dim_price_recipe[Category])*($D71=Table_dim_price_recipe[Item Description]) * (K$6=Table_dim_price_recipe[Type])*(Table_dim_price_recipe[Retail Price]&lt;&gt;0)*($C71=Table_dim_price_recipe[Subcategory]), 0))*$B71,"")</f>
        <v/>
      </c>
      <c r="L71" s="39" t="str" cm="1">
        <f t="array" ref="L71">IF($A71&lt;&gt;"", $A71, LOOKUP(2, 1/((A$7:INDEX(A:A, ROW()))&lt;&gt;""), A$7:INDEX(A:A, ROW())))</f>
        <v>FOOTINGS</v>
      </c>
    </row>
    <row r="72" spans="1:13">
      <c r="A72" s="263"/>
      <c r="B72" s="263">
        <v>4</v>
      </c>
      <c r="C72" s="263" t="s">
        <v>16</v>
      </c>
      <c r="D72" s="263" t="s">
        <v>1364</v>
      </c>
      <c r="E72" s="263"/>
      <c r="F72" s="263"/>
      <c r="G72" s="39" cm="1">
        <f t="array" ref="G72">IFERROR(INDEX(Table_dim_price_recipe[Retail Price], MATCH(1, ("Calculator"&lt;&gt;Table_dim_price_recipe[Type.display])*($L72=Table_dim_price_recipe[Category])*($D72=Table_dim_price_recipe[Item Description]) * (G$6=Table_dim_price_recipe[Type])*(Table_dim_price_recipe[Retail Price]&lt;&gt;0)*($C72=Table_dim_price_recipe[Subcategory]), 0))*$B72,"")</f>
        <v>8.4352</v>
      </c>
      <c r="H72" s="39" t="str" cm="1">
        <f t="array" ref="H72">IFERROR(INDEX(Table_dim_price_recipe[Retail Price], MATCH(1, ("Calculator"&lt;&gt;Table_dim_price_recipe[Type.display])*($L72=Table_dim_price_recipe[Category])*($D72=Table_dim_price_recipe[Item Description]) * (H$6=Table_dim_price_recipe[Type])*(Table_dim_price_recipe[Retail Price]&lt;&gt;0)*($C72=Table_dim_price_recipe[Subcategory]), 0))*$B72,"")</f>
        <v/>
      </c>
      <c r="I72" s="39" t="str" cm="1">
        <f t="array" ref="I72">IFERROR(INDEX(Table_dim_price_recipe[Retail Price], MATCH(1, ("Calculator"&lt;&gt;Table_dim_price_recipe[Type.display])*($L72=Table_dim_price_recipe[Category])*($D72=Table_dim_price_recipe[Item Description]) * (I$6=Table_dim_price_recipe[Type])*(Table_dim_price_recipe[Retail Price]&lt;&gt;0)*($C72=Table_dim_price_recipe[Subcategory]), 0))*$B72,"")</f>
        <v/>
      </c>
      <c r="J72" s="39" t="str" cm="1">
        <f t="array" ref="J72">IFERROR(INDEX(Table_dim_price_recipe[Retail Price], MATCH(1, ("Calculator"&lt;&gt;Table_dim_price_recipe[Type.display])*($L72=Table_dim_price_recipe[Category])*($D72=Table_dim_price_recipe[Item Description]) * (J$6=Table_dim_price_recipe[Type])*(Table_dim_price_recipe[Retail Price]&lt;&gt;0)*($C72=Table_dim_price_recipe[Subcategory]), 0))*$B72,"")</f>
        <v/>
      </c>
      <c r="K72" s="39" cm="1">
        <f t="array" ref="K72">IFERROR(INDEX(Table_dim_price_recipe[Retail Price], MATCH(1, ("Calculator"&lt;&gt;Table_dim_price_recipe[Type.display])*($L72=Table_dim_price_recipe[Category])*($D72=Table_dim_price_recipe[Item Description]) * (K$6=Table_dim_price_recipe[Type])*(Table_dim_price_recipe[Retail Price]&lt;&gt;0)*($C72=Table_dim_price_recipe[Subcategory]), 0))*$B72,"")</f>
        <v>106.55999999999999</v>
      </c>
      <c r="L72" s="39" t="str" cm="1">
        <f t="array" ref="L72">IF($A72&lt;&gt;"", $A72, LOOKUP(2, 1/((A$7:INDEX(A:A, ROW()))&lt;&gt;""), A$7:INDEX(A:A, ROW())))</f>
        <v>FOOTINGS</v>
      </c>
    </row>
    <row r="73" spans="1:13">
      <c r="A73" s="263"/>
      <c r="B73" s="263">
        <v>1</v>
      </c>
      <c r="C73" s="263" t="s">
        <v>16</v>
      </c>
      <c r="D73" s="263" t="s">
        <v>1395</v>
      </c>
      <c r="E73" s="263"/>
      <c r="F73" s="263"/>
      <c r="G73" s="39" cm="1">
        <f t="array" ref="G73">IFERROR(INDEX(Table_dim_price_recipe[Retail Price], MATCH(1, ("Calculator"&lt;&gt;Table_dim_price_recipe[Type.display])*($L73=Table_dim_price_recipe[Category])*($D73=Table_dim_price_recipe[Item Description]) * (G$6=Table_dim_price_recipe[Type])*(Table_dim_price_recipe[Retail Price]&lt;&gt;0)*($C73=Table_dim_price_recipe[Subcategory]), 0))*$B73,"")</f>
        <v>2.1088</v>
      </c>
      <c r="H73" s="39" t="str" cm="1">
        <f t="array" ref="H73">IFERROR(INDEX(Table_dim_price_recipe[Retail Price], MATCH(1, ("Calculator"&lt;&gt;Table_dim_price_recipe[Type.display])*($L73=Table_dim_price_recipe[Category])*($D73=Table_dim_price_recipe[Item Description]) * (H$6=Table_dim_price_recipe[Type])*(Table_dim_price_recipe[Retail Price]&lt;&gt;0)*($C73=Table_dim_price_recipe[Subcategory]), 0))*$B73,"")</f>
        <v/>
      </c>
      <c r="I73" s="39" t="str" cm="1">
        <f t="array" ref="I73">IFERROR(INDEX(Table_dim_price_recipe[Retail Price], MATCH(1, ("Calculator"&lt;&gt;Table_dim_price_recipe[Type.display])*($L73=Table_dim_price_recipe[Category])*($D73=Table_dim_price_recipe[Item Description]) * (I$6=Table_dim_price_recipe[Type])*(Table_dim_price_recipe[Retail Price]&lt;&gt;0)*($C73=Table_dim_price_recipe[Subcategory]), 0))*$B73,"")</f>
        <v/>
      </c>
      <c r="J73" s="39" t="str" cm="1">
        <f t="array" ref="J73">IFERROR(INDEX(Table_dim_price_recipe[Retail Price], MATCH(1, ("Calculator"&lt;&gt;Table_dim_price_recipe[Type.display])*($L73=Table_dim_price_recipe[Category])*($D73=Table_dim_price_recipe[Item Description]) * (J$6=Table_dim_price_recipe[Type])*(Table_dim_price_recipe[Retail Price]&lt;&gt;0)*($C73=Table_dim_price_recipe[Subcategory]), 0))*$B73,"")</f>
        <v/>
      </c>
      <c r="K73" s="39" cm="1">
        <f t="array" ref="K73">IFERROR(INDEX(Table_dim_price_recipe[Retail Price], MATCH(1, ("Calculator"&lt;&gt;Table_dim_price_recipe[Type.display])*($L73=Table_dim_price_recipe[Category])*($D73=Table_dim_price_recipe[Item Description]) * (K$6=Table_dim_price_recipe[Type])*(Table_dim_price_recipe[Retail Price]&lt;&gt;0)*($C73=Table_dim_price_recipe[Subcategory]), 0))*$B73,"")</f>
        <v>28.639999999999997</v>
      </c>
      <c r="L73" s="39" t="str" cm="1">
        <f t="array" ref="L73">IF($A73&lt;&gt;"", $A73, LOOKUP(2, 1/((A$7:INDEX(A:A, ROW()))&lt;&gt;""), A$7:INDEX(A:A, ROW())))</f>
        <v>FOOTINGS</v>
      </c>
    </row>
    <row r="74" spans="1:13">
      <c r="A74" s="263"/>
      <c r="B74" s="263"/>
      <c r="C74" s="263" t="s">
        <v>16</v>
      </c>
      <c r="D74" s="263"/>
      <c r="E74" s="263"/>
      <c r="F74" s="263"/>
      <c r="G74" s="39" t="str" cm="1">
        <f t="array" ref="G74">IFERROR(INDEX(Table_dim_price_recipe[Retail Price], MATCH(1, ("Calculator"&lt;&gt;Table_dim_price_recipe[Type.display])*($L74=Table_dim_price_recipe[Category])*($D74=Table_dim_price_recipe[Item Description]) * (G$6=Table_dim_price_recipe[Type])*(Table_dim_price_recipe[Retail Price]&lt;&gt;0)*($C74=Table_dim_price_recipe[Subcategory]), 0))*$B74,"")</f>
        <v/>
      </c>
      <c r="H74" s="39" t="str" cm="1">
        <f t="array" ref="H74">IFERROR(INDEX(Table_dim_price_recipe[Retail Price], MATCH(1, ("Calculator"&lt;&gt;Table_dim_price_recipe[Type.display])*($L74=Table_dim_price_recipe[Category])*($D74=Table_dim_price_recipe[Item Description]) * (H$6=Table_dim_price_recipe[Type])*(Table_dim_price_recipe[Retail Price]&lt;&gt;0)*($C74=Table_dim_price_recipe[Subcategory]), 0))*$B74,"")</f>
        <v/>
      </c>
      <c r="I74" s="39" t="str" cm="1">
        <f t="array" ref="I74">IFERROR(INDEX(Table_dim_price_recipe[Retail Price], MATCH(1, ("Calculator"&lt;&gt;Table_dim_price_recipe[Type.display])*($L74=Table_dim_price_recipe[Category])*($D74=Table_dim_price_recipe[Item Description]) * (I$6=Table_dim_price_recipe[Type])*(Table_dim_price_recipe[Retail Price]&lt;&gt;0)*($C74=Table_dim_price_recipe[Subcategory]), 0))*$B74,"")</f>
        <v/>
      </c>
      <c r="J74" s="39" t="str" cm="1">
        <f t="array" ref="J74">IFERROR(INDEX(Table_dim_price_recipe[Retail Price], MATCH(1, ("Calculator"&lt;&gt;Table_dim_price_recipe[Type.display])*($L74=Table_dim_price_recipe[Category])*($D74=Table_dim_price_recipe[Item Description]) * (J$6=Table_dim_price_recipe[Type])*(Table_dim_price_recipe[Retail Price]&lt;&gt;0)*($C74=Table_dim_price_recipe[Subcategory]), 0))*$B74,"")</f>
        <v/>
      </c>
      <c r="K74" s="39" t="str" cm="1">
        <f t="array" ref="K74">IFERROR(INDEX(Table_dim_price_recipe[Retail Price], MATCH(1, ("Calculator"&lt;&gt;Table_dim_price_recipe[Type.display])*($L74=Table_dim_price_recipe[Category])*($D74=Table_dim_price_recipe[Item Description]) * (K$6=Table_dim_price_recipe[Type])*(Table_dim_price_recipe[Retail Price]&lt;&gt;0)*($C74=Table_dim_price_recipe[Subcategory]), 0))*$B74,"")</f>
        <v/>
      </c>
      <c r="L74" s="39" t="str" cm="1">
        <f t="array" ref="L74">IF($A74&lt;&gt;"", $A74, LOOKUP(2, 1/((A$7:INDEX(A:A, ROW()))&lt;&gt;""), A$7:INDEX(A:A, ROW())))</f>
        <v>FOOTINGS</v>
      </c>
    </row>
    <row r="75" spans="1:13">
      <c r="A75" s="263"/>
      <c r="B75" s="263"/>
      <c r="C75" s="263" t="s">
        <v>241</v>
      </c>
      <c r="D75" s="263"/>
      <c r="E75" s="263"/>
      <c r="F75" s="263"/>
      <c r="G75" s="39" t="str" cm="1">
        <f t="array" ref="G75">IFERROR(INDEX(Table_dim_price_recipe[Retail Price], MATCH(1, ("Calculator"&lt;&gt;Table_dim_price_recipe[Type.display])*($L75=Table_dim_price_recipe[Category])*($D75=Table_dim_price_recipe[Item Description]) * (G$6=Table_dim_price_recipe[Type])*(Table_dim_price_recipe[Retail Price]&lt;&gt;0)*($C75=Table_dim_price_recipe[Subcategory]), 0))*$B75,"")</f>
        <v/>
      </c>
      <c r="H75" s="39" t="str" cm="1">
        <f t="array" ref="H75">IFERROR(INDEX(Table_dim_price_recipe[Retail Price], MATCH(1, ("Calculator"&lt;&gt;Table_dim_price_recipe[Type.display])*($L75=Table_dim_price_recipe[Category])*($D75=Table_dim_price_recipe[Item Description]) * (H$6=Table_dim_price_recipe[Type])*(Table_dim_price_recipe[Retail Price]&lt;&gt;0)*($C75=Table_dim_price_recipe[Subcategory]), 0))*$B75,"")</f>
        <v/>
      </c>
      <c r="I75" s="39" t="str" cm="1">
        <f t="array" ref="I75">IFERROR(INDEX(Table_dim_price_recipe[Retail Price], MATCH(1, ("Calculator"&lt;&gt;Table_dim_price_recipe[Type.display])*($L75=Table_dim_price_recipe[Category])*($D75=Table_dim_price_recipe[Item Description]) * (I$6=Table_dim_price_recipe[Type])*(Table_dim_price_recipe[Retail Price]&lt;&gt;0)*($C75=Table_dim_price_recipe[Subcategory]), 0))*$B75,"")</f>
        <v/>
      </c>
      <c r="J75" s="39" t="str" cm="1">
        <f t="array" ref="J75">IFERROR(INDEX(Table_dim_price_recipe[Retail Price], MATCH(1, ("Calculator"&lt;&gt;Table_dim_price_recipe[Type.display])*($L75=Table_dim_price_recipe[Category])*($D75=Table_dim_price_recipe[Item Description]) * (J$6=Table_dim_price_recipe[Type])*(Table_dim_price_recipe[Retail Price]&lt;&gt;0)*($C75=Table_dim_price_recipe[Subcategory]), 0))*$B75,"")</f>
        <v/>
      </c>
      <c r="K75" s="39" t="str" cm="1">
        <f t="array" ref="K75">IFERROR(INDEX(Table_dim_price_recipe[Retail Price], MATCH(1, ("Calculator"&lt;&gt;Table_dim_price_recipe[Type.display])*($L75=Table_dim_price_recipe[Category])*($D75=Table_dim_price_recipe[Item Description]) * (K$6=Table_dim_price_recipe[Type])*(Table_dim_price_recipe[Retail Price]&lt;&gt;0)*($C75=Table_dim_price_recipe[Subcategory]), 0))*$B75,"")</f>
        <v/>
      </c>
      <c r="L75" s="39" t="str" cm="1">
        <f t="array" ref="L75">IF($A75&lt;&gt;"", $A75, LOOKUP(2, 1/((A$7:INDEX(A:A, ROW()))&lt;&gt;""), A$7:INDEX(A:A, ROW())))</f>
        <v>FOOTINGS</v>
      </c>
    </row>
    <row r="76" spans="1:13">
      <c r="A76" s="263"/>
      <c r="B76" s="263"/>
      <c r="C76" s="263" t="s">
        <v>241</v>
      </c>
      <c r="D76" s="263"/>
      <c r="E76" s="263"/>
      <c r="F76" s="263"/>
      <c r="G76" s="39" t="str" cm="1">
        <f t="array" ref="G76">IFERROR(INDEX(Table_dim_price_recipe[Retail Price], MATCH(1, ("Calculator"&lt;&gt;Table_dim_price_recipe[Type.display])*($L76=Table_dim_price_recipe[Category])*($D76=Table_dim_price_recipe[Item Description]) * (G$6=Table_dim_price_recipe[Type])*(Table_dim_price_recipe[Retail Price]&lt;&gt;0)*($C76=Table_dim_price_recipe[Subcategory]), 0))*$B76,"")</f>
        <v/>
      </c>
      <c r="H76" s="39" t="str" cm="1">
        <f t="array" ref="H76">IFERROR(INDEX(Table_dim_price_recipe[Retail Price], MATCH(1, ("Calculator"&lt;&gt;Table_dim_price_recipe[Type.display])*($L76=Table_dim_price_recipe[Category])*($D76=Table_dim_price_recipe[Item Description]) * (H$6=Table_dim_price_recipe[Type])*(Table_dim_price_recipe[Retail Price]&lt;&gt;0)*($C76=Table_dim_price_recipe[Subcategory]), 0))*$B76,"")</f>
        <v/>
      </c>
      <c r="I76" s="39" t="str" cm="1">
        <f t="array" ref="I76">IFERROR(INDEX(Table_dim_price_recipe[Retail Price], MATCH(1, ("Calculator"&lt;&gt;Table_dim_price_recipe[Type.display])*($L76=Table_dim_price_recipe[Category])*($D76=Table_dim_price_recipe[Item Description]) * (I$6=Table_dim_price_recipe[Type])*(Table_dim_price_recipe[Retail Price]&lt;&gt;0)*($C76=Table_dim_price_recipe[Subcategory]), 0))*$B76,"")</f>
        <v/>
      </c>
      <c r="J76" s="39" t="str" cm="1">
        <f t="array" ref="J76">IFERROR(INDEX(Table_dim_price_recipe[Retail Price], MATCH(1, ("Calculator"&lt;&gt;Table_dim_price_recipe[Type.display])*($L76=Table_dim_price_recipe[Category])*($D76=Table_dim_price_recipe[Item Description]) * (J$6=Table_dim_price_recipe[Type])*(Table_dim_price_recipe[Retail Price]&lt;&gt;0)*($C76=Table_dim_price_recipe[Subcategory]), 0))*$B76,"")</f>
        <v/>
      </c>
      <c r="K76" s="39" t="str" cm="1">
        <f t="array" ref="K76">IFERROR(INDEX(Table_dim_price_recipe[Retail Price], MATCH(1, ("Calculator"&lt;&gt;Table_dim_price_recipe[Type.display])*($L76=Table_dim_price_recipe[Category])*($D76=Table_dim_price_recipe[Item Description]) * (K$6=Table_dim_price_recipe[Type])*(Table_dim_price_recipe[Retail Price]&lt;&gt;0)*($C76=Table_dim_price_recipe[Subcategory]), 0))*$B76,"")</f>
        <v/>
      </c>
      <c r="L76" s="39" t="str" cm="1">
        <f t="array" ref="L76">IF($A76&lt;&gt;"", $A76, LOOKUP(2, 1/((A$7:INDEX(A:A, ROW()))&lt;&gt;""), A$7:INDEX(A:A, ROW())))</f>
        <v>FOOTINGS</v>
      </c>
    </row>
    <row r="77" spans="1:13">
      <c r="A77" s="260" t="s">
        <v>23</v>
      </c>
      <c r="B77" s="261"/>
      <c r="C77" s="261"/>
      <c r="D77" s="261"/>
      <c r="E77" s="261"/>
      <c r="F77" s="261"/>
      <c r="G77" s="262" t="str" cm="1">
        <f t="array" ref="G77">IFERROR(INDEX(Table_dim_price_recipe[Retail Price], MATCH(1, ("Calculator"&lt;&gt;Table_dim_price_recipe[Type.display])*($L77=Table_dim_price_recipe[Category])*($D77=Table_dim_price_recipe[Item Description]) * (G$6=Table_dim_price_recipe[Type])*(Table_dim_price_recipe[Retail Price]&lt;&gt;0)*($C77=Table_dim_price_recipe[Subcategory]), 0))*$B77,"")</f>
        <v/>
      </c>
      <c r="H77" s="262" t="str" cm="1">
        <f t="array" ref="H77">IFERROR(INDEX(Table_dim_price_recipe[Retail Price], MATCH(1, ("Calculator"&lt;&gt;Table_dim_price_recipe[Type.display])*($L77=Table_dim_price_recipe[Category])*($D77=Table_dim_price_recipe[Item Description]) * (H$6=Table_dim_price_recipe[Type])*(Table_dim_price_recipe[Retail Price]&lt;&gt;0)*($C77=Table_dim_price_recipe[Subcategory]), 0))*$B77,"")</f>
        <v/>
      </c>
      <c r="I77" s="262" t="str" cm="1">
        <f t="array" ref="I77">IFERROR(INDEX(Table_dim_price_recipe[Retail Price], MATCH(1, ("Calculator"&lt;&gt;Table_dim_price_recipe[Type.display])*($L77=Table_dim_price_recipe[Category])*($D77=Table_dim_price_recipe[Item Description]) * (I$6=Table_dim_price_recipe[Type])*(Table_dim_price_recipe[Retail Price]&lt;&gt;0)*($C77=Table_dim_price_recipe[Subcategory]), 0))*$B77,"")</f>
        <v/>
      </c>
      <c r="J77" s="262" t="str" cm="1">
        <f t="array" ref="J77">IFERROR(INDEX(Table_dim_price_recipe[Retail Price], MATCH(1, ("Calculator"&lt;&gt;Table_dim_price_recipe[Type.display])*($L77=Table_dim_price_recipe[Category])*($D77=Table_dim_price_recipe[Item Description]) * (J$6=Table_dim_price_recipe[Type])*(Table_dim_price_recipe[Retail Price]&lt;&gt;0)*($C77=Table_dim_price_recipe[Subcategory]), 0))*$B77,"")</f>
        <v/>
      </c>
      <c r="K77" s="262" t="str" cm="1">
        <f t="array" ref="K77">IFERROR(INDEX(Table_dim_price_recipe[Retail Price], MATCH(1, ("Calculator"&lt;&gt;Table_dim_price_recipe[Type.display])*($L77=Table_dim_price_recipe[Category])*($D77=Table_dim_price_recipe[Item Description]) * (K$6=Table_dim_price_recipe[Type])*(Table_dim_price_recipe[Retail Price]&lt;&gt;0)*($C77=Table_dim_price_recipe[Subcategory]), 0))*$B77,"")</f>
        <v/>
      </c>
      <c r="L77" s="262" t="str" cm="1">
        <f t="array" ref="L77">IF($A77&lt;&gt;"", $A77, LOOKUP(2, 1/((A$7:INDEX(A:A, ROW()))&lt;&gt;""), A$7:INDEX(A:A, ROW())))</f>
        <v>POSTS</v>
      </c>
    </row>
    <row r="78" spans="1:13">
      <c r="A78" s="263"/>
      <c r="B78" s="263"/>
      <c r="C78" s="263" t="s">
        <v>910</v>
      </c>
      <c r="D78" s="263" t="s">
        <v>911</v>
      </c>
      <c r="E78" s="263"/>
      <c r="F78" s="263"/>
      <c r="G78" s="39" t="str" cm="1">
        <f t="array" ref="G78">IFERROR(INDEX(Table_dim_price_recipe[Retail Price], MATCH(1, ("Calculator"&lt;&gt;Table_dim_price_recipe[Type.display])*($L78=Table_dim_price_recipe[Category])*($D78=Table_dim_price_recipe[Item Description]) * (G$6=Table_dim_price_recipe[Type])*(Table_dim_price_recipe[Retail Price]&lt;&gt;0)*($C78=Table_dim_price_recipe[Subcategory]), 0))*$B78,"")</f>
        <v/>
      </c>
      <c r="H78" s="39" cm="1">
        <f t="array" ref="H78">IFERROR(INDEX(Table_dim_price_recipe[Retail Price], MATCH(1, ("Calculator"&lt;&gt;Table_dim_price_recipe[Type.display])*($L78=Table_dim_price_recipe[Category])*($D78=Table_dim_price_recipe[Item Description]) * (H$6=Table_dim_price_recipe[Type])*(Table_dim_price_recipe[Retail Price]&lt;&gt;0)*($C78=Table_dim_price_recipe[Subcategory]), 0))*$B78,"")</f>
        <v>0</v>
      </c>
      <c r="I78" s="39" t="str" cm="1">
        <f t="array" ref="I78">IFERROR(INDEX(Table_dim_price_recipe[Retail Price], MATCH(1, ("Calculator"&lt;&gt;Table_dim_price_recipe[Type.display])*($L78=Table_dim_price_recipe[Category])*($D78=Table_dim_price_recipe[Item Description]) * (I$6=Table_dim_price_recipe[Type])*(Table_dim_price_recipe[Retail Price]&lt;&gt;0)*($C78=Table_dim_price_recipe[Subcategory]), 0))*$B78,"")</f>
        <v/>
      </c>
      <c r="J78" s="39" t="str" cm="1">
        <f t="array" ref="J78">IFERROR(INDEX(Table_dim_price_recipe[Retail Price], MATCH(1, ("Calculator"&lt;&gt;Table_dim_price_recipe[Type.display])*($L78=Table_dim_price_recipe[Category])*($D78=Table_dim_price_recipe[Item Description]) * (J$6=Table_dim_price_recipe[Type])*(Table_dim_price_recipe[Retail Price]&lt;&gt;0)*($C78=Table_dim_price_recipe[Subcategory]), 0))*$B78,"")</f>
        <v/>
      </c>
      <c r="K78" s="39" t="str" cm="1">
        <f t="array" ref="K78">IFERROR(INDEX(Table_dim_price_recipe[Retail Price], MATCH(1, ("Calculator"&lt;&gt;Table_dim_price_recipe[Type.display])*($L78=Table_dim_price_recipe[Category])*($D78=Table_dim_price_recipe[Item Description]) * (K$6=Table_dim_price_recipe[Type])*(Table_dim_price_recipe[Retail Price]&lt;&gt;0)*($C78=Table_dim_price_recipe[Subcategory]), 0))*$B78,"")</f>
        <v/>
      </c>
      <c r="L78" s="39" t="str" cm="1">
        <f t="array" ref="L78">IF($A78&lt;&gt;"", $A78, LOOKUP(2, 1/((A$7:INDEX(A:A, ROW()))&lt;&gt;""), A$7:INDEX(A:A, ROW())))</f>
        <v>POSTS</v>
      </c>
      <c r="M78" s="14"/>
    </row>
    <row r="79" spans="1:13">
      <c r="A79" s="263"/>
      <c r="B79" s="263"/>
      <c r="C79" s="263" t="s">
        <v>910</v>
      </c>
      <c r="D79" s="263"/>
      <c r="E79" s="263"/>
      <c r="F79" s="263"/>
      <c r="G79" s="39" t="str" cm="1">
        <f t="array" ref="G79">IFERROR(INDEX(Table_dim_price_recipe[Retail Price], MATCH(1, ("Calculator"&lt;&gt;Table_dim_price_recipe[Type.display])*($L79=Table_dim_price_recipe[Category])*($D79=Table_dim_price_recipe[Item Description]) * (G$6=Table_dim_price_recipe[Type])*(Table_dim_price_recipe[Retail Price]&lt;&gt;0)*($C79=Table_dim_price_recipe[Subcategory]), 0))*$B79,"")</f>
        <v/>
      </c>
      <c r="H79" s="39" t="str" cm="1">
        <f t="array" ref="H79">IFERROR(INDEX(Table_dim_price_recipe[Retail Price], MATCH(1, ("Calculator"&lt;&gt;Table_dim_price_recipe[Type.display])*($L79=Table_dim_price_recipe[Category])*($D79=Table_dim_price_recipe[Item Description]) * (H$6=Table_dim_price_recipe[Type])*(Table_dim_price_recipe[Retail Price]&lt;&gt;0)*($C79=Table_dim_price_recipe[Subcategory]), 0))*$B79,"")</f>
        <v/>
      </c>
      <c r="I79" s="39" t="str" cm="1">
        <f t="array" ref="I79">IFERROR(INDEX(Table_dim_price_recipe[Retail Price], MATCH(1, ("Calculator"&lt;&gt;Table_dim_price_recipe[Type.display])*($L79=Table_dim_price_recipe[Category])*($D79=Table_dim_price_recipe[Item Description]) * (I$6=Table_dim_price_recipe[Type])*(Table_dim_price_recipe[Retail Price]&lt;&gt;0)*($C79=Table_dim_price_recipe[Subcategory]), 0))*$B79,"")</f>
        <v/>
      </c>
      <c r="J79" s="39" t="str" cm="1">
        <f t="array" ref="J79">IFERROR(INDEX(Table_dim_price_recipe[Retail Price], MATCH(1, ("Calculator"&lt;&gt;Table_dim_price_recipe[Type.display])*($L79=Table_dim_price_recipe[Category])*($D79=Table_dim_price_recipe[Item Description]) * (J$6=Table_dim_price_recipe[Type])*(Table_dim_price_recipe[Retail Price]&lt;&gt;0)*($C79=Table_dim_price_recipe[Subcategory]), 0))*$B79,"")</f>
        <v/>
      </c>
      <c r="K79" s="39" t="str" cm="1">
        <f t="array" ref="K79">IFERROR(INDEX(Table_dim_price_recipe[Retail Price], MATCH(1, ("Calculator"&lt;&gt;Table_dim_price_recipe[Type.display])*($L79=Table_dim_price_recipe[Category])*($D79=Table_dim_price_recipe[Item Description]) * (K$6=Table_dim_price_recipe[Type])*(Table_dim_price_recipe[Retail Price]&lt;&gt;0)*($C79=Table_dim_price_recipe[Subcategory]), 0))*$B79,"")</f>
        <v/>
      </c>
      <c r="L79" s="39" t="str" cm="1">
        <f t="array" ref="L79">IF($A79&lt;&gt;"", $A79, LOOKUP(2, 1/((A$7:INDEX(A:A, ROW()))&lt;&gt;""), A$7:INDEX(A:A, ROW())))</f>
        <v>POSTS</v>
      </c>
      <c r="M79" s="14"/>
    </row>
    <row r="80" spans="1:13">
      <c r="A80" s="263"/>
      <c r="B80" s="263"/>
      <c r="C80" s="263" t="s">
        <v>910</v>
      </c>
      <c r="D80" s="263"/>
      <c r="E80" s="263"/>
      <c r="F80" s="263"/>
      <c r="G80" s="39" t="str" cm="1">
        <f t="array" ref="G80">IFERROR(INDEX(Table_dim_price_recipe[Retail Price], MATCH(1, ("Calculator"&lt;&gt;Table_dim_price_recipe[Type.display])*($L80=Table_dim_price_recipe[Category])*($D80=Table_dim_price_recipe[Item Description]) * (G$6=Table_dim_price_recipe[Type])*(Table_dim_price_recipe[Retail Price]&lt;&gt;0)*($C80=Table_dim_price_recipe[Subcategory]), 0))*$B80,"")</f>
        <v/>
      </c>
      <c r="H80" s="39" t="str" cm="1">
        <f t="array" ref="H80">IFERROR(INDEX(Table_dim_price_recipe[Retail Price], MATCH(1, ("Calculator"&lt;&gt;Table_dim_price_recipe[Type.display])*($L80=Table_dim_price_recipe[Category])*($D80=Table_dim_price_recipe[Item Description]) * (H$6=Table_dim_price_recipe[Type])*(Table_dim_price_recipe[Retail Price]&lt;&gt;0)*($C80=Table_dim_price_recipe[Subcategory]), 0))*$B80,"")</f>
        <v/>
      </c>
      <c r="I80" s="39" t="str" cm="1">
        <f t="array" ref="I80">IFERROR(INDEX(Table_dim_price_recipe[Retail Price], MATCH(1, ("Calculator"&lt;&gt;Table_dim_price_recipe[Type.display])*($L80=Table_dim_price_recipe[Category])*($D80=Table_dim_price_recipe[Item Description]) * (I$6=Table_dim_price_recipe[Type])*(Table_dim_price_recipe[Retail Price]&lt;&gt;0)*($C80=Table_dim_price_recipe[Subcategory]), 0))*$B80,"")</f>
        <v/>
      </c>
      <c r="J80" s="39" t="str" cm="1">
        <f t="array" ref="J80">IFERROR(INDEX(Table_dim_price_recipe[Retail Price], MATCH(1, ("Calculator"&lt;&gt;Table_dim_price_recipe[Type.display])*($L80=Table_dim_price_recipe[Category])*($D80=Table_dim_price_recipe[Item Description]) * (J$6=Table_dim_price_recipe[Type])*(Table_dim_price_recipe[Retail Price]&lt;&gt;0)*($C80=Table_dim_price_recipe[Subcategory]), 0))*$B80,"")</f>
        <v/>
      </c>
      <c r="K80" s="39" t="str" cm="1">
        <f t="array" ref="K80">IFERROR(INDEX(Table_dim_price_recipe[Retail Price], MATCH(1, ("Calculator"&lt;&gt;Table_dim_price_recipe[Type.display])*($L80=Table_dim_price_recipe[Category])*($D80=Table_dim_price_recipe[Item Description]) * (K$6=Table_dim_price_recipe[Type])*(Table_dim_price_recipe[Retail Price]&lt;&gt;0)*($C80=Table_dim_price_recipe[Subcategory]), 0))*$B80,"")</f>
        <v/>
      </c>
      <c r="L80" s="39" t="str" cm="1">
        <f t="array" ref="L80">IF($A80&lt;&gt;"", $A80, LOOKUP(2, 1/((A$7:INDEX(A:A, ROW()))&lt;&gt;""), A$7:INDEX(A:A, ROW())))</f>
        <v>POSTS</v>
      </c>
      <c r="M80" s="14"/>
    </row>
    <row r="81" spans="1:13">
      <c r="A81" s="263"/>
      <c r="B81" s="263"/>
      <c r="C81" s="263" t="s">
        <v>258</v>
      </c>
      <c r="D81" s="263" t="s">
        <v>263</v>
      </c>
      <c r="E81" s="263"/>
      <c r="F81" s="263"/>
      <c r="G81" s="39" cm="1">
        <f t="array" ref="G81">IFERROR(INDEX(Table_dim_price_recipe[Retail Price], MATCH(1, ("Calculator"&lt;&gt;Table_dim_price_recipe[Type.display])*($L81=Table_dim_price_recipe[Category])*($D81=Table_dim_price_recipe[Item Description]) * (G$6=Table_dim_price_recipe[Type])*(Table_dim_price_recipe[Retail Price]&lt;&gt;0)*($C81=Table_dim_price_recipe[Subcategory]), 0))*$B81,"")</f>
        <v>0</v>
      </c>
      <c r="H81" s="39" t="str" cm="1">
        <f t="array" ref="H81">IFERROR(INDEX(Table_dim_price_recipe[Retail Price], MATCH(1, ("Calculator"&lt;&gt;Table_dim_price_recipe[Type.display])*($L81=Table_dim_price_recipe[Category])*($D81=Table_dim_price_recipe[Item Description]) * (H$6=Table_dim_price_recipe[Type])*(Table_dim_price_recipe[Retail Price]&lt;&gt;0)*($C81=Table_dim_price_recipe[Subcategory]), 0))*$B81,"")</f>
        <v/>
      </c>
      <c r="I81" s="39" t="str" cm="1">
        <f t="array" ref="I81">IFERROR(INDEX(Table_dim_price_recipe[Retail Price], MATCH(1, ("Calculator"&lt;&gt;Table_dim_price_recipe[Type.display])*($L81=Table_dim_price_recipe[Category])*($D81=Table_dim_price_recipe[Item Description]) * (I$6=Table_dim_price_recipe[Type])*(Table_dim_price_recipe[Retail Price]&lt;&gt;0)*($C81=Table_dim_price_recipe[Subcategory]), 0))*$B81,"")</f>
        <v/>
      </c>
      <c r="J81" s="39" t="str" cm="1">
        <f t="array" ref="J81">IFERROR(INDEX(Table_dim_price_recipe[Retail Price], MATCH(1, ("Calculator"&lt;&gt;Table_dim_price_recipe[Type.display])*($L81=Table_dim_price_recipe[Category])*($D81=Table_dim_price_recipe[Item Description]) * (J$6=Table_dim_price_recipe[Type])*(Table_dim_price_recipe[Retail Price]&lt;&gt;0)*($C81=Table_dim_price_recipe[Subcategory]), 0))*$B81,"")</f>
        <v/>
      </c>
      <c r="K81" s="39" t="str" cm="1">
        <f t="array" ref="K81">IFERROR(INDEX(Table_dim_price_recipe[Retail Price], MATCH(1, ("Calculator"&lt;&gt;Table_dim_price_recipe[Type.display])*($L81=Table_dim_price_recipe[Category])*($D81=Table_dim_price_recipe[Item Description]) * (K$6=Table_dim_price_recipe[Type])*(Table_dim_price_recipe[Retail Price]&lt;&gt;0)*($C81=Table_dim_price_recipe[Subcategory]), 0))*$B81,"")</f>
        <v/>
      </c>
      <c r="L81" s="39" t="str" cm="1">
        <f t="array" ref="L81">IF($A81&lt;&gt;"", $A81, LOOKUP(2, 1/((A$7:INDEX(A:A, ROW()))&lt;&gt;""), A$7:INDEX(A:A, ROW())))</f>
        <v>POSTS</v>
      </c>
      <c r="M81" s="14"/>
    </row>
    <row r="82" spans="1:13">
      <c r="A82" s="263"/>
      <c r="B82" s="263"/>
      <c r="C82" s="263" t="s">
        <v>258</v>
      </c>
      <c r="D82" s="263" t="s">
        <v>85</v>
      </c>
      <c r="E82" s="263"/>
      <c r="F82" s="263"/>
      <c r="G82" s="39" cm="1">
        <f t="array" ref="G82">IFERROR(INDEX(Table_dim_price_recipe[Retail Price], MATCH(1, ("Calculator"&lt;&gt;Table_dim_price_recipe[Type.display])*($L82=Table_dim_price_recipe[Category])*($D82=Table_dim_price_recipe[Item Description]) * (G$6=Table_dim_price_recipe[Type])*(Table_dim_price_recipe[Retail Price]&lt;&gt;0)*($C82=Table_dim_price_recipe[Subcategory]), 0))*$B82,"")</f>
        <v>0</v>
      </c>
      <c r="H82" s="39" t="str" cm="1">
        <f t="array" ref="H82">IFERROR(INDEX(Table_dim_price_recipe[Retail Price], MATCH(1, ("Calculator"&lt;&gt;Table_dim_price_recipe[Type.display])*($L82=Table_dim_price_recipe[Category])*($D82=Table_dim_price_recipe[Item Description]) * (H$6=Table_dim_price_recipe[Type])*(Table_dim_price_recipe[Retail Price]&lt;&gt;0)*($C82=Table_dim_price_recipe[Subcategory]), 0))*$B82,"")</f>
        <v/>
      </c>
      <c r="I82" s="39" t="str" cm="1">
        <f t="array" ref="I82">IFERROR(INDEX(Table_dim_price_recipe[Retail Price], MATCH(1, ("Calculator"&lt;&gt;Table_dim_price_recipe[Type.display])*($L82=Table_dim_price_recipe[Category])*($D82=Table_dim_price_recipe[Item Description]) * (I$6=Table_dim_price_recipe[Type])*(Table_dim_price_recipe[Retail Price]&lt;&gt;0)*($C82=Table_dim_price_recipe[Subcategory]), 0))*$B82,"")</f>
        <v/>
      </c>
      <c r="J82" s="39" t="str" cm="1">
        <f t="array" ref="J82">IFERROR(INDEX(Table_dim_price_recipe[Retail Price], MATCH(1, ("Calculator"&lt;&gt;Table_dim_price_recipe[Type.display])*($L82=Table_dim_price_recipe[Category])*($D82=Table_dim_price_recipe[Item Description]) * (J$6=Table_dim_price_recipe[Type])*(Table_dim_price_recipe[Retail Price]&lt;&gt;0)*($C82=Table_dim_price_recipe[Subcategory]), 0))*$B82,"")</f>
        <v/>
      </c>
      <c r="K82" s="39" t="str" cm="1">
        <f t="array" ref="K82">IFERROR(INDEX(Table_dim_price_recipe[Retail Price], MATCH(1, ("Calculator"&lt;&gt;Table_dim_price_recipe[Type.display])*($L82=Table_dim_price_recipe[Category])*($D82=Table_dim_price_recipe[Item Description]) * (K$6=Table_dim_price_recipe[Type])*(Table_dim_price_recipe[Retail Price]&lt;&gt;0)*($C82=Table_dim_price_recipe[Subcategory]), 0))*$B82,"")</f>
        <v/>
      </c>
      <c r="L82" s="39" t="str" cm="1">
        <f t="array" ref="L82">IF($A82&lt;&gt;"", $A82, LOOKUP(2, 1/((A$7:INDEX(A:A, ROW()))&lt;&gt;""), A$7:INDEX(A:A, ROW())))</f>
        <v>POSTS</v>
      </c>
      <c r="M82" s="14"/>
    </row>
    <row r="83" spans="1:13">
      <c r="A83" s="263"/>
      <c r="B83" s="263"/>
      <c r="C83" s="263" t="s">
        <v>258</v>
      </c>
      <c r="D83" s="263" t="s">
        <v>261</v>
      </c>
      <c r="E83" s="263"/>
      <c r="F83" s="263"/>
      <c r="G83" s="39" cm="1">
        <f t="array" ref="G83">IFERROR(INDEX(Table_dim_price_recipe[Retail Price], MATCH(1, ("Calculator"&lt;&gt;Table_dim_price_recipe[Type.display])*($L83=Table_dim_price_recipe[Category])*($D83=Table_dim_price_recipe[Item Description]) * (G$6=Table_dim_price_recipe[Type])*(Table_dim_price_recipe[Retail Price]&lt;&gt;0)*($C83=Table_dim_price_recipe[Subcategory]), 0))*$B83,"")</f>
        <v>0</v>
      </c>
      <c r="H83" s="39" t="str" cm="1">
        <f t="array" ref="H83">IFERROR(INDEX(Table_dim_price_recipe[Retail Price], MATCH(1, ("Calculator"&lt;&gt;Table_dim_price_recipe[Type.display])*($L83=Table_dim_price_recipe[Category])*($D83=Table_dim_price_recipe[Item Description]) * (H$6=Table_dim_price_recipe[Type])*(Table_dim_price_recipe[Retail Price]&lt;&gt;0)*($C83=Table_dim_price_recipe[Subcategory]), 0))*$B83,"")</f>
        <v/>
      </c>
      <c r="I83" s="39" t="str" cm="1">
        <f t="array" ref="I83">IFERROR(INDEX(Table_dim_price_recipe[Retail Price], MATCH(1, ("Calculator"&lt;&gt;Table_dim_price_recipe[Type.display])*($L83=Table_dim_price_recipe[Category])*($D83=Table_dim_price_recipe[Item Description]) * (I$6=Table_dim_price_recipe[Type])*(Table_dim_price_recipe[Retail Price]&lt;&gt;0)*($C83=Table_dim_price_recipe[Subcategory]), 0))*$B83,"")</f>
        <v/>
      </c>
      <c r="J83" s="39" t="str" cm="1">
        <f t="array" ref="J83">IFERROR(INDEX(Table_dim_price_recipe[Retail Price], MATCH(1, ("Calculator"&lt;&gt;Table_dim_price_recipe[Type.display])*($L83=Table_dim_price_recipe[Category])*($D83=Table_dim_price_recipe[Item Description]) * (J$6=Table_dim_price_recipe[Type])*(Table_dim_price_recipe[Retail Price]&lt;&gt;0)*($C83=Table_dim_price_recipe[Subcategory]), 0))*$B83,"")</f>
        <v/>
      </c>
      <c r="K83" s="39" t="str" cm="1">
        <f t="array" ref="K83">IFERROR(INDEX(Table_dim_price_recipe[Retail Price], MATCH(1, ("Calculator"&lt;&gt;Table_dim_price_recipe[Type.display])*($L83=Table_dim_price_recipe[Category])*($D83=Table_dim_price_recipe[Item Description]) * (K$6=Table_dim_price_recipe[Type])*(Table_dim_price_recipe[Retail Price]&lt;&gt;0)*($C83=Table_dim_price_recipe[Subcategory]), 0))*$B83,"")</f>
        <v/>
      </c>
      <c r="L83" s="39" t="str" cm="1">
        <f t="array" ref="L83">IF($A83&lt;&gt;"", $A83, LOOKUP(2, 1/((A$7:INDEX(A:A, ROW()))&lt;&gt;""), A$7:INDEX(A:A, ROW())))</f>
        <v>POSTS</v>
      </c>
      <c r="M83" s="14"/>
    </row>
    <row r="84" spans="1:13">
      <c r="A84" s="263"/>
      <c r="B84" s="263"/>
      <c r="C84" s="263" t="s">
        <v>258</v>
      </c>
      <c r="D84" s="263" t="s">
        <v>260</v>
      </c>
      <c r="E84" s="263"/>
      <c r="F84" s="263"/>
      <c r="G84" s="39" cm="1">
        <f t="array" ref="G84">IFERROR(INDEX(Table_dim_price_recipe[Retail Price], MATCH(1, ("Calculator"&lt;&gt;Table_dim_price_recipe[Type.display])*($L84=Table_dim_price_recipe[Category])*($D84=Table_dim_price_recipe[Item Description]) * (G$6=Table_dim_price_recipe[Type])*(Table_dim_price_recipe[Retail Price]&lt;&gt;0)*($C84=Table_dim_price_recipe[Subcategory]), 0))*$B84,"")</f>
        <v>0</v>
      </c>
      <c r="H84" s="39" t="str" cm="1">
        <f t="array" ref="H84">IFERROR(INDEX(Table_dim_price_recipe[Retail Price], MATCH(1, ("Calculator"&lt;&gt;Table_dim_price_recipe[Type.display])*($L84=Table_dim_price_recipe[Category])*($D84=Table_dim_price_recipe[Item Description]) * (H$6=Table_dim_price_recipe[Type])*(Table_dim_price_recipe[Retail Price]&lt;&gt;0)*($C84=Table_dim_price_recipe[Subcategory]), 0))*$B84,"")</f>
        <v/>
      </c>
      <c r="I84" s="39" t="str" cm="1">
        <f t="array" ref="I84">IFERROR(INDEX(Table_dim_price_recipe[Retail Price], MATCH(1, ("Calculator"&lt;&gt;Table_dim_price_recipe[Type.display])*($L84=Table_dim_price_recipe[Category])*($D84=Table_dim_price_recipe[Item Description]) * (I$6=Table_dim_price_recipe[Type])*(Table_dim_price_recipe[Retail Price]&lt;&gt;0)*($C84=Table_dim_price_recipe[Subcategory]), 0))*$B84,"")</f>
        <v/>
      </c>
      <c r="J84" s="39" t="str" cm="1">
        <f t="array" ref="J84">IFERROR(INDEX(Table_dim_price_recipe[Retail Price], MATCH(1, ("Calculator"&lt;&gt;Table_dim_price_recipe[Type.display])*($L84=Table_dim_price_recipe[Category])*($D84=Table_dim_price_recipe[Item Description]) * (J$6=Table_dim_price_recipe[Type])*(Table_dim_price_recipe[Retail Price]&lt;&gt;0)*($C84=Table_dim_price_recipe[Subcategory]), 0))*$B84,"")</f>
        <v/>
      </c>
      <c r="K84" s="39" t="str" cm="1">
        <f t="array" ref="K84">IFERROR(INDEX(Table_dim_price_recipe[Retail Price], MATCH(1, ("Calculator"&lt;&gt;Table_dim_price_recipe[Type.display])*($L84=Table_dim_price_recipe[Category])*($D84=Table_dim_price_recipe[Item Description]) * (K$6=Table_dim_price_recipe[Type])*(Table_dim_price_recipe[Retail Price]&lt;&gt;0)*($C84=Table_dim_price_recipe[Subcategory]), 0))*$B84,"")</f>
        <v/>
      </c>
      <c r="L84" s="39" t="str" cm="1">
        <f t="array" ref="L84">IF($A84&lt;&gt;"", $A84, LOOKUP(2, 1/((A$7:INDEX(A:A, ROW()))&lt;&gt;""), A$7:INDEX(A:A, ROW())))</f>
        <v>POSTS</v>
      </c>
      <c r="M84" s="14"/>
    </row>
    <row r="85" spans="1:13">
      <c r="A85" s="263"/>
      <c r="B85" s="263"/>
      <c r="C85" s="263" t="s">
        <v>258</v>
      </c>
      <c r="D85" s="263" t="s">
        <v>262</v>
      </c>
      <c r="E85" s="263"/>
      <c r="F85" s="263"/>
      <c r="G85" s="39" cm="1">
        <f t="array" ref="G85">IFERROR(INDEX(Table_dim_price_recipe[Retail Price], MATCH(1, ("Calculator"&lt;&gt;Table_dim_price_recipe[Type.display])*($L85=Table_dim_price_recipe[Category])*($D85=Table_dim_price_recipe[Item Description]) * (G$6=Table_dim_price_recipe[Type])*(Table_dim_price_recipe[Retail Price]&lt;&gt;0)*($C85=Table_dim_price_recipe[Subcategory]), 0))*$B85,"")</f>
        <v>0</v>
      </c>
      <c r="H85" s="39" t="str" cm="1">
        <f t="array" ref="H85">IFERROR(INDEX(Table_dim_price_recipe[Retail Price], MATCH(1, ("Calculator"&lt;&gt;Table_dim_price_recipe[Type.display])*($L85=Table_dim_price_recipe[Category])*($D85=Table_dim_price_recipe[Item Description]) * (H$6=Table_dim_price_recipe[Type])*(Table_dim_price_recipe[Retail Price]&lt;&gt;0)*($C85=Table_dim_price_recipe[Subcategory]), 0))*$B85,"")</f>
        <v/>
      </c>
      <c r="I85" s="39" t="str" cm="1">
        <f t="array" ref="I85">IFERROR(INDEX(Table_dim_price_recipe[Retail Price], MATCH(1, ("Calculator"&lt;&gt;Table_dim_price_recipe[Type.display])*($L85=Table_dim_price_recipe[Category])*($D85=Table_dim_price_recipe[Item Description]) * (I$6=Table_dim_price_recipe[Type])*(Table_dim_price_recipe[Retail Price]&lt;&gt;0)*($C85=Table_dim_price_recipe[Subcategory]), 0))*$B85,"")</f>
        <v/>
      </c>
      <c r="J85" s="39" t="str" cm="1">
        <f t="array" ref="J85">IFERROR(INDEX(Table_dim_price_recipe[Retail Price], MATCH(1, ("Calculator"&lt;&gt;Table_dim_price_recipe[Type.display])*($L85=Table_dim_price_recipe[Category])*($D85=Table_dim_price_recipe[Item Description]) * (J$6=Table_dim_price_recipe[Type])*(Table_dim_price_recipe[Retail Price]&lt;&gt;0)*($C85=Table_dim_price_recipe[Subcategory]), 0))*$B85,"")</f>
        <v/>
      </c>
      <c r="K85" s="39" t="str" cm="1">
        <f t="array" ref="K85">IFERROR(INDEX(Table_dim_price_recipe[Retail Price], MATCH(1, ("Calculator"&lt;&gt;Table_dim_price_recipe[Type.display])*($L85=Table_dim_price_recipe[Category])*($D85=Table_dim_price_recipe[Item Description]) * (K$6=Table_dim_price_recipe[Type])*(Table_dim_price_recipe[Retail Price]&lt;&gt;0)*($C85=Table_dim_price_recipe[Subcategory]), 0))*$B85,"")</f>
        <v/>
      </c>
      <c r="L85" s="39" t="str" cm="1">
        <f t="array" ref="L85">IF($A85&lt;&gt;"", $A85, LOOKUP(2, 1/((A$7:INDEX(A:A, ROW()))&lt;&gt;""), A$7:INDEX(A:A, ROW())))</f>
        <v>POSTS</v>
      </c>
      <c r="M85" s="14"/>
    </row>
    <row r="86" spans="1:13">
      <c r="A86" s="263"/>
      <c r="B86" s="263"/>
      <c r="C86" s="263" t="s">
        <v>258</v>
      </c>
      <c r="D86" s="263" t="s">
        <v>223</v>
      </c>
      <c r="E86" s="263"/>
      <c r="F86" s="263"/>
      <c r="G86" s="39" cm="1">
        <f t="array" ref="G86">IFERROR(INDEX(Table_dim_price_recipe[Retail Price], MATCH(1, ("Calculator"&lt;&gt;Table_dim_price_recipe[Type.display])*($L86=Table_dim_price_recipe[Category])*($D86=Table_dim_price_recipe[Item Description]) * (G$6=Table_dim_price_recipe[Type])*(Table_dim_price_recipe[Retail Price]&lt;&gt;0)*($C86=Table_dim_price_recipe[Subcategory]), 0))*$B86,"")</f>
        <v>0</v>
      </c>
      <c r="H86" s="39" t="str" cm="1">
        <f t="array" ref="H86">IFERROR(INDEX(Table_dim_price_recipe[Retail Price], MATCH(1, ("Calculator"&lt;&gt;Table_dim_price_recipe[Type.display])*($L86=Table_dim_price_recipe[Category])*($D86=Table_dim_price_recipe[Item Description]) * (H$6=Table_dim_price_recipe[Type])*(Table_dim_price_recipe[Retail Price]&lt;&gt;0)*($C86=Table_dim_price_recipe[Subcategory]), 0))*$B86,"")</f>
        <v/>
      </c>
      <c r="I86" s="39" t="str" cm="1">
        <f t="array" ref="I86">IFERROR(INDEX(Table_dim_price_recipe[Retail Price], MATCH(1, ("Calculator"&lt;&gt;Table_dim_price_recipe[Type.display])*($L86=Table_dim_price_recipe[Category])*($D86=Table_dim_price_recipe[Item Description]) * (I$6=Table_dim_price_recipe[Type])*(Table_dim_price_recipe[Retail Price]&lt;&gt;0)*($C86=Table_dim_price_recipe[Subcategory]), 0))*$B86,"")</f>
        <v/>
      </c>
      <c r="J86" s="39" t="str" cm="1">
        <f t="array" ref="J86">IFERROR(INDEX(Table_dim_price_recipe[Retail Price], MATCH(1, ("Calculator"&lt;&gt;Table_dim_price_recipe[Type.display])*($L86=Table_dim_price_recipe[Category])*($D86=Table_dim_price_recipe[Item Description]) * (J$6=Table_dim_price_recipe[Type])*(Table_dim_price_recipe[Retail Price]&lt;&gt;0)*($C86=Table_dim_price_recipe[Subcategory]), 0))*$B86,"")</f>
        <v/>
      </c>
      <c r="K86" s="39" t="str" cm="1">
        <f t="array" ref="K86">IFERROR(INDEX(Table_dim_price_recipe[Retail Price], MATCH(1, ("Calculator"&lt;&gt;Table_dim_price_recipe[Type.display])*($L86=Table_dim_price_recipe[Category])*($D86=Table_dim_price_recipe[Item Description]) * (K$6=Table_dim_price_recipe[Type])*(Table_dim_price_recipe[Retail Price]&lt;&gt;0)*($C86=Table_dim_price_recipe[Subcategory]), 0))*$B86,"")</f>
        <v/>
      </c>
      <c r="L86" s="39" t="str" cm="1">
        <f t="array" ref="L86">IF($A86&lt;&gt;"", $A86, LOOKUP(2, 1/((A$7:INDEX(A:A, ROW()))&lt;&gt;""), A$7:INDEX(A:A, ROW())))</f>
        <v>POSTS</v>
      </c>
      <c r="M86" s="14"/>
    </row>
    <row r="87" spans="1:13">
      <c r="A87" s="263"/>
      <c r="B87" s="263"/>
      <c r="C87" s="263" t="s">
        <v>258</v>
      </c>
      <c r="D87" s="263" t="s">
        <v>224</v>
      </c>
      <c r="E87" s="263"/>
      <c r="F87" s="263"/>
      <c r="G87" s="39" cm="1">
        <f t="array" ref="G87">IFERROR(INDEX(Table_dim_price_recipe[Retail Price], MATCH(1, ("Calculator"&lt;&gt;Table_dim_price_recipe[Type.display])*($L87=Table_dim_price_recipe[Category])*($D87=Table_dim_price_recipe[Item Description]) * (G$6=Table_dim_price_recipe[Type])*(Table_dim_price_recipe[Retail Price]&lt;&gt;0)*($C87=Table_dim_price_recipe[Subcategory]), 0))*$B87,"")</f>
        <v>0</v>
      </c>
      <c r="H87" s="39" t="str" cm="1">
        <f t="array" ref="H87">IFERROR(INDEX(Table_dim_price_recipe[Retail Price], MATCH(1, ("Calculator"&lt;&gt;Table_dim_price_recipe[Type.display])*($L87=Table_dim_price_recipe[Category])*($D87=Table_dim_price_recipe[Item Description]) * (H$6=Table_dim_price_recipe[Type])*(Table_dim_price_recipe[Retail Price]&lt;&gt;0)*($C87=Table_dim_price_recipe[Subcategory]), 0))*$B87,"")</f>
        <v/>
      </c>
      <c r="I87" s="39" t="str" cm="1">
        <f t="array" ref="I87">IFERROR(INDEX(Table_dim_price_recipe[Retail Price], MATCH(1, ("Calculator"&lt;&gt;Table_dim_price_recipe[Type.display])*($L87=Table_dim_price_recipe[Category])*($D87=Table_dim_price_recipe[Item Description]) * (I$6=Table_dim_price_recipe[Type])*(Table_dim_price_recipe[Retail Price]&lt;&gt;0)*($C87=Table_dim_price_recipe[Subcategory]), 0))*$B87,"")</f>
        <v/>
      </c>
      <c r="J87" s="39" t="str" cm="1">
        <f t="array" ref="J87">IFERROR(INDEX(Table_dim_price_recipe[Retail Price], MATCH(1, ("Calculator"&lt;&gt;Table_dim_price_recipe[Type.display])*($L87=Table_dim_price_recipe[Category])*($D87=Table_dim_price_recipe[Item Description]) * (J$6=Table_dim_price_recipe[Type])*(Table_dim_price_recipe[Retail Price]&lt;&gt;0)*($C87=Table_dim_price_recipe[Subcategory]), 0))*$B87,"")</f>
        <v/>
      </c>
      <c r="K87" s="39" t="str" cm="1">
        <f t="array" ref="K87">IFERROR(INDEX(Table_dim_price_recipe[Retail Price], MATCH(1, ("Calculator"&lt;&gt;Table_dim_price_recipe[Type.display])*($L87=Table_dim_price_recipe[Category])*($D87=Table_dim_price_recipe[Item Description]) * (K$6=Table_dim_price_recipe[Type])*(Table_dim_price_recipe[Retail Price]&lt;&gt;0)*($C87=Table_dim_price_recipe[Subcategory]), 0))*$B87,"")</f>
        <v/>
      </c>
      <c r="L87" s="39" t="str" cm="1">
        <f t="array" ref="L87">IF($A87&lt;&gt;"", $A87, LOOKUP(2, 1/((A$7:INDEX(A:A, ROW()))&lt;&gt;""), A$7:INDEX(A:A, ROW())))</f>
        <v>POSTS</v>
      </c>
      <c r="M87" s="14"/>
    </row>
    <row r="88" spans="1:13">
      <c r="A88" s="263"/>
      <c r="B88" s="263"/>
      <c r="C88" s="263" t="s">
        <v>258</v>
      </c>
      <c r="D88" s="263"/>
      <c r="E88" s="263"/>
      <c r="F88" s="263"/>
      <c r="G88" s="39" t="str" cm="1">
        <f t="array" ref="G88">IFERROR(INDEX(Table_dim_price_recipe[Retail Price], MATCH(1, ("Calculator"&lt;&gt;Table_dim_price_recipe[Type.display])*($L88=Table_dim_price_recipe[Category])*($D88=Table_dim_price_recipe[Item Description]) * (G$6=Table_dim_price_recipe[Type])*(Table_dim_price_recipe[Retail Price]&lt;&gt;0)*($C88=Table_dim_price_recipe[Subcategory]), 0))*$B88,"")</f>
        <v/>
      </c>
      <c r="H88" s="39" t="str" cm="1">
        <f t="array" ref="H88">IFERROR(INDEX(Table_dim_price_recipe[Retail Price], MATCH(1, ("Calculator"&lt;&gt;Table_dim_price_recipe[Type.display])*($L88=Table_dim_price_recipe[Category])*($D88=Table_dim_price_recipe[Item Description]) * (H$6=Table_dim_price_recipe[Type])*(Table_dim_price_recipe[Retail Price]&lt;&gt;0)*($C88=Table_dim_price_recipe[Subcategory]), 0))*$B88,"")</f>
        <v/>
      </c>
      <c r="I88" s="39" t="str" cm="1">
        <f t="array" ref="I88">IFERROR(INDEX(Table_dim_price_recipe[Retail Price], MATCH(1, ("Calculator"&lt;&gt;Table_dim_price_recipe[Type.display])*($L88=Table_dim_price_recipe[Category])*($D88=Table_dim_price_recipe[Item Description]) * (I$6=Table_dim_price_recipe[Type])*(Table_dim_price_recipe[Retail Price]&lt;&gt;0)*($C88=Table_dim_price_recipe[Subcategory]), 0))*$B88,"")</f>
        <v/>
      </c>
      <c r="J88" s="39" t="str" cm="1">
        <f t="array" ref="J88">IFERROR(INDEX(Table_dim_price_recipe[Retail Price], MATCH(1, ("Calculator"&lt;&gt;Table_dim_price_recipe[Type.display])*($L88=Table_dim_price_recipe[Category])*($D88=Table_dim_price_recipe[Item Description]) * (J$6=Table_dim_price_recipe[Type])*(Table_dim_price_recipe[Retail Price]&lt;&gt;0)*($C88=Table_dim_price_recipe[Subcategory]), 0))*$B88,"")</f>
        <v/>
      </c>
      <c r="K88" s="39" t="str" cm="1">
        <f t="array" ref="K88">IFERROR(INDEX(Table_dim_price_recipe[Retail Price], MATCH(1, ("Calculator"&lt;&gt;Table_dim_price_recipe[Type.display])*($L88=Table_dim_price_recipe[Category])*($D88=Table_dim_price_recipe[Item Description]) * (K$6=Table_dim_price_recipe[Type])*(Table_dim_price_recipe[Retail Price]&lt;&gt;0)*($C88=Table_dim_price_recipe[Subcategory]), 0))*$B88,"")</f>
        <v/>
      </c>
      <c r="L88" s="39" t="str" cm="1">
        <f t="array" ref="L88">IF($A88&lt;&gt;"", $A88, LOOKUP(2, 1/((A$7:INDEX(A:A, ROW()))&lt;&gt;""), A$7:INDEX(A:A, ROW())))</f>
        <v>POSTS</v>
      </c>
      <c r="M88" s="14"/>
    </row>
    <row r="89" spans="1:13">
      <c r="A89" s="263"/>
      <c r="B89" s="263"/>
      <c r="C89" s="263" t="s">
        <v>258</v>
      </c>
      <c r="D89" s="263"/>
      <c r="E89" s="263"/>
      <c r="F89" s="263"/>
      <c r="G89" s="39" t="str" cm="1">
        <f t="array" ref="G89">IFERROR(INDEX(Table_dim_price_recipe[Retail Price], MATCH(1, ("Calculator"&lt;&gt;Table_dim_price_recipe[Type.display])*($L89=Table_dim_price_recipe[Category])*($D89=Table_dim_price_recipe[Item Description]) * (G$6=Table_dim_price_recipe[Type])*(Table_dim_price_recipe[Retail Price]&lt;&gt;0)*($C89=Table_dim_price_recipe[Subcategory]), 0))*$B89,"")</f>
        <v/>
      </c>
      <c r="H89" s="39" t="str" cm="1">
        <f t="array" ref="H89">IFERROR(INDEX(Table_dim_price_recipe[Retail Price], MATCH(1, ("Calculator"&lt;&gt;Table_dim_price_recipe[Type.display])*($L89=Table_dim_price_recipe[Category])*($D89=Table_dim_price_recipe[Item Description]) * (H$6=Table_dim_price_recipe[Type])*(Table_dim_price_recipe[Retail Price]&lt;&gt;0)*($C89=Table_dim_price_recipe[Subcategory]), 0))*$B89,"")</f>
        <v/>
      </c>
      <c r="I89" s="39" t="str" cm="1">
        <f t="array" ref="I89">IFERROR(INDEX(Table_dim_price_recipe[Retail Price], MATCH(1, ("Calculator"&lt;&gt;Table_dim_price_recipe[Type.display])*($L89=Table_dim_price_recipe[Category])*($D89=Table_dim_price_recipe[Item Description]) * (I$6=Table_dim_price_recipe[Type])*(Table_dim_price_recipe[Retail Price]&lt;&gt;0)*($C89=Table_dim_price_recipe[Subcategory]), 0))*$B89,"")</f>
        <v/>
      </c>
      <c r="J89" s="39" t="str" cm="1">
        <f t="array" ref="J89">IFERROR(INDEX(Table_dim_price_recipe[Retail Price], MATCH(1, ("Calculator"&lt;&gt;Table_dim_price_recipe[Type.display])*($L89=Table_dim_price_recipe[Category])*($D89=Table_dim_price_recipe[Item Description]) * (J$6=Table_dim_price_recipe[Type])*(Table_dim_price_recipe[Retail Price]&lt;&gt;0)*($C89=Table_dim_price_recipe[Subcategory]), 0))*$B89,"")</f>
        <v/>
      </c>
      <c r="K89" s="39" t="str" cm="1">
        <f t="array" ref="K89">IFERROR(INDEX(Table_dim_price_recipe[Retail Price], MATCH(1, ("Calculator"&lt;&gt;Table_dim_price_recipe[Type.display])*($L89=Table_dim_price_recipe[Category])*($D89=Table_dim_price_recipe[Item Description]) * (K$6=Table_dim_price_recipe[Type])*(Table_dim_price_recipe[Retail Price]&lt;&gt;0)*($C89=Table_dim_price_recipe[Subcategory]), 0))*$B89,"")</f>
        <v/>
      </c>
      <c r="L89" s="39" t="str" cm="1">
        <f t="array" ref="L89">IF($A89&lt;&gt;"", $A89, LOOKUP(2, 1/((A$7:INDEX(A:A, ROW()))&lt;&gt;""), A$7:INDEX(A:A, ROW())))</f>
        <v>POSTS</v>
      </c>
      <c r="M89" s="14"/>
    </row>
    <row r="90" spans="1:13">
      <c r="A90" s="263"/>
      <c r="B90" s="263"/>
      <c r="C90" s="263" t="s">
        <v>15</v>
      </c>
      <c r="D90" s="263"/>
      <c r="E90" s="263"/>
      <c r="F90" s="263"/>
      <c r="G90" s="39" t="str" cm="1">
        <f t="array" ref="G90">IFERROR(INDEX(Table_dim_price_recipe[Retail Price], MATCH(1, ("Calculator"&lt;&gt;Table_dim_price_recipe[Type.display])*($L90=Table_dim_price_recipe[Category])*($D90=Table_dim_price_recipe[Item Description]) * (G$6=Table_dim_price_recipe[Type])*(Table_dim_price_recipe[Retail Price]&lt;&gt;0)*($C90=Table_dim_price_recipe[Subcategory]), 0))*$B90,"")</f>
        <v/>
      </c>
      <c r="H90" s="39" t="str" cm="1">
        <f t="array" ref="H90">IFERROR(INDEX(Table_dim_price_recipe[Retail Price], MATCH(1, ("Calculator"&lt;&gt;Table_dim_price_recipe[Type.display])*($L90=Table_dim_price_recipe[Category])*($D90=Table_dim_price_recipe[Item Description]) * (H$6=Table_dim_price_recipe[Type])*(Table_dim_price_recipe[Retail Price]&lt;&gt;0)*($C90=Table_dim_price_recipe[Subcategory]), 0))*$B90,"")</f>
        <v/>
      </c>
      <c r="I90" s="39" t="str" cm="1">
        <f t="array" ref="I90">IFERROR(INDEX(Table_dim_price_recipe[Retail Price], MATCH(1, ("Calculator"&lt;&gt;Table_dim_price_recipe[Type.display])*($L90=Table_dim_price_recipe[Category])*($D90=Table_dim_price_recipe[Item Description]) * (I$6=Table_dim_price_recipe[Type])*(Table_dim_price_recipe[Retail Price]&lt;&gt;0)*($C90=Table_dim_price_recipe[Subcategory]), 0))*$B90,"")</f>
        <v/>
      </c>
      <c r="J90" s="39" t="str" cm="1">
        <f t="array" ref="J90">IFERROR(INDEX(Table_dim_price_recipe[Retail Price], MATCH(1, ("Calculator"&lt;&gt;Table_dim_price_recipe[Type.display])*($L90=Table_dim_price_recipe[Category])*($D90=Table_dim_price_recipe[Item Description]) * (J$6=Table_dim_price_recipe[Type])*(Table_dim_price_recipe[Retail Price]&lt;&gt;0)*($C90=Table_dim_price_recipe[Subcategory]), 0))*$B90,"")</f>
        <v/>
      </c>
      <c r="K90" s="39" t="str" cm="1">
        <f t="array" ref="K90">IFERROR(INDEX(Table_dim_price_recipe[Retail Price], MATCH(1, ("Calculator"&lt;&gt;Table_dim_price_recipe[Type.display])*($L90=Table_dim_price_recipe[Category])*($D90=Table_dim_price_recipe[Item Description]) * (K$6=Table_dim_price_recipe[Type])*(Table_dim_price_recipe[Retail Price]&lt;&gt;0)*($C90=Table_dim_price_recipe[Subcategory]), 0))*$B90,"")</f>
        <v/>
      </c>
      <c r="L90" s="39" t="str" cm="1">
        <f t="array" ref="L90">IF($A90&lt;&gt;"", $A90, LOOKUP(2, 1/((A$7:INDEX(A:A, ROW()))&lt;&gt;""), A$7:INDEX(A:A, ROW())))</f>
        <v>POSTS</v>
      </c>
      <c r="M90" s="14"/>
    </row>
    <row r="91" spans="1:13">
      <c r="A91" s="263"/>
      <c r="B91" s="263"/>
      <c r="C91" s="263" t="s">
        <v>15</v>
      </c>
      <c r="D91" s="263"/>
      <c r="E91" s="263"/>
      <c r="F91" s="263"/>
      <c r="G91" s="39" t="str" cm="1">
        <f t="array" ref="G91">IFERROR(INDEX(Table_dim_price_recipe[Retail Price], MATCH(1, ("Calculator"&lt;&gt;Table_dim_price_recipe[Type.display])*($L91=Table_dim_price_recipe[Category])*($D91=Table_dim_price_recipe[Item Description]) * (G$6=Table_dim_price_recipe[Type])*(Table_dim_price_recipe[Retail Price]&lt;&gt;0)*($C91=Table_dim_price_recipe[Subcategory]), 0))*$B91,"")</f>
        <v/>
      </c>
      <c r="H91" s="39" t="str" cm="1">
        <f t="array" ref="H91">IFERROR(INDEX(Table_dim_price_recipe[Retail Price], MATCH(1, ("Calculator"&lt;&gt;Table_dim_price_recipe[Type.display])*($L91=Table_dim_price_recipe[Category])*($D91=Table_dim_price_recipe[Item Description]) * (H$6=Table_dim_price_recipe[Type])*(Table_dim_price_recipe[Retail Price]&lt;&gt;0)*($C91=Table_dim_price_recipe[Subcategory]), 0))*$B91,"")</f>
        <v/>
      </c>
      <c r="I91" s="39" t="str" cm="1">
        <f t="array" ref="I91">IFERROR(INDEX(Table_dim_price_recipe[Retail Price], MATCH(1, ("Calculator"&lt;&gt;Table_dim_price_recipe[Type.display])*($L91=Table_dim_price_recipe[Category])*($D91=Table_dim_price_recipe[Item Description]) * (I$6=Table_dim_price_recipe[Type])*(Table_dim_price_recipe[Retail Price]&lt;&gt;0)*($C91=Table_dim_price_recipe[Subcategory]), 0))*$B91,"")</f>
        <v/>
      </c>
      <c r="J91" s="39" t="str" cm="1">
        <f t="array" ref="J91">IFERROR(INDEX(Table_dim_price_recipe[Retail Price], MATCH(1, ("Calculator"&lt;&gt;Table_dim_price_recipe[Type.display])*($L91=Table_dim_price_recipe[Category])*($D91=Table_dim_price_recipe[Item Description]) * (J$6=Table_dim_price_recipe[Type])*(Table_dim_price_recipe[Retail Price]&lt;&gt;0)*($C91=Table_dim_price_recipe[Subcategory]), 0))*$B91,"")</f>
        <v/>
      </c>
      <c r="K91" s="39" t="str" cm="1">
        <f t="array" ref="K91">IFERROR(INDEX(Table_dim_price_recipe[Retail Price], MATCH(1, ("Calculator"&lt;&gt;Table_dim_price_recipe[Type.display])*($L91=Table_dim_price_recipe[Category])*($D91=Table_dim_price_recipe[Item Description]) * (K$6=Table_dim_price_recipe[Type])*(Table_dim_price_recipe[Retail Price]&lt;&gt;0)*($C91=Table_dim_price_recipe[Subcategory]), 0))*$B91,"")</f>
        <v/>
      </c>
      <c r="L91" s="39" t="str" cm="1">
        <f t="array" ref="L91">IF($A91&lt;&gt;"", $A91, LOOKUP(2, 1/((A$7:INDEX(A:A, ROW()))&lt;&gt;""), A$7:INDEX(A:A, ROW())))</f>
        <v>POSTS</v>
      </c>
      <c r="M91" s="14"/>
    </row>
    <row r="92" spans="1:13">
      <c r="A92" s="263"/>
      <c r="B92" s="263"/>
      <c r="C92" s="263" t="s">
        <v>901</v>
      </c>
      <c r="D92" s="263" t="s">
        <v>907</v>
      </c>
      <c r="E92" s="263"/>
      <c r="F92" s="263"/>
      <c r="G92" s="39" t="str" cm="1">
        <f t="array" ref="G92">IFERROR(INDEX(Table_dim_price_recipe[Retail Price], MATCH(1, ("Calculator"&lt;&gt;Table_dim_price_recipe[Type.display])*($L92=Table_dim_price_recipe[Category])*($D92=Table_dim_price_recipe[Item Description]) * (G$6=Table_dim_price_recipe[Type])*(Table_dim_price_recipe[Retail Price]&lt;&gt;0)*($C92=Table_dim_price_recipe[Subcategory]), 0))*$B92,"")</f>
        <v/>
      </c>
      <c r="H92" s="39" cm="1">
        <f t="array" ref="H92">IFERROR(INDEX(Table_dim_price_recipe[Retail Price], MATCH(1, ("Calculator"&lt;&gt;Table_dim_price_recipe[Type.display])*($L92=Table_dim_price_recipe[Category])*($D92=Table_dim_price_recipe[Item Description]) * (H$6=Table_dim_price_recipe[Type])*(Table_dim_price_recipe[Retail Price]&lt;&gt;0)*($C92=Table_dim_price_recipe[Subcategory]), 0))*$B92,"")</f>
        <v>0</v>
      </c>
      <c r="I92" s="39" t="str" cm="1">
        <f t="array" ref="I92">IFERROR(INDEX(Table_dim_price_recipe[Retail Price], MATCH(1, ("Calculator"&lt;&gt;Table_dim_price_recipe[Type.display])*($L92=Table_dim_price_recipe[Category])*($D92=Table_dim_price_recipe[Item Description]) * (I$6=Table_dim_price_recipe[Type])*(Table_dim_price_recipe[Retail Price]&lt;&gt;0)*($C92=Table_dim_price_recipe[Subcategory]), 0))*$B92,"")</f>
        <v/>
      </c>
      <c r="J92" s="39" t="str" cm="1">
        <f t="array" ref="J92">IFERROR(INDEX(Table_dim_price_recipe[Retail Price], MATCH(1, ("Calculator"&lt;&gt;Table_dim_price_recipe[Type.display])*($L92=Table_dim_price_recipe[Category])*($D92=Table_dim_price_recipe[Item Description]) * (J$6=Table_dim_price_recipe[Type])*(Table_dim_price_recipe[Retail Price]&lt;&gt;0)*($C92=Table_dim_price_recipe[Subcategory]), 0))*$B92,"")</f>
        <v/>
      </c>
      <c r="K92" s="39" t="str" cm="1">
        <f t="array" ref="K92">IFERROR(INDEX(Table_dim_price_recipe[Retail Price], MATCH(1, ("Calculator"&lt;&gt;Table_dim_price_recipe[Type.display])*($L92=Table_dim_price_recipe[Category])*($D92=Table_dim_price_recipe[Item Description]) * (K$6=Table_dim_price_recipe[Type])*(Table_dim_price_recipe[Retail Price]&lt;&gt;0)*($C92=Table_dim_price_recipe[Subcategory]), 0))*$B92,"")</f>
        <v/>
      </c>
      <c r="L92" s="39" t="str" cm="1">
        <f t="array" ref="L92">IF($A92&lt;&gt;"", $A92, LOOKUP(2, 1/((A$7:INDEX(A:A, ROW()))&lt;&gt;""), A$7:INDEX(A:A, ROW())))</f>
        <v>POSTS</v>
      </c>
      <c r="M92" s="14"/>
    </row>
    <row r="93" spans="1:13">
      <c r="A93" s="263"/>
      <c r="B93" s="263"/>
      <c r="C93" s="263" t="s">
        <v>901</v>
      </c>
      <c r="D93" s="263" t="s">
        <v>908</v>
      </c>
      <c r="E93" s="263"/>
      <c r="F93" s="263"/>
      <c r="G93" s="39" t="str" cm="1">
        <f t="array" ref="G93">IFERROR(INDEX(Table_dim_price_recipe[Retail Price], MATCH(1, ("Calculator"&lt;&gt;Table_dim_price_recipe[Type.display])*($L93=Table_dim_price_recipe[Category])*($D93=Table_dim_price_recipe[Item Description]) * (G$6=Table_dim_price_recipe[Type])*(Table_dim_price_recipe[Retail Price]&lt;&gt;0)*($C93=Table_dim_price_recipe[Subcategory]), 0))*$B93,"")</f>
        <v/>
      </c>
      <c r="H93" s="39" cm="1">
        <f t="array" ref="H93">IFERROR(INDEX(Table_dim_price_recipe[Retail Price], MATCH(1, ("Calculator"&lt;&gt;Table_dim_price_recipe[Type.display])*($L93=Table_dim_price_recipe[Category])*($D93=Table_dim_price_recipe[Item Description]) * (H$6=Table_dim_price_recipe[Type])*(Table_dim_price_recipe[Retail Price]&lt;&gt;0)*($C93=Table_dim_price_recipe[Subcategory]), 0))*$B93,"")</f>
        <v>0</v>
      </c>
      <c r="I93" s="39" t="str" cm="1">
        <f t="array" ref="I93">IFERROR(INDEX(Table_dim_price_recipe[Retail Price], MATCH(1, ("Calculator"&lt;&gt;Table_dim_price_recipe[Type.display])*($L93=Table_dim_price_recipe[Category])*($D93=Table_dim_price_recipe[Item Description]) * (I$6=Table_dim_price_recipe[Type])*(Table_dim_price_recipe[Retail Price]&lt;&gt;0)*($C93=Table_dim_price_recipe[Subcategory]), 0))*$B93,"")</f>
        <v/>
      </c>
      <c r="J93" s="39" t="str" cm="1">
        <f t="array" ref="J93">IFERROR(INDEX(Table_dim_price_recipe[Retail Price], MATCH(1, ("Calculator"&lt;&gt;Table_dim_price_recipe[Type.display])*($L93=Table_dim_price_recipe[Category])*($D93=Table_dim_price_recipe[Item Description]) * (J$6=Table_dim_price_recipe[Type])*(Table_dim_price_recipe[Retail Price]&lt;&gt;0)*($C93=Table_dim_price_recipe[Subcategory]), 0))*$B93,"")</f>
        <v/>
      </c>
      <c r="K93" s="39" t="str" cm="1">
        <f t="array" ref="K93">IFERROR(INDEX(Table_dim_price_recipe[Retail Price], MATCH(1, ("Calculator"&lt;&gt;Table_dim_price_recipe[Type.display])*($L93=Table_dim_price_recipe[Category])*($D93=Table_dim_price_recipe[Item Description]) * (K$6=Table_dim_price_recipe[Type])*(Table_dim_price_recipe[Retail Price]&lt;&gt;0)*($C93=Table_dim_price_recipe[Subcategory]), 0))*$B93,"")</f>
        <v/>
      </c>
      <c r="L93" s="39" t="str" cm="1">
        <f t="array" ref="L93">IF($A93&lt;&gt;"", $A93, LOOKUP(2, 1/((A$7:INDEX(A:A, ROW()))&lt;&gt;""), A$7:INDEX(A:A, ROW())))</f>
        <v>POSTS</v>
      </c>
      <c r="M93" s="14"/>
    </row>
    <row r="94" spans="1:13">
      <c r="A94" s="263"/>
      <c r="B94" s="263"/>
      <c r="C94" s="263" t="s">
        <v>901</v>
      </c>
      <c r="D94" s="263" t="s">
        <v>906</v>
      </c>
      <c r="E94" s="263"/>
      <c r="F94" s="263"/>
      <c r="G94" s="39" t="str" cm="1">
        <f t="array" ref="G94">IFERROR(INDEX(Table_dim_price_recipe[Retail Price], MATCH(1, ("Calculator"&lt;&gt;Table_dim_price_recipe[Type.display])*($L94=Table_dim_price_recipe[Category])*($D94=Table_dim_price_recipe[Item Description]) * (G$6=Table_dim_price_recipe[Type])*(Table_dim_price_recipe[Retail Price]&lt;&gt;0)*($C94=Table_dim_price_recipe[Subcategory]), 0))*$B94,"")</f>
        <v/>
      </c>
      <c r="H94" s="39" cm="1">
        <f t="array" ref="H94">IFERROR(INDEX(Table_dim_price_recipe[Retail Price], MATCH(1, ("Calculator"&lt;&gt;Table_dim_price_recipe[Type.display])*($L94=Table_dim_price_recipe[Category])*($D94=Table_dim_price_recipe[Item Description]) * (H$6=Table_dim_price_recipe[Type])*(Table_dim_price_recipe[Retail Price]&lt;&gt;0)*($C94=Table_dim_price_recipe[Subcategory]), 0))*$B94,"")</f>
        <v>0</v>
      </c>
      <c r="I94" s="39" t="str" cm="1">
        <f t="array" ref="I94">IFERROR(INDEX(Table_dim_price_recipe[Retail Price], MATCH(1, ("Calculator"&lt;&gt;Table_dim_price_recipe[Type.display])*($L94=Table_dim_price_recipe[Category])*($D94=Table_dim_price_recipe[Item Description]) * (I$6=Table_dim_price_recipe[Type])*(Table_dim_price_recipe[Retail Price]&lt;&gt;0)*($C94=Table_dim_price_recipe[Subcategory]), 0))*$B94,"")</f>
        <v/>
      </c>
      <c r="J94" s="39" t="str" cm="1">
        <f t="array" ref="J94">IFERROR(INDEX(Table_dim_price_recipe[Retail Price], MATCH(1, ("Calculator"&lt;&gt;Table_dim_price_recipe[Type.display])*($L94=Table_dim_price_recipe[Category])*($D94=Table_dim_price_recipe[Item Description]) * (J$6=Table_dim_price_recipe[Type])*(Table_dim_price_recipe[Retail Price]&lt;&gt;0)*($C94=Table_dim_price_recipe[Subcategory]), 0))*$B94,"")</f>
        <v/>
      </c>
      <c r="K94" s="39" t="str" cm="1">
        <f t="array" ref="K94">IFERROR(INDEX(Table_dim_price_recipe[Retail Price], MATCH(1, ("Calculator"&lt;&gt;Table_dim_price_recipe[Type.display])*($L94=Table_dim_price_recipe[Category])*($D94=Table_dim_price_recipe[Item Description]) * (K$6=Table_dim_price_recipe[Type])*(Table_dim_price_recipe[Retail Price]&lt;&gt;0)*($C94=Table_dim_price_recipe[Subcategory]), 0))*$B94,"")</f>
        <v/>
      </c>
      <c r="L94" s="39" t="str" cm="1">
        <f t="array" ref="L94">IF($A94&lt;&gt;"", $A94, LOOKUP(2, 1/((A$7:INDEX(A:A, ROW()))&lt;&gt;""), A$7:INDEX(A:A, ROW())))</f>
        <v>POSTS</v>
      </c>
      <c r="M94" s="14"/>
    </row>
    <row r="95" spans="1:13">
      <c r="A95" s="263"/>
      <c r="B95" s="263"/>
      <c r="C95" s="263" t="s">
        <v>901</v>
      </c>
      <c r="D95" s="263" t="s">
        <v>905</v>
      </c>
      <c r="E95" s="263"/>
      <c r="F95" s="263"/>
      <c r="G95" s="39" t="str" cm="1">
        <f t="array" ref="G95">IFERROR(INDEX(Table_dim_price_recipe[Retail Price], MATCH(1, ("Calculator"&lt;&gt;Table_dim_price_recipe[Type.display])*($L95=Table_dim_price_recipe[Category])*($D95=Table_dim_price_recipe[Item Description]) * (G$6=Table_dim_price_recipe[Type])*(Table_dim_price_recipe[Retail Price]&lt;&gt;0)*($C95=Table_dim_price_recipe[Subcategory]), 0))*$B95,"")</f>
        <v/>
      </c>
      <c r="H95" s="39" cm="1">
        <f t="array" ref="H95">IFERROR(INDEX(Table_dim_price_recipe[Retail Price], MATCH(1, ("Calculator"&lt;&gt;Table_dim_price_recipe[Type.display])*($L95=Table_dim_price_recipe[Category])*($D95=Table_dim_price_recipe[Item Description]) * (H$6=Table_dim_price_recipe[Type])*(Table_dim_price_recipe[Retail Price]&lt;&gt;0)*($C95=Table_dim_price_recipe[Subcategory]), 0))*$B95,"")</f>
        <v>0</v>
      </c>
      <c r="I95" s="39" t="str" cm="1">
        <f t="array" ref="I95">IFERROR(INDEX(Table_dim_price_recipe[Retail Price], MATCH(1, ("Calculator"&lt;&gt;Table_dim_price_recipe[Type.display])*($L95=Table_dim_price_recipe[Category])*($D95=Table_dim_price_recipe[Item Description]) * (I$6=Table_dim_price_recipe[Type])*(Table_dim_price_recipe[Retail Price]&lt;&gt;0)*($C95=Table_dim_price_recipe[Subcategory]), 0))*$B95,"")</f>
        <v/>
      </c>
      <c r="J95" s="39" t="str" cm="1">
        <f t="array" ref="J95">IFERROR(INDEX(Table_dim_price_recipe[Retail Price], MATCH(1, ("Calculator"&lt;&gt;Table_dim_price_recipe[Type.display])*($L95=Table_dim_price_recipe[Category])*($D95=Table_dim_price_recipe[Item Description]) * (J$6=Table_dim_price_recipe[Type])*(Table_dim_price_recipe[Retail Price]&lt;&gt;0)*($C95=Table_dim_price_recipe[Subcategory]), 0))*$B95,"")</f>
        <v/>
      </c>
      <c r="K95" s="39" t="str" cm="1">
        <f t="array" ref="K95">IFERROR(INDEX(Table_dim_price_recipe[Retail Price], MATCH(1, ("Calculator"&lt;&gt;Table_dim_price_recipe[Type.display])*($L95=Table_dim_price_recipe[Category])*($D95=Table_dim_price_recipe[Item Description]) * (K$6=Table_dim_price_recipe[Type])*(Table_dim_price_recipe[Retail Price]&lt;&gt;0)*($C95=Table_dim_price_recipe[Subcategory]), 0))*$B95,"")</f>
        <v/>
      </c>
      <c r="L95" s="39" t="str" cm="1">
        <f t="array" ref="L95">IF($A95&lt;&gt;"", $A95, LOOKUP(2, 1/((A$7:INDEX(A:A, ROW()))&lt;&gt;""), A$7:INDEX(A:A, ROW())))</f>
        <v>POSTS</v>
      </c>
      <c r="M95" s="14"/>
    </row>
    <row r="96" spans="1:13">
      <c r="A96" s="263"/>
      <c r="B96" s="263"/>
      <c r="C96" s="263" t="s">
        <v>901</v>
      </c>
      <c r="D96" s="263" t="s">
        <v>903</v>
      </c>
      <c r="E96" s="263"/>
      <c r="F96" s="263"/>
      <c r="G96" s="39" t="str" cm="1">
        <f t="array" ref="G96">IFERROR(INDEX(Table_dim_price_recipe[Retail Price], MATCH(1, ("Calculator"&lt;&gt;Table_dim_price_recipe[Type.display])*($L96=Table_dim_price_recipe[Category])*($D96=Table_dim_price_recipe[Item Description]) * (G$6=Table_dim_price_recipe[Type])*(Table_dim_price_recipe[Retail Price]&lt;&gt;0)*($C96=Table_dim_price_recipe[Subcategory]), 0))*$B96,"")</f>
        <v/>
      </c>
      <c r="H96" s="39" cm="1">
        <f t="array" ref="H96">IFERROR(INDEX(Table_dim_price_recipe[Retail Price], MATCH(1, ("Calculator"&lt;&gt;Table_dim_price_recipe[Type.display])*($L96=Table_dim_price_recipe[Category])*($D96=Table_dim_price_recipe[Item Description]) * (H$6=Table_dim_price_recipe[Type])*(Table_dim_price_recipe[Retail Price]&lt;&gt;0)*($C96=Table_dim_price_recipe[Subcategory]), 0))*$B96,"")</f>
        <v>0</v>
      </c>
      <c r="I96" s="39" t="str" cm="1">
        <f t="array" ref="I96">IFERROR(INDEX(Table_dim_price_recipe[Retail Price], MATCH(1, ("Calculator"&lt;&gt;Table_dim_price_recipe[Type.display])*($L96=Table_dim_price_recipe[Category])*($D96=Table_dim_price_recipe[Item Description]) * (I$6=Table_dim_price_recipe[Type])*(Table_dim_price_recipe[Retail Price]&lt;&gt;0)*($C96=Table_dim_price_recipe[Subcategory]), 0))*$B96,"")</f>
        <v/>
      </c>
      <c r="J96" s="39" t="str" cm="1">
        <f t="array" ref="J96">IFERROR(INDEX(Table_dim_price_recipe[Retail Price], MATCH(1, ("Calculator"&lt;&gt;Table_dim_price_recipe[Type.display])*($L96=Table_dim_price_recipe[Category])*($D96=Table_dim_price_recipe[Item Description]) * (J$6=Table_dim_price_recipe[Type])*(Table_dim_price_recipe[Retail Price]&lt;&gt;0)*($C96=Table_dim_price_recipe[Subcategory]), 0))*$B96,"")</f>
        <v/>
      </c>
      <c r="K96" s="39" t="str" cm="1">
        <f t="array" ref="K96">IFERROR(INDEX(Table_dim_price_recipe[Retail Price], MATCH(1, ("Calculator"&lt;&gt;Table_dim_price_recipe[Type.display])*($L96=Table_dim_price_recipe[Category])*($D96=Table_dim_price_recipe[Item Description]) * (K$6=Table_dim_price_recipe[Type])*(Table_dim_price_recipe[Retail Price]&lt;&gt;0)*($C96=Table_dim_price_recipe[Subcategory]), 0))*$B96,"")</f>
        <v/>
      </c>
      <c r="L96" s="39" t="str" cm="1">
        <f t="array" ref="L96">IF($A96&lt;&gt;"", $A96, LOOKUP(2, 1/((A$7:INDEX(A:A, ROW()))&lt;&gt;""), A$7:INDEX(A:A, ROW())))</f>
        <v>POSTS</v>
      </c>
      <c r="M96" s="14"/>
    </row>
    <row r="97" spans="1:13">
      <c r="A97" s="263"/>
      <c r="B97" s="263"/>
      <c r="C97" s="263" t="s">
        <v>901</v>
      </c>
      <c r="D97" s="263" t="s">
        <v>904</v>
      </c>
      <c r="E97" s="263"/>
      <c r="F97" s="263"/>
      <c r="G97" s="39" t="str" cm="1">
        <f t="array" ref="G97">IFERROR(INDEX(Table_dim_price_recipe[Retail Price], MATCH(1, ("Calculator"&lt;&gt;Table_dim_price_recipe[Type.display])*($L97=Table_dim_price_recipe[Category])*($D97=Table_dim_price_recipe[Item Description]) * (G$6=Table_dim_price_recipe[Type])*(Table_dim_price_recipe[Retail Price]&lt;&gt;0)*($C97=Table_dim_price_recipe[Subcategory]), 0))*$B97,"")</f>
        <v/>
      </c>
      <c r="H97" s="39" cm="1">
        <f t="array" ref="H97">IFERROR(INDEX(Table_dim_price_recipe[Retail Price], MATCH(1, ("Calculator"&lt;&gt;Table_dim_price_recipe[Type.display])*($L97=Table_dim_price_recipe[Category])*($D97=Table_dim_price_recipe[Item Description]) * (H$6=Table_dim_price_recipe[Type])*(Table_dim_price_recipe[Retail Price]&lt;&gt;0)*($C97=Table_dim_price_recipe[Subcategory]), 0))*$B97,"")</f>
        <v>0</v>
      </c>
      <c r="I97" s="39" t="str" cm="1">
        <f t="array" ref="I97">IFERROR(INDEX(Table_dim_price_recipe[Retail Price], MATCH(1, ("Calculator"&lt;&gt;Table_dim_price_recipe[Type.display])*($L97=Table_dim_price_recipe[Category])*($D97=Table_dim_price_recipe[Item Description]) * (I$6=Table_dim_price_recipe[Type])*(Table_dim_price_recipe[Retail Price]&lt;&gt;0)*($C97=Table_dim_price_recipe[Subcategory]), 0))*$B97,"")</f>
        <v/>
      </c>
      <c r="J97" s="39" t="str" cm="1">
        <f t="array" ref="J97">IFERROR(INDEX(Table_dim_price_recipe[Retail Price], MATCH(1, ("Calculator"&lt;&gt;Table_dim_price_recipe[Type.display])*($L97=Table_dim_price_recipe[Category])*($D97=Table_dim_price_recipe[Item Description]) * (J$6=Table_dim_price_recipe[Type])*(Table_dim_price_recipe[Retail Price]&lt;&gt;0)*($C97=Table_dim_price_recipe[Subcategory]), 0))*$B97,"")</f>
        <v/>
      </c>
      <c r="K97" s="39" t="str" cm="1">
        <f t="array" ref="K97">IFERROR(INDEX(Table_dim_price_recipe[Retail Price], MATCH(1, ("Calculator"&lt;&gt;Table_dim_price_recipe[Type.display])*($L97=Table_dim_price_recipe[Category])*($D97=Table_dim_price_recipe[Item Description]) * (K$6=Table_dim_price_recipe[Type])*(Table_dim_price_recipe[Retail Price]&lt;&gt;0)*($C97=Table_dim_price_recipe[Subcategory]), 0))*$B97,"")</f>
        <v/>
      </c>
      <c r="L97" s="39" t="str" cm="1">
        <f t="array" ref="L97">IF($A97&lt;&gt;"", $A97, LOOKUP(2, 1/((A$7:INDEX(A:A, ROW()))&lt;&gt;""), A$7:INDEX(A:A, ROW())))</f>
        <v>POSTS</v>
      </c>
      <c r="M97" s="14"/>
    </row>
    <row r="98" spans="1:13">
      <c r="A98" s="263"/>
      <c r="B98" s="263"/>
      <c r="C98" s="263" t="s">
        <v>901</v>
      </c>
      <c r="D98" s="263" t="s">
        <v>902</v>
      </c>
      <c r="E98" s="263"/>
      <c r="F98" s="263"/>
      <c r="G98" s="39" t="str" cm="1">
        <f t="array" ref="G98">IFERROR(INDEX(Table_dim_price_recipe[Retail Price], MATCH(1, ("Calculator"&lt;&gt;Table_dim_price_recipe[Type.display])*($L98=Table_dim_price_recipe[Category])*($D98=Table_dim_price_recipe[Item Description]) * (G$6=Table_dim_price_recipe[Type])*(Table_dim_price_recipe[Retail Price]&lt;&gt;0)*($C98=Table_dim_price_recipe[Subcategory]), 0))*$B98,"")</f>
        <v/>
      </c>
      <c r="H98" s="39" cm="1">
        <f t="array" ref="H98">IFERROR(INDEX(Table_dim_price_recipe[Retail Price], MATCH(1, ("Calculator"&lt;&gt;Table_dim_price_recipe[Type.display])*($L98=Table_dim_price_recipe[Category])*($D98=Table_dim_price_recipe[Item Description]) * (H$6=Table_dim_price_recipe[Type])*(Table_dim_price_recipe[Retail Price]&lt;&gt;0)*($C98=Table_dim_price_recipe[Subcategory]), 0))*$B98,"")</f>
        <v>0</v>
      </c>
      <c r="I98" s="39" t="str" cm="1">
        <f t="array" ref="I98">IFERROR(INDEX(Table_dim_price_recipe[Retail Price], MATCH(1, ("Calculator"&lt;&gt;Table_dim_price_recipe[Type.display])*($L98=Table_dim_price_recipe[Category])*($D98=Table_dim_price_recipe[Item Description]) * (I$6=Table_dim_price_recipe[Type])*(Table_dim_price_recipe[Retail Price]&lt;&gt;0)*($C98=Table_dim_price_recipe[Subcategory]), 0))*$B98,"")</f>
        <v/>
      </c>
      <c r="J98" s="39" t="str" cm="1">
        <f t="array" ref="J98">IFERROR(INDEX(Table_dim_price_recipe[Retail Price], MATCH(1, ("Calculator"&lt;&gt;Table_dim_price_recipe[Type.display])*($L98=Table_dim_price_recipe[Category])*($D98=Table_dim_price_recipe[Item Description]) * (J$6=Table_dim_price_recipe[Type])*(Table_dim_price_recipe[Retail Price]&lt;&gt;0)*($C98=Table_dim_price_recipe[Subcategory]), 0))*$B98,"")</f>
        <v/>
      </c>
      <c r="K98" s="39" t="str" cm="1">
        <f t="array" ref="K98">IFERROR(INDEX(Table_dim_price_recipe[Retail Price], MATCH(1, ("Calculator"&lt;&gt;Table_dim_price_recipe[Type.display])*($L98=Table_dim_price_recipe[Category])*($D98=Table_dim_price_recipe[Item Description]) * (K$6=Table_dim_price_recipe[Type])*(Table_dim_price_recipe[Retail Price]&lt;&gt;0)*($C98=Table_dim_price_recipe[Subcategory]), 0))*$B98,"")</f>
        <v/>
      </c>
      <c r="L98" s="39" t="str" cm="1">
        <f t="array" ref="L98">IF($A98&lt;&gt;"", $A98, LOOKUP(2, 1/((A$7:INDEX(A:A, ROW()))&lt;&gt;""), A$7:INDEX(A:A, ROW())))</f>
        <v>POSTS</v>
      </c>
      <c r="M98" s="14"/>
    </row>
    <row r="99" spans="1:13">
      <c r="A99" s="263"/>
      <c r="B99" s="263"/>
      <c r="C99" s="263" t="s">
        <v>901</v>
      </c>
      <c r="D99" s="263" t="s">
        <v>909</v>
      </c>
      <c r="E99" s="263"/>
      <c r="F99" s="263"/>
      <c r="G99" s="39" t="str" cm="1">
        <f t="array" ref="G99">IFERROR(INDEX(Table_dim_price_recipe[Retail Price], MATCH(1, ("Calculator"&lt;&gt;Table_dim_price_recipe[Type.display])*($L99=Table_dim_price_recipe[Category])*($D99=Table_dim_price_recipe[Item Description]) * (G$6=Table_dim_price_recipe[Type])*(Table_dim_price_recipe[Retail Price]&lt;&gt;0)*($C99=Table_dim_price_recipe[Subcategory]), 0))*$B99,"")</f>
        <v/>
      </c>
      <c r="H99" s="39" cm="1">
        <f t="array" ref="H99">IFERROR(INDEX(Table_dim_price_recipe[Retail Price], MATCH(1, ("Calculator"&lt;&gt;Table_dim_price_recipe[Type.display])*($L99=Table_dim_price_recipe[Category])*($D99=Table_dim_price_recipe[Item Description]) * (H$6=Table_dim_price_recipe[Type])*(Table_dim_price_recipe[Retail Price]&lt;&gt;0)*($C99=Table_dim_price_recipe[Subcategory]), 0))*$B99,"")</f>
        <v>0</v>
      </c>
      <c r="I99" s="39" t="str" cm="1">
        <f t="array" ref="I99">IFERROR(INDEX(Table_dim_price_recipe[Retail Price], MATCH(1, ("Calculator"&lt;&gt;Table_dim_price_recipe[Type.display])*($L99=Table_dim_price_recipe[Category])*($D99=Table_dim_price_recipe[Item Description]) * (I$6=Table_dim_price_recipe[Type])*(Table_dim_price_recipe[Retail Price]&lt;&gt;0)*($C99=Table_dim_price_recipe[Subcategory]), 0))*$B99,"")</f>
        <v/>
      </c>
      <c r="J99" s="39" t="str" cm="1">
        <f t="array" ref="J99">IFERROR(INDEX(Table_dim_price_recipe[Retail Price], MATCH(1, ("Calculator"&lt;&gt;Table_dim_price_recipe[Type.display])*($L99=Table_dim_price_recipe[Category])*($D99=Table_dim_price_recipe[Item Description]) * (J$6=Table_dim_price_recipe[Type])*(Table_dim_price_recipe[Retail Price]&lt;&gt;0)*($C99=Table_dim_price_recipe[Subcategory]), 0))*$B99,"")</f>
        <v/>
      </c>
      <c r="K99" s="39" t="str" cm="1">
        <f t="array" ref="K99">IFERROR(INDEX(Table_dim_price_recipe[Retail Price], MATCH(1, ("Calculator"&lt;&gt;Table_dim_price_recipe[Type.display])*($L99=Table_dim_price_recipe[Category])*($D99=Table_dim_price_recipe[Item Description]) * (K$6=Table_dim_price_recipe[Type])*(Table_dim_price_recipe[Retail Price]&lt;&gt;0)*($C99=Table_dim_price_recipe[Subcategory]), 0))*$B99,"")</f>
        <v/>
      </c>
      <c r="L99" s="39" t="str" cm="1">
        <f t="array" ref="L99">IF($A99&lt;&gt;"", $A99, LOOKUP(2, 1/((A$7:INDEX(A:A, ROW()))&lt;&gt;""), A$7:INDEX(A:A, ROW())))</f>
        <v>POSTS</v>
      </c>
      <c r="M99" s="14"/>
    </row>
    <row r="100" spans="1:13">
      <c r="A100" s="263"/>
      <c r="B100" s="263"/>
      <c r="C100" s="263" t="s">
        <v>901</v>
      </c>
      <c r="D100" s="263" t="s">
        <v>22</v>
      </c>
      <c r="E100" s="263"/>
      <c r="F100" s="263"/>
      <c r="G100" s="39" t="str" cm="1">
        <f t="array" ref="G100">IFERROR(INDEX(Table_dim_price_recipe[Retail Price], MATCH(1, ("Calculator"&lt;&gt;Table_dim_price_recipe[Type.display])*($L100=Table_dim_price_recipe[Category])*($D100=Table_dim_price_recipe[Item Description]) * (G$6=Table_dim_price_recipe[Type])*(Table_dim_price_recipe[Retail Price]&lt;&gt;0)*($C100=Table_dim_price_recipe[Subcategory]), 0))*$B100,"")</f>
        <v/>
      </c>
      <c r="H100" s="39" cm="1">
        <f t="array" ref="H100">IFERROR(INDEX(Table_dim_price_recipe[Retail Price], MATCH(1, ("Calculator"&lt;&gt;Table_dim_price_recipe[Type.display])*($L100=Table_dim_price_recipe[Category])*($D100=Table_dim_price_recipe[Item Description]) * (H$6=Table_dim_price_recipe[Type])*(Table_dim_price_recipe[Retail Price]&lt;&gt;0)*($C100=Table_dim_price_recipe[Subcategory]), 0))*$B100,"")</f>
        <v>0</v>
      </c>
      <c r="I100" s="39" t="str" cm="1">
        <f t="array" ref="I100">IFERROR(INDEX(Table_dim_price_recipe[Retail Price], MATCH(1, ("Calculator"&lt;&gt;Table_dim_price_recipe[Type.display])*($L100=Table_dim_price_recipe[Category])*($D100=Table_dim_price_recipe[Item Description]) * (I$6=Table_dim_price_recipe[Type])*(Table_dim_price_recipe[Retail Price]&lt;&gt;0)*($C100=Table_dim_price_recipe[Subcategory]), 0))*$B100,"")</f>
        <v/>
      </c>
      <c r="J100" s="39" t="str" cm="1">
        <f t="array" ref="J100">IFERROR(INDEX(Table_dim_price_recipe[Retail Price], MATCH(1, ("Calculator"&lt;&gt;Table_dim_price_recipe[Type.display])*($L100=Table_dim_price_recipe[Category])*($D100=Table_dim_price_recipe[Item Description]) * (J$6=Table_dim_price_recipe[Type])*(Table_dim_price_recipe[Retail Price]&lt;&gt;0)*($C100=Table_dim_price_recipe[Subcategory]), 0))*$B100,"")</f>
        <v/>
      </c>
      <c r="K100" s="39" t="str" cm="1">
        <f t="array" ref="K100">IFERROR(INDEX(Table_dim_price_recipe[Retail Price], MATCH(1, ("Calculator"&lt;&gt;Table_dim_price_recipe[Type.display])*($L100=Table_dim_price_recipe[Category])*($D100=Table_dim_price_recipe[Item Description]) * (K$6=Table_dim_price_recipe[Type])*(Table_dim_price_recipe[Retail Price]&lt;&gt;0)*($C100=Table_dim_price_recipe[Subcategory]), 0))*$B100,"")</f>
        <v/>
      </c>
      <c r="L100" s="39" t="str" cm="1">
        <f t="array" ref="L100">IF($A100&lt;&gt;"", $A100, LOOKUP(2, 1/((A$7:INDEX(A:A, ROW()))&lt;&gt;""), A$7:INDEX(A:A, ROW())))</f>
        <v>POSTS</v>
      </c>
      <c r="M100" s="14"/>
    </row>
    <row r="101" spans="1:13">
      <c r="A101" s="263"/>
      <c r="B101" s="263"/>
      <c r="C101" s="263" t="s">
        <v>901</v>
      </c>
      <c r="D101" s="263"/>
      <c r="E101" s="263"/>
      <c r="F101" s="263"/>
      <c r="G101" s="39" t="str" cm="1">
        <f t="array" ref="G101">IFERROR(INDEX(Table_dim_price_recipe[Retail Price], MATCH(1, ("Calculator"&lt;&gt;Table_dim_price_recipe[Type.display])*($L101=Table_dim_price_recipe[Category])*($D101=Table_dim_price_recipe[Item Description]) * (G$6=Table_dim_price_recipe[Type])*(Table_dim_price_recipe[Retail Price]&lt;&gt;0)*($C101=Table_dim_price_recipe[Subcategory]), 0))*$B101,"")</f>
        <v/>
      </c>
      <c r="H101" s="39" t="str" cm="1">
        <f t="array" ref="H101">IFERROR(INDEX(Table_dim_price_recipe[Retail Price], MATCH(1, ("Calculator"&lt;&gt;Table_dim_price_recipe[Type.display])*($L101=Table_dim_price_recipe[Category])*($D101=Table_dim_price_recipe[Item Description]) * (H$6=Table_dim_price_recipe[Type])*(Table_dim_price_recipe[Retail Price]&lt;&gt;0)*($C101=Table_dim_price_recipe[Subcategory]), 0))*$B101,"")</f>
        <v/>
      </c>
      <c r="I101" s="39" t="str" cm="1">
        <f t="array" ref="I101">IFERROR(INDEX(Table_dim_price_recipe[Retail Price], MATCH(1, ("Calculator"&lt;&gt;Table_dim_price_recipe[Type.display])*($L101=Table_dim_price_recipe[Category])*($D101=Table_dim_price_recipe[Item Description]) * (I$6=Table_dim_price_recipe[Type])*(Table_dim_price_recipe[Retail Price]&lt;&gt;0)*($C101=Table_dim_price_recipe[Subcategory]), 0))*$B101,"")</f>
        <v/>
      </c>
      <c r="J101" s="39" t="str" cm="1">
        <f t="array" ref="J101">IFERROR(INDEX(Table_dim_price_recipe[Retail Price], MATCH(1, ("Calculator"&lt;&gt;Table_dim_price_recipe[Type.display])*($L101=Table_dim_price_recipe[Category])*($D101=Table_dim_price_recipe[Item Description]) * (J$6=Table_dim_price_recipe[Type])*(Table_dim_price_recipe[Retail Price]&lt;&gt;0)*($C101=Table_dim_price_recipe[Subcategory]), 0))*$B101,"")</f>
        <v/>
      </c>
      <c r="K101" s="39" t="str" cm="1">
        <f t="array" ref="K101">IFERROR(INDEX(Table_dim_price_recipe[Retail Price], MATCH(1, ("Calculator"&lt;&gt;Table_dim_price_recipe[Type.display])*($L101=Table_dim_price_recipe[Category])*($D101=Table_dim_price_recipe[Item Description]) * (K$6=Table_dim_price_recipe[Type])*(Table_dim_price_recipe[Retail Price]&lt;&gt;0)*($C101=Table_dim_price_recipe[Subcategory]), 0))*$B101,"")</f>
        <v/>
      </c>
      <c r="L101" s="39" t="str" cm="1">
        <f t="array" ref="L101">IF($A101&lt;&gt;"", $A101, LOOKUP(2, 1/((A$7:INDEX(A:A, ROW()))&lt;&gt;""), A$7:INDEX(A:A, ROW())))</f>
        <v>POSTS</v>
      </c>
      <c r="M101" s="14"/>
    </row>
    <row r="102" spans="1:13">
      <c r="A102" s="263"/>
      <c r="B102" s="263"/>
      <c r="C102" s="263" t="s">
        <v>901</v>
      </c>
      <c r="D102" s="263"/>
      <c r="E102" s="263"/>
      <c r="F102" s="263"/>
      <c r="G102" s="39" t="str" cm="1">
        <f t="array" ref="G102">IFERROR(INDEX(Table_dim_price_recipe[Retail Price], MATCH(1, ("Calculator"&lt;&gt;Table_dim_price_recipe[Type.display])*($L102=Table_dim_price_recipe[Category])*($D102=Table_dim_price_recipe[Item Description]) * (G$6=Table_dim_price_recipe[Type])*(Table_dim_price_recipe[Retail Price]&lt;&gt;0)*($C102=Table_dim_price_recipe[Subcategory]), 0))*$B102,"")</f>
        <v/>
      </c>
      <c r="H102" s="39" t="str" cm="1">
        <f t="array" ref="H102">IFERROR(INDEX(Table_dim_price_recipe[Retail Price], MATCH(1, ("Calculator"&lt;&gt;Table_dim_price_recipe[Type.display])*($L102=Table_dim_price_recipe[Category])*($D102=Table_dim_price_recipe[Item Description]) * (H$6=Table_dim_price_recipe[Type])*(Table_dim_price_recipe[Retail Price]&lt;&gt;0)*($C102=Table_dim_price_recipe[Subcategory]), 0))*$B102,"")</f>
        <v/>
      </c>
      <c r="I102" s="39" t="str" cm="1">
        <f t="array" ref="I102">IFERROR(INDEX(Table_dim_price_recipe[Retail Price], MATCH(1, ("Calculator"&lt;&gt;Table_dim_price_recipe[Type.display])*($L102=Table_dim_price_recipe[Category])*($D102=Table_dim_price_recipe[Item Description]) * (I$6=Table_dim_price_recipe[Type])*(Table_dim_price_recipe[Retail Price]&lt;&gt;0)*($C102=Table_dim_price_recipe[Subcategory]), 0))*$B102,"")</f>
        <v/>
      </c>
      <c r="J102" s="39" t="str" cm="1">
        <f t="array" ref="J102">IFERROR(INDEX(Table_dim_price_recipe[Retail Price], MATCH(1, ("Calculator"&lt;&gt;Table_dim_price_recipe[Type.display])*($L102=Table_dim_price_recipe[Category])*($D102=Table_dim_price_recipe[Item Description]) * (J$6=Table_dim_price_recipe[Type])*(Table_dim_price_recipe[Retail Price]&lt;&gt;0)*($C102=Table_dim_price_recipe[Subcategory]), 0))*$B102,"")</f>
        <v/>
      </c>
      <c r="K102" s="39" t="str" cm="1">
        <f t="array" ref="K102">IFERROR(INDEX(Table_dim_price_recipe[Retail Price], MATCH(1, ("Calculator"&lt;&gt;Table_dim_price_recipe[Type.display])*($L102=Table_dim_price_recipe[Category])*($D102=Table_dim_price_recipe[Item Description]) * (K$6=Table_dim_price_recipe[Type])*(Table_dim_price_recipe[Retail Price]&lt;&gt;0)*($C102=Table_dim_price_recipe[Subcategory]), 0))*$B102,"")</f>
        <v/>
      </c>
      <c r="L102" s="39" t="str" cm="1">
        <f t="array" ref="L102">IF($A102&lt;&gt;"", $A102, LOOKUP(2, 1/((A$7:INDEX(A:A, ROW()))&lt;&gt;""), A$7:INDEX(A:A, ROW())))</f>
        <v>POSTS</v>
      </c>
      <c r="M102" s="14"/>
    </row>
    <row r="103" spans="1:13">
      <c r="A103" s="263"/>
      <c r="B103" s="263"/>
      <c r="C103" s="263" t="s">
        <v>243</v>
      </c>
      <c r="D103" s="263" t="s">
        <v>253</v>
      </c>
      <c r="E103" s="263"/>
      <c r="F103" s="263"/>
      <c r="G103" s="39" t="str" cm="1">
        <f t="array" ref="G103">IFERROR(INDEX(Table_dim_price_recipe[Retail Price], MATCH(1, ("Calculator"&lt;&gt;Table_dim_price_recipe[Type.display])*($L103=Table_dim_price_recipe[Category])*($D103=Table_dim_price_recipe[Item Description]) * (G$6=Table_dim_price_recipe[Type])*(Table_dim_price_recipe[Retail Price]&lt;&gt;0)*($C103=Table_dim_price_recipe[Subcategory]), 0))*$B103,"")</f>
        <v/>
      </c>
      <c r="H103" s="39" t="str" cm="1">
        <f t="array" ref="H103">IFERROR(INDEX(Table_dim_price_recipe[Retail Price], MATCH(1, ("Calculator"&lt;&gt;Table_dim_price_recipe[Type.display])*($L103=Table_dim_price_recipe[Category])*($D103=Table_dim_price_recipe[Item Description]) * (H$6=Table_dim_price_recipe[Type])*(Table_dim_price_recipe[Retail Price]&lt;&gt;0)*($C103=Table_dim_price_recipe[Subcategory]), 0))*$B103,"")</f>
        <v/>
      </c>
      <c r="I103" s="39" t="str" cm="1">
        <f t="array" ref="I103">IFERROR(INDEX(Table_dim_price_recipe[Retail Price], MATCH(1, ("Calculator"&lt;&gt;Table_dim_price_recipe[Type.display])*($L103=Table_dim_price_recipe[Category])*($D103=Table_dim_price_recipe[Item Description]) * (I$6=Table_dim_price_recipe[Type])*(Table_dim_price_recipe[Retail Price]&lt;&gt;0)*($C103=Table_dim_price_recipe[Subcategory]), 0))*$B103,"")</f>
        <v/>
      </c>
      <c r="J103" s="39" t="str" cm="1">
        <f t="array" ref="J103">IFERROR(INDEX(Table_dim_price_recipe[Retail Price], MATCH(1, ("Calculator"&lt;&gt;Table_dim_price_recipe[Type.display])*($L103=Table_dim_price_recipe[Category])*($D103=Table_dim_price_recipe[Item Description]) * (J$6=Table_dim_price_recipe[Type])*(Table_dim_price_recipe[Retail Price]&lt;&gt;0)*($C103=Table_dim_price_recipe[Subcategory]), 0))*$B103,"")</f>
        <v/>
      </c>
      <c r="K103" s="39" t="str" cm="1">
        <f t="array" ref="K103">IFERROR(INDEX(Table_dim_price_recipe[Retail Price], MATCH(1, ("Calculator"&lt;&gt;Table_dim_price_recipe[Type.display])*($L103=Table_dim_price_recipe[Category])*($D103=Table_dim_price_recipe[Item Description]) * (K$6=Table_dim_price_recipe[Type])*(Table_dim_price_recipe[Retail Price]&lt;&gt;0)*($C103=Table_dim_price_recipe[Subcategory]), 0))*$B103,"")</f>
        <v/>
      </c>
      <c r="L103" s="39" t="str" cm="1">
        <f t="array" ref="L103">IF($A103&lt;&gt;"", $A103, LOOKUP(2, 1/((A$7:INDEX(A:A, ROW()))&lt;&gt;""), A$7:INDEX(A:A, ROW())))</f>
        <v>POSTS</v>
      </c>
      <c r="M103" s="14">
        <v>0</v>
      </c>
    </row>
    <row r="104" spans="1:13">
      <c r="A104" s="263"/>
      <c r="B104" s="263"/>
      <c r="C104" s="263" t="s">
        <v>243</v>
      </c>
      <c r="D104" s="263" t="s">
        <v>252</v>
      </c>
      <c r="E104" s="263"/>
      <c r="F104" s="263"/>
      <c r="G104" s="39" t="str" cm="1">
        <f t="array" ref="G104">IFERROR(INDEX(Table_dim_price_recipe[Retail Price], MATCH(1, ("Calculator"&lt;&gt;Table_dim_price_recipe[Type.display])*($L104=Table_dim_price_recipe[Category])*($D104=Table_dim_price_recipe[Item Description]) * (G$6=Table_dim_price_recipe[Type])*(Table_dim_price_recipe[Retail Price]&lt;&gt;0)*($C104=Table_dim_price_recipe[Subcategory]), 0))*$B104,"")</f>
        <v/>
      </c>
      <c r="H104" s="39" t="str" cm="1">
        <f t="array" ref="H104">IFERROR(INDEX(Table_dim_price_recipe[Retail Price], MATCH(1, ("Calculator"&lt;&gt;Table_dim_price_recipe[Type.display])*($L104=Table_dim_price_recipe[Category])*($D104=Table_dim_price_recipe[Item Description]) * (H$6=Table_dim_price_recipe[Type])*(Table_dim_price_recipe[Retail Price]&lt;&gt;0)*($C104=Table_dim_price_recipe[Subcategory]), 0))*$B104,"")</f>
        <v/>
      </c>
      <c r="I104" s="39" t="str" cm="1">
        <f t="array" ref="I104">IFERROR(INDEX(Table_dim_price_recipe[Retail Price], MATCH(1, ("Calculator"&lt;&gt;Table_dim_price_recipe[Type.display])*($L104=Table_dim_price_recipe[Category])*($D104=Table_dim_price_recipe[Item Description]) * (I$6=Table_dim_price_recipe[Type])*(Table_dim_price_recipe[Retail Price]&lt;&gt;0)*($C104=Table_dim_price_recipe[Subcategory]), 0))*$B104,"")</f>
        <v/>
      </c>
      <c r="J104" s="39" t="str" cm="1">
        <f t="array" ref="J104">IFERROR(INDEX(Table_dim_price_recipe[Retail Price], MATCH(1, ("Calculator"&lt;&gt;Table_dim_price_recipe[Type.display])*($L104=Table_dim_price_recipe[Category])*($D104=Table_dim_price_recipe[Item Description]) * (J$6=Table_dim_price_recipe[Type])*(Table_dim_price_recipe[Retail Price]&lt;&gt;0)*($C104=Table_dim_price_recipe[Subcategory]), 0))*$B104,"")</f>
        <v/>
      </c>
      <c r="K104" s="39" t="str" cm="1">
        <f t="array" ref="K104">IFERROR(INDEX(Table_dim_price_recipe[Retail Price], MATCH(1, ("Calculator"&lt;&gt;Table_dim_price_recipe[Type.display])*($L104=Table_dim_price_recipe[Category])*($D104=Table_dim_price_recipe[Item Description]) * (K$6=Table_dim_price_recipe[Type])*(Table_dim_price_recipe[Retail Price]&lt;&gt;0)*($C104=Table_dim_price_recipe[Subcategory]), 0))*$B104,"")</f>
        <v/>
      </c>
      <c r="L104" s="39" t="str" cm="1">
        <f t="array" ref="L104">IF($A104&lt;&gt;"", $A104, LOOKUP(2, 1/((A$7:INDEX(A:A, ROW()))&lt;&gt;""), A$7:INDEX(A:A, ROW())))</f>
        <v>POSTS</v>
      </c>
      <c r="M104" s="14"/>
    </row>
    <row r="105" spans="1:13">
      <c r="A105" s="263"/>
      <c r="B105" s="263"/>
      <c r="C105" s="263" t="s">
        <v>243</v>
      </c>
      <c r="D105" s="263" t="s">
        <v>250</v>
      </c>
      <c r="E105" s="263"/>
      <c r="F105" s="263"/>
      <c r="G105" s="39" cm="1">
        <f t="array" ref="G105">IFERROR(INDEX(Table_dim_price_recipe[Retail Price], MATCH(1, ("Calculator"&lt;&gt;Table_dim_price_recipe[Type.display])*($L105=Table_dim_price_recipe[Category])*($D105=Table_dim_price_recipe[Item Description]) * (G$6=Table_dim_price_recipe[Type])*(Table_dim_price_recipe[Retail Price]&lt;&gt;0)*($C105=Table_dim_price_recipe[Subcategory]), 0))*$B105,"")</f>
        <v>0</v>
      </c>
      <c r="H105" s="39" t="str" cm="1">
        <f t="array" ref="H105">IFERROR(INDEX(Table_dim_price_recipe[Retail Price], MATCH(1, ("Calculator"&lt;&gt;Table_dim_price_recipe[Type.display])*($L105=Table_dim_price_recipe[Category])*($D105=Table_dim_price_recipe[Item Description]) * (H$6=Table_dim_price_recipe[Type])*(Table_dim_price_recipe[Retail Price]&lt;&gt;0)*($C105=Table_dim_price_recipe[Subcategory]), 0))*$B105,"")</f>
        <v/>
      </c>
      <c r="I105" s="39" t="str" cm="1">
        <f t="array" ref="I105">IFERROR(INDEX(Table_dim_price_recipe[Retail Price], MATCH(1, ("Calculator"&lt;&gt;Table_dim_price_recipe[Type.display])*($L105=Table_dim_price_recipe[Category])*($D105=Table_dim_price_recipe[Item Description]) * (I$6=Table_dim_price_recipe[Type])*(Table_dim_price_recipe[Retail Price]&lt;&gt;0)*($C105=Table_dim_price_recipe[Subcategory]), 0))*$B105,"")</f>
        <v/>
      </c>
      <c r="J105" s="39" t="str" cm="1">
        <f t="array" ref="J105">IFERROR(INDEX(Table_dim_price_recipe[Retail Price], MATCH(1, ("Calculator"&lt;&gt;Table_dim_price_recipe[Type.display])*($L105=Table_dim_price_recipe[Category])*($D105=Table_dim_price_recipe[Item Description]) * (J$6=Table_dim_price_recipe[Type])*(Table_dim_price_recipe[Retail Price]&lt;&gt;0)*($C105=Table_dim_price_recipe[Subcategory]), 0))*$B105,"")</f>
        <v/>
      </c>
      <c r="K105" s="39" t="str" cm="1">
        <f t="array" ref="K105">IFERROR(INDEX(Table_dim_price_recipe[Retail Price], MATCH(1, ("Calculator"&lt;&gt;Table_dim_price_recipe[Type.display])*($L105=Table_dim_price_recipe[Category])*($D105=Table_dim_price_recipe[Item Description]) * (K$6=Table_dim_price_recipe[Type])*(Table_dim_price_recipe[Retail Price]&lt;&gt;0)*($C105=Table_dim_price_recipe[Subcategory]), 0))*$B105,"")</f>
        <v/>
      </c>
      <c r="L105" s="39" t="str" cm="1">
        <f t="array" ref="L105">IF($A105&lt;&gt;"", $A105, LOOKUP(2, 1/((A$7:INDEX(A:A, ROW()))&lt;&gt;""), A$7:INDEX(A:A, ROW())))</f>
        <v>POSTS</v>
      </c>
    </row>
    <row r="106" spans="1:13">
      <c r="A106" s="263"/>
      <c r="B106" s="263"/>
      <c r="C106" s="263" t="s">
        <v>243</v>
      </c>
      <c r="D106" s="263" t="s">
        <v>249</v>
      </c>
      <c r="E106" s="263"/>
      <c r="F106" s="263"/>
      <c r="G106" s="39" t="str" cm="1">
        <f t="array" ref="G106">IFERROR(INDEX(Table_dim_price_recipe[Retail Price], MATCH(1, ("Calculator"&lt;&gt;Table_dim_price_recipe[Type.display])*($L106=Table_dim_price_recipe[Category])*($D106=Table_dim_price_recipe[Item Description]) * (G$6=Table_dim_price_recipe[Type])*(Table_dim_price_recipe[Retail Price]&lt;&gt;0)*($C106=Table_dim_price_recipe[Subcategory]), 0))*$B106,"")</f>
        <v/>
      </c>
      <c r="H106" s="39" t="str" cm="1">
        <f t="array" ref="H106">IFERROR(INDEX(Table_dim_price_recipe[Retail Price], MATCH(1, ("Calculator"&lt;&gt;Table_dim_price_recipe[Type.display])*($L106=Table_dim_price_recipe[Category])*($D106=Table_dim_price_recipe[Item Description]) * (H$6=Table_dim_price_recipe[Type])*(Table_dim_price_recipe[Retail Price]&lt;&gt;0)*($C106=Table_dim_price_recipe[Subcategory]), 0))*$B106,"")</f>
        <v/>
      </c>
      <c r="I106" s="39" t="str" cm="1">
        <f t="array" ref="I106">IFERROR(INDEX(Table_dim_price_recipe[Retail Price], MATCH(1, ("Calculator"&lt;&gt;Table_dim_price_recipe[Type.display])*($L106=Table_dim_price_recipe[Category])*($D106=Table_dim_price_recipe[Item Description]) * (I$6=Table_dim_price_recipe[Type])*(Table_dim_price_recipe[Retail Price]&lt;&gt;0)*($C106=Table_dim_price_recipe[Subcategory]), 0))*$B106,"")</f>
        <v/>
      </c>
      <c r="J106" s="39" t="str" cm="1">
        <f t="array" ref="J106">IFERROR(INDEX(Table_dim_price_recipe[Retail Price], MATCH(1, ("Calculator"&lt;&gt;Table_dim_price_recipe[Type.display])*($L106=Table_dim_price_recipe[Category])*($D106=Table_dim_price_recipe[Item Description]) * (J$6=Table_dim_price_recipe[Type])*(Table_dim_price_recipe[Retail Price]&lt;&gt;0)*($C106=Table_dim_price_recipe[Subcategory]), 0))*$B106,"")</f>
        <v/>
      </c>
      <c r="K106" s="39" t="str" cm="1">
        <f t="array" ref="K106">IFERROR(INDEX(Table_dim_price_recipe[Retail Price], MATCH(1, ("Calculator"&lt;&gt;Table_dim_price_recipe[Type.display])*($L106=Table_dim_price_recipe[Category])*($D106=Table_dim_price_recipe[Item Description]) * (K$6=Table_dim_price_recipe[Type])*(Table_dim_price_recipe[Retail Price]&lt;&gt;0)*($C106=Table_dim_price_recipe[Subcategory]), 0))*$B106,"")</f>
        <v/>
      </c>
      <c r="L106" s="39" t="str" cm="1">
        <f t="array" ref="L106">IF($A106&lt;&gt;"", $A106, LOOKUP(2, 1/((A$7:INDEX(A:A, ROW()))&lt;&gt;""), A$7:INDEX(A:A, ROW())))</f>
        <v>POSTS</v>
      </c>
    </row>
    <row r="107" spans="1:13">
      <c r="A107" s="263"/>
      <c r="B107" s="263"/>
      <c r="C107" s="263" t="s">
        <v>243</v>
      </c>
      <c r="D107" s="263" t="s">
        <v>248</v>
      </c>
      <c r="E107" s="263"/>
      <c r="F107" s="263"/>
      <c r="G107" s="39" cm="1">
        <f t="array" ref="G107">IFERROR(INDEX(Table_dim_price_recipe[Retail Price], MATCH(1, ("Calculator"&lt;&gt;Table_dim_price_recipe[Type.display])*($L107=Table_dim_price_recipe[Category])*($D107=Table_dim_price_recipe[Item Description]) * (G$6=Table_dim_price_recipe[Type])*(Table_dim_price_recipe[Retail Price]&lt;&gt;0)*($C107=Table_dim_price_recipe[Subcategory]), 0))*$B107,"")</f>
        <v>0</v>
      </c>
      <c r="H107" s="39" t="str" cm="1">
        <f t="array" ref="H107">IFERROR(INDEX(Table_dim_price_recipe[Retail Price], MATCH(1, ("Calculator"&lt;&gt;Table_dim_price_recipe[Type.display])*($L107=Table_dim_price_recipe[Category])*($D107=Table_dim_price_recipe[Item Description]) * (H$6=Table_dim_price_recipe[Type])*(Table_dim_price_recipe[Retail Price]&lt;&gt;0)*($C107=Table_dim_price_recipe[Subcategory]), 0))*$B107,"")</f>
        <v/>
      </c>
      <c r="I107" s="39" t="str" cm="1">
        <f t="array" ref="I107">IFERROR(INDEX(Table_dim_price_recipe[Retail Price], MATCH(1, ("Calculator"&lt;&gt;Table_dim_price_recipe[Type.display])*($L107=Table_dim_price_recipe[Category])*($D107=Table_dim_price_recipe[Item Description]) * (I$6=Table_dim_price_recipe[Type])*(Table_dim_price_recipe[Retail Price]&lt;&gt;0)*($C107=Table_dim_price_recipe[Subcategory]), 0))*$B107,"")</f>
        <v/>
      </c>
      <c r="J107" s="39" t="str" cm="1">
        <f t="array" ref="J107">IFERROR(INDEX(Table_dim_price_recipe[Retail Price], MATCH(1, ("Calculator"&lt;&gt;Table_dim_price_recipe[Type.display])*($L107=Table_dim_price_recipe[Category])*($D107=Table_dim_price_recipe[Item Description]) * (J$6=Table_dim_price_recipe[Type])*(Table_dim_price_recipe[Retail Price]&lt;&gt;0)*($C107=Table_dim_price_recipe[Subcategory]), 0))*$B107,"")</f>
        <v/>
      </c>
      <c r="K107" s="39" t="str" cm="1">
        <f t="array" ref="K107">IFERROR(INDEX(Table_dim_price_recipe[Retail Price], MATCH(1, ("Calculator"&lt;&gt;Table_dim_price_recipe[Type.display])*($L107=Table_dim_price_recipe[Category])*($D107=Table_dim_price_recipe[Item Description]) * (K$6=Table_dim_price_recipe[Type])*(Table_dim_price_recipe[Retail Price]&lt;&gt;0)*($C107=Table_dim_price_recipe[Subcategory]), 0))*$B107,"")</f>
        <v/>
      </c>
      <c r="L107" s="39" t="str" cm="1">
        <f t="array" ref="L107">IF($A107&lt;&gt;"", $A107, LOOKUP(2, 1/((A$7:INDEX(A:A, ROW()))&lt;&gt;""), A$7:INDEX(A:A, ROW())))</f>
        <v>POSTS</v>
      </c>
    </row>
    <row r="108" spans="1:13">
      <c r="A108" s="263"/>
      <c r="B108" s="263"/>
      <c r="C108" s="263" t="s">
        <v>243</v>
      </c>
      <c r="D108" s="263" t="s">
        <v>246</v>
      </c>
      <c r="E108" s="263"/>
      <c r="F108" s="263"/>
      <c r="G108" s="39" cm="1">
        <f t="array" ref="G108">IFERROR(INDEX(Table_dim_price_recipe[Retail Price], MATCH(1, ("Calculator"&lt;&gt;Table_dim_price_recipe[Type.display])*($L108=Table_dim_price_recipe[Category])*($D108=Table_dim_price_recipe[Item Description]) * (G$6=Table_dim_price_recipe[Type])*(Table_dim_price_recipe[Retail Price]&lt;&gt;0)*($C108=Table_dim_price_recipe[Subcategory]), 0))*$B108,"")</f>
        <v>0</v>
      </c>
      <c r="H108" s="39" t="str" cm="1">
        <f t="array" ref="H108">IFERROR(INDEX(Table_dim_price_recipe[Retail Price], MATCH(1, ("Calculator"&lt;&gt;Table_dim_price_recipe[Type.display])*($L108=Table_dim_price_recipe[Category])*($D108=Table_dim_price_recipe[Item Description]) * (H$6=Table_dim_price_recipe[Type])*(Table_dim_price_recipe[Retail Price]&lt;&gt;0)*($C108=Table_dim_price_recipe[Subcategory]), 0))*$B108,"")</f>
        <v/>
      </c>
      <c r="I108" s="39" t="str" cm="1">
        <f t="array" ref="I108">IFERROR(INDEX(Table_dim_price_recipe[Retail Price], MATCH(1, ("Calculator"&lt;&gt;Table_dim_price_recipe[Type.display])*($L108=Table_dim_price_recipe[Category])*($D108=Table_dim_price_recipe[Item Description]) * (I$6=Table_dim_price_recipe[Type])*(Table_dim_price_recipe[Retail Price]&lt;&gt;0)*($C108=Table_dim_price_recipe[Subcategory]), 0))*$B108,"")</f>
        <v/>
      </c>
      <c r="J108" s="39" t="str" cm="1">
        <f t="array" ref="J108">IFERROR(INDEX(Table_dim_price_recipe[Retail Price], MATCH(1, ("Calculator"&lt;&gt;Table_dim_price_recipe[Type.display])*($L108=Table_dim_price_recipe[Category])*($D108=Table_dim_price_recipe[Item Description]) * (J$6=Table_dim_price_recipe[Type])*(Table_dim_price_recipe[Retail Price]&lt;&gt;0)*($C108=Table_dim_price_recipe[Subcategory]), 0))*$B108,"")</f>
        <v/>
      </c>
      <c r="K108" s="39" t="str" cm="1">
        <f t="array" ref="K108">IFERROR(INDEX(Table_dim_price_recipe[Retail Price], MATCH(1, ("Calculator"&lt;&gt;Table_dim_price_recipe[Type.display])*($L108=Table_dim_price_recipe[Category])*($D108=Table_dim_price_recipe[Item Description]) * (K$6=Table_dim_price_recipe[Type])*(Table_dim_price_recipe[Retail Price]&lt;&gt;0)*($C108=Table_dim_price_recipe[Subcategory]), 0))*$B108,"")</f>
        <v/>
      </c>
      <c r="L108" s="39" t="str" cm="1">
        <f t="array" ref="L108">IF($A108&lt;&gt;"", $A108, LOOKUP(2, 1/((A$7:INDEX(A:A, ROW()))&lt;&gt;""), A$7:INDEX(A:A, ROW())))</f>
        <v>POSTS</v>
      </c>
    </row>
    <row r="109" spans="1:13" ht="12" customHeight="1">
      <c r="A109" s="263"/>
      <c r="B109" s="263"/>
      <c r="C109" s="263" t="s">
        <v>243</v>
      </c>
      <c r="D109" s="263" t="s">
        <v>247</v>
      </c>
      <c r="E109" s="263"/>
      <c r="F109" s="263"/>
      <c r="G109" s="39" cm="1">
        <f t="array" ref="G109">IFERROR(INDEX(Table_dim_price_recipe[Retail Price], MATCH(1, ("Calculator"&lt;&gt;Table_dim_price_recipe[Type.display])*($L109=Table_dim_price_recipe[Category])*($D109=Table_dim_price_recipe[Item Description]) * (G$6=Table_dim_price_recipe[Type])*(Table_dim_price_recipe[Retail Price]&lt;&gt;0)*($C109=Table_dim_price_recipe[Subcategory]), 0))*$B109,"")</f>
        <v>0</v>
      </c>
      <c r="H109" s="39" t="str" cm="1">
        <f t="array" ref="H109">IFERROR(INDEX(Table_dim_price_recipe[Retail Price], MATCH(1, ("Calculator"&lt;&gt;Table_dim_price_recipe[Type.display])*($L109=Table_dim_price_recipe[Category])*($D109=Table_dim_price_recipe[Item Description]) * (H$6=Table_dim_price_recipe[Type])*(Table_dim_price_recipe[Retail Price]&lt;&gt;0)*($C109=Table_dim_price_recipe[Subcategory]), 0))*$B109,"")</f>
        <v/>
      </c>
      <c r="I109" s="39" t="str" cm="1">
        <f t="array" ref="I109">IFERROR(INDEX(Table_dim_price_recipe[Retail Price], MATCH(1, ("Calculator"&lt;&gt;Table_dim_price_recipe[Type.display])*($L109=Table_dim_price_recipe[Category])*($D109=Table_dim_price_recipe[Item Description]) * (I$6=Table_dim_price_recipe[Type])*(Table_dim_price_recipe[Retail Price]&lt;&gt;0)*($C109=Table_dim_price_recipe[Subcategory]), 0))*$B109,"")</f>
        <v/>
      </c>
      <c r="J109" s="39" t="str" cm="1">
        <f t="array" ref="J109">IFERROR(INDEX(Table_dim_price_recipe[Retail Price], MATCH(1, ("Calculator"&lt;&gt;Table_dim_price_recipe[Type.display])*($L109=Table_dim_price_recipe[Category])*($D109=Table_dim_price_recipe[Item Description]) * (J$6=Table_dim_price_recipe[Type])*(Table_dim_price_recipe[Retail Price]&lt;&gt;0)*($C109=Table_dim_price_recipe[Subcategory]), 0))*$B109,"")</f>
        <v/>
      </c>
      <c r="K109" s="39" t="str" cm="1">
        <f t="array" ref="K109">IFERROR(INDEX(Table_dim_price_recipe[Retail Price], MATCH(1, ("Calculator"&lt;&gt;Table_dim_price_recipe[Type.display])*($L109=Table_dim_price_recipe[Category])*($D109=Table_dim_price_recipe[Item Description]) * (K$6=Table_dim_price_recipe[Type])*(Table_dim_price_recipe[Retail Price]&lt;&gt;0)*($C109=Table_dim_price_recipe[Subcategory]), 0))*$B109,"")</f>
        <v/>
      </c>
      <c r="L109" s="39" t="str" cm="1">
        <f t="array" ref="L109">IF($A109&lt;&gt;"", $A109, LOOKUP(2, 1/((A$7:INDEX(A:A, ROW()))&lt;&gt;""), A$7:INDEX(A:A, ROW())))</f>
        <v>POSTS</v>
      </c>
      <c r="M109" s="14"/>
    </row>
    <row r="110" spans="1:13">
      <c r="A110" s="263"/>
      <c r="B110" s="263"/>
      <c r="C110" s="263" t="s">
        <v>243</v>
      </c>
      <c r="D110" s="263" t="s">
        <v>244</v>
      </c>
      <c r="E110" s="263"/>
      <c r="F110" s="263"/>
      <c r="G110" s="39" cm="1">
        <f t="array" ref="G110">IFERROR(INDEX(Table_dim_price_recipe[Retail Price], MATCH(1, ("Calculator"&lt;&gt;Table_dim_price_recipe[Type.display])*($L110=Table_dim_price_recipe[Category])*($D110=Table_dim_price_recipe[Item Description]) * (G$6=Table_dim_price_recipe[Type])*(Table_dim_price_recipe[Retail Price]&lt;&gt;0)*($C110=Table_dim_price_recipe[Subcategory]), 0))*$B110,"")</f>
        <v>0</v>
      </c>
      <c r="H110" s="39" t="str" cm="1">
        <f t="array" ref="H110">IFERROR(INDEX(Table_dim_price_recipe[Retail Price], MATCH(1, ("Calculator"&lt;&gt;Table_dim_price_recipe[Type.display])*($L110=Table_dim_price_recipe[Category])*($D110=Table_dim_price_recipe[Item Description]) * (H$6=Table_dim_price_recipe[Type])*(Table_dim_price_recipe[Retail Price]&lt;&gt;0)*($C110=Table_dim_price_recipe[Subcategory]), 0))*$B110,"")</f>
        <v/>
      </c>
      <c r="I110" s="39" t="str" cm="1">
        <f t="array" ref="I110">IFERROR(INDEX(Table_dim_price_recipe[Retail Price], MATCH(1, ("Calculator"&lt;&gt;Table_dim_price_recipe[Type.display])*($L110=Table_dim_price_recipe[Category])*($D110=Table_dim_price_recipe[Item Description]) * (I$6=Table_dim_price_recipe[Type])*(Table_dim_price_recipe[Retail Price]&lt;&gt;0)*($C110=Table_dim_price_recipe[Subcategory]), 0))*$B110,"")</f>
        <v/>
      </c>
      <c r="J110" s="39" t="str" cm="1">
        <f t="array" ref="J110">IFERROR(INDEX(Table_dim_price_recipe[Retail Price], MATCH(1, ("Calculator"&lt;&gt;Table_dim_price_recipe[Type.display])*($L110=Table_dim_price_recipe[Category])*($D110=Table_dim_price_recipe[Item Description]) * (J$6=Table_dim_price_recipe[Type])*(Table_dim_price_recipe[Retail Price]&lt;&gt;0)*($C110=Table_dim_price_recipe[Subcategory]), 0))*$B110,"")</f>
        <v/>
      </c>
      <c r="K110" s="39" t="str" cm="1">
        <f t="array" ref="K110">IFERROR(INDEX(Table_dim_price_recipe[Retail Price], MATCH(1, ("Calculator"&lt;&gt;Table_dim_price_recipe[Type.display])*($L110=Table_dim_price_recipe[Category])*($D110=Table_dim_price_recipe[Item Description]) * (K$6=Table_dim_price_recipe[Type])*(Table_dim_price_recipe[Retail Price]&lt;&gt;0)*($C110=Table_dim_price_recipe[Subcategory]), 0))*$B110,"")</f>
        <v/>
      </c>
      <c r="L110" s="39" t="str" cm="1">
        <f t="array" ref="L110">IF($A110&lt;&gt;"", $A110, LOOKUP(2, 1/((A$7:INDEX(A:A, ROW()))&lt;&gt;""), A$7:INDEX(A:A, ROW())))</f>
        <v>POSTS</v>
      </c>
      <c r="M110" s="14"/>
    </row>
    <row r="111" spans="1:13">
      <c r="A111" s="263"/>
      <c r="B111" s="263"/>
      <c r="C111" s="263" t="s">
        <v>243</v>
      </c>
      <c r="D111" s="263" t="s">
        <v>245</v>
      </c>
      <c r="E111" s="263"/>
      <c r="F111" s="263"/>
      <c r="G111" s="39" cm="1">
        <f t="array" ref="G111">IFERROR(INDEX(Table_dim_price_recipe[Retail Price], MATCH(1, ("Calculator"&lt;&gt;Table_dim_price_recipe[Type.display])*($L111=Table_dim_price_recipe[Category])*($D111=Table_dim_price_recipe[Item Description]) * (G$6=Table_dim_price_recipe[Type])*(Table_dim_price_recipe[Retail Price]&lt;&gt;0)*($C111=Table_dim_price_recipe[Subcategory]), 0))*$B111,"")</f>
        <v>0</v>
      </c>
      <c r="H111" s="39" t="str" cm="1">
        <f t="array" ref="H111">IFERROR(INDEX(Table_dim_price_recipe[Retail Price], MATCH(1, ("Calculator"&lt;&gt;Table_dim_price_recipe[Type.display])*($L111=Table_dim_price_recipe[Category])*($D111=Table_dim_price_recipe[Item Description]) * (H$6=Table_dim_price_recipe[Type])*(Table_dim_price_recipe[Retail Price]&lt;&gt;0)*($C111=Table_dim_price_recipe[Subcategory]), 0))*$B111,"")</f>
        <v/>
      </c>
      <c r="I111" s="39" t="str" cm="1">
        <f t="array" ref="I111">IFERROR(INDEX(Table_dim_price_recipe[Retail Price], MATCH(1, ("Calculator"&lt;&gt;Table_dim_price_recipe[Type.display])*($L111=Table_dim_price_recipe[Category])*($D111=Table_dim_price_recipe[Item Description]) * (I$6=Table_dim_price_recipe[Type])*(Table_dim_price_recipe[Retail Price]&lt;&gt;0)*($C111=Table_dim_price_recipe[Subcategory]), 0))*$B111,"")</f>
        <v/>
      </c>
      <c r="J111" s="39" t="str" cm="1">
        <f t="array" ref="J111">IFERROR(INDEX(Table_dim_price_recipe[Retail Price], MATCH(1, ("Calculator"&lt;&gt;Table_dim_price_recipe[Type.display])*($L111=Table_dim_price_recipe[Category])*($D111=Table_dim_price_recipe[Item Description]) * (J$6=Table_dim_price_recipe[Type])*(Table_dim_price_recipe[Retail Price]&lt;&gt;0)*($C111=Table_dim_price_recipe[Subcategory]), 0))*$B111,"")</f>
        <v/>
      </c>
      <c r="K111" s="39" t="str" cm="1">
        <f t="array" ref="K111">IFERROR(INDEX(Table_dim_price_recipe[Retail Price], MATCH(1, ("Calculator"&lt;&gt;Table_dim_price_recipe[Type.display])*($L111=Table_dim_price_recipe[Category])*($D111=Table_dim_price_recipe[Item Description]) * (K$6=Table_dim_price_recipe[Type])*(Table_dim_price_recipe[Retail Price]&lt;&gt;0)*($C111=Table_dim_price_recipe[Subcategory]), 0))*$B111,"")</f>
        <v/>
      </c>
      <c r="L111" s="39" t="str" cm="1">
        <f t="array" ref="L111">IF($A111&lt;&gt;"", $A111, LOOKUP(2, 1/((A$7:INDEX(A:A, ROW()))&lt;&gt;""), A$7:INDEX(A:A, ROW())))</f>
        <v>POSTS</v>
      </c>
      <c r="M111" s="14"/>
    </row>
    <row r="112" spans="1:13">
      <c r="A112" s="263"/>
      <c r="B112" s="263"/>
      <c r="C112" s="263" t="s">
        <v>243</v>
      </c>
      <c r="D112" s="263" t="s">
        <v>251</v>
      </c>
      <c r="E112" s="263"/>
      <c r="F112" s="263"/>
      <c r="G112" s="39" cm="1">
        <f t="array" ref="G112">IFERROR(INDEX(Table_dim_price_recipe[Retail Price], MATCH(1, ("Calculator"&lt;&gt;Table_dim_price_recipe[Type.display])*($L112=Table_dim_price_recipe[Category])*($D112=Table_dim_price_recipe[Item Description]) * (G$6=Table_dim_price_recipe[Type])*(Table_dim_price_recipe[Retail Price]&lt;&gt;0)*($C112=Table_dim_price_recipe[Subcategory]), 0))*$B112,"")</f>
        <v>0</v>
      </c>
      <c r="H112" s="39" t="str" cm="1">
        <f t="array" ref="H112">IFERROR(INDEX(Table_dim_price_recipe[Retail Price], MATCH(1, ("Calculator"&lt;&gt;Table_dim_price_recipe[Type.display])*($L112=Table_dim_price_recipe[Category])*($D112=Table_dim_price_recipe[Item Description]) * (H$6=Table_dim_price_recipe[Type])*(Table_dim_price_recipe[Retail Price]&lt;&gt;0)*($C112=Table_dim_price_recipe[Subcategory]), 0))*$B112,"")</f>
        <v/>
      </c>
      <c r="I112" s="39" t="str" cm="1">
        <f t="array" ref="I112">IFERROR(INDEX(Table_dim_price_recipe[Retail Price], MATCH(1, ("Calculator"&lt;&gt;Table_dim_price_recipe[Type.display])*($L112=Table_dim_price_recipe[Category])*($D112=Table_dim_price_recipe[Item Description]) * (I$6=Table_dim_price_recipe[Type])*(Table_dim_price_recipe[Retail Price]&lt;&gt;0)*($C112=Table_dim_price_recipe[Subcategory]), 0))*$B112,"")</f>
        <v/>
      </c>
      <c r="J112" s="39" t="str" cm="1">
        <f t="array" ref="J112">IFERROR(INDEX(Table_dim_price_recipe[Retail Price], MATCH(1, ("Calculator"&lt;&gt;Table_dim_price_recipe[Type.display])*($L112=Table_dim_price_recipe[Category])*($D112=Table_dim_price_recipe[Item Description]) * (J$6=Table_dim_price_recipe[Type])*(Table_dim_price_recipe[Retail Price]&lt;&gt;0)*($C112=Table_dim_price_recipe[Subcategory]), 0))*$B112,"")</f>
        <v/>
      </c>
      <c r="K112" s="39" t="str" cm="1">
        <f t="array" ref="K112">IFERROR(INDEX(Table_dim_price_recipe[Retail Price], MATCH(1, ("Calculator"&lt;&gt;Table_dim_price_recipe[Type.display])*($L112=Table_dim_price_recipe[Category])*($D112=Table_dim_price_recipe[Item Description]) * (K$6=Table_dim_price_recipe[Type])*(Table_dim_price_recipe[Retail Price]&lt;&gt;0)*($C112=Table_dim_price_recipe[Subcategory]), 0))*$B112,"")</f>
        <v/>
      </c>
      <c r="L112" s="39" t="str" cm="1">
        <f t="array" ref="L112">IF($A112&lt;&gt;"", $A112, LOOKUP(2, 1/((A$7:INDEX(A:A, ROW()))&lt;&gt;""), A$7:INDEX(A:A, ROW())))</f>
        <v>POSTS</v>
      </c>
      <c r="M112" s="14"/>
    </row>
    <row r="113" spans="1:13">
      <c r="A113" s="263"/>
      <c r="B113" s="263"/>
      <c r="C113" s="263" t="s">
        <v>243</v>
      </c>
      <c r="D113" s="263" t="s">
        <v>254</v>
      </c>
      <c r="E113" s="263"/>
      <c r="F113" s="263"/>
      <c r="G113" s="39" t="str" cm="1">
        <f t="array" ref="G113">IFERROR(INDEX(Table_dim_price_recipe[Retail Price], MATCH(1, ("Calculator"&lt;&gt;Table_dim_price_recipe[Type.display])*($L113=Table_dim_price_recipe[Category])*($D113=Table_dim_price_recipe[Item Description]) * (G$6=Table_dim_price_recipe[Type])*(Table_dim_price_recipe[Retail Price]&lt;&gt;0)*($C113=Table_dim_price_recipe[Subcategory]), 0))*$B113,"")</f>
        <v/>
      </c>
      <c r="H113" s="39" t="str" cm="1">
        <f t="array" ref="H113">IFERROR(INDEX(Table_dim_price_recipe[Retail Price], MATCH(1, ("Calculator"&lt;&gt;Table_dim_price_recipe[Type.display])*($L113=Table_dim_price_recipe[Category])*($D113=Table_dim_price_recipe[Item Description]) * (H$6=Table_dim_price_recipe[Type])*(Table_dim_price_recipe[Retail Price]&lt;&gt;0)*($C113=Table_dim_price_recipe[Subcategory]), 0))*$B113,"")</f>
        <v/>
      </c>
      <c r="I113" s="39" t="str" cm="1">
        <f t="array" ref="I113">IFERROR(INDEX(Table_dim_price_recipe[Retail Price], MATCH(1, ("Calculator"&lt;&gt;Table_dim_price_recipe[Type.display])*($L113=Table_dim_price_recipe[Category])*($D113=Table_dim_price_recipe[Item Description]) * (I$6=Table_dim_price_recipe[Type])*(Table_dim_price_recipe[Retail Price]&lt;&gt;0)*($C113=Table_dim_price_recipe[Subcategory]), 0))*$B113,"")</f>
        <v/>
      </c>
      <c r="J113" s="39" t="str" cm="1">
        <f t="array" ref="J113">IFERROR(INDEX(Table_dim_price_recipe[Retail Price], MATCH(1, ("Calculator"&lt;&gt;Table_dim_price_recipe[Type.display])*($L113=Table_dim_price_recipe[Category])*($D113=Table_dim_price_recipe[Item Description]) * (J$6=Table_dim_price_recipe[Type])*(Table_dim_price_recipe[Retail Price]&lt;&gt;0)*($C113=Table_dim_price_recipe[Subcategory]), 0))*$B113,"")</f>
        <v/>
      </c>
      <c r="K113" s="39" t="str" cm="1">
        <f t="array" ref="K113">IFERROR(INDEX(Table_dim_price_recipe[Retail Price], MATCH(1, ("Calculator"&lt;&gt;Table_dim_price_recipe[Type.display])*($L113=Table_dim_price_recipe[Category])*($D113=Table_dim_price_recipe[Item Description]) * (K$6=Table_dim_price_recipe[Type])*(Table_dim_price_recipe[Retail Price]&lt;&gt;0)*($C113=Table_dim_price_recipe[Subcategory]), 0))*$B113,"")</f>
        <v/>
      </c>
      <c r="L113" s="39" t="str" cm="1">
        <f t="array" ref="L113">IF($A113&lt;&gt;"", $A113, LOOKUP(2, 1/((A$7:INDEX(A:A, ROW()))&lt;&gt;""), A$7:INDEX(A:A, ROW())))</f>
        <v>POSTS</v>
      </c>
      <c r="M113" s="14"/>
    </row>
    <row r="114" spans="1:13">
      <c r="A114" s="263"/>
      <c r="B114" s="263"/>
      <c r="C114" s="263" t="s">
        <v>243</v>
      </c>
      <c r="D114" s="263"/>
      <c r="E114" s="263"/>
      <c r="F114" s="263"/>
      <c r="G114" s="39" t="str" cm="1">
        <f t="array" ref="G114">IFERROR(INDEX(Table_dim_price_recipe[Retail Price], MATCH(1, ("Calculator"&lt;&gt;Table_dim_price_recipe[Type.display])*($L114=Table_dim_price_recipe[Category])*($D114=Table_dim_price_recipe[Item Description]) * (G$6=Table_dim_price_recipe[Type])*(Table_dim_price_recipe[Retail Price]&lt;&gt;0)*($C114=Table_dim_price_recipe[Subcategory]), 0))*$B114,"")</f>
        <v/>
      </c>
      <c r="H114" s="39" t="str" cm="1">
        <f t="array" ref="H114">IFERROR(INDEX(Table_dim_price_recipe[Retail Price], MATCH(1, ("Calculator"&lt;&gt;Table_dim_price_recipe[Type.display])*($L114=Table_dim_price_recipe[Category])*($D114=Table_dim_price_recipe[Item Description]) * (H$6=Table_dim_price_recipe[Type])*(Table_dim_price_recipe[Retail Price]&lt;&gt;0)*($C114=Table_dim_price_recipe[Subcategory]), 0))*$B114,"")</f>
        <v/>
      </c>
      <c r="I114" s="39" t="str" cm="1">
        <f t="array" ref="I114">IFERROR(INDEX(Table_dim_price_recipe[Retail Price], MATCH(1, ("Calculator"&lt;&gt;Table_dim_price_recipe[Type.display])*($L114=Table_dim_price_recipe[Category])*($D114=Table_dim_price_recipe[Item Description]) * (I$6=Table_dim_price_recipe[Type])*(Table_dim_price_recipe[Retail Price]&lt;&gt;0)*($C114=Table_dim_price_recipe[Subcategory]), 0))*$B114,"")</f>
        <v/>
      </c>
      <c r="J114" s="39" t="str" cm="1">
        <f t="array" ref="J114">IFERROR(INDEX(Table_dim_price_recipe[Retail Price], MATCH(1, ("Calculator"&lt;&gt;Table_dim_price_recipe[Type.display])*($L114=Table_dim_price_recipe[Category])*($D114=Table_dim_price_recipe[Item Description]) * (J$6=Table_dim_price_recipe[Type])*(Table_dim_price_recipe[Retail Price]&lt;&gt;0)*($C114=Table_dim_price_recipe[Subcategory]), 0))*$B114,"")</f>
        <v/>
      </c>
      <c r="K114" s="39" t="str" cm="1">
        <f t="array" ref="K114">IFERROR(INDEX(Table_dim_price_recipe[Retail Price], MATCH(1, ("Calculator"&lt;&gt;Table_dim_price_recipe[Type.display])*($L114=Table_dim_price_recipe[Category])*($D114=Table_dim_price_recipe[Item Description]) * (K$6=Table_dim_price_recipe[Type])*(Table_dim_price_recipe[Retail Price]&lt;&gt;0)*($C114=Table_dim_price_recipe[Subcategory]), 0))*$B114,"")</f>
        <v/>
      </c>
      <c r="L114" s="39" t="str" cm="1">
        <f t="array" ref="L114">IF($A114&lt;&gt;"", $A114, LOOKUP(2, 1/((A$7:INDEX(A:A, ROW()))&lt;&gt;""), A$7:INDEX(A:A, ROW())))</f>
        <v>POSTS</v>
      </c>
      <c r="M114" s="14"/>
    </row>
    <row r="115" spans="1:13">
      <c r="A115" s="263"/>
      <c r="B115" s="263"/>
      <c r="C115" s="263" t="s">
        <v>243</v>
      </c>
      <c r="D115" s="263"/>
      <c r="E115" s="263"/>
      <c r="F115" s="263"/>
      <c r="G115" s="39" t="str" cm="1">
        <f t="array" ref="G115">IFERROR(INDEX(Table_dim_price_recipe[Retail Price], MATCH(1, ("Calculator"&lt;&gt;Table_dim_price_recipe[Type.display])*($L115=Table_dim_price_recipe[Category])*($D115=Table_dim_price_recipe[Item Description]) * (G$6=Table_dim_price_recipe[Type])*(Table_dim_price_recipe[Retail Price]&lt;&gt;0)*($C115=Table_dim_price_recipe[Subcategory]), 0))*$B115,"")</f>
        <v/>
      </c>
      <c r="H115" s="39" t="str" cm="1">
        <f t="array" ref="H115">IFERROR(INDEX(Table_dim_price_recipe[Retail Price], MATCH(1, ("Calculator"&lt;&gt;Table_dim_price_recipe[Type.display])*($L115=Table_dim_price_recipe[Category])*($D115=Table_dim_price_recipe[Item Description]) * (H$6=Table_dim_price_recipe[Type])*(Table_dim_price_recipe[Retail Price]&lt;&gt;0)*($C115=Table_dim_price_recipe[Subcategory]), 0))*$B115,"")</f>
        <v/>
      </c>
      <c r="I115" s="39" t="str" cm="1">
        <f t="array" ref="I115">IFERROR(INDEX(Table_dim_price_recipe[Retail Price], MATCH(1, ("Calculator"&lt;&gt;Table_dim_price_recipe[Type.display])*($L115=Table_dim_price_recipe[Category])*($D115=Table_dim_price_recipe[Item Description]) * (I$6=Table_dim_price_recipe[Type])*(Table_dim_price_recipe[Retail Price]&lt;&gt;0)*($C115=Table_dim_price_recipe[Subcategory]), 0))*$B115,"")</f>
        <v/>
      </c>
      <c r="J115" s="39" t="str" cm="1">
        <f t="array" ref="J115">IFERROR(INDEX(Table_dim_price_recipe[Retail Price], MATCH(1, ("Calculator"&lt;&gt;Table_dim_price_recipe[Type.display])*($L115=Table_dim_price_recipe[Category])*($D115=Table_dim_price_recipe[Item Description]) * (J$6=Table_dim_price_recipe[Type])*(Table_dim_price_recipe[Retail Price]&lt;&gt;0)*($C115=Table_dim_price_recipe[Subcategory]), 0))*$B115,"")</f>
        <v/>
      </c>
      <c r="K115" s="39" t="str" cm="1">
        <f t="array" ref="K115">IFERROR(INDEX(Table_dim_price_recipe[Retail Price], MATCH(1, ("Calculator"&lt;&gt;Table_dim_price_recipe[Type.display])*($L115=Table_dim_price_recipe[Category])*($D115=Table_dim_price_recipe[Item Description]) * (K$6=Table_dim_price_recipe[Type])*(Table_dim_price_recipe[Retail Price]&lt;&gt;0)*($C115=Table_dim_price_recipe[Subcategory]), 0))*$B115,"")</f>
        <v/>
      </c>
      <c r="L115" s="39" t="str" cm="1">
        <f t="array" ref="L115">IF($A115&lt;&gt;"", $A115, LOOKUP(2, 1/((A$7:INDEX(A:A, ROW()))&lt;&gt;""), A$7:INDEX(A:A, ROW())))</f>
        <v>POSTS</v>
      </c>
      <c r="M115" s="14"/>
    </row>
    <row r="116" spans="1:13">
      <c r="A116" s="263"/>
      <c r="B116" s="263"/>
      <c r="C116" s="263" t="s">
        <v>104</v>
      </c>
      <c r="D116" s="263"/>
      <c r="E116" s="263"/>
      <c r="F116" s="263"/>
      <c r="G116" s="39" t="str" cm="1">
        <f t="array" ref="G116">IFERROR(INDEX(Table_dim_price_recipe[Retail Price], MATCH(1, ("Calculator"&lt;&gt;Table_dim_price_recipe[Type.display])*($L116=Table_dim_price_recipe[Category])*($D116=Table_dim_price_recipe[Item Description]) * (G$6=Table_dim_price_recipe[Type])*(Table_dim_price_recipe[Retail Price]&lt;&gt;0)*($C116=Table_dim_price_recipe[Subcategory]), 0))*$B116,"")</f>
        <v/>
      </c>
      <c r="H116" s="39" cm="1">
        <f t="array" ref="H116">IFERROR(INDEX(Table_dim_price_recipe[Retail Price], MATCH(1, ("Calculator"&lt;&gt;Table_dim_price_recipe[Type.display])*($L116=Table_dim_price_recipe[Category])*($D116=Table_dim_price_recipe[Item Description]) * (H$6=Table_dim_price_recipe[Type])*(Table_dim_price_recipe[Retail Price]&lt;&gt;0)*($C116=Table_dim_price_recipe[Subcategory]), 0))*$B116,"")</f>
        <v>0</v>
      </c>
      <c r="I116" s="39" t="str" cm="1">
        <f t="array" ref="I116">IFERROR(INDEX(Table_dim_price_recipe[Retail Price], MATCH(1, ("Calculator"&lt;&gt;Table_dim_price_recipe[Type.display])*($L116=Table_dim_price_recipe[Category])*($D116=Table_dim_price_recipe[Item Description]) * (I$6=Table_dim_price_recipe[Type])*(Table_dim_price_recipe[Retail Price]&lt;&gt;0)*($C116=Table_dim_price_recipe[Subcategory]), 0))*$B116,"")</f>
        <v/>
      </c>
      <c r="J116" s="39" t="str" cm="1">
        <f t="array" ref="J116">IFERROR(INDEX(Table_dim_price_recipe[Retail Price], MATCH(1, ("Calculator"&lt;&gt;Table_dim_price_recipe[Type.display])*($L116=Table_dim_price_recipe[Category])*($D116=Table_dim_price_recipe[Item Description]) * (J$6=Table_dim_price_recipe[Type])*(Table_dim_price_recipe[Retail Price]&lt;&gt;0)*($C116=Table_dim_price_recipe[Subcategory]), 0))*$B116,"")</f>
        <v/>
      </c>
      <c r="K116" s="39" t="str" cm="1">
        <f t="array" ref="K116">IFERROR(INDEX(Table_dim_price_recipe[Retail Price], MATCH(1, ("Calculator"&lt;&gt;Table_dim_price_recipe[Type.display])*($L116=Table_dim_price_recipe[Category])*($D116=Table_dim_price_recipe[Item Description]) * (K$6=Table_dim_price_recipe[Type])*(Table_dim_price_recipe[Retail Price]&lt;&gt;0)*($C116=Table_dim_price_recipe[Subcategory]), 0))*$B116,"")</f>
        <v/>
      </c>
      <c r="L116" s="39" t="str" cm="1">
        <f t="array" ref="L116">IF($A116&lt;&gt;"", $A116, LOOKUP(2, 1/((A$7:INDEX(A:A, ROW()))&lt;&gt;""), A$7:INDEX(A:A, ROW())))</f>
        <v>POSTS</v>
      </c>
      <c r="M116" s="14"/>
    </row>
    <row r="117" spans="1:13">
      <c r="A117" s="263"/>
      <c r="B117" s="263"/>
      <c r="C117" s="263" t="s">
        <v>104</v>
      </c>
      <c r="D117" s="263"/>
      <c r="E117" s="263"/>
      <c r="F117" s="263"/>
      <c r="G117" s="39" t="str" cm="1">
        <f t="array" ref="G117">IFERROR(INDEX(Table_dim_price_recipe[Retail Price], MATCH(1, ("Calculator"&lt;&gt;Table_dim_price_recipe[Type.display])*($L117=Table_dim_price_recipe[Category])*($D117=Table_dim_price_recipe[Item Description]) * (G$6=Table_dim_price_recipe[Type])*(Table_dim_price_recipe[Retail Price]&lt;&gt;0)*($C117=Table_dim_price_recipe[Subcategory]), 0))*$B117,"")</f>
        <v/>
      </c>
      <c r="H117" s="39" cm="1">
        <f t="array" ref="H117">IFERROR(INDEX(Table_dim_price_recipe[Retail Price], MATCH(1, ("Calculator"&lt;&gt;Table_dim_price_recipe[Type.display])*($L117=Table_dim_price_recipe[Category])*($D117=Table_dim_price_recipe[Item Description]) * (H$6=Table_dim_price_recipe[Type])*(Table_dim_price_recipe[Retail Price]&lt;&gt;0)*($C117=Table_dim_price_recipe[Subcategory]), 0))*$B117,"")</f>
        <v>0</v>
      </c>
      <c r="I117" s="39" t="str" cm="1">
        <f t="array" ref="I117">IFERROR(INDEX(Table_dim_price_recipe[Retail Price], MATCH(1, ("Calculator"&lt;&gt;Table_dim_price_recipe[Type.display])*($L117=Table_dim_price_recipe[Category])*($D117=Table_dim_price_recipe[Item Description]) * (I$6=Table_dim_price_recipe[Type])*(Table_dim_price_recipe[Retail Price]&lt;&gt;0)*($C117=Table_dim_price_recipe[Subcategory]), 0))*$B117,"")</f>
        <v/>
      </c>
      <c r="J117" s="39" t="str" cm="1">
        <f t="array" ref="J117">IFERROR(INDEX(Table_dim_price_recipe[Retail Price], MATCH(1, ("Calculator"&lt;&gt;Table_dim_price_recipe[Type.display])*($L117=Table_dim_price_recipe[Category])*($D117=Table_dim_price_recipe[Item Description]) * (J$6=Table_dim_price_recipe[Type])*(Table_dim_price_recipe[Retail Price]&lt;&gt;0)*($C117=Table_dim_price_recipe[Subcategory]), 0))*$B117,"")</f>
        <v/>
      </c>
      <c r="K117" s="39" t="str" cm="1">
        <f t="array" ref="K117">IFERROR(INDEX(Table_dim_price_recipe[Retail Price], MATCH(1, ("Calculator"&lt;&gt;Table_dim_price_recipe[Type.display])*($L117=Table_dim_price_recipe[Category])*($D117=Table_dim_price_recipe[Item Description]) * (K$6=Table_dim_price_recipe[Type])*(Table_dim_price_recipe[Retail Price]&lt;&gt;0)*($C117=Table_dim_price_recipe[Subcategory]), 0))*$B117,"")</f>
        <v/>
      </c>
      <c r="L117" s="39" t="str" cm="1">
        <f t="array" ref="L117">IF($A117&lt;&gt;"", $A117, LOOKUP(2, 1/((A$7:INDEX(A:A, ROW()))&lt;&gt;""), A$7:INDEX(A:A, ROW())))</f>
        <v>POSTS</v>
      </c>
      <c r="M117" s="14"/>
    </row>
    <row r="118" spans="1:13">
      <c r="A118" s="263"/>
      <c r="B118" s="263"/>
      <c r="C118" s="263" t="s">
        <v>689</v>
      </c>
      <c r="D118" s="263" t="s">
        <v>690</v>
      </c>
      <c r="E118" s="263"/>
      <c r="F118" s="263"/>
      <c r="G118" s="39" cm="1">
        <f t="array" ref="G118">IFERROR(INDEX(Table_dim_price_recipe[Retail Price], MATCH(1, ("Calculator"&lt;&gt;Table_dim_price_recipe[Type.display])*($L118=Table_dim_price_recipe[Category])*($D118=Table_dim_price_recipe[Item Description]) * (G$6=Table_dim_price_recipe[Type])*(Table_dim_price_recipe[Retail Price]&lt;&gt;0)*($C118=Table_dim_price_recipe[Subcategory]), 0))*$B118,"")</f>
        <v>0</v>
      </c>
      <c r="H118" s="39" t="str" cm="1">
        <f t="array" ref="H118">IFERROR(INDEX(Table_dim_price_recipe[Retail Price], MATCH(1, ("Calculator"&lt;&gt;Table_dim_price_recipe[Type.display])*($L118=Table_dim_price_recipe[Category])*($D118=Table_dim_price_recipe[Item Description]) * (H$6=Table_dim_price_recipe[Type])*(Table_dim_price_recipe[Retail Price]&lt;&gt;0)*($C118=Table_dim_price_recipe[Subcategory]), 0))*$B118,"")</f>
        <v/>
      </c>
      <c r="I118" s="39" t="str" cm="1">
        <f t="array" ref="I118">IFERROR(INDEX(Table_dim_price_recipe[Retail Price], MATCH(1, ("Calculator"&lt;&gt;Table_dim_price_recipe[Type.display])*($L118=Table_dim_price_recipe[Category])*($D118=Table_dim_price_recipe[Item Description]) * (I$6=Table_dim_price_recipe[Type])*(Table_dim_price_recipe[Retail Price]&lt;&gt;0)*($C118=Table_dim_price_recipe[Subcategory]), 0))*$B118,"")</f>
        <v/>
      </c>
      <c r="J118" s="39" t="str" cm="1">
        <f t="array" ref="J118">IFERROR(INDEX(Table_dim_price_recipe[Retail Price], MATCH(1, ("Calculator"&lt;&gt;Table_dim_price_recipe[Type.display])*($L118=Table_dim_price_recipe[Category])*($D118=Table_dim_price_recipe[Item Description]) * (J$6=Table_dim_price_recipe[Type])*(Table_dim_price_recipe[Retail Price]&lt;&gt;0)*($C118=Table_dim_price_recipe[Subcategory]), 0))*$B118,"")</f>
        <v/>
      </c>
      <c r="K118" s="39" t="str" cm="1">
        <f t="array" ref="K118">IFERROR(INDEX(Table_dim_price_recipe[Retail Price], MATCH(1, ("Calculator"&lt;&gt;Table_dim_price_recipe[Type.display])*($L118=Table_dim_price_recipe[Category])*($D118=Table_dim_price_recipe[Item Description]) * (K$6=Table_dim_price_recipe[Type])*(Table_dim_price_recipe[Retail Price]&lt;&gt;0)*($C118=Table_dim_price_recipe[Subcategory]), 0))*$B118,"")</f>
        <v/>
      </c>
      <c r="L118" s="39" t="str" cm="1">
        <f t="array" ref="L118">IF($A118&lt;&gt;"", $A118, LOOKUP(2, 1/((A$7:INDEX(A:A, ROW()))&lt;&gt;""), A$7:INDEX(A:A, ROW())))</f>
        <v>POSTS</v>
      </c>
      <c r="M118" s="14"/>
    </row>
    <row r="119" spans="1:13">
      <c r="A119" s="263"/>
      <c r="B119" s="263"/>
      <c r="C119" s="263" t="s">
        <v>689</v>
      </c>
      <c r="D119" s="263" t="s">
        <v>692</v>
      </c>
      <c r="E119" s="263"/>
      <c r="F119" s="263"/>
      <c r="G119" s="39" t="str" cm="1">
        <f t="array" ref="G119">IFERROR(INDEX(Table_dim_price_recipe[Retail Price], MATCH(1, ("Calculator"&lt;&gt;Table_dim_price_recipe[Type.display])*($L119=Table_dim_price_recipe[Category])*($D119=Table_dim_price_recipe[Item Description]) * (G$6=Table_dim_price_recipe[Type])*(Table_dim_price_recipe[Retail Price]&lt;&gt;0)*($C119=Table_dim_price_recipe[Subcategory]), 0))*$B119,"")</f>
        <v/>
      </c>
      <c r="H119" s="39" t="str" cm="1">
        <f t="array" ref="H119">IFERROR(INDEX(Table_dim_price_recipe[Retail Price], MATCH(1, ("Calculator"&lt;&gt;Table_dim_price_recipe[Type.display])*($L119=Table_dim_price_recipe[Category])*($D119=Table_dim_price_recipe[Item Description]) * (H$6=Table_dim_price_recipe[Type])*(Table_dim_price_recipe[Retail Price]&lt;&gt;0)*($C119=Table_dim_price_recipe[Subcategory]), 0))*$B119,"")</f>
        <v/>
      </c>
      <c r="I119" s="39" t="str" cm="1">
        <f t="array" ref="I119">IFERROR(INDEX(Table_dim_price_recipe[Retail Price], MATCH(1, ("Calculator"&lt;&gt;Table_dim_price_recipe[Type.display])*($L119=Table_dim_price_recipe[Category])*($D119=Table_dim_price_recipe[Item Description]) * (I$6=Table_dim_price_recipe[Type])*(Table_dim_price_recipe[Retail Price]&lt;&gt;0)*($C119=Table_dim_price_recipe[Subcategory]), 0))*$B119,"")</f>
        <v/>
      </c>
      <c r="J119" s="39" t="str" cm="1">
        <f t="array" ref="J119">IFERROR(INDEX(Table_dim_price_recipe[Retail Price], MATCH(1, ("Calculator"&lt;&gt;Table_dim_price_recipe[Type.display])*($L119=Table_dim_price_recipe[Category])*($D119=Table_dim_price_recipe[Item Description]) * (J$6=Table_dim_price_recipe[Type])*(Table_dim_price_recipe[Retail Price]&lt;&gt;0)*($C119=Table_dim_price_recipe[Subcategory]), 0))*$B119,"")</f>
        <v/>
      </c>
      <c r="K119" s="39" t="str" cm="1">
        <f t="array" ref="K119">IFERROR(INDEX(Table_dim_price_recipe[Retail Price], MATCH(1, ("Calculator"&lt;&gt;Table_dim_price_recipe[Type.display])*($L119=Table_dim_price_recipe[Category])*($D119=Table_dim_price_recipe[Item Description]) * (K$6=Table_dim_price_recipe[Type])*(Table_dim_price_recipe[Retail Price]&lt;&gt;0)*($C119=Table_dim_price_recipe[Subcategory]), 0))*$B119,"")</f>
        <v/>
      </c>
      <c r="L119" s="39" t="str" cm="1">
        <f t="array" ref="L119">IF($A119&lt;&gt;"", $A119, LOOKUP(2, 1/((A$7:INDEX(A:A, ROW()))&lt;&gt;""), A$7:INDEX(A:A, ROW())))</f>
        <v>POSTS</v>
      </c>
      <c r="M119" s="14"/>
    </row>
    <row r="120" spans="1:13">
      <c r="A120" s="263"/>
      <c r="B120" s="263"/>
      <c r="C120" s="263" t="s">
        <v>689</v>
      </c>
      <c r="D120" s="263" t="s">
        <v>691</v>
      </c>
      <c r="E120" s="263"/>
      <c r="F120" s="263"/>
      <c r="G120" s="39" t="str" cm="1">
        <f t="array" ref="G120">IFERROR(INDEX(Table_dim_price_recipe[Retail Price], MATCH(1, ("Calculator"&lt;&gt;Table_dim_price_recipe[Type.display])*($L120=Table_dim_price_recipe[Category])*($D120=Table_dim_price_recipe[Item Description]) * (G$6=Table_dim_price_recipe[Type])*(Table_dim_price_recipe[Retail Price]&lt;&gt;0)*($C120=Table_dim_price_recipe[Subcategory]), 0))*$B120,"")</f>
        <v/>
      </c>
      <c r="H120" s="39" t="str" cm="1">
        <f t="array" ref="H120">IFERROR(INDEX(Table_dim_price_recipe[Retail Price], MATCH(1, ("Calculator"&lt;&gt;Table_dim_price_recipe[Type.display])*($L120=Table_dim_price_recipe[Category])*($D120=Table_dim_price_recipe[Item Description]) * (H$6=Table_dim_price_recipe[Type])*(Table_dim_price_recipe[Retail Price]&lt;&gt;0)*($C120=Table_dim_price_recipe[Subcategory]), 0))*$B120,"")</f>
        <v/>
      </c>
      <c r="I120" s="39" t="str" cm="1">
        <f t="array" ref="I120">IFERROR(INDEX(Table_dim_price_recipe[Retail Price], MATCH(1, ("Calculator"&lt;&gt;Table_dim_price_recipe[Type.display])*($L120=Table_dim_price_recipe[Category])*($D120=Table_dim_price_recipe[Item Description]) * (I$6=Table_dim_price_recipe[Type])*(Table_dim_price_recipe[Retail Price]&lt;&gt;0)*($C120=Table_dim_price_recipe[Subcategory]), 0))*$B120,"")</f>
        <v/>
      </c>
      <c r="J120" s="39" t="str" cm="1">
        <f t="array" ref="J120">IFERROR(INDEX(Table_dim_price_recipe[Retail Price], MATCH(1, ("Calculator"&lt;&gt;Table_dim_price_recipe[Type.display])*($L120=Table_dim_price_recipe[Category])*($D120=Table_dim_price_recipe[Item Description]) * (J$6=Table_dim_price_recipe[Type])*(Table_dim_price_recipe[Retail Price]&lt;&gt;0)*($C120=Table_dim_price_recipe[Subcategory]), 0))*$B120,"")</f>
        <v/>
      </c>
      <c r="K120" s="39" t="str" cm="1">
        <f t="array" ref="K120">IFERROR(INDEX(Table_dim_price_recipe[Retail Price], MATCH(1, ("Calculator"&lt;&gt;Table_dim_price_recipe[Type.display])*($L120=Table_dim_price_recipe[Category])*($D120=Table_dim_price_recipe[Item Description]) * (K$6=Table_dim_price_recipe[Type])*(Table_dim_price_recipe[Retail Price]&lt;&gt;0)*($C120=Table_dim_price_recipe[Subcategory]), 0))*$B120,"")</f>
        <v/>
      </c>
      <c r="L120" s="39" t="str" cm="1">
        <f t="array" ref="L120">IF($A120&lt;&gt;"", $A120, LOOKUP(2, 1/((A$7:INDEX(A:A, ROW()))&lt;&gt;""), A$7:INDEX(A:A, ROW())))</f>
        <v>POSTS</v>
      </c>
      <c r="M120" s="14"/>
    </row>
    <row r="121" spans="1:13">
      <c r="A121" s="263"/>
      <c r="B121" s="263"/>
      <c r="C121" s="263" t="s">
        <v>689</v>
      </c>
      <c r="D121" s="263" t="s">
        <v>694</v>
      </c>
      <c r="E121" s="263"/>
      <c r="F121" s="263"/>
      <c r="G121" s="39" cm="1">
        <f t="array" ref="G121">IFERROR(INDEX(Table_dim_price_recipe[Retail Price], MATCH(1, ("Calculator"&lt;&gt;Table_dim_price_recipe[Type.display])*($L121=Table_dim_price_recipe[Category])*($D121=Table_dim_price_recipe[Item Description]) * (G$6=Table_dim_price_recipe[Type])*(Table_dim_price_recipe[Retail Price]&lt;&gt;0)*($C121=Table_dim_price_recipe[Subcategory]), 0))*$B121,"")</f>
        <v>0</v>
      </c>
      <c r="H121" s="39" t="str" cm="1">
        <f t="array" ref="H121">IFERROR(INDEX(Table_dim_price_recipe[Retail Price], MATCH(1, ("Calculator"&lt;&gt;Table_dim_price_recipe[Type.display])*($L121=Table_dim_price_recipe[Category])*($D121=Table_dim_price_recipe[Item Description]) * (H$6=Table_dim_price_recipe[Type])*(Table_dim_price_recipe[Retail Price]&lt;&gt;0)*($C121=Table_dim_price_recipe[Subcategory]), 0))*$B121,"")</f>
        <v/>
      </c>
      <c r="I121" s="39" t="str" cm="1">
        <f t="array" ref="I121">IFERROR(INDEX(Table_dim_price_recipe[Retail Price], MATCH(1, ("Calculator"&lt;&gt;Table_dim_price_recipe[Type.display])*($L121=Table_dim_price_recipe[Category])*($D121=Table_dim_price_recipe[Item Description]) * (I$6=Table_dim_price_recipe[Type])*(Table_dim_price_recipe[Retail Price]&lt;&gt;0)*($C121=Table_dim_price_recipe[Subcategory]), 0))*$B121,"")</f>
        <v/>
      </c>
      <c r="J121" s="39" t="str" cm="1">
        <f t="array" ref="J121">IFERROR(INDEX(Table_dim_price_recipe[Retail Price], MATCH(1, ("Calculator"&lt;&gt;Table_dim_price_recipe[Type.display])*($L121=Table_dim_price_recipe[Category])*($D121=Table_dim_price_recipe[Item Description]) * (J$6=Table_dim_price_recipe[Type])*(Table_dim_price_recipe[Retail Price]&lt;&gt;0)*($C121=Table_dim_price_recipe[Subcategory]), 0))*$B121,"")</f>
        <v/>
      </c>
      <c r="K121" s="39" t="str" cm="1">
        <f t="array" ref="K121">IFERROR(INDEX(Table_dim_price_recipe[Retail Price], MATCH(1, ("Calculator"&lt;&gt;Table_dim_price_recipe[Type.display])*($L121=Table_dim_price_recipe[Category])*($D121=Table_dim_price_recipe[Item Description]) * (K$6=Table_dim_price_recipe[Type])*(Table_dim_price_recipe[Retail Price]&lt;&gt;0)*($C121=Table_dim_price_recipe[Subcategory]), 0))*$B121,"")</f>
        <v/>
      </c>
      <c r="L121" s="39" t="str" cm="1">
        <f t="array" ref="L121">IF($A121&lt;&gt;"", $A121, LOOKUP(2, 1/((A$7:INDEX(A:A, ROW()))&lt;&gt;""), A$7:INDEX(A:A, ROW())))</f>
        <v>POSTS</v>
      </c>
      <c r="M121" s="14"/>
    </row>
    <row r="122" spans="1:13">
      <c r="A122" s="263"/>
      <c r="B122" s="263"/>
      <c r="C122" s="263" t="s">
        <v>689</v>
      </c>
      <c r="D122" s="263"/>
      <c r="E122" s="263"/>
      <c r="F122" s="263"/>
      <c r="G122" s="39" t="str" cm="1">
        <f t="array" ref="G122">IFERROR(INDEX(Table_dim_price_recipe[Retail Price], MATCH(1, ("Calculator"&lt;&gt;Table_dim_price_recipe[Type.display])*($L122=Table_dim_price_recipe[Category])*($D122=Table_dim_price_recipe[Item Description]) * (G$6=Table_dim_price_recipe[Type])*(Table_dim_price_recipe[Retail Price]&lt;&gt;0)*($C122=Table_dim_price_recipe[Subcategory]), 0))*$B122,"")</f>
        <v/>
      </c>
      <c r="H122" s="39" t="str" cm="1">
        <f t="array" ref="H122">IFERROR(INDEX(Table_dim_price_recipe[Retail Price], MATCH(1, ("Calculator"&lt;&gt;Table_dim_price_recipe[Type.display])*($L122=Table_dim_price_recipe[Category])*($D122=Table_dim_price_recipe[Item Description]) * (H$6=Table_dim_price_recipe[Type])*(Table_dim_price_recipe[Retail Price]&lt;&gt;0)*($C122=Table_dim_price_recipe[Subcategory]), 0))*$B122,"")</f>
        <v/>
      </c>
      <c r="I122" s="39" t="str" cm="1">
        <f t="array" ref="I122">IFERROR(INDEX(Table_dim_price_recipe[Retail Price], MATCH(1, ("Calculator"&lt;&gt;Table_dim_price_recipe[Type.display])*($L122=Table_dim_price_recipe[Category])*($D122=Table_dim_price_recipe[Item Description]) * (I$6=Table_dim_price_recipe[Type])*(Table_dim_price_recipe[Retail Price]&lt;&gt;0)*($C122=Table_dim_price_recipe[Subcategory]), 0))*$B122,"")</f>
        <v/>
      </c>
      <c r="J122" s="39" t="str" cm="1">
        <f t="array" ref="J122">IFERROR(INDEX(Table_dim_price_recipe[Retail Price], MATCH(1, ("Calculator"&lt;&gt;Table_dim_price_recipe[Type.display])*($L122=Table_dim_price_recipe[Category])*($D122=Table_dim_price_recipe[Item Description]) * (J$6=Table_dim_price_recipe[Type])*(Table_dim_price_recipe[Retail Price]&lt;&gt;0)*($C122=Table_dim_price_recipe[Subcategory]), 0))*$B122,"")</f>
        <v/>
      </c>
      <c r="K122" s="39" t="str" cm="1">
        <f t="array" ref="K122">IFERROR(INDEX(Table_dim_price_recipe[Retail Price], MATCH(1, ("Calculator"&lt;&gt;Table_dim_price_recipe[Type.display])*($L122=Table_dim_price_recipe[Category])*($D122=Table_dim_price_recipe[Item Description]) * (K$6=Table_dim_price_recipe[Type])*(Table_dim_price_recipe[Retail Price]&lt;&gt;0)*($C122=Table_dim_price_recipe[Subcategory]), 0))*$B122,"")</f>
        <v/>
      </c>
      <c r="L122" s="39" t="str" cm="1">
        <f t="array" ref="L122">IF($A122&lt;&gt;"", $A122, LOOKUP(2, 1/((A$7:INDEX(A:A, ROW()))&lt;&gt;""), A$7:INDEX(A:A, ROW())))</f>
        <v>POSTS</v>
      </c>
      <c r="M122" s="14"/>
    </row>
    <row r="123" spans="1:13" ht="12.75" customHeight="1">
      <c r="A123" s="263"/>
      <c r="B123" s="263"/>
      <c r="C123" s="263" t="s">
        <v>689</v>
      </c>
      <c r="D123" s="263"/>
      <c r="E123" s="263"/>
      <c r="F123" s="263"/>
      <c r="G123" s="39" t="str" cm="1">
        <f t="array" ref="G123">IFERROR(INDEX(Table_dim_price_recipe[Retail Price], MATCH(1, ("Calculator"&lt;&gt;Table_dim_price_recipe[Type.display])*($L123=Table_dim_price_recipe[Category])*($D123=Table_dim_price_recipe[Item Description]) * (G$6=Table_dim_price_recipe[Type])*(Table_dim_price_recipe[Retail Price]&lt;&gt;0)*($C123=Table_dim_price_recipe[Subcategory]), 0))*$B123,"")</f>
        <v/>
      </c>
      <c r="H123" s="39" t="str" cm="1">
        <f t="array" ref="H123">IFERROR(INDEX(Table_dim_price_recipe[Retail Price], MATCH(1, ("Calculator"&lt;&gt;Table_dim_price_recipe[Type.display])*($L123=Table_dim_price_recipe[Category])*($D123=Table_dim_price_recipe[Item Description]) * (H$6=Table_dim_price_recipe[Type])*(Table_dim_price_recipe[Retail Price]&lt;&gt;0)*($C123=Table_dim_price_recipe[Subcategory]), 0))*$B123,"")</f>
        <v/>
      </c>
      <c r="I123" s="39" t="str" cm="1">
        <f t="array" ref="I123">IFERROR(INDEX(Table_dim_price_recipe[Retail Price], MATCH(1, ("Calculator"&lt;&gt;Table_dim_price_recipe[Type.display])*($L123=Table_dim_price_recipe[Category])*($D123=Table_dim_price_recipe[Item Description]) * (I$6=Table_dim_price_recipe[Type])*(Table_dim_price_recipe[Retail Price]&lt;&gt;0)*($C123=Table_dim_price_recipe[Subcategory]), 0))*$B123,"")</f>
        <v/>
      </c>
      <c r="J123" s="39" t="str" cm="1">
        <f t="array" ref="J123">IFERROR(INDEX(Table_dim_price_recipe[Retail Price], MATCH(1, ("Calculator"&lt;&gt;Table_dim_price_recipe[Type.display])*($L123=Table_dim_price_recipe[Category])*($D123=Table_dim_price_recipe[Item Description]) * (J$6=Table_dim_price_recipe[Type])*(Table_dim_price_recipe[Retail Price]&lt;&gt;0)*($C123=Table_dim_price_recipe[Subcategory]), 0))*$B123,"")</f>
        <v/>
      </c>
      <c r="K123" s="39" t="str" cm="1">
        <f t="array" ref="K123">IFERROR(INDEX(Table_dim_price_recipe[Retail Price], MATCH(1, ("Calculator"&lt;&gt;Table_dim_price_recipe[Type.display])*($L123=Table_dim_price_recipe[Category])*($D123=Table_dim_price_recipe[Item Description]) * (K$6=Table_dim_price_recipe[Type])*(Table_dim_price_recipe[Retail Price]&lt;&gt;0)*($C123=Table_dim_price_recipe[Subcategory]), 0))*$B123,"")</f>
        <v/>
      </c>
      <c r="L123" s="39" t="str" cm="1">
        <f t="array" ref="L123">IF($A123&lt;&gt;"", $A123, LOOKUP(2, 1/((A$7:INDEX(A:A, ROW()))&lt;&gt;""), A$7:INDEX(A:A, ROW())))</f>
        <v>POSTS</v>
      </c>
      <c r="M123" s="14"/>
    </row>
    <row r="124" spans="1:13" ht="12.75" customHeight="1">
      <c r="A124" s="260" t="s">
        <v>25</v>
      </c>
      <c r="B124" s="261"/>
      <c r="C124" s="261"/>
      <c r="D124" s="261"/>
      <c r="E124" s="261"/>
      <c r="F124" s="261"/>
      <c r="G124" s="262" t="str" cm="1">
        <f t="array" ref="G124">IFERROR(INDEX(Table_dim_price_recipe[Retail Price], MATCH(1, ("Calculator"&lt;&gt;Table_dim_price_recipe[Type.display])*($L124=Table_dim_price_recipe[Category])*($D124=Table_dim_price_recipe[Item Description]) * (G$6=Table_dim_price_recipe[Type])*(Table_dim_price_recipe[Retail Price]&lt;&gt;0)*($C124=Table_dim_price_recipe[Subcategory]), 0))*$B124,"")</f>
        <v/>
      </c>
      <c r="H124" s="262" t="str" cm="1">
        <f t="array" ref="H124">IFERROR(INDEX(Table_dim_price_recipe[Retail Price], MATCH(1, ("Calculator"&lt;&gt;Table_dim_price_recipe[Type.display])*($L124=Table_dim_price_recipe[Category])*($D124=Table_dim_price_recipe[Item Description]) * (H$6=Table_dim_price_recipe[Type])*(Table_dim_price_recipe[Retail Price]&lt;&gt;0)*($C124=Table_dim_price_recipe[Subcategory]), 0))*$B124,"")</f>
        <v/>
      </c>
      <c r="I124" s="262" t="str" cm="1">
        <f t="array" ref="I124">IFERROR(INDEX(Table_dim_price_recipe[Retail Price], MATCH(1, ("Calculator"&lt;&gt;Table_dim_price_recipe[Type.display])*($L124=Table_dim_price_recipe[Category])*($D124=Table_dim_price_recipe[Item Description]) * (I$6=Table_dim_price_recipe[Type])*(Table_dim_price_recipe[Retail Price]&lt;&gt;0)*($C124=Table_dim_price_recipe[Subcategory]), 0))*$B124,"")</f>
        <v/>
      </c>
      <c r="J124" s="262" t="str" cm="1">
        <f t="array" ref="J124">IFERROR(INDEX(Table_dim_price_recipe[Retail Price], MATCH(1, ("Calculator"&lt;&gt;Table_dim_price_recipe[Type.display])*($L124=Table_dim_price_recipe[Category])*($D124=Table_dim_price_recipe[Item Description]) * (J$6=Table_dim_price_recipe[Type])*(Table_dim_price_recipe[Retail Price]&lt;&gt;0)*($C124=Table_dim_price_recipe[Subcategory]), 0))*$B124,"")</f>
        <v/>
      </c>
      <c r="K124" s="262" t="str" cm="1">
        <f t="array" ref="K124">IFERROR(INDEX(Table_dim_price_recipe[Retail Price], MATCH(1, ("Calculator"&lt;&gt;Table_dim_price_recipe[Type.display])*($L124=Table_dim_price_recipe[Category])*($D124=Table_dim_price_recipe[Item Description]) * (K$6=Table_dim_price_recipe[Type])*(Table_dim_price_recipe[Retail Price]&lt;&gt;0)*($C124=Table_dim_price_recipe[Subcategory]), 0))*$B124,"")</f>
        <v/>
      </c>
      <c r="L124" s="262" t="str" cm="1">
        <f t="array" ref="L124">IF($A124&lt;&gt;"", $A124, LOOKUP(2, 1/((A$7:INDEX(A:A, ROW()))&lt;&gt;""), A$7:INDEX(A:A, ROW())))</f>
        <v>COLUMNS</v>
      </c>
      <c r="M124" s="14"/>
    </row>
    <row r="125" spans="1:13">
      <c r="A125" s="263"/>
      <c r="B125" s="263"/>
      <c r="C125" s="263" t="s">
        <v>1108</v>
      </c>
      <c r="D125" s="263" t="s">
        <v>257</v>
      </c>
      <c r="E125" s="263"/>
      <c r="F125" s="263"/>
      <c r="G125" s="39" cm="1">
        <f t="array" ref="G125">IFERROR(INDEX(Table_dim_price_recipe[Retail Price], MATCH(1, ("Calculator"&lt;&gt;Table_dim_price_recipe[Type.display])*($L125=Table_dim_price_recipe[Category])*($D125=Table_dim_price_recipe[Item Description]) * (G$6=Table_dim_price_recipe[Type])*(Table_dim_price_recipe[Retail Price]&lt;&gt;0)*($C125=Table_dim_price_recipe[Subcategory]), 0))*$B125,"")</f>
        <v>0</v>
      </c>
      <c r="H125" s="39" t="str" cm="1">
        <f t="array" ref="H125">IFERROR(INDEX(Table_dim_price_recipe[Retail Price], MATCH(1, ("Calculator"&lt;&gt;Table_dim_price_recipe[Type.display])*($L125=Table_dim_price_recipe[Category])*($D125=Table_dim_price_recipe[Item Description]) * (H$6=Table_dim_price_recipe[Type])*(Table_dim_price_recipe[Retail Price]&lt;&gt;0)*($C125=Table_dim_price_recipe[Subcategory]), 0))*$B125,"")</f>
        <v/>
      </c>
      <c r="I125" s="39" t="str" cm="1">
        <f t="array" ref="I125">IFERROR(INDEX(Table_dim_price_recipe[Retail Price], MATCH(1, ("Calculator"&lt;&gt;Table_dim_price_recipe[Type.display])*($L125=Table_dim_price_recipe[Category])*($D125=Table_dim_price_recipe[Item Description]) * (I$6=Table_dim_price_recipe[Type])*(Table_dim_price_recipe[Retail Price]&lt;&gt;0)*($C125=Table_dim_price_recipe[Subcategory]), 0))*$B125,"")</f>
        <v/>
      </c>
      <c r="J125" s="39" t="str" cm="1">
        <f t="array" ref="J125">IFERROR(INDEX(Table_dim_price_recipe[Retail Price], MATCH(1, ("Calculator"&lt;&gt;Table_dim_price_recipe[Type.display])*($L125=Table_dim_price_recipe[Category])*($D125=Table_dim_price_recipe[Item Description]) * (J$6=Table_dim_price_recipe[Type])*(Table_dim_price_recipe[Retail Price]&lt;&gt;0)*($C125=Table_dim_price_recipe[Subcategory]), 0))*$B125,"")</f>
        <v/>
      </c>
      <c r="K125" s="39" t="str" cm="1">
        <f t="array" ref="K125">IFERROR(INDEX(Table_dim_price_recipe[Retail Price], MATCH(1, ("Calculator"&lt;&gt;Table_dim_price_recipe[Type.display])*($L125=Table_dim_price_recipe[Category])*($D125=Table_dim_price_recipe[Item Description]) * (K$6=Table_dim_price_recipe[Type])*(Table_dim_price_recipe[Retail Price]&lt;&gt;0)*($C125=Table_dim_price_recipe[Subcategory]), 0))*$B125,"")</f>
        <v/>
      </c>
      <c r="L125" s="39" t="str" cm="1">
        <f t="array" ref="L125">IF($A125&lt;&gt;"", $A125, LOOKUP(2, 1/((A$7:INDEX(A:A, ROW()))&lt;&gt;""), A$7:INDEX(A:A, ROW())))</f>
        <v>COLUMNS</v>
      </c>
      <c r="M125" s="14"/>
    </row>
    <row r="126" spans="1:13">
      <c r="A126" s="263"/>
      <c r="B126" s="263"/>
      <c r="C126" s="263" t="s">
        <v>1108</v>
      </c>
      <c r="D126" s="263" t="s">
        <v>255</v>
      </c>
      <c r="E126" s="263"/>
      <c r="F126" s="263"/>
      <c r="G126" s="39" cm="1">
        <f t="array" ref="G126">IFERROR(INDEX(Table_dim_price_recipe[Retail Price], MATCH(1, ("Calculator"&lt;&gt;Table_dim_price_recipe[Type.display])*($L126=Table_dim_price_recipe[Category])*($D126=Table_dim_price_recipe[Item Description]) * (G$6=Table_dim_price_recipe[Type])*(Table_dim_price_recipe[Retail Price]&lt;&gt;0)*($C126=Table_dim_price_recipe[Subcategory]), 0))*$B126,"")</f>
        <v>0</v>
      </c>
      <c r="H126" s="39" t="str" cm="1">
        <f t="array" ref="H126">IFERROR(INDEX(Table_dim_price_recipe[Retail Price], MATCH(1, ("Calculator"&lt;&gt;Table_dim_price_recipe[Type.display])*($L126=Table_dim_price_recipe[Category])*($D126=Table_dim_price_recipe[Item Description]) * (H$6=Table_dim_price_recipe[Type])*(Table_dim_price_recipe[Retail Price]&lt;&gt;0)*($C126=Table_dim_price_recipe[Subcategory]), 0))*$B126,"")</f>
        <v/>
      </c>
      <c r="I126" s="39" t="str" cm="1">
        <f t="array" ref="I126">IFERROR(INDEX(Table_dim_price_recipe[Retail Price], MATCH(1, ("Calculator"&lt;&gt;Table_dim_price_recipe[Type.display])*($L126=Table_dim_price_recipe[Category])*($D126=Table_dim_price_recipe[Item Description]) * (I$6=Table_dim_price_recipe[Type])*(Table_dim_price_recipe[Retail Price]&lt;&gt;0)*($C126=Table_dim_price_recipe[Subcategory]), 0))*$B126,"")</f>
        <v/>
      </c>
      <c r="J126" s="39" t="str" cm="1">
        <f t="array" ref="J126">IFERROR(INDEX(Table_dim_price_recipe[Retail Price], MATCH(1, ("Calculator"&lt;&gt;Table_dim_price_recipe[Type.display])*($L126=Table_dim_price_recipe[Category])*($D126=Table_dim_price_recipe[Item Description]) * (J$6=Table_dim_price_recipe[Type])*(Table_dim_price_recipe[Retail Price]&lt;&gt;0)*($C126=Table_dim_price_recipe[Subcategory]), 0))*$B126,"")</f>
        <v/>
      </c>
      <c r="K126" s="39" t="str" cm="1">
        <f t="array" ref="K126">IFERROR(INDEX(Table_dim_price_recipe[Retail Price], MATCH(1, ("Calculator"&lt;&gt;Table_dim_price_recipe[Type.display])*($L126=Table_dim_price_recipe[Category])*($D126=Table_dim_price_recipe[Item Description]) * (K$6=Table_dim_price_recipe[Type])*(Table_dim_price_recipe[Retail Price]&lt;&gt;0)*($C126=Table_dim_price_recipe[Subcategory]), 0))*$B126,"")</f>
        <v/>
      </c>
      <c r="L126" s="39" t="str" cm="1">
        <f t="array" ref="L126">IF($A126&lt;&gt;"", $A126, LOOKUP(2, 1/((A$7:INDEX(A:A, ROW()))&lt;&gt;""), A$7:INDEX(A:A, ROW())))</f>
        <v>COLUMNS</v>
      </c>
      <c r="M126" s="14"/>
    </row>
    <row r="127" spans="1:13">
      <c r="A127" s="263"/>
      <c r="B127" s="263"/>
      <c r="C127" s="263" t="s">
        <v>1108</v>
      </c>
      <c r="D127" s="263" t="s">
        <v>256</v>
      </c>
      <c r="E127" s="263"/>
      <c r="F127" s="263"/>
      <c r="G127" s="39" cm="1">
        <f t="array" ref="G127">IFERROR(INDEX(Table_dim_price_recipe[Retail Price], MATCH(1, ("Calculator"&lt;&gt;Table_dim_price_recipe[Type.display])*($L127=Table_dim_price_recipe[Category])*($D127=Table_dim_price_recipe[Item Description]) * (G$6=Table_dim_price_recipe[Type])*(Table_dim_price_recipe[Retail Price]&lt;&gt;0)*($C127=Table_dim_price_recipe[Subcategory]), 0))*$B127,"")</f>
        <v>0</v>
      </c>
      <c r="H127" s="39" t="str" cm="1">
        <f t="array" ref="H127">IFERROR(INDEX(Table_dim_price_recipe[Retail Price], MATCH(1, ("Calculator"&lt;&gt;Table_dim_price_recipe[Type.display])*($L127=Table_dim_price_recipe[Category])*($D127=Table_dim_price_recipe[Item Description]) * (H$6=Table_dim_price_recipe[Type])*(Table_dim_price_recipe[Retail Price]&lt;&gt;0)*($C127=Table_dim_price_recipe[Subcategory]), 0))*$B127,"")</f>
        <v/>
      </c>
      <c r="I127" s="39" t="str" cm="1">
        <f t="array" ref="I127">IFERROR(INDEX(Table_dim_price_recipe[Retail Price], MATCH(1, ("Calculator"&lt;&gt;Table_dim_price_recipe[Type.display])*($L127=Table_dim_price_recipe[Category])*($D127=Table_dim_price_recipe[Item Description]) * (I$6=Table_dim_price_recipe[Type])*(Table_dim_price_recipe[Retail Price]&lt;&gt;0)*($C127=Table_dim_price_recipe[Subcategory]), 0))*$B127,"")</f>
        <v/>
      </c>
      <c r="J127" s="39" t="str" cm="1">
        <f t="array" ref="J127">IFERROR(INDEX(Table_dim_price_recipe[Retail Price], MATCH(1, ("Calculator"&lt;&gt;Table_dim_price_recipe[Type.display])*($L127=Table_dim_price_recipe[Category])*($D127=Table_dim_price_recipe[Item Description]) * (J$6=Table_dim_price_recipe[Type])*(Table_dim_price_recipe[Retail Price]&lt;&gt;0)*($C127=Table_dim_price_recipe[Subcategory]), 0))*$B127,"")</f>
        <v/>
      </c>
      <c r="K127" s="39" t="str" cm="1">
        <f t="array" ref="K127">IFERROR(INDEX(Table_dim_price_recipe[Retail Price], MATCH(1, ("Calculator"&lt;&gt;Table_dim_price_recipe[Type.display])*($L127=Table_dim_price_recipe[Category])*($D127=Table_dim_price_recipe[Item Description]) * (K$6=Table_dim_price_recipe[Type])*(Table_dim_price_recipe[Retail Price]&lt;&gt;0)*($C127=Table_dim_price_recipe[Subcategory]), 0))*$B127,"")</f>
        <v/>
      </c>
      <c r="L127" s="39" t="str" cm="1">
        <f t="array" ref="L127">IF($A127&lt;&gt;"", $A127, LOOKUP(2, 1/((A$7:INDEX(A:A, ROW()))&lt;&gt;""), A$7:INDEX(A:A, ROW())))</f>
        <v>COLUMNS</v>
      </c>
      <c r="M127" s="14"/>
    </row>
    <row r="128" spans="1:13">
      <c r="A128" s="263"/>
      <c r="B128" s="263"/>
      <c r="C128" s="263" t="s">
        <v>1108</v>
      </c>
      <c r="D128" s="263"/>
      <c r="E128" s="263"/>
      <c r="F128" s="263"/>
      <c r="G128" s="39" t="str" cm="1">
        <f t="array" ref="G128">IFERROR(INDEX(Table_dim_price_recipe[Retail Price], MATCH(1, ("Calculator"&lt;&gt;Table_dim_price_recipe[Type.display])*($L128=Table_dim_price_recipe[Category])*($D128=Table_dim_price_recipe[Item Description]) * (G$6=Table_dim_price_recipe[Type])*(Table_dim_price_recipe[Retail Price]&lt;&gt;0)*($C128=Table_dim_price_recipe[Subcategory]), 0))*$B128,"")</f>
        <v/>
      </c>
      <c r="H128" s="39" t="str" cm="1">
        <f t="array" ref="H128">IFERROR(INDEX(Table_dim_price_recipe[Retail Price], MATCH(1, ("Calculator"&lt;&gt;Table_dim_price_recipe[Type.display])*($L128=Table_dim_price_recipe[Category])*($D128=Table_dim_price_recipe[Item Description]) * (H$6=Table_dim_price_recipe[Type])*(Table_dim_price_recipe[Retail Price]&lt;&gt;0)*($C128=Table_dim_price_recipe[Subcategory]), 0))*$B128,"")</f>
        <v/>
      </c>
      <c r="I128" s="39" t="str" cm="1">
        <f t="array" ref="I128">IFERROR(INDEX(Table_dim_price_recipe[Retail Price], MATCH(1, ("Calculator"&lt;&gt;Table_dim_price_recipe[Type.display])*($L128=Table_dim_price_recipe[Category])*($D128=Table_dim_price_recipe[Item Description]) * (I$6=Table_dim_price_recipe[Type])*(Table_dim_price_recipe[Retail Price]&lt;&gt;0)*($C128=Table_dim_price_recipe[Subcategory]), 0))*$B128,"")</f>
        <v/>
      </c>
      <c r="J128" s="39" t="str" cm="1">
        <f t="array" ref="J128">IFERROR(INDEX(Table_dim_price_recipe[Retail Price], MATCH(1, ("Calculator"&lt;&gt;Table_dim_price_recipe[Type.display])*($L128=Table_dim_price_recipe[Category])*($D128=Table_dim_price_recipe[Item Description]) * (J$6=Table_dim_price_recipe[Type])*(Table_dim_price_recipe[Retail Price]&lt;&gt;0)*($C128=Table_dim_price_recipe[Subcategory]), 0))*$B128,"")</f>
        <v/>
      </c>
      <c r="K128" s="39" t="str" cm="1">
        <f t="array" ref="K128">IFERROR(INDEX(Table_dim_price_recipe[Retail Price], MATCH(1, ("Calculator"&lt;&gt;Table_dim_price_recipe[Type.display])*($L128=Table_dim_price_recipe[Category])*($D128=Table_dim_price_recipe[Item Description]) * (K$6=Table_dim_price_recipe[Type])*(Table_dim_price_recipe[Retail Price]&lt;&gt;0)*($C128=Table_dim_price_recipe[Subcategory]), 0))*$B128,"")</f>
        <v/>
      </c>
      <c r="L128" s="39" t="str" cm="1">
        <f t="array" ref="L128">IF($A128&lt;&gt;"", $A128, LOOKUP(2, 1/((A$7:INDEX(A:A, ROW()))&lt;&gt;""), A$7:INDEX(A:A, ROW())))</f>
        <v>COLUMNS</v>
      </c>
      <c r="M128" s="14"/>
    </row>
    <row r="129" spans="1:13">
      <c r="A129" s="263"/>
      <c r="B129" s="263"/>
      <c r="C129" s="263" t="s">
        <v>1108</v>
      </c>
      <c r="D129" s="263"/>
      <c r="E129" s="263"/>
      <c r="F129" s="263"/>
      <c r="G129" s="39" t="str" cm="1">
        <f t="array" ref="G129">IFERROR(INDEX(Table_dim_price_recipe[Retail Price], MATCH(1, ("Calculator"&lt;&gt;Table_dim_price_recipe[Type.display])*($L129=Table_dim_price_recipe[Category])*($D129=Table_dim_price_recipe[Item Description]) * (G$6=Table_dim_price_recipe[Type])*(Table_dim_price_recipe[Retail Price]&lt;&gt;0)*($C129=Table_dim_price_recipe[Subcategory]), 0))*$B129,"")</f>
        <v/>
      </c>
      <c r="H129" s="39" t="str" cm="1">
        <f t="array" ref="H129">IFERROR(INDEX(Table_dim_price_recipe[Retail Price], MATCH(1, ("Calculator"&lt;&gt;Table_dim_price_recipe[Type.display])*($L129=Table_dim_price_recipe[Category])*($D129=Table_dim_price_recipe[Item Description]) * (H$6=Table_dim_price_recipe[Type])*(Table_dim_price_recipe[Retail Price]&lt;&gt;0)*($C129=Table_dim_price_recipe[Subcategory]), 0))*$B129,"")</f>
        <v/>
      </c>
      <c r="I129" s="39" t="str" cm="1">
        <f t="array" ref="I129">IFERROR(INDEX(Table_dim_price_recipe[Retail Price], MATCH(1, ("Calculator"&lt;&gt;Table_dim_price_recipe[Type.display])*($L129=Table_dim_price_recipe[Category])*($D129=Table_dim_price_recipe[Item Description]) * (I$6=Table_dim_price_recipe[Type])*(Table_dim_price_recipe[Retail Price]&lt;&gt;0)*($C129=Table_dim_price_recipe[Subcategory]), 0))*$B129,"")</f>
        <v/>
      </c>
      <c r="J129" s="39" t="str" cm="1">
        <f t="array" ref="J129">IFERROR(INDEX(Table_dim_price_recipe[Retail Price], MATCH(1, ("Calculator"&lt;&gt;Table_dim_price_recipe[Type.display])*($L129=Table_dim_price_recipe[Category])*($D129=Table_dim_price_recipe[Item Description]) * (J$6=Table_dim_price_recipe[Type])*(Table_dim_price_recipe[Retail Price]&lt;&gt;0)*($C129=Table_dim_price_recipe[Subcategory]), 0))*$B129,"")</f>
        <v/>
      </c>
      <c r="K129" s="39" t="str" cm="1">
        <f t="array" ref="K129">IFERROR(INDEX(Table_dim_price_recipe[Retail Price], MATCH(1, ("Calculator"&lt;&gt;Table_dim_price_recipe[Type.display])*($L129=Table_dim_price_recipe[Category])*($D129=Table_dim_price_recipe[Item Description]) * (K$6=Table_dim_price_recipe[Type])*(Table_dim_price_recipe[Retail Price]&lt;&gt;0)*($C129=Table_dim_price_recipe[Subcategory]), 0))*$B129,"")</f>
        <v/>
      </c>
      <c r="L129" s="39" t="str" cm="1">
        <f t="array" ref="L129">IF($A129&lt;&gt;"", $A129, LOOKUP(2, 1/((A$7:INDEX(A:A, ROW()))&lt;&gt;""), A$7:INDEX(A:A, ROW())))</f>
        <v>COLUMNS</v>
      </c>
      <c r="M129" s="14"/>
    </row>
    <row r="130" spans="1:13">
      <c r="A130" s="260" t="s">
        <v>26</v>
      </c>
      <c r="B130" s="261"/>
      <c r="C130" s="261"/>
      <c r="D130" s="261"/>
      <c r="E130" s="261"/>
      <c r="F130" s="261"/>
      <c r="G130" s="262" t="str" cm="1">
        <f t="array" ref="G130">IFERROR(INDEX(Table_dim_price_recipe[Retail Price], MATCH(1, ("Calculator"&lt;&gt;Table_dim_price_recipe[Type.display])*($L130=Table_dim_price_recipe[Category])*($D130=Table_dim_price_recipe[Item Description]) * (G$6=Table_dim_price_recipe[Type])*(Table_dim_price_recipe[Retail Price]&lt;&gt;0)*($C130=Table_dim_price_recipe[Subcategory]), 0))*$B130,"")</f>
        <v/>
      </c>
      <c r="H130" s="262" t="str" cm="1">
        <f t="array" ref="H130">IFERROR(INDEX(Table_dim_price_recipe[Retail Price], MATCH(1, ("Calculator"&lt;&gt;Table_dim_price_recipe[Type.display])*($L130=Table_dim_price_recipe[Category])*($D130=Table_dim_price_recipe[Item Description]) * (H$6=Table_dim_price_recipe[Type])*(Table_dim_price_recipe[Retail Price]&lt;&gt;0)*($C130=Table_dim_price_recipe[Subcategory]), 0))*$B130,"")</f>
        <v/>
      </c>
      <c r="I130" s="262" t="str" cm="1">
        <f t="array" ref="I130">IFERROR(INDEX(Table_dim_price_recipe[Retail Price], MATCH(1, ("Calculator"&lt;&gt;Table_dim_price_recipe[Type.display])*($L130=Table_dim_price_recipe[Category])*($D130=Table_dim_price_recipe[Item Description]) * (I$6=Table_dim_price_recipe[Type])*(Table_dim_price_recipe[Retail Price]&lt;&gt;0)*($C130=Table_dim_price_recipe[Subcategory]), 0))*$B130,"")</f>
        <v/>
      </c>
      <c r="J130" s="262" t="str" cm="1">
        <f t="array" ref="J130">IFERROR(INDEX(Table_dim_price_recipe[Retail Price], MATCH(1, ("Calculator"&lt;&gt;Table_dim_price_recipe[Type.display])*($L130=Table_dim_price_recipe[Category])*($D130=Table_dim_price_recipe[Item Description]) * (J$6=Table_dim_price_recipe[Type])*(Table_dim_price_recipe[Retail Price]&lt;&gt;0)*($C130=Table_dim_price_recipe[Subcategory]), 0))*$B130,"")</f>
        <v/>
      </c>
      <c r="K130" s="262" t="str" cm="1">
        <f t="array" ref="K130">IFERROR(INDEX(Table_dim_price_recipe[Retail Price], MATCH(1, ("Calculator"&lt;&gt;Table_dim_price_recipe[Type.display])*($L130=Table_dim_price_recipe[Category])*($D130=Table_dim_price_recipe[Item Description]) * (K$6=Table_dim_price_recipe[Type])*(Table_dim_price_recipe[Retail Price]&lt;&gt;0)*($C130=Table_dim_price_recipe[Subcategory]), 0))*$B130,"")</f>
        <v/>
      </c>
      <c r="L130" s="262" t="str" cm="1">
        <f t="array" ref="L130">IF($A130&lt;&gt;"", $A130, LOOKUP(2, 1/((A$7:INDEX(A:A, ROW()))&lt;&gt;""), A$7:INDEX(A:A, ROW())))</f>
        <v>MAIN BEAMS</v>
      </c>
      <c r="M130" s="14"/>
    </row>
    <row r="131" spans="1:13">
      <c r="A131" s="263"/>
      <c r="B131" s="263"/>
      <c r="C131" s="263" t="s">
        <v>930</v>
      </c>
      <c r="D131" s="263" t="s">
        <v>935</v>
      </c>
      <c r="E131" s="263"/>
      <c r="F131" s="263"/>
      <c r="G131" s="39" t="str" cm="1">
        <f t="array" ref="G131">IFERROR(INDEX(Table_dim_price_recipe[Retail Price], MATCH(1, ("Calculator"&lt;&gt;Table_dim_price_recipe[Type.display])*($L131=Table_dim_price_recipe[Category])*($D131=Table_dim_price_recipe[Item Description]) * (G$6=Table_dim_price_recipe[Type])*(Table_dim_price_recipe[Retail Price]&lt;&gt;0)*($C131=Table_dim_price_recipe[Subcategory]), 0))*$B131,"")</f>
        <v/>
      </c>
      <c r="H131" s="39" t="str" cm="1">
        <f t="array" ref="H131">IFERROR(INDEX(Table_dim_price_recipe[Retail Price], MATCH(1, ("Calculator"&lt;&gt;Table_dim_price_recipe[Type.display])*($L131=Table_dim_price_recipe[Category])*($D131=Table_dim_price_recipe[Item Description]) * (H$6=Table_dim_price_recipe[Type])*(Table_dim_price_recipe[Retail Price]&lt;&gt;0)*($C131=Table_dim_price_recipe[Subcategory]), 0))*$B131,"")</f>
        <v/>
      </c>
      <c r="I131" s="39" t="str" cm="1">
        <f t="array" ref="I131">IFERROR(INDEX(Table_dim_price_recipe[Retail Price], MATCH(1, ("Calculator"&lt;&gt;Table_dim_price_recipe[Type.display])*($L131=Table_dim_price_recipe[Category])*($D131=Table_dim_price_recipe[Item Description]) * (I$6=Table_dim_price_recipe[Type])*(Table_dim_price_recipe[Retail Price]&lt;&gt;0)*($C131=Table_dim_price_recipe[Subcategory]), 0))*$B131,"")</f>
        <v/>
      </c>
      <c r="J131" s="39" t="str" cm="1">
        <f t="array" ref="J131">IFERROR(INDEX(Table_dim_price_recipe[Retail Price], MATCH(1, ("Calculator"&lt;&gt;Table_dim_price_recipe[Type.display])*($L131=Table_dim_price_recipe[Category])*($D131=Table_dim_price_recipe[Item Description]) * (J$6=Table_dim_price_recipe[Type])*(Table_dim_price_recipe[Retail Price]&lt;&gt;0)*($C131=Table_dim_price_recipe[Subcategory]), 0))*$B131,"")</f>
        <v/>
      </c>
      <c r="K131" s="39" t="str" cm="1">
        <f t="array" ref="K131">IFERROR(INDEX(Table_dim_price_recipe[Retail Price], MATCH(1, ("Calculator"&lt;&gt;Table_dim_price_recipe[Type.display])*($L131=Table_dim_price_recipe[Category])*($D131=Table_dim_price_recipe[Item Description]) * (K$6=Table_dim_price_recipe[Type])*(Table_dim_price_recipe[Retail Price]&lt;&gt;0)*($C131=Table_dim_price_recipe[Subcategory]), 0))*$B131,"")</f>
        <v/>
      </c>
      <c r="L131" s="39" t="str" cm="1">
        <f t="array" ref="L131">IF($A131&lt;&gt;"", $A131, LOOKUP(2, 1/((A$7:INDEX(A:A, ROW()))&lt;&gt;""), A$7:INDEX(A:A, ROW())))</f>
        <v>MAIN BEAMS</v>
      </c>
      <c r="M131" s="14"/>
    </row>
    <row r="132" spans="1:13">
      <c r="A132" s="263"/>
      <c r="B132" s="263"/>
      <c r="C132" s="263" t="s">
        <v>930</v>
      </c>
      <c r="D132" s="263" t="s">
        <v>934</v>
      </c>
      <c r="E132" s="263"/>
      <c r="F132" s="263"/>
      <c r="G132" s="39" t="str" cm="1">
        <f t="array" ref="G132">IFERROR(INDEX(Table_dim_price_recipe[Retail Price], MATCH(1, ("Calculator"&lt;&gt;Table_dim_price_recipe[Type.display])*($L132=Table_dim_price_recipe[Category])*($D132=Table_dim_price_recipe[Item Description]) * (G$6=Table_dim_price_recipe[Type])*(Table_dim_price_recipe[Retail Price]&lt;&gt;0)*($C132=Table_dim_price_recipe[Subcategory]), 0))*$B132,"")</f>
        <v/>
      </c>
      <c r="H132" s="39" cm="1">
        <f t="array" ref="H132">IFERROR(INDEX(Table_dim_price_recipe[Retail Price], MATCH(1, ("Calculator"&lt;&gt;Table_dim_price_recipe[Type.display])*($L132=Table_dim_price_recipe[Category])*($D132=Table_dim_price_recipe[Item Description]) * (H$6=Table_dim_price_recipe[Type])*(Table_dim_price_recipe[Retail Price]&lt;&gt;0)*($C132=Table_dim_price_recipe[Subcategory]), 0))*$B132,"")</f>
        <v>0</v>
      </c>
      <c r="I132" s="39" t="str" cm="1">
        <f t="array" ref="I132">IFERROR(INDEX(Table_dim_price_recipe[Retail Price], MATCH(1, ("Calculator"&lt;&gt;Table_dim_price_recipe[Type.display])*($L132=Table_dim_price_recipe[Category])*($D132=Table_dim_price_recipe[Item Description]) * (I$6=Table_dim_price_recipe[Type])*(Table_dim_price_recipe[Retail Price]&lt;&gt;0)*($C132=Table_dim_price_recipe[Subcategory]), 0))*$B132,"")</f>
        <v/>
      </c>
      <c r="J132" s="39" t="str" cm="1">
        <f t="array" ref="J132">IFERROR(INDEX(Table_dim_price_recipe[Retail Price], MATCH(1, ("Calculator"&lt;&gt;Table_dim_price_recipe[Type.display])*($L132=Table_dim_price_recipe[Category])*($D132=Table_dim_price_recipe[Item Description]) * (J$6=Table_dim_price_recipe[Type])*(Table_dim_price_recipe[Retail Price]&lt;&gt;0)*($C132=Table_dim_price_recipe[Subcategory]), 0))*$B132,"")</f>
        <v/>
      </c>
      <c r="K132" s="39" t="str" cm="1">
        <f t="array" ref="K132">IFERROR(INDEX(Table_dim_price_recipe[Retail Price], MATCH(1, ("Calculator"&lt;&gt;Table_dim_price_recipe[Type.display])*($L132=Table_dim_price_recipe[Category])*($D132=Table_dim_price_recipe[Item Description]) * (K$6=Table_dim_price_recipe[Type])*(Table_dim_price_recipe[Retail Price]&lt;&gt;0)*($C132=Table_dim_price_recipe[Subcategory]), 0))*$B132,"")</f>
        <v/>
      </c>
      <c r="L132" s="39" t="str" cm="1">
        <f t="array" ref="L132">IF($A132&lt;&gt;"", $A132, LOOKUP(2, 1/((A$7:INDEX(A:A, ROW()))&lt;&gt;""), A$7:INDEX(A:A, ROW())))</f>
        <v>MAIN BEAMS</v>
      </c>
      <c r="M132" s="14"/>
    </row>
    <row r="133" spans="1:13">
      <c r="A133" s="263"/>
      <c r="B133" s="263"/>
      <c r="C133" s="263" t="s">
        <v>930</v>
      </c>
      <c r="D133" s="263" t="s">
        <v>932</v>
      </c>
      <c r="E133" s="263"/>
      <c r="F133" s="263"/>
      <c r="G133" s="39" t="str" cm="1">
        <f t="array" ref="G133">IFERROR(INDEX(Table_dim_price_recipe[Retail Price], MATCH(1, ("Calculator"&lt;&gt;Table_dim_price_recipe[Type.display])*($L133=Table_dim_price_recipe[Category])*($D133=Table_dim_price_recipe[Item Description]) * (G$6=Table_dim_price_recipe[Type])*(Table_dim_price_recipe[Retail Price]&lt;&gt;0)*($C133=Table_dim_price_recipe[Subcategory]), 0))*$B133,"")</f>
        <v/>
      </c>
      <c r="H133" s="39" t="str" cm="1">
        <f t="array" ref="H133">IFERROR(INDEX(Table_dim_price_recipe[Retail Price], MATCH(1, ("Calculator"&lt;&gt;Table_dim_price_recipe[Type.display])*($L133=Table_dim_price_recipe[Category])*($D133=Table_dim_price_recipe[Item Description]) * (H$6=Table_dim_price_recipe[Type])*(Table_dim_price_recipe[Retail Price]&lt;&gt;0)*($C133=Table_dim_price_recipe[Subcategory]), 0))*$B133,"")</f>
        <v/>
      </c>
      <c r="I133" s="39" t="str" cm="1">
        <f t="array" ref="I133">IFERROR(INDEX(Table_dim_price_recipe[Retail Price], MATCH(1, ("Calculator"&lt;&gt;Table_dim_price_recipe[Type.display])*($L133=Table_dim_price_recipe[Category])*($D133=Table_dim_price_recipe[Item Description]) * (I$6=Table_dim_price_recipe[Type])*(Table_dim_price_recipe[Retail Price]&lt;&gt;0)*($C133=Table_dim_price_recipe[Subcategory]), 0))*$B133,"")</f>
        <v/>
      </c>
      <c r="J133" s="39" t="str" cm="1">
        <f t="array" ref="J133">IFERROR(INDEX(Table_dim_price_recipe[Retail Price], MATCH(1, ("Calculator"&lt;&gt;Table_dim_price_recipe[Type.display])*($L133=Table_dim_price_recipe[Category])*($D133=Table_dim_price_recipe[Item Description]) * (J$6=Table_dim_price_recipe[Type])*(Table_dim_price_recipe[Retail Price]&lt;&gt;0)*($C133=Table_dim_price_recipe[Subcategory]), 0))*$B133,"")</f>
        <v/>
      </c>
      <c r="K133" s="39" t="str" cm="1">
        <f t="array" ref="K133">IFERROR(INDEX(Table_dim_price_recipe[Retail Price], MATCH(1, ("Calculator"&lt;&gt;Table_dim_price_recipe[Type.display])*($L133=Table_dim_price_recipe[Category])*($D133=Table_dim_price_recipe[Item Description]) * (K$6=Table_dim_price_recipe[Type])*(Table_dim_price_recipe[Retail Price]&lt;&gt;0)*($C133=Table_dim_price_recipe[Subcategory]), 0))*$B133,"")</f>
        <v/>
      </c>
      <c r="L133" s="39" t="str" cm="1">
        <f t="array" ref="L133">IF($A133&lt;&gt;"", $A133, LOOKUP(2, 1/((A$7:INDEX(A:A, ROW()))&lt;&gt;""), A$7:INDEX(A:A, ROW())))</f>
        <v>MAIN BEAMS</v>
      </c>
      <c r="M133" s="14"/>
    </row>
    <row r="134" spans="1:13">
      <c r="A134" s="263"/>
      <c r="B134" s="263"/>
      <c r="C134" s="263" t="s">
        <v>930</v>
      </c>
      <c r="D134" s="263" t="s">
        <v>931</v>
      </c>
      <c r="E134" s="263"/>
      <c r="F134" s="263"/>
      <c r="G134" s="39" t="str" cm="1">
        <f t="array" ref="G134">IFERROR(INDEX(Table_dim_price_recipe[Retail Price], MATCH(1, ("Calculator"&lt;&gt;Table_dim_price_recipe[Type.display])*($L134=Table_dim_price_recipe[Category])*($D134=Table_dim_price_recipe[Item Description]) * (G$6=Table_dim_price_recipe[Type])*(Table_dim_price_recipe[Retail Price]&lt;&gt;0)*($C134=Table_dim_price_recipe[Subcategory]), 0))*$B134,"")</f>
        <v/>
      </c>
      <c r="H134" s="39" t="str" cm="1">
        <f t="array" ref="H134">IFERROR(INDEX(Table_dim_price_recipe[Retail Price], MATCH(1, ("Calculator"&lt;&gt;Table_dim_price_recipe[Type.display])*($L134=Table_dim_price_recipe[Category])*($D134=Table_dim_price_recipe[Item Description]) * (H$6=Table_dim_price_recipe[Type])*(Table_dim_price_recipe[Retail Price]&lt;&gt;0)*($C134=Table_dim_price_recipe[Subcategory]), 0))*$B134,"")</f>
        <v/>
      </c>
      <c r="I134" s="39" t="str" cm="1">
        <f t="array" ref="I134">IFERROR(INDEX(Table_dim_price_recipe[Retail Price], MATCH(1, ("Calculator"&lt;&gt;Table_dim_price_recipe[Type.display])*($L134=Table_dim_price_recipe[Category])*($D134=Table_dim_price_recipe[Item Description]) * (I$6=Table_dim_price_recipe[Type])*(Table_dim_price_recipe[Retail Price]&lt;&gt;0)*($C134=Table_dim_price_recipe[Subcategory]), 0))*$B134,"")</f>
        <v/>
      </c>
      <c r="J134" s="39" t="str" cm="1">
        <f t="array" ref="J134">IFERROR(INDEX(Table_dim_price_recipe[Retail Price], MATCH(1, ("Calculator"&lt;&gt;Table_dim_price_recipe[Type.display])*($L134=Table_dim_price_recipe[Category])*($D134=Table_dim_price_recipe[Item Description]) * (J$6=Table_dim_price_recipe[Type])*(Table_dim_price_recipe[Retail Price]&lt;&gt;0)*($C134=Table_dim_price_recipe[Subcategory]), 0))*$B134,"")</f>
        <v/>
      </c>
      <c r="K134" s="39" t="str" cm="1">
        <f t="array" ref="K134">IFERROR(INDEX(Table_dim_price_recipe[Retail Price], MATCH(1, ("Calculator"&lt;&gt;Table_dim_price_recipe[Type.display])*($L134=Table_dim_price_recipe[Category])*($D134=Table_dim_price_recipe[Item Description]) * (K$6=Table_dim_price_recipe[Type])*(Table_dim_price_recipe[Retail Price]&lt;&gt;0)*($C134=Table_dim_price_recipe[Subcategory]), 0))*$B134,"")</f>
        <v/>
      </c>
      <c r="L134" s="39" t="str" cm="1">
        <f t="array" ref="L134">IF($A134&lt;&gt;"", $A134, LOOKUP(2, 1/((A$7:INDEX(A:A, ROW()))&lt;&gt;""), A$7:INDEX(A:A, ROW())))</f>
        <v>MAIN BEAMS</v>
      </c>
      <c r="M134" s="14"/>
    </row>
    <row r="135" spans="1:13">
      <c r="A135" s="263"/>
      <c r="B135" s="263"/>
      <c r="C135" s="263" t="s">
        <v>930</v>
      </c>
      <c r="D135" s="263" t="s">
        <v>933</v>
      </c>
      <c r="E135" s="263"/>
      <c r="F135" s="263"/>
      <c r="G135" s="39" t="str" cm="1">
        <f t="array" ref="G135">IFERROR(INDEX(Table_dim_price_recipe[Retail Price], MATCH(1, ("Calculator"&lt;&gt;Table_dim_price_recipe[Type.display])*($L135=Table_dim_price_recipe[Category])*($D135=Table_dim_price_recipe[Item Description]) * (G$6=Table_dim_price_recipe[Type])*(Table_dim_price_recipe[Retail Price]&lt;&gt;0)*($C135=Table_dim_price_recipe[Subcategory]), 0))*$B135,"")</f>
        <v/>
      </c>
      <c r="H135" s="39" cm="1">
        <f t="array" ref="H135">IFERROR(INDEX(Table_dim_price_recipe[Retail Price], MATCH(1, ("Calculator"&lt;&gt;Table_dim_price_recipe[Type.display])*($L135=Table_dim_price_recipe[Category])*($D135=Table_dim_price_recipe[Item Description]) * (H$6=Table_dim_price_recipe[Type])*(Table_dim_price_recipe[Retail Price]&lt;&gt;0)*($C135=Table_dim_price_recipe[Subcategory]), 0))*$B135,"")</f>
        <v>0</v>
      </c>
      <c r="I135" s="39" t="str" cm="1">
        <f t="array" ref="I135">IFERROR(INDEX(Table_dim_price_recipe[Retail Price], MATCH(1, ("Calculator"&lt;&gt;Table_dim_price_recipe[Type.display])*($L135=Table_dim_price_recipe[Category])*($D135=Table_dim_price_recipe[Item Description]) * (I$6=Table_dim_price_recipe[Type])*(Table_dim_price_recipe[Retail Price]&lt;&gt;0)*($C135=Table_dim_price_recipe[Subcategory]), 0))*$B135,"")</f>
        <v/>
      </c>
      <c r="J135" s="39" t="str" cm="1">
        <f t="array" ref="J135">IFERROR(INDEX(Table_dim_price_recipe[Retail Price], MATCH(1, ("Calculator"&lt;&gt;Table_dim_price_recipe[Type.display])*($L135=Table_dim_price_recipe[Category])*($D135=Table_dim_price_recipe[Item Description]) * (J$6=Table_dim_price_recipe[Type])*(Table_dim_price_recipe[Retail Price]&lt;&gt;0)*($C135=Table_dim_price_recipe[Subcategory]), 0))*$B135,"")</f>
        <v/>
      </c>
      <c r="K135" s="39" t="str" cm="1">
        <f t="array" ref="K135">IFERROR(INDEX(Table_dim_price_recipe[Retail Price], MATCH(1, ("Calculator"&lt;&gt;Table_dim_price_recipe[Type.display])*($L135=Table_dim_price_recipe[Category])*($D135=Table_dim_price_recipe[Item Description]) * (K$6=Table_dim_price_recipe[Type])*(Table_dim_price_recipe[Retail Price]&lt;&gt;0)*($C135=Table_dim_price_recipe[Subcategory]), 0))*$B135,"")</f>
        <v/>
      </c>
      <c r="L135" s="39" t="str" cm="1">
        <f t="array" ref="L135">IF($A135&lt;&gt;"", $A135, LOOKUP(2, 1/((A$7:INDEX(A:A, ROW()))&lt;&gt;""), A$7:INDEX(A:A, ROW())))</f>
        <v>MAIN BEAMS</v>
      </c>
      <c r="M135" s="14"/>
    </row>
    <row r="136" spans="1:13">
      <c r="A136" s="263"/>
      <c r="B136" s="263"/>
      <c r="C136" s="263" t="s">
        <v>930</v>
      </c>
      <c r="D136" s="263" t="s">
        <v>930</v>
      </c>
      <c r="E136" s="263"/>
      <c r="F136" s="263"/>
      <c r="G136" s="39" t="str" cm="1">
        <f t="array" ref="G136">IFERROR(INDEX(Table_dim_price_recipe[Retail Price], MATCH(1, ("Calculator"&lt;&gt;Table_dim_price_recipe[Type.display])*($L136=Table_dim_price_recipe[Category])*($D136=Table_dim_price_recipe[Item Description]) * (G$6=Table_dim_price_recipe[Type])*(Table_dim_price_recipe[Retail Price]&lt;&gt;0)*($C136=Table_dim_price_recipe[Subcategory]), 0))*$B136,"")</f>
        <v/>
      </c>
      <c r="H136" s="39" cm="1">
        <f t="array" ref="H136">IFERROR(INDEX(Table_dim_price_recipe[Retail Price], MATCH(1, ("Calculator"&lt;&gt;Table_dim_price_recipe[Type.display])*($L136=Table_dim_price_recipe[Category])*($D136=Table_dim_price_recipe[Item Description]) * (H$6=Table_dim_price_recipe[Type])*(Table_dim_price_recipe[Retail Price]&lt;&gt;0)*($C136=Table_dim_price_recipe[Subcategory]), 0))*$B136,"")</f>
        <v>0</v>
      </c>
      <c r="I136" s="39" t="str" cm="1">
        <f t="array" ref="I136">IFERROR(INDEX(Table_dim_price_recipe[Retail Price], MATCH(1, ("Calculator"&lt;&gt;Table_dim_price_recipe[Type.display])*($L136=Table_dim_price_recipe[Category])*($D136=Table_dim_price_recipe[Item Description]) * (I$6=Table_dim_price_recipe[Type])*(Table_dim_price_recipe[Retail Price]&lt;&gt;0)*($C136=Table_dim_price_recipe[Subcategory]), 0))*$B136,"")</f>
        <v/>
      </c>
      <c r="J136" s="39" t="str" cm="1">
        <f t="array" ref="J136">IFERROR(INDEX(Table_dim_price_recipe[Retail Price], MATCH(1, ("Calculator"&lt;&gt;Table_dim_price_recipe[Type.display])*($L136=Table_dim_price_recipe[Category])*($D136=Table_dim_price_recipe[Item Description]) * (J$6=Table_dim_price_recipe[Type])*(Table_dim_price_recipe[Retail Price]&lt;&gt;0)*($C136=Table_dim_price_recipe[Subcategory]), 0))*$B136,"")</f>
        <v/>
      </c>
      <c r="K136" s="39" t="str" cm="1">
        <f t="array" ref="K136">IFERROR(INDEX(Table_dim_price_recipe[Retail Price], MATCH(1, ("Calculator"&lt;&gt;Table_dim_price_recipe[Type.display])*($L136=Table_dim_price_recipe[Category])*($D136=Table_dim_price_recipe[Item Description]) * (K$6=Table_dim_price_recipe[Type])*(Table_dim_price_recipe[Retail Price]&lt;&gt;0)*($C136=Table_dim_price_recipe[Subcategory]), 0))*$B136,"")</f>
        <v/>
      </c>
      <c r="L136" s="39" t="str" cm="1">
        <f t="array" ref="L136">IF($A136&lt;&gt;"", $A136, LOOKUP(2, 1/((A$7:INDEX(A:A, ROW()))&lt;&gt;""), A$7:INDEX(A:A, ROW())))</f>
        <v>MAIN BEAMS</v>
      </c>
      <c r="M136" s="14"/>
    </row>
    <row r="137" spans="1:13">
      <c r="A137" s="263"/>
      <c r="B137" s="263"/>
      <c r="C137" s="263" t="s">
        <v>930</v>
      </c>
      <c r="D137" s="263"/>
      <c r="E137" s="263"/>
      <c r="F137" s="263"/>
      <c r="G137" s="39" t="str" cm="1">
        <f t="array" ref="G137">IFERROR(INDEX(Table_dim_price_recipe[Retail Price], MATCH(1, ("Calculator"&lt;&gt;Table_dim_price_recipe[Type.display])*($L137=Table_dim_price_recipe[Category])*($D137=Table_dim_price_recipe[Item Description]) * (G$6=Table_dim_price_recipe[Type])*(Table_dim_price_recipe[Retail Price]&lt;&gt;0)*($C137=Table_dim_price_recipe[Subcategory]), 0))*$B137,"")</f>
        <v/>
      </c>
      <c r="H137" s="39" t="str" cm="1">
        <f t="array" ref="H137">IFERROR(INDEX(Table_dim_price_recipe[Retail Price], MATCH(1, ("Calculator"&lt;&gt;Table_dim_price_recipe[Type.display])*($L137=Table_dim_price_recipe[Category])*($D137=Table_dim_price_recipe[Item Description]) * (H$6=Table_dim_price_recipe[Type])*(Table_dim_price_recipe[Retail Price]&lt;&gt;0)*($C137=Table_dim_price_recipe[Subcategory]), 0))*$B137,"")</f>
        <v/>
      </c>
      <c r="I137" s="39" t="str" cm="1">
        <f t="array" ref="I137">IFERROR(INDEX(Table_dim_price_recipe[Retail Price], MATCH(1, ("Calculator"&lt;&gt;Table_dim_price_recipe[Type.display])*($L137=Table_dim_price_recipe[Category])*($D137=Table_dim_price_recipe[Item Description]) * (I$6=Table_dim_price_recipe[Type])*(Table_dim_price_recipe[Retail Price]&lt;&gt;0)*($C137=Table_dim_price_recipe[Subcategory]), 0))*$B137,"")</f>
        <v/>
      </c>
      <c r="J137" s="39" t="str" cm="1">
        <f t="array" ref="J137">IFERROR(INDEX(Table_dim_price_recipe[Retail Price], MATCH(1, ("Calculator"&lt;&gt;Table_dim_price_recipe[Type.display])*($L137=Table_dim_price_recipe[Category])*($D137=Table_dim_price_recipe[Item Description]) * (J$6=Table_dim_price_recipe[Type])*(Table_dim_price_recipe[Retail Price]&lt;&gt;0)*($C137=Table_dim_price_recipe[Subcategory]), 0))*$B137,"")</f>
        <v/>
      </c>
      <c r="K137" s="39" t="str" cm="1">
        <f t="array" ref="K137">IFERROR(INDEX(Table_dim_price_recipe[Retail Price], MATCH(1, ("Calculator"&lt;&gt;Table_dim_price_recipe[Type.display])*($L137=Table_dim_price_recipe[Category])*($D137=Table_dim_price_recipe[Item Description]) * (K$6=Table_dim_price_recipe[Type])*(Table_dim_price_recipe[Retail Price]&lt;&gt;0)*($C137=Table_dim_price_recipe[Subcategory]), 0))*$B137,"")</f>
        <v/>
      </c>
      <c r="L137" s="39" t="str" cm="1">
        <f t="array" ref="L137">IF($A137&lt;&gt;"", $A137, LOOKUP(2, 1/((A$7:INDEX(A:A, ROW()))&lt;&gt;""), A$7:INDEX(A:A, ROW())))</f>
        <v>MAIN BEAMS</v>
      </c>
      <c r="M137" s="14"/>
    </row>
    <row r="138" spans="1:13">
      <c r="A138" s="263"/>
      <c r="B138" s="263"/>
      <c r="C138" s="263" t="s">
        <v>930</v>
      </c>
      <c r="D138" s="263"/>
      <c r="E138" s="263"/>
      <c r="F138" s="263"/>
      <c r="G138" s="39" t="str" cm="1">
        <f t="array" ref="G138">IFERROR(INDEX(Table_dim_price_recipe[Retail Price], MATCH(1, ("Calculator"&lt;&gt;Table_dim_price_recipe[Type.display])*($L138=Table_dim_price_recipe[Category])*($D138=Table_dim_price_recipe[Item Description]) * (G$6=Table_dim_price_recipe[Type])*(Table_dim_price_recipe[Retail Price]&lt;&gt;0)*($C138=Table_dim_price_recipe[Subcategory]), 0))*$B138,"")</f>
        <v/>
      </c>
      <c r="H138" s="39" t="str" cm="1">
        <f t="array" ref="H138">IFERROR(INDEX(Table_dim_price_recipe[Retail Price], MATCH(1, ("Calculator"&lt;&gt;Table_dim_price_recipe[Type.display])*($L138=Table_dim_price_recipe[Category])*($D138=Table_dim_price_recipe[Item Description]) * (H$6=Table_dim_price_recipe[Type])*(Table_dim_price_recipe[Retail Price]&lt;&gt;0)*($C138=Table_dim_price_recipe[Subcategory]), 0))*$B138,"")</f>
        <v/>
      </c>
      <c r="I138" s="39" t="str" cm="1">
        <f t="array" ref="I138">IFERROR(INDEX(Table_dim_price_recipe[Retail Price], MATCH(1, ("Calculator"&lt;&gt;Table_dim_price_recipe[Type.display])*($L138=Table_dim_price_recipe[Category])*($D138=Table_dim_price_recipe[Item Description]) * (I$6=Table_dim_price_recipe[Type])*(Table_dim_price_recipe[Retail Price]&lt;&gt;0)*($C138=Table_dim_price_recipe[Subcategory]), 0))*$B138,"")</f>
        <v/>
      </c>
      <c r="J138" s="39" t="str" cm="1">
        <f t="array" ref="J138">IFERROR(INDEX(Table_dim_price_recipe[Retail Price], MATCH(1, ("Calculator"&lt;&gt;Table_dim_price_recipe[Type.display])*($L138=Table_dim_price_recipe[Category])*($D138=Table_dim_price_recipe[Item Description]) * (J$6=Table_dim_price_recipe[Type])*(Table_dim_price_recipe[Retail Price]&lt;&gt;0)*($C138=Table_dim_price_recipe[Subcategory]), 0))*$B138,"")</f>
        <v/>
      </c>
      <c r="K138" s="39" t="str" cm="1">
        <f t="array" ref="K138">IFERROR(INDEX(Table_dim_price_recipe[Retail Price], MATCH(1, ("Calculator"&lt;&gt;Table_dim_price_recipe[Type.display])*($L138=Table_dim_price_recipe[Category])*($D138=Table_dim_price_recipe[Item Description]) * (K$6=Table_dim_price_recipe[Type])*(Table_dim_price_recipe[Retail Price]&lt;&gt;0)*($C138=Table_dim_price_recipe[Subcategory]), 0))*$B138,"")</f>
        <v/>
      </c>
      <c r="L138" s="39" t="str" cm="1">
        <f t="array" ref="L138">IF($A138&lt;&gt;"", $A138, LOOKUP(2, 1/((A$7:INDEX(A:A, ROW()))&lt;&gt;""), A$7:INDEX(A:A, ROW())))</f>
        <v>MAIN BEAMS</v>
      </c>
      <c r="M138" s="14"/>
    </row>
    <row r="139" spans="1:13">
      <c r="A139" s="263"/>
      <c r="B139" s="263"/>
      <c r="C139" s="263" t="s">
        <v>294</v>
      </c>
      <c r="D139" s="263" t="s">
        <v>27</v>
      </c>
      <c r="E139" s="263" t="s">
        <v>295</v>
      </c>
      <c r="F139" s="263"/>
      <c r="G139" s="39" cm="1">
        <f t="array" ref="G139">IFERROR(INDEX(Table_dim_price_recipe[Retail Price], MATCH(1, ("Calculator"&lt;&gt;Table_dim_price_recipe[Type.display])*($L139=Table_dim_price_recipe[Category])*($D139=Table_dim_price_recipe[Item Description]) * (G$6=Table_dim_price_recipe[Type])*(Table_dim_price_recipe[Retail Price]&lt;&gt;0)*($C139=Table_dim_price_recipe[Subcategory]), 0))*$B139,"")</f>
        <v>0</v>
      </c>
      <c r="H139" s="39" t="str" cm="1">
        <f t="array" ref="H139">IFERROR(INDEX(Table_dim_price_recipe[Retail Price], MATCH(1, ("Calculator"&lt;&gt;Table_dim_price_recipe[Type.display])*($L139=Table_dim_price_recipe[Category])*($D139=Table_dim_price_recipe[Item Description]) * (H$6=Table_dim_price_recipe[Type])*(Table_dim_price_recipe[Retail Price]&lt;&gt;0)*($C139=Table_dim_price_recipe[Subcategory]), 0))*$B139,"")</f>
        <v/>
      </c>
      <c r="I139" s="39" t="str" cm="1">
        <f t="array" ref="I139">IFERROR(INDEX(Table_dim_price_recipe[Retail Price], MATCH(1, ("Calculator"&lt;&gt;Table_dim_price_recipe[Type.display])*($L139=Table_dim_price_recipe[Category])*($D139=Table_dim_price_recipe[Item Description]) * (I$6=Table_dim_price_recipe[Type])*(Table_dim_price_recipe[Retail Price]&lt;&gt;0)*($C139=Table_dim_price_recipe[Subcategory]), 0))*$B139,"")</f>
        <v/>
      </c>
      <c r="J139" s="39" t="str" cm="1">
        <f t="array" ref="J139">IFERROR(INDEX(Table_dim_price_recipe[Retail Price], MATCH(1, ("Calculator"&lt;&gt;Table_dim_price_recipe[Type.display])*($L139=Table_dim_price_recipe[Category])*($D139=Table_dim_price_recipe[Item Description]) * (J$6=Table_dim_price_recipe[Type])*(Table_dim_price_recipe[Retail Price]&lt;&gt;0)*($C139=Table_dim_price_recipe[Subcategory]), 0))*$B139,"")</f>
        <v/>
      </c>
      <c r="K139" s="39" t="str" cm="1">
        <f t="array" ref="K139">IFERROR(INDEX(Table_dim_price_recipe[Retail Price], MATCH(1, ("Calculator"&lt;&gt;Table_dim_price_recipe[Type.display])*($L139=Table_dim_price_recipe[Category])*($D139=Table_dim_price_recipe[Item Description]) * (K$6=Table_dim_price_recipe[Type])*(Table_dim_price_recipe[Retail Price]&lt;&gt;0)*($C139=Table_dim_price_recipe[Subcategory]), 0))*$B139,"")</f>
        <v/>
      </c>
      <c r="L139" s="39" t="str" cm="1">
        <f t="array" ref="L139">IF($A139&lt;&gt;"", $A139, LOOKUP(2, 1/((A$7:INDEX(A:A, ROW()))&lt;&gt;""), A$7:INDEX(A:A, ROW())))</f>
        <v>MAIN BEAMS</v>
      </c>
    </row>
    <row r="140" spans="1:13">
      <c r="A140" s="263"/>
      <c r="B140" s="263"/>
      <c r="C140" s="263" t="s">
        <v>294</v>
      </c>
      <c r="D140" s="263" t="s">
        <v>307</v>
      </c>
      <c r="E140" s="263" t="s">
        <v>295</v>
      </c>
      <c r="F140" s="263"/>
      <c r="G140" s="39" cm="1">
        <f t="array" ref="G140">IFERROR(INDEX(Table_dim_price_recipe[Retail Price], MATCH(1, ("Calculator"&lt;&gt;Table_dim_price_recipe[Type.display])*($L140=Table_dim_price_recipe[Category])*($D140=Table_dim_price_recipe[Item Description]) * (G$6=Table_dim_price_recipe[Type])*(Table_dim_price_recipe[Retail Price]&lt;&gt;0)*($C140=Table_dim_price_recipe[Subcategory]), 0))*$B140,"")</f>
        <v>0</v>
      </c>
      <c r="H140" s="39" t="str" cm="1">
        <f t="array" ref="H140">IFERROR(INDEX(Table_dim_price_recipe[Retail Price], MATCH(1, ("Calculator"&lt;&gt;Table_dim_price_recipe[Type.display])*($L140=Table_dim_price_recipe[Category])*($D140=Table_dim_price_recipe[Item Description]) * (H$6=Table_dim_price_recipe[Type])*(Table_dim_price_recipe[Retail Price]&lt;&gt;0)*($C140=Table_dim_price_recipe[Subcategory]), 0))*$B140,"")</f>
        <v/>
      </c>
      <c r="I140" s="39" t="str" cm="1">
        <f t="array" ref="I140">IFERROR(INDEX(Table_dim_price_recipe[Retail Price], MATCH(1, ("Calculator"&lt;&gt;Table_dim_price_recipe[Type.display])*($L140=Table_dim_price_recipe[Category])*($D140=Table_dim_price_recipe[Item Description]) * (I$6=Table_dim_price_recipe[Type])*(Table_dim_price_recipe[Retail Price]&lt;&gt;0)*($C140=Table_dim_price_recipe[Subcategory]), 0))*$B140,"")</f>
        <v/>
      </c>
      <c r="J140" s="39" t="str" cm="1">
        <f t="array" ref="J140">IFERROR(INDEX(Table_dim_price_recipe[Retail Price], MATCH(1, ("Calculator"&lt;&gt;Table_dim_price_recipe[Type.display])*($L140=Table_dim_price_recipe[Category])*($D140=Table_dim_price_recipe[Item Description]) * (J$6=Table_dim_price_recipe[Type])*(Table_dim_price_recipe[Retail Price]&lt;&gt;0)*($C140=Table_dim_price_recipe[Subcategory]), 0))*$B140,"")</f>
        <v/>
      </c>
      <c r="K140" s="39" t="str" cm="1">
        <f t="array" ref="K140">IFERROR(INDEX(Table_dim_price_recipe[Retail Price], MATCH(1, ("Calculator"&lt;&gt;Table_dim_price_recipe[Type.display])*($L140=Table_dim_price_recipe[Category])*($D140=Table_dim_price_recipe[Item Description]) * (K$6=Table_dim_price_recipe[Type])*(Table_dim_price_recipe[Retail Price]&lt;&gt;0)*($C140=Table_dim_price_recipe[Subcategory]), 0))*$B140,"")</f>
        <v/>
      </c>
      <c r="L140" s="39" t="str" cm="1">
        <f t="array" ref="L140">IF($A140&lt;&gt;"", $A140, LOOKUP(2, 1/((A$7:INDEX(A:A, ROW()))&lt;&gt;""), A$7:INDEX(A:A, ROW())))</f>
        <v>MAIN BEAMS</v>
      </c>
    </row>
    <row r="141" spans="1:13">
      <c r="A141" s="263"/>
      <c r="B141" s="263"/>
      <c r="C141" s="263" t="s">
        <v>294</v>
      </c>
      <c r="D141" s="263" t="s">
        <v>296</v>
      </c>
      <c r="E141" s="263" t="s">
        <v>295</v>
      </c>
      <c r="F141" s="263"/>
      <c r="G141" s="39" cm="1">
        <f t="array" ref="G141">IFERROR(INDEX(Table_dim_price_recipe[Retail Price], MATCH(1, ("Calculator"&lt;&gt;Table_dim_price_recipe[Type.display])*($L141=Table_dim_price_recipe[Category])*($D141=Table_dim_price_recipe[Item Description]) * (G$6=Table_dim_price_recipe[Type])*(Table_dim_price_recipe[Retail Price]&lt;&gt;0)*($C141=Table_dim_price_recipe[Subcategory]), 0))*$B141,"")</f>
        <v>0</v>
      </c>
      <c r="H141" s="39" t="str" cm="1">
        <f t="array" ref="H141">IFERROR(INDEX(Table_dim_price_recipe[Retail Price], MATCH(1, ("Calculator"&lt;&gt;Table_dim_price_recipe[Type.display])*($L141=Table_dim_price_recipe[Category])*($D141=Table_dim_price_recipe[Item Description]) * (H$6=Table_dim_price_recipe[Type])*(Table_dim_price_recipe[Retail Price]&lt;&gt;0)*($C141=Table_dim_price_recipe[Subcategory]), 0))*$B141,"")</f>
        <v/>
      </c>
      <c r="I141" s="39" t="str" cm="1">
        <f t="array" ref="I141">IFERROR(INDEX(Table_dim_price_recipe[Retail Price], MATCH(1, ("Calculator"&lt;&gt;Table_dim_price_recipe[Type.display])*($L141=Table_dim_price_recipe[Category])*($D141=Table_dim_price_recipe[Item Description]) * (I$6=Table_dim_price_recipe[Type])*(Table_dim_price_recipe[Retail Price]&lt;&gt;0)*($C141=Table_dim_price_recipe[Subcategory]), 0))*$B141,"")</f>
        <v/>
      </c>
      <c r="J141" s="39" t="str" cm="1">
        <f t="array" ref="J141">IFERROR(INDEX(Table_dim_price_recipe[Retail Price], MATCH(1, ("Calculator"&lt;&gt;Table_dim_price_recipe[Type.display])*($L141=Table_dim_price_recipe[Category])*($D141=Table_dim_price_recipe[Item Description]) * (J$6=Table_dim_price_recipe[Type])*(Table_dim_price_recipe[Retail Price]&lt;&gt;0)*($C141=Table_dim_price_recipe[Subcategory]), 0))*$B141,"")</f>
        <v/>
      </c>
      <c r="K141" s="39" t="str" cm="1">
        <f t="array" ref="K141">IFERROR(INDEX(Table_dim_price_recipe[Retail Price], MATCH(1, ("Calculator"&lt;&gt;Table_dim_price_recipe[Type.display])*($L141=Table_dim_price_recipe[Category])*($D141=Table_dim_price_recipe[Item Description]) * (K$6=Table_dim_price_recipe[Type])*(Table_dim_price_recipe[Retail Price]&lt;&gt;0)*($C141=Table_dim_price_recipe[Subcategory]), 0))*$B141,"")</f>
        <v/>
      </c>
      <c r="L141" s="39" t="str" cm="1">
        <f t="array" ref="L141">IF($A141&lt;&gt;"", $A141, LOOKUP(2, 1/((A$7:INDEX(A:A, ROW()))&lt;&gt;""), A$7:INDEX(A:A, ROW())))</f>
        <v>MAIN BEAMS</v>
      </c>
    </row>
    <row r="142" spans="1:13">
      <c r="A142" s="263"/>
      <c r="B142" s="263"/>
      <c r="C142" s="263" t="s">
        <v>294</v>
      </c>
      <c r="D142" s="263" t="s">
        <v>308</v>
      </c>
      <c r="E142" s="263" t="s">
        <v>295</v>
      </c>
      <c r="F142" s="263"/>
      <c r="G142" s="39" cm="1">
        <f t="array" ref="G142">IFERROR(INDEX(Table_dim_price_recipe[Retail Price], MATCH(1, ("Calculator"&lt;&gt;Table_dim_price_recipe[Type.display])*($L142=Table_dim_price_recipe[Category])*($D142=Table_dim_price_recipe[Item Description]) * (G$6=Table_dim_price_recipe[Type])*(Table_dim_price_recipe[Retail Price]&lt;&gt;0)*($C142=Table_dim_price_recipe[Subcategory]), 0))*$B142,"")</f>
        <v>0</v>
      </c>
      <c r="H142" s="39" t="str" cm="1">
        <f t="array" ref="H142">IFERROR(INDEX(Table_dim_price_recipe[Retail Price], MATCH(1, ("Calculator"&lt;&gt;Table_dim_price_recipe[Type.display])*($L142=Table_dim_price_recipe[Category])*($D142=Table_dim_price_recipe[Item Description]) * (H$6=Table_dim_price_recipe[Type])*(Table_dim_price_recipe[Retail Price]&lt;&gt;0)*($C142=Table_dim_price_recipe[Subcategory]), 0))*$B142,"")</f>
        <v/>
      </c>
      <c r="I142" s="39" t="str" cm="1">
        <f t="array" ref="I142">IFERROR(INDEX(Table_dim_price_recipe[Retail Price], MATCH(1, ("Calculator"&lt;&gt;Table_dim_price_recipe[Type.display])*($L142=Table_dim_price_recipe[Category])*($D142=Table_dim_price_recipe[Item Description]) * (I$6=Table_dim_price_recipe[Type])*(Table_dim_price_recipe[Retail Price]&lt;&gt;0)*($C142=Table_dim_price_recipe[Subcategory]), 0))*$B142,"")</f>
        <v/>
      </c>
      <c r="J142" s="39" t="str" cm="1">
        <f t="array" ref="J142">IFERROR(INDEX(Table_dim_price_recipe[Retail Price], MATCH(1, ("Calculator"&lt;&gt;Table_dim_price_recipe[Type.display])*($L142=Table_dim_price_recipe[Category])*($D142=Table_dim_price_recipe[Item Description]) * (J$6=Table_dim_price_recipe[Type])*(Table_dim_price_recipe[Retail Price]&lt;&gt;0)*($C142=Table_dim_price_recipe[Subcategory]), 0))*$B142,"")</f>
        <v/>
      </c>
      <c r="K142" s="39" t="str" cm="1">
        <f t="array" ref="K142">IFERROR(INDEX(Table_dim_price_recipe[Retail Price], MATCH(1, ("Calculator"&lt;&gt;Table_dim_price_recipe[Type.display])*($L142=Table_dim_price_recipe[Category])*($D142=Table_dim_price_recipe[Item Description]) * (K$6=Table_dim_price_recipe[Type])*(Table_dim_price_recipe[Retail Price]&lt;&gt;0)*($C142=Table_dim_price_recipe[Subcategory]), 0))*$B142,"")</f>
        <v/>
      </c>
      <c r="L142" s="39" t="str" cm="1">
        <f t="array" ref="L142">IF($A142&lt;&gt;"", $A142, LOOKUP(2, 1/((A$7:INDEX(A:A, ROW()))&lt;&gt;""), A$7:INDEX(A:A, ROW())))</f>
        <v>MAIN BEAMS</v>
      </c>
    </row>
    <row r="143" spans="1:13">
      <c r="A143" s="263"/>
      <c r="B143" s="263"/>
      <c r="C143" s="263" t="s">
        <v>294</v>
      </c>
      <c r="D143" s="263" t="s">
        <v>297</v>
      </c>
      <c r="E143" s="263" t="s">
        <v>295</v>
      </c>
      <c r="F143" s="263"/>
      <c r="G143" s="39" cm="1">
        <f t="array" ref="G143">IFERROR(INDEX(Table_dim_price_recipe[Retail Price], MATCH(1, ("Calculator"&lt;&gt;Table_dim_price_recipe[Type.display])*($L143=Table_dim_price_recipe[Category])*($D143=Table_dim_price_recipe[Item Description]) * (G$6=Table_dim_price_recipe[Type])*(Table_dim_price_recipe[Retail Price]&lt;&gt;0)*($C143=Table_dim_price_recipe[Subcategory]), 0))*$B143,"")</f>
        <v>0</v>
      </c>
      <c r="H143" s="39" t="str" cm="1">
        <f t="array" ref="H143">IFERROR(INDEX(Table_dim_price_recipe[Retail Price], MATCH(1, ("Calculator"&lt;&gt;Table_dim_price_recipe[Type.display])*($L143=Table_dim_price_recipe[Category])*($D143=Table_dim_price_recipe[Item Description]) * (H$6=Table_dim_price_recipe[Type])*(Table_dim_price_recipe[Retail Price]&lt;&gt;0)*($C143=Table_dim_price_recipe[Subcategory]), 0))*$B143,"")</f>
        <v/>
      </c>
      <c r="I143" s="39" t="str" cm="1">
        <f t="array" ref="I143">IFERROR(INDEX(Table_dim_price_recipe[Retail Price], MATCH(1, ("Calculator"&lt;&gt;Table_dim_price_recipe[Type.display])*($L143=Table_dim_price_recipe[Category])*($D143=Table_dim_price_recipe[Item Description]) * (I$6=Table_dim_price_recipe[Type])*(Table_dim_price_recipe[Retail Price]&lt;&gt;0)*($C143=Table_dim_price_recipe[Subcategory]), 0))*$B143,"")</f>
        <v/>
      </c>
      <c r="J143" s="39" t="str" cm="1">
        <f t="array" ref="J143">IFERROR(INDEX(Table_dim_price_recipe[Retail Price], MATCH(1, ("Calculator"&lt;&gt;Table_dim_price_recipe[Type.display])*($L143=Table_dim_price_recipe[Category])*($D143=Table_dim_price_recipe[Item Description]) * (J$6=Table_dim_price_recipe[Type])*(Table_dim_price_recipe[Retail Price]&lt;&gt;0)*($C143=Table_dim_price_recipe[Subcategory]), 0))*$B143,"")</f>
        <v/>
      </c>
      <c r="K143" s="39" t="str" cm="1">
        <f t="array" ref="K143">IFERROR(INDEX(Table_dim_price_recipe[Retail Price], MATCH(1, ("Calculator"&lt;&gt;Table_dim_price_recipe[Type.display])*($L143=Table_dim_price_recipe[Category])*($D143=Table_dim_price_recipe[Item Description]) * (K$6=Table_dim_price_recipe[Type])*(Table_dim_price_recipe[Retail Price]&lt;&gt;0)*($C143=Table_dim_price_recipe[Subcategory]), 0))*$B143,"")</f>
        <v/>
      </c>
      <c r="L143" s="39" t="str" cm="1">
        <f t="array" ref="L143">IF($A143&lt;&gt;"", $A143, LOOKUP(2, 1/((A$7:INDEX(A:A, ROW()))&lt;&gt;""), A$7:INDEX(A:A, ROW())))</f>
        <v>MAIN BEAMS</v>
      </c>
    </row>
    <row r="144" spans="1:13">
      <c r="A144" s="263"/>
      <c r="B144" s="263"/>
      <c r="C144" s="263" t="s">
        <v>294</v>
      </c>
      <c r="D144" s="263" t="s">
        <v>309</v>
      </c>
      <c r="E144" s="263" t="s">
        <v>295</v>
      </c>
      <c r="F144" s="263"/>
      <c r="G144" s="39" cm="1">
        <f t="array" ref="G144">IFERROR(INDEX(Table_dim_price_recipe[Retail Price], MATCH(1, ("Calculator"&lt;&gt;Table_dim_price_recipe[Type.display])*($L144=Table_dim_price_recipe[Category])*($D144=Table_dim_price_recipe[Item Description]) * (G$6=Table_dim_price_recipe[Type])*(Table_dim_price_recipe[Retail Price]&lt;&gt;0)*($C144=Table_dim_price_recipe[Subcategory]), 0))*$B144,"")</f>
        <v>0</v>
      </c>
      <c r="H144" s="39" t="str" cm="1">
        <f t="array" ref="H144">IFERROR(INDEX(Table_dim_price_recipe[Retail Price], MATCH(1, ("Calculator"&lt;&gt;Table_dim_price_recipe[Type.display])*($L144=Table_dim_price_recipe[Category])*($D144=Table_dim_price_recipe[Item Description]) * (H$6=Table_dim_price_recipe[Type])*(Table_dim_price_recipe[Retail Price]&lt;&gt;0)*($C144=Table_dim_price_recipe[Subcategory]), 0))*$B144,"")</f>
        <v/>
      </c>
      <c r="I144" s="39" t="str" cm="1">
        <f t="array" ref="I144">IFERROR(INDEX(Table_dim_price_recipe[Retail Price], MATCH(1, ("Calculator"&lt;&gt;Table_dim_price_recipe[Type.display])*($L144=Table_dim_price_recipe[Category])*($D144=Table_dim_price_recipe[Item Description]) * (I$6=Table_dim_price_recipe[Type])*(Table_dim_price_recipe[Retail Price]&lt;&gt;0)*($C144=Table_dim_price_recipe[Subcategory]), 0))*$B144,"")</f>
        <v/>
      </c>
      <c r="J144" s="39" t="str" cm="1">
        <f t="array" ref="J144">IFERROR(INDEX(Table_dim_price_recipe[Retail Price], MATCH(1, ("Calculator"&lt;&gt;Table_dim_price_recipe[Type.display])*($L144=Table_dim_price_recipe[Category])*($D144=Table_dim_price_recipe[Item Description]) * (J$6=Table_dim_price_recipe[Type])*(Table_dim_price_recipe[Retail Price]&lt;&gt;0)*($C144=Table_dim_price_recipe[Subcategory]), 0))*$B144,"")</f>
        <v/>
      </c>
      <c r="K144" s="39" t="str" cm="1">
        <f t="array" ref="K144">IFERROR(INDEX(Table_dim_price_recipe[Retail Price], MATCH(1, ("Calculator"&lt;&gt;Table_dim_price_recipe[Type.display])*($L144=Table_dim_price_recipe[Category])*($D144=Table_dim_price_recipe[Item Description]) * (K$6=Table_dim_price_recipe[Type])*(Table_dim_price_recipe[Retail Price]&lt;&gt;0)*($C144=Table_dim_price_recipe[Subcategory]), 0))*$B144,"")</f>
        <v/>
      </c>
      <c r="L144" s="39" t="str" cm="1">
        <f t="array" ref="L144">IF($A144&lt;&gt;"", $A144, LOOKUP(2, 1/((A$7:INDEX(A:A, ROW()))&lt;&gt;""), A$7:INDEX(A:A, ROW())))</f>
        <v>MAIN BEAMS</v>
      </c>
    </row>
    <row r="145" spans="1:13">
      <c r="A145" s="263"/>
      <c r="B145" s="263"/>
      <c r="C145" s="263" t="s">
        <v>294</v>
      </c>
      <c r="D145" s="263" t="s">
        <v>298</v>
      </c>
      <c r="E145" s="263" t="s">
        <v>295</v>
      </c>
      <c r="F145" s="263"/>
      <c r="G145" s="39" cm="1">
        <f t="array" ref="G145">IFERROR(INDEX(Table_dim_price_recipe[Retail Price], MATCH(1, ("Calculator"&lt;&gt;Table_dim_price_recipe[Type.display])*($L145=Table_dim_price_recipe[Category])*($D145=Table_dim_price_recipe[Item Description]) * (G$6=Table_dim_price_recipe[Type])*(Table_dim_price_recipe[Retail Price]&lt;&gt;0)*($C145=Table_dim_price_recipe[Subcategory]), 0))*$B145,"")</f>
        <v>0</v>
      </c>
      <c r="H145" s="39" t="str" cm="1">
        <f t="array" ref="H145">IFERROR(INDEX(Table_dim_price_recipe[Retail Price], MATCH(1, ("Calculator"&lt;&gt;Table_dim_price_recipe[Type.display])*($L145=Table_dim_price_recipe[Category])*($D145=Table_dim_price_recipe[Item Description]) * (H$6=Table_dim_price_recipe[Type])*(Table_dim_price_recipe[Retail Price]&lt;&gt;0)*($C145=Table_dim_price_recipe[Subcategory]), 0))*$B145,"")</f>
        <v/>
      </c>
      <c r="I145" s="39" t="str" cm="1">
        <f t="array" ref="I145">IFERROR(INDEX(Table_dim_price_recipe[Retail Price], MATCH(1, ("Calculator"&lt;&gt;Table_dim_price_recipe[Type.display])*($L145=Table_dim_price_recipe[Category])*($D145=Table_dim_price_recipe[Item Description]) * (I$6=Table_dim_price_recipe[Type])*(Table_dim_price_recipe[Retail Price]&lt;&gt;0)*($C145=Table_dim_price_recipe[Subcategory]), 0))*$B145,"")</f>
        <v/>
      </c>
      <c r="J145" s="39" t="str" cm="1">
        <f t="array" ref="J145">IFERROR(INDEX(Table_dim_price_recipe[Retail Price], MATCH(1, ("Calculator"&lt;&gt;Table_dim_price_recipe[Type.display])*($L145=Table_dim_price_recipe[Category])*($D145=Table_dim_price_recipe[Item Description]) * (J$6=Table_dim_price_recipe[Type])*(Table_dim_price_recipe[Retail Price]&lt;&gt;0)*($C145=Table_dim_price_recipe[Subcategory]), 0))*$B145,"")</f>
        <v/>
      </c>
      <c r="K145" s="39" t="str" cm="1">
        <f t="array" ref="K145">IFERROR(INDEX(Table_dim_price_recipe[Retail Price], MATCH(1, ("Calculator"&lt;&gt;Table_dim_price_recipe[Type.display])*($L145=Table_dim_price_recipe[Category])*($D145=Table_dim_price_recipe[Item Description]) * (K$6=Table_dim_price_recipe[Type])*(Table_dim_price_recipe[Retail Price]&lt;&gt;0)*($C145=Table_dim_price_recipe[Subcategory]), 0))*$B145,"")</f>
        <v/>
      </c>
      <c r="L145" s="39" t="str" cm="1">
        <f t="array" ref="L145">IF($A145&lt;&gt;"", $A145, LOOKUP(2, 1/((A$7:INDEX(A:A, ROW()))&lt;&gt;""), A$7:INDEX(A:A, ROW())))</f>
        <v>MAIN BEAMS</v>
      </c>
    </row>
    <row r="146" spans="1:13">
      <c r="A146" s="263"/>
      <c r="B146" s="263"/>
      <c r="C146" s="263" t="s">
        <v>294</v>
      </c>
      <c r="D146" s="263" t="s">
        <v>310</v>
      </c>
      <c r="E146" s="263" t="s">
        <v>295</v>
      </c>
      <c r="F146" s="263"/>
      <c r="G146" s="39" cm="1">
        <f t="array" ref="G146">IFERROR(INDEX(Table_dim_price_recipe[Retail Price], MATCH(1, ("Calculator"&lt;&gt;Table_dim_price_recipe[Type.display])*($L146=Table_dim_price_recipe[Category])*($D146=Table_dim_price_recipe[Item Description]) * (G$6=Table_dim_price_recipe[Type])*(Table_dim_price_recipe[Retail Price]&lt;&gt;0)*($C146=Table_dim_price_recipe[Subcategory]), 0))*$B146,"")</f>
        <v>0</v>
      </c>
      <c r="H146" s="39" t="str" cm="1">
        <f t="array" ref="H146">IFERROR(INDEX(Table_dim_price_recipe[Retail Price], MATCH(1, ("Calculator"&lt;&gt;Table_dim_price_recipe[Type.display])*($L146=Table_dim_price_recipe[Category])*($D146=Table_dim_price_recipe[Item Description]) * (H$6=Table_dim_price_recipe[Type])*(Table_dim_price_recipe[Retail Price]&lt;&gt;0)*($C146=Table_dim_price_recipe[Subcategory]), 0))*$B146,"")</f>
        <v/>
      </c>
      <c r="I146" s="39" t="str" cm="1">
        <f t="array" ref="I146">IFERROR(INDEX(Table_dim_price_recipe[Retail Price], MATCH(1, ("Calculator"&lt;&gt;Table_dim_price_recipe[Type.display])*($L146=Table_dim_price_recipe[Category])*($D146=Table_dim_price_recipe[Item Description]) * (I$6=Table_dim_price_recipe[Type])*(Table_dim_price_recipe[Retail Price]&lt;&gt;0)*($C146=Table_dim_price_recipe[Subcategory]), 0))*$B146,"")</f>
        <v/>
      </c>
      <c r="J146" s="39" t="str" cm="1">
        <f t="array" ref="J146">IFERROR(INDEX(Table_dim_price_recipe[Retail Price], MATCH(1, ("Calculator"&lt;&gt;Table_dim_price_recipe[Type.display])*($L146=Table_dim_price_recipe[Category])*($D146=Table_dim_price_recipe[Item Description]) * (J$6=Table_dim_price_recipe[Type])*(Table_dim_price_recipe[Retail Price]&lt;&gt;0)*($C146=Table_dim_price_recipe[Subcategory]), 0))*$B146,"")</f>
        <v/>
      </c>
      <c r="K146" s="39" t="str" cm="1">
        <f t="array" ref="K146">IFERROR(INDEX(Table_dim_price_recipe[Retail Price], MATCH(1, ("Calculator"&lt;&gt;Table_dim_price_recipe[Type.display])*($L146=Table_dim_price_recipe[Category])*($D146=Table_dim_price_recipe[Item Description]) * (K$6=Table_dim_price_recipe[Type])*(Table_dim_price_recipe[Retail Price]&lt;&gt;0)*($C146=Table_dim_price_recipe[Subcategory]), 0))*$B146,"")</f>
        <v/>
      </c>
      <c r="L146" s="39" t="str" cm="1">
        <f t="array" ref="L146">IF($A146&lt;&gt;"", $A146, LOOKUP(2, 1/((A$7:INDEX(A:A, ROW()))&lt;&gt;""), A$7:INDEX(A:A, ROW())))</f>
        <v>MAIN BEAMS</v>
      </c>
    </row>
    <row r="147" spans="1:13">
      <c r="A147" s="263"/>
      <c r="B147" s="263"/>
      <c r="C147" s="263" t="s">
        <v>294</v>
      </c>
      <c r="D147" s="263" t="s">
        <v>299</v>
      </c>
      <c r="E147" s="263" t="s">
        <v>295</v>
      </c>
      <c r="F147" s="263"/>
      <c r="G147" s="39" cm="1">
        <f t="array" ref="G147">IFERROR(INDEX(Table_dim_price_recipe[Retail Price], MATCH(1, ("Calculator"&lt;&gt;Table_dim_price_recipe[Type.display])*($L147=Table_dim_price_recipe[Category])*($D147=Table_dim_price_recipe[Item Description]) * (G$6=Table_dim_price_recipe[Type])*(Table_dim_price_recipe[Retail Price]&lt;&gt;0)*($C147=Table_dim_price_recipe[Subcategory]), 0))*$B147,"")</f>
        <v>0</v>
      </c>
      <c r="H147" s="39" t="str" cm="1">
        <f t="array" ref="H147">IFERROR(INDEX(Table_dim_price_recipe[Retail Price], MATCH(1, ("Calculator"&lt;&gt;Table_dim_price_recipe[Type.display])*($L147=Table_dim_price_recipe[Category])*($D147=Table_dim_price_recipe[Item Description]) * (H$6=Table_dim_price_recipe[Type])*(Table_dim_price_recipe[Retail Price]&lt;&gt;0)*($C147=Table_dim_price_recipe[Subcategory]), 0))*$B147,"")</f>
        <v/>
      </c>
      <c r="I147" s="39" t="str" cm="1">
        <f t="array" ref="I147">IFERROR(INDEX(Table_dim_price_recipe[Retail Price], MATCH(1, ("Calculator"&lt;&gt;Table_dim_price_recipe[Type.display])*($L147=Table_dim_price_recipe[Category])*($D147=Table_dim_price_recipe[Item Description]) * (I$6=Table_dim_price_recipe[Type])*(Table_dim_price_recipe[Retail Price]&lt;&gt;0)*($C147=Table_dim_price_recipe[Subcategory]), 0))*$B147,"")</f>
        <v/>
      </c>
      <c r="J147" s="39" t="str" cm="1">
        <f t="array" ref="J147">IFERROR(INDEX(Table_dim_price_recipe[Retail Price], MATCH(1, ("Calculator"&lt;&gt;Table_dim_price_recipe[Type.display])*($L147=Table_dim_price_recipe[Category])*($D147=Table_dim_price_recipe[Item Description]) * (J$6=Table_dim_price_recipe[Type])*(Table_dim_price_recipe[Retail Price]&lt;&gt;0)*($C147=Table_dim_price_recipe[Subcategory]), 0))*$B147,"")</f>
        <v/>
      </c>
      <c r="K147" s="39" t="str" cm="1">
        <f t="array" ref="K147">IFERROR(INDEX(Table_dim_price_recipe[Retail Price], MATCH(1, ("Calculator"&lt;&gt;Table_dim_price_recipe[Type.display])*($L147=Table_dim_price_recipe[Category])*($D147=Table_dim_price_recipe[Item Description]) * (K$6=Table_dim_price_recipe[Type])*(Table_dim_price_recipe[Retail Price]&lt;&gt;0)*($C147=Table_dim_price_recipe[Subcategory]), 0))*$B147,"")</f>
        <v/>
      </c>
      <c r="L147" s="39" t="str" cm="1">
        <f t="array" ref="L147">IF($A147&lt;&gt;"", $A147, LOOKUP(2, 1/((A$7:INDEX(A:A, ROW()))&lt;&gt;""), A$7:INDEX(A:A, ROW())))</f>
        <v>MAIN BEAMS</v>
      </c>
    </row>
    <row r="148" spans="1:13">
      <c r="A148" s="263"/>
      <c r="B148" s="263"/>
      <c r="C148" s="263" t="s">
        <v>294</v>
      </c>
      <c r="D148" s="263" t="s">
        <v>311</v>
      </c>
      <c r="E148" s="263" t="s">
        <v>295</v>
      </c>
      <c r="F148" s="263"/>
      <c r="G148" s="39" cm="1">
        <f t="array" ref="G148">IFERROR(INDEX(Table_dim_price_recipe[Retail Price], MATCH(1, ("Calculator"&lt;&gt;Table_dim_price_recipe[Type.display])*($L148=Table_dim_price_recipe[Category])*($D148=Table_dim_price_recipe[Item Description]) * (G$6=Table_dim_price_recipe[Type])*(Table_dim_price_recipe[Retail Price]&lt;&gt;0)*($C148=Table_dim_price_recipe[Subcategory]), 0))*$B148,"")</f>
        <v>0</v>
      </c>
      <c r="H148" s="39" t="str" cm="1">
        <f t="array" ref="H148">IFERROR(INDEX(Table_dim_price_recipe[Retail Price], MATCH(1, ("Calculator"&lt;&gt;Table_dim_price_recipe[Type.display])*($L148=Table_dim_price_recipe[Category])*($D148=Table_dim_price_recipe[Item Description]) * (H$6=Table_dim_price_recipe[Type])*(Table_dim_price_recipe[Retail Price]&lt;&gt;0)*($C148=Table_dim_price_recipe[Subcategory]), 0))*$B148,"")</f>
        <v/>
      </c>
      <c r="I148" s="39" t="str" cm="1">
        <f t="array" ref="I148">IFERROR(INDEX(Table_dim_price_recipe[Retail Price], MATCH(1, ("Calculator"&lt;&gt;Table_dim_price_recipe[Type.display])*($L148=Table_dim_price_recipe[Category])*($D148=Table_dim_price_recipe[Item Description]) * (I$6=Table_dim_price_recipe[Type])*(Table_dim_price_recipe[Retail Price]&lt;&gt;0)*($C148=Table_dim_price_recipe[Subcategory]), 0))*$B148,"")</f>
        <v/>
      </c>
      <c r="J148" s="39" t="str" cm="1">
        <f t="array" ref="J148">IFERROR(INDEX(Table_dim_price_recipe[Retail Price], MATCH(1, ("Calculator"&lt;&gt;Table_dim_price_recipe[Type.display])*($L148=Table_dim_price_recipe[Category])*($D148=Table_dim_price_recipe[Item Description]) * (J$6=Table_dim_price_recipe[Type])*(Table_dim_price_recipe[Retail Price]&lt;&gt;0)*($C148=Table_dim_price_recipe[Subcategory]), 0))*$B148,"")</f>
        <v/>
      </c>
      <c r="K148" s="39" t="str" cm="1">
        <f t="array" ref="K148">IFERROR(INDEX(Table_dim_price_recipe[Retail Price], MATCH(1, ("Calculator"&lt;&gt;Table_dim_price_recipe[Type.display])*($L148=Table_dim_price_recipe[Category])*($D148=Table_dim_price_recipe[Item Description]) * (K$6=Table_dim_price_recipe[Type])*(Table_dim_price_recipe[Retail Price]&lt;&gt;0)*($C148=Table_dim_price_recipe[Subcategory]), 0))*$B148,"")</f>
        <v/>
      </c>
      <c r="L148" s="39" t="str" cm="1">
        <f t="array" ref="L148">IF($A148&lt;&gt;"", $A148, LOOKUP(2, 1/((A$7:INDEX(A:A, ROW()))&lt;&gt;""), A$7:INDEX(A:A, ROW())))</f>
        <v>MAIN BEAMS</v>
      </c>
    </row>
    <row r="149" spans="1:13">
      <c r="A149" s="263"/>
      <c r="B149" s="263"/>
      <c r="C149" s="263" t="s">
        <v>294</v>
      </c>
      <c r="D149" s="263" t="s">
        <v>300</v>
      </c>
      <c r="E149" s="263" t="s">
        <v>295</v>
      </c>
      <c r="F149" s="263"/>
      <c r="G149" s="39" cm="1">
        <f t="array" ref="G149">IFERROR(INDEX(Table_dim_price_recipe[Retail Price], MATCH(1, ("Calculator"&lt;&gt;Table_dim_price_recipe[Type.display])*($L149=Table_dim_price_recipe[Category])*($D149=Table_dim_price_recipe[Item Description]) * (G$6=Table_dim_price_recipe[Type])*(Table_dim_price_recipe[Retail Price]&lt;&gt;0)*($C149=Table_dim_price_recipe[Subcategory]), 0))*$B149,"")</f>
        <v>0</v>
      </c>
      <c r="H149" s="39" t="str" cm="1">
        <f t="array" ref="H149">IFERROR(INDEX(Table_dim_price_recipe[Retail Price], MATCH(1, ("Calculator"&lt;&gt;Table_dim_price_recipe[Type.display])*($L149=Table_dim_price_recipe[Category])*($D149=Table_dim_price_recipe[Item Description]) * (H$6=Table_dim_price_recipe[Type])*(Table_dim_price_recipe[Retail Price]&lt;&gt;0)*($C149=Table_dim_price_recipe[Subcategory]), 0))*$B149,"")</f>
        <v/>
      </c>
      <c r="I149" s="39" t="str" cm="1">
        <f t="array" ref="I149">IFERROR(INDEX(Table_dim_price_recipe[Retail Price], MATCH(1, ("Calculator"&lt;&gt;Table_dim_price_recipe[Type.display])*($L149=Table_dim_price_recipe[Category])*($D149=Table_dim_price_recipe[Item Description]) * (I$6=Table_dim_price_recipe[Type])*(Table_dim_price_recipe[Retail Price]&lt;&gt;0)*($C149=Table_dim_price_recipe[Subcategory]), 0))*$B149,"")</f>
        <v/>
      </c>
      <c r="J149" s="39" t="str" cm="1">
        <f t="array" ref="J149">IFERROR(INDEX(Table_dim_price_recipe[Retail Price], MATCH(1, ("Calculator"&lt;&gt;Table_dim_price_recipe[Type.display])*($L149=Table_dim_price_recipe[Category])*($D149=Table_dim_price_recipe[Item Description]) * (J$6=Table_dim_price_recipe[Type])*(Table_dim_price_recipe[Retail Price]&lt;&gt;0)*($C149=Table_dim_price_recipe[Subcategory]), 0))*$B149,"")</f>
        <v/>
      </c>
      <c r="K149" s="39" t="str" cm="1">
        <f t="array" ref="K149">IFERROR(INDEX(Table_dim_price_recipe[Retail Price], MATCH(1, ("Calculator"&lt;&gt;Table_dim_price_recipe[Type.display])*($L149=Table_dim_price_recipe[Category])*($D149=Table_dim_price_recipe[Item Description]) * (K$6=Table_dim_price_recipe[Type])*(Table_dim_price_recipe[Retail Price]&lt;&gt;0)*($C149=Table_dim_price_recipe[Subcategory]), 0))*$B149,"")</f>
        <v/>
      </c>
      <c r="L149" s="39" t="str" cm="1">
        <f t="array" ref="L149">IF($A149&lt;&gt;"", $A149, LOOKUP(2, 1/((A$7:INDEX(A:A, ROW()))&lt;&gt;""), A$7:INDEX(A:A, ROW())))</f>
        <v>MAIN BEAMS</v>
      </c>
    </row>
    <row r="150" spans="1:13">
      <c r="A150" s="263"/>
      <c r="B150" s="263"/>
      <c r="C150" s="263" t="s">
        <v>294</v>
      </c>
      <c r="D150" s="263" t="s">
        <v>312</v>
      </c>
      <c r="E150" s="263" t="s">
        <v>295</v>
      </c>
      <c r="F150" s="263"/>
      <c r="G150" s="39" cm="1">
        <f t="array" ref="G150">IFERROR(INDEX(Table_dim_price_recipe[Retail Price], MATCH(1, ("Calculator"&lt;&gt;Table_dim_price_recipe[Type.display])*($L150=Table_dim_price_recipe[Category])*($D150=Table_dim_price_recipe[Item Description]) * (G$6=Table_dim_price_recipe[Type])*(Table_dim_price_recipe[Retail Price]&lt;&gt;0)*($C150=Table_dim_price_recipe[Subcategory]), 0))*$B150,"")</f>
        <v>0</v>
      </c>
      <c r="H150" s="39" t="str" cm="1">
        <f t="array" ref="H150">IFERROR(INDEX(Table_dim_price_recipe[Retail Price], MATCH(1, ("Calculator"&lt;&gt;Table_dim_price_recipe[Type.display])*($L150=Table_dim_price_recipe[Category])*($D150=Table_dim_price_recipe[Item Description]) * (H$6=Table_dim_price_recipe[Type])*(Table_dim_price_recipe[Retail Price]&lt;&gt;0)*($C150=Table_dim_price_recipe[Subcategory]), 0))*$B150,"")</f>
        <v/>
      </c>
      <c r="I150" s="39" t="str" cm="1">
        <f t="array" ref="I150">IFERROR(INDEX(Table_dim_price_recipe[Retail Price], MATCH(1, ("Calculator"&lt;&gt;Table_dim_price_recipe[Type.display])*($L150=Table_dim_price_recipe[Category])*($D150=Table_dim_price_recipe[Item Description]) * (I$6=Table_dim_price_recipe[Type])*(Table_dim_price_recipe[Retail Price]&lt;&gt;0)*($C150=Table_dim_price_recipe[Subcategory]), 0))*$B150,"")</f>
        <v/>
      </c>
      <c r="J150" s="39" t="str" cm="1">
        <f t="array" ref="J150">IFERROR(INDEX(Table_dim_price_recipe[Retail Price], MATCH(1, ("Calculator"&lt;&gt;Table_dim_price_recipe[Type.display])*($L150=Table_dim_price_recipe[Category])*($D150=Table_dim_price_recipe[Item Description]) * (J$6=Table_dim_price_recipe[Type])*(Table_dim_price_recipe[Retail Price]&lt;&gt;0)*($C150=Table_dim_price_recipe[Subcategory]), 0))*$B150,"")</f>
        <v/>
      </c>
      <c r="K150" s="39" t="str" cm="1">
        <f t="array" ref="K150">IFERROR(INDEX(Table_dim_price_recipe[Retail Price], MATCH(1, ("Calculator"&lt;&gt;Table_dim_price_recipe[Type.display])*($L150=Table_dim_price_recipe[Category])*($D150=Table_dim_price_recipe[Item Description]) * (K$6=Table_dim_price_recipe[Type])*(Table_dim_price_recipe[Retail Price]&lt;&gt;0)*($C150=Table_dim_price_recipe[Subcategory]), 0))*$B150,"")</f>
        <v/>
      </c>
      <c r="L150" s="39" t="str" cm="1">
        <f t="array" ref="L150">IF($A150&lt;&gt;"", $A150, LOOKUP(2, 1/((A$7:INDEX(A:A, ROW()))&lt;&gt;""), A$7:INDEX(A:A, ROW())))</f>
        <v>MAIN BEAMS</v>
      </c>
    </row>
    <row r="151" spans="1:13">
      <c r="A151" s="263"/>
      <c r="B151" s="263"/>
      <c r="C151" s="263" t="s">
        <v>294</v>
      </c>
      <c r="D151" s="263" t="s">
        <v>301</v>
      </c>
      <c r="E151" s="263" t="s">
        <v>295</v>
      </c>
      <c r="F151" s="263"/>
      <c r="G151" s="39" cm="1">
        <f t="array" ref="G151">IFERROR(INDEX(Table_dim_price_recipe[Retail Price], MATCH(1, ("Calculator"&lt;&gt;Table_dim_price_recipe[Type.display])*($L151=Table_dim_price_recipe[Category])*($D151=Table_dim_price_recipe[Item Description]) * (G$6=Table_dim_price_recipe[Type])*(Table_dim_price_recipe[Retail Price]&lt;&gt;0)*($C151=Table_dim_price_recipe[Subcategory]), 0))*$B151,"")</f>
        <v>0</v>
      </c>
      <c r="H151" s="39" t="str" cm="1">
        <f t="array" ref="H151">IFERROR(INDEX(Table_dim_price_recipe[Retail Price], MATCH(1, ("Calculator"&lt;&gt;Table_dim_price_recipe[Type.display])*($L151=Table_dim_price_recipe[Category])*($D151=Table_dim_price_recipe[Item Description]) * (H$6=Table_dim_price_recipe[Type])*(Table_dim_price_recipe[Retail Price]&lt;&gt;0)*($C151=Table_dim_price_recipe[Subcategory]), 0))*$B151,"")</f>
        <v/>
      </c>
      <c r="I151" s="39" t="str" cm="1">
        <f t="array" ref="I151">IFERROR(INDEX(Table_dim_price_recipe[Retail Price], MATCH(1, ("Calculator"&lt;&gt;Table_dim_price_recipe[Type.display])*($L151=Table_dim_price_recipe[Category])*($D151=Table_dim_price_recipe[Item Description]) * (I$6=Table_dim_price_recipe[Type])*(Table_dim_price_recipe[Retail Price]&lt;&gt;0)*($C151=Table_dim_price_recipe[Subcategory]), 0))*$B151,"")</f>
        <v/>
      </c>
      <c r="J151" s="39" t="str" cm="1">
        <f t="array" ref="J151">IFERROR(INDEX(Table_dim_price_recipe[Retail Price], MATCH(1, ("Calculator"&lt;&gt;Table_dim_price_recipe[Type.display])*($L151=Table_dim_price_recipe[Category])*($D151=Table_dim_price_recipe[Item Description]) * (J$6=Table_dim_price_recipe[Type])*(Table_dim_price_recipe[Retail Price]&lt;&gt;0)*($C151=Table_dim_price_recipe[Subcategory]), 0))*$B151,"")</f>
        <v/>
      </c>
      <c r="K151" s="39" t="str" cm="1">
        <f t="array" ref="K151">IFERROR(INDEX(Table_dim_price_recipe[Retail Price], MATCH(1, ("Calculator"&lt;&gt;Table_dim_price_recipe[Type.display])*($L151=Table_dim_price_recipe[Category])*($D151=Table_dim_price_recipe[Item Description]) * (K$6=Table_dim_price_recipe[Type])*(Table_dim_price_recipe[Retail Price]&lt;&gt;0)*($C151=Table_dim_price_recipe[Subcategory]), 0))*$B151,"")</f>
        <v/>
      </c>
      <c r="L151" s="39" t="str" cm="1">
        <f t="array" ref="L151">IF($A151&lt;&gt;"", $A151, LOOKUP(2, 1/((A$7:INDEX(A:A, ROW()))&lt;&gt;""), A$7:INDEX(A:A, ROW())))</f>
        <v>MAIN BEAMS</v>
      </c>
    </row>
    <row r="152" spans="1:13">
      <c r="A152" s="263"/>
      <c r="B152" s="263"/>
      <c r="C152" s="263" t="s">
        <v>294</v>
      </c>
      <c r="D152" s="263" t="s">
        <v>313</v>
      </c>
      <c r="E152" s="263" t="s">
        <v>295</v>
      </c>
      <c r="F152" s="263"/>
      <c r="G152" s="39" cm="1">
        <f t="array" ref="G152">IFERROR(INDEX(Table_dim_price_recipe[Retail Price], MATCH(1, ("Calculator"&lt;&gt;Table_dim_price_recipe[Type.display])*($L152=Table_dim_price_recipe[Category])*($D152=Table_dim_price_recipe[Item Description]) * (G$6=Table_dim_price_recipe[Type])*(Table_dim_price_recipe[Retail Price]&lt;&gt;0)*($C152=Table_dim_price_recipe[Subcategory]), 0))*$B152,"")</f>
        <v>0</v>
      </c>
      <c r="H152" s="39" t="str" cm="1">
        <f t="array" ref="H152">IFERROR(INDEX(Table_dim_price_recipe[Retail Price], MATCH(1, ("Calculator"&lt;&gt;Table_dim_price_recipe[Type.display])*($L152=Table_dim_price_recipe[Category])*($D152=Table_dim_price_recipe[Item Description]) * (H$6=Table_dim_price_recipe[Type])*(Table_dim_price_recipe[Retail Price]&lt;&gt;0)*($C152=Table_dim_price_recipe[Subcategory]), 0))*$B152,"")</f>
        <v/>
      </c>
      <c r="I152" s="39" t="str" cm="1">
        <f t="array" ref="I152">IFERROR(INDEX(Table_dim_price_recipe[Retail Price], MATCH(1, ("Calculator"&lt;&gt;Table_dim_price_recipe[Type.display])*($L152=Table_dim_price_recipe[Category])*($D152=Table_dim_price_recipe[Item Description]) * (I$6=Table_dim_price_recipe[Type])*(Table_dim_price_recipe[Retail Price]&lt;&gt;0)*($C152=Table_dim_price_recipe[Subcategory]), 0))*$B152,"")</f>
        <v/>
      </c>
      <c r="J152" s="39" t="str" cm="1">
        <f t="array" ref="J152">IFERROR(INDEX(Table_dim_price_recipe[Retail Price], MATCH(1, ("Calculator"&lt;&gt;Table_dim_price_recipe[Type.display])*($L152=Table_dim_price_recipe[Category])*($D152=Table_dim_price_recipe[Item Description]) * (J$6=Table_dim_price_recipe[Type])*(Table_dim_price_recipe[Retail Price]&lt;&gt;0)*($C152=Table_dim_price_recipe[Subcategory]), 0))*$B152,"")</f>
        <v/>
      </c>
      <c r="K152" s="39" t="str" cm="1">
        <f t="array" ref="K152">IFERROR(INDEX(Table_dim_price_recipe[Retail Price], MATCH(1, ("Calculator"&lt;&gt;Table_dim_price_recipe[Type.display])*($L152=Table_dim_price_recipe[Category])*($D152=Table_dim_price_recipe[Item Description]) * (K$6=Table_dim_price_recipe[Type])*(Table_dim_price_recipe[Retail Price]&lt;&gt;0)*($C152=Table_dim_price_recipe[Subcategory]), 0))*$B152,"")</f>
        <v/>
      </c>
      <c r="L152" s="39" t="str" cm="1">
        <f t="array" ref="L152">IF($A152&lt;&gt;"", $A152, LOOKUP(2, 1/((A$7:INDEX(A:A, ROW()))&lt;&gt;""), A$7:INDEX(A:A, ROW())))</f>
        <v>MAIN BEAMS</v>
      </c>
    </row>
    <row r="153" spans="1:13">
      <c r="A153" s="263"/>
      <c r="B153" s="263"/>
      <c r="C153" s="263" t="s">
        <v>294</v>
      </c>
      <c r="D153" s="263" t="s">
        <v>302</v>
      </c>
      <c r="E153" s="263" t="s">
        <v>295</v>
      </c>
      <c r="F153" s="263"/>
      <c r="G153" s="39" cm="1">
        <f t="array" ref="G153">IFERROR(INDEX(Table_dim_price_recipe[Retail Price], MATCH(1, ("Calculator"&lt;&gt;Table_dim_price_recipe[Type.display])*($L153=Table_dim_price_recipe[Category])*($D153=Table_dim_price_recipe[Item Description]) * (G$6=Table_dim_price_recipe[Type])*(Table_dim_price_recipe[Retail Price]&lt;&gt;0)*($C153=Table_dim_price_recipe[Subcategory]), 0))*$B153,"")</f>
        <v>0</v>
      </c>
      <c r="H153" s="39" t="str" cm="1">
        <f t="array" ref="H153">IFERROR(INDEX(Table_dim_price_recipe[Retail Price], MATCH(1, ("Calculator"&lt;&gt;Table_dim_price_recipe[Type.display])*($L153=Table_dim_price_recipe[Category])*($D153=Table_dim_price_recipe[Item Description]) * (H$6=Table_dim_price_recipe[Type])*(Table_dim_price_recipe[Retail Price]&lt;&gt;0)*($C153=Table_dim_price_recipe[Subcategory]), 0))*$B153,"")</f>
        <v/>
      </c>
      <c r="I153" s="39" t="str" cm="1">
        <f t="array" ref="I153">IFERROR(INDEX(Table_dim_price_recipe[Retail Price], MATCH(1, ("Calculator"&lt;&gt;Table_dim_price_recipe[Type.display])*($L153=Table_dim_price_recipe[Category])*($D153=Table_dim_price_recipe[Item Description]) * (I$6=Table_dim_price_recipe[Type])*(Table_dim_price_recipe[Retail Price]&lt;&gt;0)*($C153=Table_dim_price_recipe[Subcategory]), 0))*$B153,"")</f>
        <v/>
      </c>
      <c r="J153" s="39" t="str" cm="1">
        <f t="array" ref="J153">IFERROR(INDEX(Table_dim_price_recipe[Retail Price], MATCH(1, ("Calculator"&lt;&gt;Table_dim_price_recipe[Type.display])*($L153=Table_dim_price_recipe[Category])*($D153=Table_dim_price_recipe[Item Description]) * (J$6=Table_dim_price_recipe[Type])*(Table_dim_price_recipe[Retail Price]&lt;&gt;0)*($C153=Table_dim_price_recipe[Subcategory]), 0))*$B153,"")</f>
        <v/>
      </c>
      <c r="K153" s="39" t="str" cm="1">
        <f t="array" ref="K153">IFERROR(INDEX(Table_dim_price_recipe[Retail Price], MATCH(1, ("Calculator"&lt;&gt;Table_dim_price_recipe[Type.display])*($L153=Table_dim_price_recipe[Category])*($D153=Table_dim_price_recipe[Item Description]) * (K$6=Table_dim_price_recipe[Type])*(Table_dim_price_recipe[Retail Price]&lt;&gt;0)*($C153=Table_dim_price_recipe[Subcategory]), 0))*$B153,"")</f>
        <v/>
      </c>
      <c r="L153" s="39" t="str" cm="1">
        <f t="array" ref="L153">IF($A153&lt;&gt;"", $A153, LOOKUP(2, 1/((A$7:INDEX(A:A, ROW()))&lt;&gt;""), A$7:INDEX(A:A, ROW())))</f>
        <v>MAIN BEAMS</v>
      </c>
    </row>
    <row r="154" spans="1:13">
      <c r="A154" s="263"/>
      <c r="B154" s="263"/>
      <c r="C154" s="263" t="s">
        <v>294</v>
      </c>
      <c r="D154" s="263" t="s">
        <v>314</v>
      </c>
      <c r="E154" s="263" t="s">
        <v>295</v>
      </c>
      <c r="F154" s="263"/>
      <c r="G154" s="39" cm="1">
        <f t="array" ref="G154">IFERROR(INDEX(Table_dim_price_recipe[Retail Price], MATCH(1, ("Calculator"&lt;&gt;Table_dim_price_recipe[Type.display])*($L154=Table_dim_price_recipe[Category])*($D154=Table_dim_price_recipe[Item Description]) * (G$6=Table_dim_price_recipe[Type])*(Table_dim_price_recipe[Retail Price]&lt;&gt;0)*($C154=Table_dim_price_recipe[Subcategory]), 0))*$B154,"")</f>
        <v>0</v>
      </c>
      <c r="H154" s="39" t="str" cm="1">
        <f t="array" ref="H154">IFERROR(INDEX(Table_dim_price_recipe[Retail Price], MATCH(1, ("Calculator"&lt;&gt;Table_dim_price_recipe[Type.display])*($L154=Table_dim_price_recipe[Category])*($D154=Table_dim_price_recipe[Item Description]) * (H$6=Table_dim_price_recipe[Type])*(Table_dim_price_recipe[Retail Price]&lt;&gt;0)*($C154=Table_dim_price_recipe[Subcategory]), 0))*$B154,"")</f>
        <v/>
      </c>
      <c r="I154" s="39" t="str" cm="1">
        <f t="array" ref="I154">IFERROR(INDEX(Table_dim_price_recipe[Retail Price], MATCH(1, ("Calculator"&lt;&gt;Table_dim_price_recipe[Type.display])*($L154=Table_dim_price_recipe[Category])*($D154=Table_dim_price_recipe[Item Description]) * (I$6=Table_dim_price_recipe[Type])*(Table_dim_price_recipe[Retail Price]&lt;&gt;0)*($C154=Table_dim_price_recipe[Subcategory]), 0))*$B154,"")</f>
        <v/>
      </c>
      <c r="J154" s="39" t="str" cm="1">
        <f t="array" ref="J154">IFERROR(INDEX(Table_dim_price_recipe[Retail Price], MATCH(1, ("Calculator"&lt;&gt;Table_dim_price_recipe[Type.display])*($L154=Table_dim_price_recipe[Category])*($D154=Table_dim_price_recipe[Item Description]) * (J$6=Table_dim_price_recipe[Type])*(Table_dim_price_recipe[Retail Price]&lt;&gt;0)*($C154=Table_dim_price_recipe[Subcategory]), 0))*$B154,"")</f>
        <v/>
      </c>
      <c r="K154" s="39" t="str" cm="1">
        <f t="array" ref="K154">IFERROR(INDEX(Table_dim_price_recipe[Retail Price], MATCH(1, ("Calculator"&lt;&gt;Table_dim_price_recipe[Type.display])*($L154=Table_dim_price_recipe[Category])*($D154=Table_dim_price_recipe[Item Description]) * (K$6=Table_dim_price_recipe[Type])*(Table_dim_price_recipe[Retail Price]&lt;&gt;0)*($C154=Table_dim_price_recipe[Subcategory]), 0))*$B154,"")</f>
        <v/>
      </c>
      <c r="L154" s="39" t="str" cm="1">
        <f t="array" ref="L154">IF($A154&lt;&gt;"", $A154, LOOKUP(2, 1/((A$7:INDEX(A:A, ROW()))&lt;&gt;""), A$7:INDEX(A:A, ROW())))</f>
        <v>MAIN BEAMS</v>
      </c>
      <c r="M154" s="17"/>
    </row>
    <row r="155" spans="1:13">
      <c r="A155" s="263"/>
      <c r="B155" s="263"/>
      <c r="C155" s="263" t="s">
        <v>294</v>
      </c>
      <c r="D155" s="263" t="s">
        <v>303</v>
      </c>
      <c r="E155" s="263" t="s">
        <v>295</v>
      </c>
      <c r="F155" s="263"/>
      <c r="G155" s="39" cm="1">
        <f t="array" ref="G155">IFERROR(INDEX(Table_dim_price_recipe[Retail Price], MATCH(1, ("Calculator"&lt;&gt;Table_dim_price_recipe[Type.display])*($L155=Table_dim_price_recipe[Category])*($D155=Table_dim_price_recipe[Item Description]) * (G$6=Table_dim_price_recipe[Type])*(Table_dim_price_recipe[Retail Price]&lt;&gt;0)*($C155=Table_dim_price_recipe[Subcategory]), 0))*$B155,"")</f>
        <v>0</v>
      </c>
      <c r="H155" s="39" t="str" cm="1">
        <f t="array" ref="H155">IFERROR(INDEX(Table_dim_price_recipe[Retail Price], MATCH(1, ("Calculator"&lt;&gt;Table_dim_price_recipe[Type.display])*($L155=Table_dim_price_recipe[Category])*($D155=Table_dim_price_recipe[Item Description]) * (H$6=Table_dim_price_recipe[Type])*(Table_dim_price_recipe[Retail Price]&lt;&gt;0)*($C155=Table_dim_price_recipe[Subcategory]), 0))*$B155,"")</f>
        <v/>
      </c>
      <c r="I155" s="39" t="str" cm="1">
        <f t="array" ref="I155">IFERROR(INDEX(Table_dim_price_recipe[Retail Price], MATCH(1, ("Calculator"&lt;&gt;Table_dim_price_recipe[Type.display])*($L155=Table_dim_price_recipe[Category])*($D155=Table_dim_price_recipe[Item Description]) * (I$6=Table_dim_price_recipe[Type])*(Table_dim_price_recipe[Retail Price]&lt;&gt;0)*($C155=Table_dim_price_recipe[Subcategory]), 0))*$B155,"")</f>
        <v/>
      </c>
      <c r="J155" s="39" t="str" cm="1">
        <f t="array" ref="J155">IFERROR(INDEX(Table_dim_price_recipe[Retail Price], MATCH(1, ("Calculator"&lt;&gt;Table_dim_price_recipe[Type.display])*($L155=Table_dim_price_recipe[Category])*($D155=Table_dim_price_recipe[Item Description]) * (J$6=Table_dim_price_recipe[Type])*(Table_dim_price_recipe[Retail Price]&lt;&gt;0)*($C155=Table_dim_price_recipe[Subcategory]), 0))*$B155,"")</f>
        <v/>
      </c>
      <c r="K155" s="39" t="str" cm="1">
        <f t="array" ref="K155">IFERROR(INDEX(Table_dim_price_recipe[Retail Price], MATCH(1, ("Calculator"&lt;&gt;Table_dim_price_recipe[Type.display])*($L155=Table_dim_price_recipe[Category])*($D155=Table_dim_price_recipe[Item Description]) * (K$6=Table_dim_price_recipe[Type])*(Table_dim_price_recipe[Retail Price]&lt;&gt;0)*($C155=Table_dim_price_recipe[Subcategory]), 0))*$B155,"")</f>
        <v/>
      </c>
      <c r="L155" s="39" t="str" cm="1">
        <f t="array" ref="L155">IF($A155&lt;&gt;"", $A155, LOOKUP(2, 1/((A$7:INDEX(A:A, ROW()))&lt;&gt;""), A$7:INDEX(A:A, ROW())))</f>
        <v>MAIN BEAMS</v>
      </c>
      <c r="M155" s="17"/>
    </row>
    <row r="156" spans="1:13" ht="15.75" thickBot="1">
      <c r="A156" s="263"/>
      <c r="B156" s="263"/>
      <c r="C156" s="263" t="s">
        <v>294</v>
      </c>
      <c r="D156" s="263" t="s">
        <v>315</v>
      </c>
      <c r="E156" s="263" t="s">
        <v>295</v>
      </c>
      <c r="F156" s="263"/>
      <c r="G156" s="39" cm="1">
        <f t="array" ref="G156">IFERROR(INDEX(Table_dim_price_recipe[Retail Price], MATCH(1, ("Calculator"&lt;&gt;Table_dim_price_recipe[Type.display])*($L156=Table_dim_price_recipe[Category])*($D156=Table_dim_price_recipe[Item Description]) * (G$6=Table_dim_price_recipe[Type])*(Table_dim_price_recipe[Retail Price]&lt;&gt;0)*($C156=Table_dim_price_recipe[Subcategory]), 0))*$B156,"")</f>
        <v>0</v>
      </c>
      <c r="H156" s="39" t="str" cm="1">
        <f t="array" ref="H156">IFERROR(INDEX(Table_dim_price_recipe[Retail Price], MATCH(1, ("Calculator"&lt;&gt;Table_dim_price_recipe[Type.display])*($L156=Table_dim_price_recipe[Category])*($D156=Table_dim_price_recipe[Item Description]) * (H$6=Table_dim_price_recipe[Type])*(Table_dim_price_recipe[Retail Price]&lt;&gt;0)*($C156=Table_dim_price_recipe[Subcategory]), 0))*$B156,"")</f>
        <v/>
      </c>
      <c r="I156" s="39" t="str" cm="1">
        <f t="array" ref="I156">IFERROR(INDEX(Table_dim_price_recipe[Retail Price], MATCH(1, ("Calculator"&lt;&gt;Table_dim_price_recipe[Type.display])*($L156=Table_dim_price_recipe[Category])*($D156=Table_dim_price_recipe[Item Description]) * (I$6=Table_dim_price_recipe[Type])*(Table_dim_price_recipe[Retail Price]&lt;&gt;0)*($C156=Table_dim_price_recipe[Subcategory]), 0))*$B156,"")</f>
        <v/>
      </c>
      <c r="J156" s="39" t="str" cm="1">
        <f t="array" ref="J156">IFERROR(INDEX(Table_dim_price_recipe[Retail Price], MATCH(1, ("Calculator"&lt;&gt;Table_dim_price_recipe[Type.display])*($L156=Table_dim_price_recipe[Category])*($D156=Table_dim_price_recipe[Item Description]) * (J$6=Table_dim_price_recipe[Type])*(Table_dim_price_recipe[Retail Price]&lt;&gt;0)*($C156=Table_dim_price_recipe[Subcategory]), 0))*$B156,"")</f>
        <v/>
      </c>
      <c r="K156" s="39" t="str" cm="1">
        <f t="array" ref="K156">IFERROR(INDEX(Table_dim_price_recipe[Retail Price], MATCH(1, ("Calculator"&lt;&gt;Table_dim_price_recipe[Type.display])*($L156=Table_dim_price_recipe[Category])*($D156=Table_dim_price_recipe[Item Description]) * (K$6=Table_dim_price_recipe[Type])*(Table_dim_price_recipe[Retail Price]&lt;&gt;0)*($C156=Table_dim_price_recipe[Subcategory]), 0))*$B156,"")</f>
        <v/>
      </c>
      <c r="L156" s="39" t="str" cm="1">
        <f t="array" ref="L156">IF($A156&lt;&gt;"", $A156, LOOKUP(2, 1/((A$7:INDEX(A:A, ROW()))&lt;&gt;""), A$7:INDEX(A:A, ROW())))</f>
        <v>MAIN BEAMS</v>
      </c>
      <c r="M156" s="18"/>
    </row>
    <row r="157" spans="1:13" ht="16.5" thickTop="1" thickBot="1">
      <c r="A157" s="263"/>
      <c r="B157" s="263"/>
      <c r="C157" s="263" t="s">
        <v>294</v>
      </c>
      <c r="D157" s="263" t="s">
        <v>304</v>
      </c>
      <c r="E157" s="263" t="s">
        <v>295</v>
      </c>
      <c r="F157" s="263"/>
      <c r="G157" s="39" cm="1">
        <f t="array" ref="G157">IFERROR(INDEX(Table_dim_price_recipe[Retail Price], MATCH(1, ("Calculator"&lt;&gt;Table_dim_price_recipe[Type.display])*($L157=Table_dim_price_recipe[Category])*($D157=Table_dim_price_recipe[Item Description]) * (G$6=Table_dim_price_recipe[Type])*(Table_dim_price_recipe[Retail Price]&lt;&gt;0)*($C157=Table_dim_price_recipe[Subcategory]), 0))*$B157,"")</f>
        <v>0</v>
      </c>
      <c r="H157" s="39" t="str" cm="1">
        <f t="array" ref="H157">IFERROR(INDEX(Table_dim_price_recipe[Retail Price], MATCH(1, ("Calculator"&lt;&gt;Table_dim_price_recipe[Type.display])*($L157=Table_dim_price_recipe[Category])*($D157=Table_dim_price_recipe[Item Description]) * (H$6=Table_dim_price_recipe[Type])*(Table_dim_price_recipe[Retail Price]&lt;&gt;0)*($C157=Table_dim_price_recipe[Subcategory]), 0))*$B157,"")</f>
        <v/>
      </c>
      <c r="I157" s="39" t="str" cm="1">
        <f t="array" ref="I157">IFERROR(INDEX(Table_dim_price_recipe[Retail Price], MATCH(1, ("Calculator"&lt;&gt;Table_dim_price_recipe[Type.display])*($L157=Table_dim_price_recipe[Category])*($D157=Table_dim_price_recipe[Item Description]) * (I$6=Table_dim_price_recipe[Type])*(Table_dim_price_recipe[Retail Price]&lt;&gt;0)*($C157=Table_dim_price_recipe[Subcategory]), 0))*$B157,"")</f>
        <v/>
      </c>
      <c r="J157" s="39" t="str" cm="1">
        <f t="array" ref="J157">IFERROR(INDEX(Table_dim_price_recipe[Retail Price], MATCH(1, ("Calculator"&lt;&gt;Table_dim_price_recipe[Type.display])*($L157=Table_dim_price_recipe[Category])*($D157=Table_dim_price_recipe[Item Description]) * (J$6=Table_dim_price_recipe[Type])*(Table_dim_price_recipe[Retail Price]&lt;&gt;0)*($C157=Table_dim_price_recipe[Subcategory]), 0))*$B157,"")</f>
        <v/>
      </c>
      <c r="K157" s="39" t="str" cm="1">
        <f t="array" ref="K157">IFERROR(INDEX(Table_dim_price_recipe[Retail Price], MATCH(1, ("Calculator"&lt;&gt;Table_dim_price_recipe[Type.display])*($L157=Table_dim_price_recipe[Category])*($D157=Table_dim_price_recipe[Item Description]) * (K$6=Table_dim_price_recipe[Type])*(Table_dim_price_recipe[Retail Price]&lt;&gt;0)*($C157=Table_dim_price_recipe[Subcategory]), 0))*$B157,"")</f>
        <v/>
      </c>
      <c r="L157" s="39" t="str" cm="1">
        <f t="array" ref="L157">IF($A157&lt;&gt;"", $A157, LOOKUP(2, 1/((A$7:INDEX(A:A, ROW()))&lt;&gt;""), A$7:INDEX(A:A, ROW())))</f>
        <v>MAIN BEAMS</v>
      </c>
      <c r="M157" s="207"/>
    </row>
    <row r="158" spans="1:13" ht="15.75" thickTop="1">
      <c r="A158" s="263"/>
      <c r="B158" s="263"/>
      <c r="C158" s="263" t="s">
        <v>294</v>
      </c>
      <c r="D158" s="263" t="s">
        <v>316</v>
      </c>
      <c r="E158" s="263" t="s">
        <v>295</v>
      </c>
      <c r="F158" s="263"/>
      <c r="G158" s="39" cm="1">
        <f t="array" ref="G158">IFERROR(INDEX(Table_dim_price_recipe[Retail Price], MATCH(1, ("Calculator"&lt;&gt;Table_dim_price_recipe[Type.display])*($L158=Table_dim_price_recipe[Category])*($D158=Table_dim_price_recipe[Item Description]) * (G$6=Table_dim_price_recipe[Type])*(Table_dim_price_recipe[Retail Price]&lt;&gt;0)*($C158=Table_dim_price_recipe[Subcategory]), 0))*$B158,"")</f>
        <v>0</v>
      </c>
      <c r="H158" s="39" t="str" cm="1">
        <f t="array" ref="H158">IFERROR(INDEX(Table_dim_price_recipe[Retail Price], MATCH(1, ("Calculator"&lt;&gt;Table_dim_price_recipe[Type.display])*($L158=Table_dim_price_recipe[Category])*($D158=Table_dim_price_recipe[Item Description]) * (H$6=Table_dim_price_recipe[Type])*(Table_dim_price_recipe[Retail Price]&lt;&gt;0)*($C158=Table_dim_price_recipe[Subcategory]), 0))*$B158,"")</f>
        <v/>
      </c>
      <c r="I158" s="39" t="str" cm="1">
        <f t="array" ref="I158">IFERROR(INDEX(Table_dim_price_recipe[Retail Price], MATCH(1, ("Calculator"&lt;&gt;Table_dim_price_recipe[Type.display])*($L158=Table_dim_price_recipe[Category])*($D158=Table_dim_price_recipe[Item Description]) * (I$6=Table_dim_price_recipe[Type])*(Table_dim_price_recipe[Retail Price]&lt;&gt;0)*($C158=Table_dim_price_recipe[Subcategory]), 0))*$B158,"")</f>
        <v/>
      </c>
      <c r="J158" s="39" t="str" cm="1">
        <f t="array" ref="J158">IFERROR(INDEX(Table_dim_price_recipe[Retail Price], MATCH(1, ("Calculator"&lt;&gt;Table_dim_price_recipe[Type.display])*($L158=Table_dim_price_recipe[Category])*($D158=Table_dim_price_recipe[Item Description]) * (J$6=Table_dim_price_recipe[Type])*(Table_dim_price_recipe[Retail Price]&lt;&gt;0)*($C158=Table_dim_price_recipe[Subcategory]), 0))*$B158,"")</f>
        <v/>
      </c>
      <c r="K158" s="39" t="str" cm="1">
        <f t="array" ref="K158">IFERROR(INDEX(Table_dim_price_recipe[Retail Price], MATCH(1, ("Calculator"&lt;&gt;Table_dim_price_recipe[Type.display])*($L158=Table_dim_price_recipe[Category])*($D158=Table_dim_price_recipe[Item Description]) * (K$6=Table_dim_price_recipe[Type])*(Table_dim_price_recipe[Retail Price]&lt;&gt;0)*($C158=Table_dim_price_recipe[Subcategory]), 0))*$B158,"")</f>
        <v/>
      </c>
      <c r="L158" s="39" t="str" cm="1">
        <f t="array" ref="L158">IF($A158&lt;&gt;"", $A158, LOOKUP(2, 1/((A$7:INDEX(A:A, ROW()))&lt;&gt;""), A$7:INDEX(A:A, ROW())))</f>
        <v>MAIN BEAMS</v>
      </c>
      <c r="M158" s="19"/>
    </row>
    <row r="159" spans="1:13" ht="15.75" thickBot="1">
      <c r="A159" s="263"/>
      <c r="B159" s="263"/>
      <c r="C159" s="263" t="s">
        <v>294</v>
      </c>
      <c r="D159" s="263" t="s">
        <v>305</v>
      </c>
      <c r="E159" s="263" t="s">
        <v>295</v>
      </c>
      <c r="F159" s="263"/>
      <c r="G159" s="39" cm="1">
        <f t="array" ref="G159">IFERROR(INDEX(Table_dim_price_recipe[Retail Price], MATCH(1, ("Calculator"&lt;&gt;Table_dim_price_recipe[Type.display])*($L159=Table_dim_price_recipe[Category])*($D159=Table_dim_price_recipe[Item Description]) * (G$6=Table_dim_price_recipe[Type])*(Table_dim_price_recipe[Retail Price]&lt;&gt;0)*($C159=Table_dim_price_recipe[Subcategory]), 0))*$B159,"")</f>
        <v>0</v>
      </c>
      <c r="H159" s="39" t="str" cm="1">
        <f t="array" ref="H159">IFERROR(INDEX(Table_dim_price_recipe[Retail Price], MATCH(1, ("Calculator"&lt;&gt;Table_dim_price_recipe[Type.display])*($L159=Table_dim_price_recipe[Category])*($D159=Table_dim_price_recipe[Item Description]) * (H$6=Table_dim_price_recipe[Type])*(Table_dim_price_recipe[Retail Price]&lt;&gt;0)*($C159=Table_dim_price_recipe[Subcategory]), 0))*$B159,"")</f>
        <v/>
      </c>
      <c r="I159" s="39" t="str" cm="1">
        <f t="array" ref="I159">IFERROR(INDEX(Table_dim_price_recipe[Retail Price], MATCH(1, ("Calculator"&lt;&gt;Table_dim_price_recipe[Type.display])*($L159=Table_dim_price_recipe[Category])*($D159=Table_dim_price_recipe[Item Description]) * (I$6=Table_dim_price_recipe[Type])*(Table_dim_price_recipe[Retail Price]&lt;&gt;0)*($C159=Table_dim_price_recipe[Subcategory]), 0))*$B159,"")</f>
        <v/>
      </c>
      <c r="J159" s="39" t="str" cm="1">
        <f t="array" ref="J159">IFERROR(INDEX(Table_dim_price_recipe[Retail Price], MATCH(1, ("Calculator"&lt;&gt;Table_dim_price_recipe[Type.display])*($L159=Table_dim_price_recipe[Category])*($D159=Table_dim_price_recipe[Item Description]) * (J$6=Table_dim_price_recipe[Type])*(Table_dim_price_recipe[Retail Price]&lt;&gt;0)*($C159=Table_dim_price_recipe[Subcategory]), 0))*$B159,"")</f>
        <v/>
      </c>
      <c r="K159" s="39" t="str" cm="1">
        <f t="array" ref="K159">IFERROR(INDEX(Table_dim_price_recipe[Retail Price], MATCH(1, ("Calculator"&lt;&gt;Table_dim_price_recipe[Type.display])*($L159=Table_dim_price_recipe[Category])*($D159=Table_dim_price_recipe[Item Description]) * (K$6=Table_dim_price_recipe[Type])*(Table_dim_price_recipe[Retail Price]&lt;&gt;0)*($C159=Table_dim_price_recipe[Subcategory]), 0))*$B159,"")</f>
        <v/>
      </c>
      <c r="L159" s="39" t="str" cm="1">
        <f t="array" ref="L159">IF($A159&lt;&gt;"", $A159, LOOKUP(2, 1/((A$7:INDEX(A:A, ROW()))&lt;&gt;""), A$7:INDEX(A:A, ROW())))</f>
        <v>MAIN BEAMS</v>
      </c>
      <c r="M159" s="208" t="s">
        <v>37</v>
      </c>
    </row>
    <row r="160" spans="1:13" ht="15.75" thickBot="1">
      <c r="A160" s="263"/>
      <c r="B160" s="263"/>
      <c r="C160" s="263" t="s">
        <v>294</v>
      </c>
      <c r="D160" s="263" t="s">
        <v>317</v>
      </c>
      <c r="E160" s="263" t="s">
        <v>295</v>
      </c>
      <c r="F160" s="263"/>
      <c r="G160" s="39" cm="1">
        <f t="array" ref="G160">IFERROR(INDEX(Table_dim_price_recipe[Retail Price], MATCH(1, ("Calculator"&lt;&gt;Table_dim_price_recipe[Type.display])*($L160=Table_dim_price_recipe[Category])*($D160=Table_dim_price_recipe[Item Description]) * (G$6=Table_dim_price_recipe[Type])*(Table_dim_price_recipe[Retail Price]&lt;&gt;0)*($C160=Table_dim_price_recipe[Subcategory]), 0))*$B160,"")</f>
        <v>0</v>
      </c>
      <c r="H160" s="39" t="str" cm="1">
        <f t="array" ref="H160">IFERROR(INDEX(Table_dim_price_recipe[Retail Price], MATCH(1, ("Calculator"&lt;&gt;Table_dim_price_recipe[Type.display])*($L160=Table_dim_price_recipe[Category])*($D160=Table_dim_price_recipe[Item Description]) * (H$6=Table_dim_price_recipe[Type])*(Table_dim_price_recipe[Retail Price]&lt;&gt;0)*($C160=Table_dim_price_recipe[Subcategory]), 0))*$B160,"")</f>
        <v/>
      </c>
      <c r="I160" s="39" t="str" cm="1">
        <f t="array" ref="I160">IFERROR(INDEX(Table_dim_price_recipe[Retail Price], MATCH(1, ("Calculator"&lt;&gt;Table_dim_price_recipe[Type.display])*($L160=Table_dim_price_recipe[Category])*($D160=Table_dim_price_recipe[Item Description]) * (I$6=Table_dim_price_recipe[Type])*(Table_dim_price_recipe[Retail Price]&lt;&gt;0)*($C160=Table_dim_price_recipe[Subcategory]), 0))*$B160,"")</f>
        <v/>
      </c>
      <c r="J160" s="39" t="str" cm="1">
        <f t="array" ref="J160">IFERROR(INDEX(Table_dim_price_recipe[Retail Price], MATCH(1, ("Calculator"&lt;&gt;Table_dim_price_recipe[Type.display])*($L160=Table_dim_price_recipe[Category])*($D160=Table_dim_price_recipe[Item Description]) * (J$6=Table_dim_price_recipe[Type])*(Table_dim_price_recipe[Retail Price]&lt;&gt;0)*($C160=Table_dim_price_recipe[Subcategory]), 0))*$B160,"")</f>
        <v/>
      </c>
      <c r="K160" s="39" t="str" cm="1">
        <f t="array" ref="K160">IFERROR(INDEX(Table_dim_price_recipe[Retail Price], MATCH(1, ("Calculator"&lt;&gt;Table_dim_price_recipe[Type.display])*($L160=Table_dim_price_recipe[Category])*($D160=Table_dim_price_recipe[Item Description]) * (K$6=Table_dim_price_recipe[Type])*(Table_dim_price_recipe[Retail Price]&lt;&gt;0)*($C160=Table_dim_price_recipe[Subcategory]), 0))*$B160,"")</f>
        <v/>
      </c>
      <c r="L160" s="39" t="str" cm="1">
        <f t="array" ref="L160">IF($A160&lt;&gt;"", $A160, LOOKUP(2, 1/((A$7:INDEX(A:A, ROW()))&lt;&gt;""), A$7:INDEX(A:A, ROW())))</f>
        <v>MAIN BEAMS</v>
      </c>
      <c r="M160" s="209" t="s">
        <v>38</v>
      </c>
    </row>
    <row r="161" spans="1:13" ht="15.75" thickBot="1">
      <c r="A161" s="263"/>
      <c r="B161" s="263"/>
      <c r="C161" s="263" t="s">
        <v>294</v>
      </c>
      <c r="D161" s="263" t="s">
        <v>306</v>
      </c>
      <c r="E161" s="263" t="s">
        <v>295</v>
      </c>
      <c r="F161" s="263"/>
      <c r="G161" s="39" cm="1">
        <f t="array" ref="G161">IFERROR(INDEX(Table_dim_price_recipe[Retail Price], MATCH(1, ("Calculator"&lt;&gt;Table_dim_price_recipe[Type.display])*($L161=Table_dim_price_recipe[Category])*($D161=Table_dim_price_recipe[Item Description]) * (G$6=Table_dim_price_recipe[Type])*(Table_dim_price_recipe[Retail Price]&lt;&gt;0)*($C161=Table_dim_price_recipe[Subcategory]), 0))*$B161,"")</f>
        <v>0</v>
      </c>
      <c r="H161" s="39" t="str" cm="1">
        <f t="array" ref="H161">IFERROR(INDEX(Table_dim_price_recipe[Retail Price], MATCH(1, ("Calculator"&lt;&gt;Table_dim_price_recipe[Type.display])*($L161=Table_dim_price_recipe[Category])*($D161=Table_dim_price_recipe[Item Description]) * (H$6=Table_dim_price_recipe[Type])*(Table_dim_price_recipe[Retail Price]&lt;&gt;0)*($C161=Table_dim_price_recipe[Subcategory]), 0))*$B161,"")</f>
        <v/>
      </c>
      <c r="I161" s="39" t="str" cm="1">
        <f t="array" ref="I161">IFERROR(INDEX(Table_dim_price_recipe[Retail Price], MATCH(1, ("Calculator"&lt;&gt;Table_dim_price_recipe[Type.display])*($L161=Table_dim_price_recipe[Category])*($D161=Table_dim_price_recipe[Item Description]) * (I$6=Table_dim_price_recipe[Type])*(Table_dim_price_recipe[Retail Price]&lt;&gt;0)*($C161=Table_dim_price_recipe[Subcategory]), 0))*$B161,"")</f>
        <v/>
      </c>
      <c r="J161" s="39" t="str" cm="1">
        <f t="array" ref="J161">IFERROR(INDEX(Table_dim_price_recipe[Retail Price], MATCH(1, ("Calculator"&lt;&gt;Table_dim_price_recipe[Type.display])*($L161=Table_dim_price_recipe[Category])*($D161=Table_dim_price_recipe[Item Description]) * (J$6=Table_dim_price_recipe[Type])*(Table_dim_price_recipe[Retail Price]&lt;&gt;0)*($C161=Table_dim_price_recipe[Subcategory]), 0))*$B161,"")</f>
        <v/>
      </c>
      <c r="K161" s="39" t="str" cm="1">
        <f t="array" ref="K161">IFERROR(INDEX(Table_dim_price_recipe[Retail Price], MATCH(1, ("Calculator"&lt;&gt;Table_dim_price_recipe[Type.display])*($L161=Table_dim_price_recipe[Category])*($D161=Table_dim_price_recipe[Item Description]) * (K$6=Table_dim_price_recipe[Type])*(Table_dim_price_recipe[Retail Price]&lt;&gt;0)*($C161=Table_dim_price_recipe[Subcategory]), 0))*$B161,"")</f>
        <v/>
      </c>
      <c r="L161" s="39" t="str" cm="1">
        <f t="array" ref="L161">IF($A161&lt;&gt;"", $A161, LOOKUP(2, 1/((A$7:INDEX(A:A, ROW()))&lt;&gt;""), A$7:INDEX(A:A, ROW())))</f>
        <v>MAIN BEAMS</v>
      </c>
      <c r="M161" s="210" t="s">
        <v>39</v>
      </c>
    </row>
    <row r="162" spans="1:13" ht="15.75" thickBot="1">
      <c r="A162" s="263"/>
      <c r="B162" s="263"/>
      <c r="C162" s="263" t="s">
        <v>294</v>
      </c>
      <c r="D162" s="263" t="s">
        <v>318</v>
      </c>
      <c r="E162" s="263" t="s">
        <v>295</v>
      </c>
      <c r="F162" s="263"/>
      <c r="G162" s="39" cm="1">
        <f t="array" ref="G162">IFERROR(INDEX(Table_dim_price_recipe[Retail Price], MATCH(1, ("Calculator"&lt;&gt;Table_dim_price_recipe[Type.display])*($L162=Table_dim_price_recipe[Category])*($D162=Table_dim_price_recipe[Item Description]) * (G$6=Table_dim_price_recipe[Type])*(Table_dim_price_recipe[Retail Price]&lt;&gt;0)*($C162=Table_dim_price_recipe[Subcategory]), 0))*$B162,"")</f>
        <v>0</v>
      </c>
      <c r="H162" s="39" t="str" cm="1">
        <f t="array" ref="H162">IFERROR(INDEX(Table_dim_price_recipe[Retail Price], MATCH(1, ("Calculator"&lt;&gt;Table_dim_price_recipe[Type.display])*($L162=Table_dim_price_recipe[Category])*($D162=Table_dim_price_recipe[Item Description]) * (H$6=Table_dim_price_recipe[Type])*(Table_dim_price_recipe[Retail Price]&lt;&gt;0)*($C162=Table_dim_price_recipe[Subcategory]), 0))*$B162,"")</f>
        <v/>
      </c>
      <c r="I162" s="39" t="str" cm="1">
        <f t="array" ref="I162">IFERROR(INDEX(Table_dim_price_recipe[Retail Price], MATCH(1, ("Calculator"&lt;&gt;Table_dim_price_recipe[Type.display])*($L162=Table_dim_price_recipe[Category])*($D162=Table_dim_price_recipe[Item Description]) * (I$6=Table_dim_price_recipe[Type])*(Table_dim_price_recipe[Retail Price]&lt;&gt;0)*($C162=Table_dim_price_recipe[Subcategory]), 0))*$B162,"")</f>
        <v/>
      </c>
      <c r="J162" s="39" t="str" cm="1">
        <f t="array" ref="J162">IFERROR(INDEX(Table_dim_price_recipe[Retail Price], MATCH(1, ("Calculator"&lt;&gt;Table_dim_price_recipe[Type.display])*($L162=Table_dim_price_recipe[Category])*($D162=Table_dim_price_recipe[Item Description]) * (J$6=Table_dim_price_recipe[Type])*(Table_dim_price_recipe[Retail Price]&lt;&gt;0)*($C162=Table_dim_price_recipe[Subcategory]), 0))*$B162,"")</f>
        <v/>
      </c>
      <c r="K162" s="39" t="str" cm="1">
        <f t="array" ref="K162">IFERROR(INDEX(Table_dim_price_recipe[Retail Price], MATCH(1, ("Calculator"&lt;&gt;Table_dim_price_recipe[Type.display])*($L162=Table_dim_price_recipe[Category])*($D162=Table_dim_price_recipe[Item Description]) * (K$6=Table_dim_price_recipe[Type])*(Table_dim_price_recipe[Retail Price]&lt;&gt;0)*($C162=Table_dim_price_recipe[Subcategory]), 0))*$B162,"")</f>
        <v/>
      </c>
      <c r="L162" s="39" t="str" cm="1">
        <f t="array" ref="L162">IF($A162&lt;&gt;"", $A162, LOOKUP(2, 1/((A$7:INDEX(A:A, ROW()))&lt;&gt;""), A$7:INDEX(A:A, ROW())))</f>
        <v>MAIN BEAMS</v>
      </c>
      <c r="M162" s="210" t="s">
        <v>40</v>
      </c>
    </row>
    <row r="163" spans="1:13" ht="15.75" thickBot="1">
      <c r="A163" s="263"/>
      <c r="B163" s="263"/>
      <c r="C163" s="263" t="s">
        <v>294</v>
      </c>
      <c r="D163" s="263"/>
      <c r="E163" s="263"/>
      <c r="F163" s="263"/>
      <c r="G163" s="39" t="str" cm="1">
        <f t="array" ref="G163">IFERROR(INDEX(Table_dim_price_recipe[Retail Price], MATCH(1, ("Calculator"&lt;&gt;Table_dim_price_recipe[Type.display])*($L163=Table_dim_price_recipe[Category])*($D163=Table_dim_price_recipe[Item Description]) * (G$6=Table_dim_price_recipe[Type])*(Table_dim_price_recipe[Retail Price]&lt;&gt;0)*($C163=Table_dim_price_recipe[Subcategory]), 0))*$B163,"")</f>
        <v/>
      </c>
      <c r="H163" s="39" t="str" cm="1">
        <f t="array" ref="H163">IFERROR(INDEX(Table_dim_price_recipe[Retail Price], MATCH(1, ("Calculator"&lt;&gt;Table_dim_price_recipe[Type.display])*($L163=Table_dim_price_recipe[Category])*($D163=Table_dim_price_recipe[Item Description]) * (H$6=Table_dim_price_recipe[Type])*(Table_dim_price_recipe[Retail Price]&lt;&gt;0)*($C163=Table_dim_price_recipe[Subcategory]), 0))*$B163,"")</f>
        <v/>
      </c>
      <c r="I163" s="39" t="str" cm="1">
        <f t="array" ref="I163">IFERROR(INDEX(Table_dim_price_recipe[Retail Price], MATCH(1, ("Calculator"&lt;&gt;Table_dim_price_recipe[Type.display])*($L163=Table_dim_price_recipe[Category])*($D163=Table_dim_price_recipe[Item Description]) * (I$6=Table_dim_price_recipe[Type])*(Table_dim_price_recipe[Retail Price]&lt;&gt;0)*($C163=Table_dim_price_recipe[Subcategory]), 0))*$B163,"")</f>
        <v/>
      </c>
      <c r="J163" s="39" t="str" cm="1">
        <f t="array" ref="J163">IFERROR(INDEX(Table_dim_price_recipe[Retail Price], MATCH(1, ("Calculator"&lt;&gt;Table_dim_price_recipe[Type.display])*($L163=Table_dim_price_recipe[Category])*($D163=Table_dim_price_recipe[Item Description]) * (J$6=Table_dim_price_recipe[Type])*(Table_dim_price_recipe[Retail Price]&lt;&gt;0)*($C163=Table_dim_price_recipe[Subcategory]), 0))*$B163,"")</f>
        <v/>
      </c>
      <c r="K163" s="39" t="str" cm="1">
        <f t="array" ref="K163">IFERROR(INDEX(Table_dim_price_recipe[Retail Price], MATCH(1, ("Calculator"&lt;&gt;Table_dim_price_recipe[Type.display])*($L163=Table_dim_price_recipe[Category])*($D163=Table_dim_price_recipe[Item Description]) * (K$6=Table_dim_price_recipe[Type])*(Table_dim_price_recipe[Retail Price]&lt;&gt;0)*($C163=Table_dim_price_recipe[Subcategory]), 0))*$B163,"")</f>
        <v/>
      </c>
      <c r="L163" s="39" t="str" cm="1">
        <f t="array" ref="L163">IF($A163&lt;&gt;"", $A163, LOOKUP(2, 1/((A$7:INDEX(A:A, ROW()))&lt;&gt;""), A$7:INDEX(A:A, ROW())))</f>
        <v>MAIN BEAMS</v>
      </c>
      <c r="M163" s="20"/>
    </row>
    <row r="164" spans="1:13" ht="15.75" thickTop="1">
      <c r="A164" s="263"/>
      <c r="B164" s="263"/>
      <c r="C164" s="263" t="s">
        <v>294</v>
      </c>
      <c r="D164" s="263"/>
      <c r="E164" s="263"/>
      <c r="F164" s="263"/>
      <c r="G164" s="39" t="str" cm="1">
        <f t="array" ref="G164">IFERROR(INDEX(Table_dim_price_recipe[Retail Price], MATCH(1, ("Calculator"&lt;&gt;Table_dim_price_recipe[Type.display])*($L164=Table_dim_price_recipe[Category])*($D164=Table_dim_price_recipe[Item Description]) * (G$6=Table_dim_price_recipe[Type])*(Table_dim_price_recipe[Retail Price]&lt;&gt;0)*($C164=Table_dim_price_recipe[Subcategory]), 0))*$B164,"")</f>
        <v/>
      </c>
      <c r="H164" s="39" t="str" cm="1">
        <f t="array" ref="H164">IFERROR(INDEX(Table_dim_price_recipe[Retail Price], MATCH(1, ("Calculator"&lt;&gt;Table_dim_price_recipe[Type.display])*($L164=Table_dim_price_recipe[Category])*($D164=Table_dim_price_recipe[Item Description]) * (H$6=Table_dim_price_recipe[Type])*(Table_dim_price_recipe[Retail Price]&lt;&gt;0)*($C164=Table_dim_price_recipe[Subcategory]), 0))*$B164,"")</f>
        <v/>
      </c>
      <c r="I164" s="39" t="str" cm="1">
        <f t="array" ref="I164">IFERROR(INDEX(Table_dim_price_recipe[Retail Price], MATCH(1, ("Calculator"&lt;&gt;Table_dim_price_recipe[Type.display])*($L164=Table_dim_price_recipe[Category])*($D164=Table_dim_price_recipe[Item Description]) * (I$6=Table_dim_price_recipe[Type])*(Table_dim_price_recipe[Retail Price]&lt;&gt;0)*($C164=Table_dim_price_recipe[Subcategory]), 0))*$B164,"")</f>
        <v/>
      </c>
      <c r="J164" s="39" t="str" cm="1">
        <f t="array" ref="J164">IFERROR(INDEX(Table_dim_price_recipe[Retail Price], MATCH(1, ("Calculator"&lt;&gt;Table_dim_price_recipe[Type.display])*($L164=Table_dim_price_recipe[Category])*($D164=Table_dim_price_recipe[Item Description]) * (J$6=Table_dim_price_recipe[Type])*(Table_dim_price_recipe[Retail Price]&lt;&gt;0)*($C164=Table_dim_price_recipe[Subcategory]), 0))*$B164,"")</f>
        <v/>
      </c>
      <c r="K164" s="39" t="str" cm="1">
        <f t="array" ref="K164">IFERROR(INDEX(Table_dim_price_recipe[Retail Price], MATCH(1, ("Calculator"&lt;&gt;Table_dim_price_recipe[Type.display])*($L164=Table_dim_price_recipe[Category])*($D164=Table_dim_price_recipe[Item Description]) * (K$6=Table_dim_price_recipe[Type])*(Table_dim_price_recipe[Retail Price]&lt;&gt;0)*($C164=Table_dim_price_recipe[Subcategory]), 0))*$B164,"")</f>
        <v/>
      </c>
      <c r="L164" s="39" t="str" cm="1">
        <f t="array" ref="L164">IF($A164&lt;&gt;"", $A164, LOOKUP(2, 1/((A$7:INDEX(A:A, ROW()))&lt;&gt;""), A$7:INDEX(A:A, ROW())))</f>
        <v>MAIN BEAMS</v>
      </c>
      <c r="M164" s="19"/>
    </row>
    <row r="165" spans="1:13">
      <c r="A165" s="263"/>
      <c r="B165" s="263"/>
      <c r="C165" s="263" t="s">
        <v>319</v>
      </c>
      <c r="D165" s="263" t="s">
        <v>1128</v>
      </c>
      <c r="E165" s="263"/>
      <c r="F165" s="263"/>
      <c r="G165" s="39" cm="1">
        <f t="array" ref="G165">IFERROR(INDEX(Table_dim_price_recipe[Retail Price], MATCH(1, ("Calculator"&lt;&gt;Table_dim_price_recipe[Type.display])*($L165=Table_dim_price_recipe[Category])*($D165=Table_dim_price_recipe[Item Description]) * (G$6=Table_dim_price_recipe[Type])*(Table_dim_price_recipe[Retail Price]&lt;&gt;0)*($C165=Table_dim_price_recipe[Subcategory]), 0))*$B165,"")</f>
        <v>0</v>
      </c>
      <c r="H165" s="39" t="str" cm="1">
        <f t="array" ref="H165">IFERROR(INDEX(Table_dim_price_recipe[Retail Price], MATCH(1, ("Calculator"&lt;&gt;Table_dim_price_recipe[Type.display])*($L165=Table_dim_price_recipe[Category])*($D165=Table_dim_price_recipe[Item Description]) * (H$6=Table_dim_price_recipe[Type])*(Table_dim_price_recipe[Retail Price]&lt;&gt;0)*($C165=Table_dim_price_recipe[Subcategory]), 0))*$B165,"")</f>
        <v/>
      </c>
      <c r="I165" s="39" t="str" cm="1">
        <f t="array" ref="I165">IFERROR(INDEX(Table_dim_price_recipe[Retail Price], MATCH(1, ("Calculator"&lt;&gt;Table_dim_price_recipe[Type.display])*($L165=Table_dim_price_recipe[Category])*($D165=Table_dim_price_recipe[Item Description]) * (I$6=Table_dim_price_recipe[Type])*(Table_dim_price_recipe[Retail Price]&lt;&gt;0)*($C165=Table_dim_price_recipe[Subcategory]), 0))*$B165,"")</f>
        <v/>
      </c>
      <c r="J165" s="39" t="str" cm="1">
        <f t="array" ref="J165">IFERROR(INDEX(Table_dim_price_recipe[Retail Price], MATCH(1, ("Calculator"&lt;&gt;Table_dim_price_recipe[Type.display])*($L165=Table_dim_price_recipe[Category])*($D165=Table_dim_price_recipe[Item Description]) * (J$6=Table_dim_price_recipe[Type])*(Table_dim_price_recipe[Retail Price]&lt;&gt;0)*($C165=Table_dim_price_recipe[Subcategory]), 0))*$B165,"")</f>
        <v/>
      </c>
      <c r="K165" s="39" t="str" cm="1">
        <f t="array" ref="K165">IFERROR(INDEX(Table_dim_price_recipe[Retail Price], MATCH(1, ("Calculator"&lt;&gt;Table_dim_price_recipe[Type.display])*($L165=Table_dim_price_recipe[Category])*($D165=Table_dim_price_recipe[Item Description]) * (K$6=Table_dim_price_recipe[Type])*(Table_dim_price_recipe[Retail Price]&lt;&gt;0)*($C165=Table_dim_price_recipe[Subcategory]), 0))*$B165,"")</f>
        <v/>
      </c>
      <c r="L165" s="39" t="str" cm="1">
        <f t="array" ref="L165">IF($A165&lt;&gt;"", $A165, LOOKUP(2, 1/((A$7:INDEX(A:A, ROW()))&lt;&gt;""), A$7:INDEX(A:A, ROW())))</f>
        <v>MAIN BEAMS</v>
      </c>
      <c r="M165" s="211"/>
    </row>
    <row r="166" spans="1:13">
      <c r="A166" s="263"/>
      <c r="B166" s="263"/>
      <c r="C166" s="263" t="s">
        <v>319</v>
      </c>
      <c r="D166" s="263" t="s">
        <v>1129</v>
      </c>
      <c r="E166" s="263"/>
      <c r="F166" s="263"/>
      <c r="G166" s="39" cm="1">
        <f t="array" ref="G166">IFERROR(INDEX(Table_dim_price_recipe[Retail Price], MATCH(1, ("Calculator"&lt;&gt;Table_dim_price_recipe[Type.display])*($L166=Table_dim_price_recipe[Category])*($D166=Table_dim_price_recipe[Item Description]) * (G$6=Table_dim_price_recipe[Type])*(Table_dim_price_recipe[Retail Price]&lt;&gt;0)*($C166=Table_dim_price_recipe[Subcategory]), 0))*$B166,"")</f>
        <v>0</v>
      </c>
      <c r="H166" s="39" t="str" cm="1">
        <f t="array" ref="H166">IFERROR(INDEX(Table_dim_price_recipe[Retail Price], MATCH(1, ("Calculator"&lt;&gt;Table_dim_price_recipe[Type.display])*($L166=Table_dim_price_recipe[Category])*($D166=Table_dim_price_recipe[Item Description]) * (H$6=Table_dim_price_recipe[Type])*(Table_dim_price_recipe[Retail Price]&lt;&gt;0)*($C166=Table_dim_price_recipe[Subcategory]), 0))*$B166,"")</f>
        <v/>
      </c>
      <c r="I166" s="39" t="str" cm="1">
        <f t="array" ref="I166">IFERROR(INDEX(Table_dim_price_recipe[Retail Price], MATCH(1, ("Calculator"&lt;&gt;Table_dim_price_recipe[Type.display])*($L166=Table_dim_price_recipe[Category])*($D166=Table_dim_price_recipe[Item Description]) * (I$6=Table_dim_price_recipe[Type])*(Table_dim_price_recipe[Retail Price]&lt;&gt;0)*($C166=Table_dim_price_recipe[Subcategory]), 0))*$B166,"")</f>
        <v/>
      </c>
      <c r="J166" s="39" t="str" cm="1">
        <f t="array" ref="J166">IFERROR(INDEX(Table_dim_price_recipe[Retail Price], MATCH(1, ("Calculator"&lt;&gt;Table_dim_price_recipe[Type.display])*($L166=Table_dim_price_recipe[Category])*($D166=Table_dim_price_recipe[Item Description]) * (J$6=Table_dim_price_recipe[Type])*(Table_dim_price_recipe[Retail Price]&lt;&gt;0)*($C166=Table_dim_price_recipe[Subcategory]), 0))*$B166,"")</f>
        <v/>
      </c>
      <c r="K166" s="39" t="str" cm="1">
        <f t="array" ref="K166">IFERROR(INDEX(Table_dim_price_recipe[Retail Price], MATCH(1, ("Calculator"&lt;&gt;Table_dim_price_recipe[Type.display])*($L166=Table_dim_price_recipe[Category])*($D166=Table_dim_price_recipe[Item Description]) * (K$6=Table_dim_price_recipe[Type])*(Table_dim_price_recipe[Retail Price]&lt;&gt;0)*($C166=Table_dim_price_recipe[Subcategory]), 0))*$B166,"")</f>
        <v/>
      </c>
      <c r="L166" s="39" t="str" cm="1">
        <f t="array" ref="L166">IF($A166&lt;&gt;"", $A166, LOOKUP(2, 1/((A$7:INDEX(A:A, ROW()))&lt;&gt;""), A$7:INDEX(A:A, ROW())))</f>
        <v>MAIN BEAMS</v>
      </c>
      <c r="M166" s="211">
        <v>5</v>
      </c>
    </row>
    <row r="167" spans="1:13">
      <c r="A167" s="263"/>
      <c r="B167" s="263"/>
      <c r="C167" s="263" t="s">
        <v>319</v>
      </c>
      <c r="D167" s="263" t="s">
        <v>1130</v>
      </c>
      <c r="E167" s="263"/>
      <c r="F167" s="263"/>
      <c r="G167" s="39" cm="1">
        <f t="array" ref="G167">IFERROR(INDEX(Table_dim_price_recipe[Retail Price], MATCH(1, ("Calculator"&lt;&gt;Table_dim_price_recipe[Type.display])*($L167=Table_dim_price_recipe[Category])*($D167=Table_dim_price_recipe[Item Description]) * (G$6=Table_dim_price_recipe[Type])*(Table_dim_price_recipe[Retail Price]&lt;&gt;0)*($C167=Table_dim_price_recipe[Subcategory]), 0))*$B167,"")</f>
        <v>0</v>
      </c>
      <c r="H167" s="39" t="str" cm="1">
        <f t="array" ref="H167">IFERROR(INDEX(Table_dim_price_recipe[Retail Price], MATCH(1, ("Calculator"&lt;&gt;Table_dim_price_recipe[Type.display])*($L167=Table_dim_price_recipe[Category])*($D167=Table_dim_price_recipe[Item Description]) * (H$6=Table_dim_price_recipe[Type])*(Table_dim_price_recipe[Retail Price]&lt;&gt;0)*($C167=Table_dim_price_recipe[Subcategory]), 0))*$B167,"")</f>
        <v/>
      </c>
      <c r="I167" s="39" t="str" cm="1">
        <f t="array" ref="I167">IFERROR(INDEX(Table_dim_price_recipe[Retail Price], MATCH(1, ("Calculator"&lt;&gt;Table_dim_price_recipe[Type.display])*($L167=Table_dim_price_recipe[Category])*($D167=Table_dim_price_recipe[Item Description]) * (I$6=Table_dim_price_recipe[Type])*(Table_dim_price_recipe[Retail Price]&lt;&gt;0)*($C167=Table_dim_price_recipe[Subcategory]), 0))*$B167,"")</f>
        <v/>
      </c>
      <c r="J167" s="39" t="str" cm="1">
        <f t="array" ref="J167">IFERROR(INDEX(Table_dim_price_recipe[Retail Price], MATCH(1, ("Calculator"&lt;&gt;Table_dim_price_recipe[Type.display])*($L167=Table_dim_price_recipe[Category])*($D167=Table_dim_price_recipe[Item Description]) * (J$6=Table_dim_price_recipe[Type])*(Table_dim_price_recipe[Retail Price]&lt;&gt;0)*($C167=Table_dim_price_recipe[Subcategory]), 0))*$B167,"")</f>
        <v/>
      </c>
      <c r="K167" s="39" t="str" cm="1">
        <f t="array" ref="K167">IFERROR(INDEX(Table_dim_price_recipe[Retail Price], MATCH(1, ("Calculator"&lt;&gt;Table_dim_price_recipe[Type.display])*($L167=Table_dim_price_recipe[Category])*($D167=Table_dim_price_recipe[Item Description]) * (K$6=Table_dim_price_recipe[Type])*(Table_dim_price_recipe[Retail Price]&lt;&gt;0)*($C167=Table_dim_price_recipe[Subcategory]), 0))*$B167,"")</f>
        <v/>
      </c>
      <c r="L167" s="39" t="str" cm="1">
        <f t="array" ref="L167">IF($A167&lt;&gt;"", $A167, LOOKUP(2, 1/((A$7:INDEX(A:A, ROW()))&lt;&gt;""), A$7:INDEX(A:A, ROW())))</f>
        <v>MAIN BEAMS</v>
      </c>
      <c r="M167" s="211">
        <v>7</v>
      </c>
    </row>
    <row r="168" spans="1:13" ht="15.75" thickBot="1">
      <c r="A168" s="263"/>
      <c r="B168" s="263"/>
      <c r="C168" s="263" t="s">
        <v>319</v>
      </c>
      <c r="D168" s="263" t="s">
        <v>1131</v>
      </c>
      <c r="E168" s="263"/>
      <c r="F168" s="263"/>
      <c r="G168" s="39" cm="1">
        <f t="array" ref="G168">IFERROR(INDEX(Table_dim_price_recipe[Retail Price], MATCH(1, ("Calculator"&lt;&gt;Table_dim_price_recipe[Type.display])*($L168=Table_dim_price_recipe[Category])*($D168=Table_dim_price_recipe[Item Description]) * (G$6=Table_dim_price_recipe[Type])*(Table_dim_price_recipe[Retail Price]&lt;&gt;0)*($C168=Table_dim_price_recipe[Subcategory]), 0))*$B168,"")</f>
        <v>0</v>
      </c>
      <c r="H168" s="39" t="str" cm="1">
        <f t="array" ref="H168">IFERROR(INDEX(Table_dim_price_recipe[Retail Price], MATCH(1, ("Calculator"&lt;&gt;Table_dim_price_recipe[Type.display])*($L168=Table_dim_price_recipe[Category])*($D168=Table_dim_price_recipe[Item Description]) * (H$6=Table_dim_price_recipe[Type])*(Table_dim_price_recipe[Retail Price]&lt;&gt;0)*($C168=Table_dim_price_recipe[Subcategory]), 0))*$B168,"")</f>
        <v/>
      </c>
      <c r="I168" s="39" t="str" cm="1">
        <f t="array" ref="I168">IFERROR(INDEX(Table_dim_price_recipe[Retail Price], MATCH(1, ("Calculator"&lt;&gt;Table_dim_price_recipe[Type.display])*($L168=Table_dim_price_recipe[Category])*($D168=Table_dim_price_recipe[Item Description]) * (I$6=Table_dim_price_recipe[Type])*(Table_dim_price_recipe[Retail Price]&lt;&gt;0)*($C168=Table_dim_price_recipe[Subcategory]), 0))*$B168,"")</f>
        <v/>
      </c>
      <c r="J168" s="39" t="str" cm="1">
        <f t="array" ref="J168">IFERROR(INDEX(Table_dim_price_recipe[Retail Price], MATCH(1, ("Calculator"&lt;&gt;Table_dim_price_recipe[Type.display])*($L168=Table_dim_price_recipe[Category])*($D168=Table_dim_price_recipe[Item Description]) * (J$6=Table_dim_price_recipe[Type])*(Table_dim_price_recipe[Retail Price]&lt;&gt;0)*($C168=Table_dim_price_recipe[Subcategory]), 0))*$B168,"")</f>
        <v/>
      </c>
      <c r="K168" s="39" t="str" cm="1">
        <f t="array" ref="K168">IFERROR(INDEX(Table_dim_price_recipe[Retail Price], MATCH(1, ("Calculator"&lt;&gt;Table_dim_price_recipe[Type.display])*($L168=Table_dim_price_recipe[Category])*($D168=Table_dim_price_recipe[Item Description]) * (K$6=Table_dim_price_recipe[Type])*(Table_dim_price_recipe[Retail Price]&lt;&gt;0)*($C168=Table_dim_price_recipe[Subcategory]), 0))*$B168,"")</f>
        <v/>
      </c>
      <c r="L168" s="39" t="str" cm="1">
        <f t="array" ref="L168">IF($A168&lt;&gt;"", $A168, LOOKUP(2, 1/((A$7:INDEX(A:A, ROW()))&lt;&gt;""), A$7:INDEX(A:A, ROW())))</f>
        <v>MAIN BEAMS</v>
      </c>
      <c r="M168" s="212"/>
    </row>
    <row r="169" spans="1:13" ht="15.75" thickTop="1">
      <c r="A169" s="263"/>
      <c r="B169" s="263"/>
      <c r="C169" s="263" t="s">
        <v>319</v>
      </c>
      <c r="D169" s="263" t="s">
        <v>1132</v>
      </c>
      <c r="E169" s="263"/>
      <c r="F169" s="263"/>
      <c r="G169" s="39" cm="1">
        <f t="array" ref="G169">IFERROR(INDEX(Table_dim_price_recipe[Retail Price], MATCH(1, ("Calculator"&lt;&gt;Table_dim_price_recipe[Type.display])*($L169=Table_dim_price_recipe[Category])*($D169=Table_dim_price_recipe[Item Description]) * (G$6=Table_dim_price_recipe[Type])*(Table_dim_price_recipe[Retail Price]&lt;&gt;0)*($C169=Table_dim_price_recipe[Subcategory]), 0))*$B169,"")</f>
        <v>0</v>
      </c>
      <c r="H169" s="39" t="str" cm="1">
        <f t="array" ref="H169">IFERROR(INDEX(Table_dim_price_recipe[Retail Price], MATCH(1, ("Calculator"&lt;&gt;Table_dim_price_recipe[Type.display])*($L169=Table_dim_price_recipe[Category])*($D169=Table_dim_price_recipe[Item Description]) * (H$6=Table_dim_price_recipe[Type])*(Table_dim_price_recipe[Retail Price]&lt;&gt;0)*($C169=Table_dim_price_recipe[Subcategory]), 0))*$B169,"")</f>
        <v/>
      </c>
      <c r="I169" s="39" t="str" cm="1">
        <f t="array" ref="I169">IFERROR(INDEX(Table_dim_price_recipe[Retail Price], MATCH(1, ("Calculator"&lt;&gt;Table_dim_price_recipe[Type.display])*($L169=Table_dim_price_recipe[Category])*($D169=Table_dim_price_recipe[Item Description]) * (I$6=Table_dim_price_recipe[Type])*(Table_dim_price_recipe[Retail Price]&lt;&gt;0)*($C169=Table_dim_price_recipe[Subcategory]), 0))*$B169,"")</f>
        <v/>
      </c>
      <c r="J169" s="39" t="str" cm="1">
        <f t="array" ref="J169">IFERROR(INDEX(Table_dim_price_recipe[Retail Price], MATCH(1, ("Calculator"&lt;&gt;Table_dim_price_recipe[Type.display])*($L169=Table_dim_price_recipe[Category])*($D169=Table_dim_price_recipe[Item Description]) * (J$6=Table_dim_price_recipe[Type])*(Table_dim_price_recipe[Retail Price]&lt;&gt;0)*($C169=Table_dim_price_recipe[Subcategory]), 0))*$B169,"")</f>
        <v/>
      </c>
      <c r="K169" s="39" t="str" cm="1">
        <f t="array" ref="K169">IFERROR(INDEX(Table_dim_price_recipe[Retail Price], MATCH(1, ("Calculator"&lt;&gt;Table_dim_price_recipe[Type.display])*($L169=Table_dim_price_recipe[Category])*($D169=Table_dim_price_recipe[Item Description]) * (K$6=Table_dim_price_recipe[Type])*(Table_dim_price_recipe[Retail Price]&lt;&gt;0)*($C169=Table_dim_price_recipe[Subcategory]), 0))*$B169,"")</f>
        <v/>
      </c>
      <c r="L169" s="39" t="str" cm="1">
        <f t="array" ref="L169">IF($A169&lt;&gt;"", $A169, LOOKUP(2, 1/((A$7:INDEX(A:A, ROW()))&lt;&gt;""), A$7:INDEX(A:A, ROW())))</f>
        <v>MAIN BEAMS</v>
      </c>
    </row>
    <row r="170" spans="1:13">
      <c r="A170" s="263"/>
      <c r="B170" s="263"/>
      <c r="C170" s="263" t="s">
        <v>319</v>
      </c>
      <c r="D170" s="263"/>
      <c r="E170" s="263"/>
      <c r="F170" s="263"/>
      <c r="G170" s="39" t="str" cm="1">
        <f t="array" ref="G170">IFERROR(INDEX(Table_dim_price_recipe[Retail Price], MATCH(1, ("Calculator"&lt;&gt;Table_dim_price_recipe[Type.display])*($L170=Table_dim_price_recipe[Category])*($D170=Table_dim_price_recipe[Item Description]) * (G$6=Table_dim_price_recipe[Type])*(Table_dim_price_recipe[Retail Price]&lt;&gt;0)*($C170=Table_dim_price_recipe[Subcategory]), 0))*$B170,"")</f>
        <v/>
      </c>
      <c r="H170" s="39" t="str" cm="1">
        <f t="array" ref="H170">IFERROR(INDEX(Table_dim_price_recipe[Retail Price], MATCH(1, ("Calculator"&lt;&gt;Table_dim_price_recipe[Type.display])*($L170=Table_dim_price_recipe[Category])*($D170=Table_dim_price_recipe[Item Description]) * (H$6=Table_dim_price_recipe[Type])*(Table_dim_price_recipe[Retail Price]&lt;&gt;0)*($C170=Table_dim_price_recipe[Subcategory]), 0))*$B170,"")</f>
        <v/>
      </c>
      <c r="I170" s="39" t="str" cm="1">
        <f t="array" ref="I170">IFERROR(INDEX(Table_dim_price_recipe[Retail Price], MATCH(1, ("Calculator"&lt;&gt;Table_dim_price_recipe[Type.display])*($L170=Table_dim_price_recipe[Category])*($D170=Table_dim_price_recipe[Item Description]) * (I$6=Table_dim_price_recipe[Type])*(Table_dim_price_recipe[Retail Price]&lt;&gt;0)*($C170=Table_dim_price_recipe[Subcategory]), 0))*$B170,"")</f>
        <v/>
      </c>
      <c r="J170" s="39" t="str" cm="1">
        <f t="array" ref="J170">IFERROR(INDEX(Table_dim_price_recipe[Retail Price], MATCH(1, ("Calculator"&lt;&gt;Table_dim_price_recipe[Type.display])*($L170=Table_dim_price_recipe[Category])*($D170=Table_dim_price_recipe[Item Description]) * (J$6=Table_dim_price_recipe[Type])*(Table_dim_price_recipe[Retail Price]&lt;&gt;0)*($C170=Table_dim_price_recipe[Subcategory]), 0))*$B170,"")</f>
        <v/>
      </c>
      <c r="K170" s="39" t="str" cm="1">
        <f t="array" ref="K170">IFERROR(INDEX(Table_dim_price_recipe[Retail Price], MATCH(1, ("Calculator"&lt;&gt;Table_dim_price_recipe[Type.display])*($L170=Table_dim_price_recipe[Category])*($D170=Table_dim_price_recipe[Item Description]) * (K$6=Table_dim_price_recipe[Type])*(Table_dim_price_recipe[Retail Price]&lt;&gt;0)*($C170=Table_dim_price_recipe[Subcategory]), 0))*$B170,"")</f>
        <v/>
      </c>
      <c r="L170" s="39" t="str" cm="1">
        <f t="array" ref="L170">IF($A170&lt;&gt;"", $A170, LOOKUP(2, 1/((A$7:INDEX(A:A, ROW()))&lt;&gt;""), A$7:INDEX(A:A, ROW())))</f>
        <v>MAIN BEAMS</v>
      </c>
    </row>
    <row r="171" spans="1:13">
      <c r="A171" s="263"/>
      <c r="B171" s="263"/>
      <c r="C171" s="263" t="s">
        <v>319</v>
      </c>
      <c r="D171" s="263"/>
      <c r="E171" s="263"/>
      <c r="F171" s="263"/>
      <c r="G171" s="39" t="str" cm="1">
        <f t="array" ref="G171">IFERROR(INDEX(Table_dim_price_recipe[Retail Price], MATCH(1, ("Calculator"&lt;&gt;Table_dim_price_recipe[Type.display])*($L171=Table_dim_price_recipe[Category])*($D171=Table_dim_price_recipe[Item Description]) * (G$6=Table_dim_price_recipe[Type])*(Table_dim_price_recipe[Retail Price]&lt;&gt;0)*($C171=Table_dim_price_recipe[Subcategory]), 0))*$B171,"")</f>
        <v/>
      </c>
      <c r="H171" s="39" t="str" cm="1">
        <f t="array" ref="H171">IFERROR(INDEX(Table_dim_price_recipe[Retail Price], MATCH(1, ("Calculator"&lt;&gt;Table_dim_price_recipe[Type.display])*($L171=Table_dim_price_recipe[Category])*($D171=Table_dim_price_recipe[Item Description]) * (H$6=Table_dim_price_recipe[Type])*(Table_dim_price_recipe[Retail Price]&lt;&gt;0)*($C171=Table_dim_price_recipe[Subcategory]), 0))*$B171,"")</f>
        <v/>
      </c>
      <c r="I171" s="39" t="str" cm="1">
        <f t="array" ref="I171">IFERROR(INDEX(Table_dim_price_recipe[Retail Price], MATCH(1, ("Calculator"&lt;&gt;Table_dim_price_recipe[Type.display])*($L171=Table_dim_price_recipe[Category])*($D171=Table_dim_price_recipe[Item Description]) * (I$6=Table_dim_price_recipe[Type])*(Table_dim_price_recipe[Retail Price]&lt;&gt;0)*($C171=Table_dim_price_recipe[Subcategory]), 0))*$B171,"")</f>
        <v/>
      </c>
      <c r="J171" s="39" t="str" cm="1">
        <f t="array" ref="J171">IFERROR(INDEX(Table_dim_price_recipe[Retail Price], MATCH(1, ("Calculator"&lt;&gt;Table_dim_price_recipe[Type.display])*($L171=Table_dim_price_recipe[Category])*($D171=Table_dim_price_recipe[Item Description]) * (J$6=Table_dim_price_recipe[Type])*(Table_dim_price_recipe[Retail Price]&lt;&gt;0)*($C171=Table_dim_price_recipe[Subcategory]), 0))*$B171,"")</f>
        <v/>
      </c>
      <c r="K171" s="39" t="str" cm="1">
        <f t="array" ref="K171">IFERROR(INDEX(Table_dim_price_recipe[Retail Price], MATCH(1, ("Calculator"&lt;&gt;Table_dim_price_recipe[Type.display])*($L171=Table_dim_price_recipe[Category])*($D171=Table_dim_price_recipe[Item Description]) * (K$6=Table_dim_price_recipe[Type])*(Table_dim_price_recipe[Retail Price]&lt;&gt;0)*($C171=Table_dim_price_recipe[Subcategory]), 0))*$B171,"")</f>
        <v/>
      </c>
      <c r="L171" s="39" t="str" cm="1">
        <f t="array" ref="L171">IF($A171&lt;&gt;"", $A171, LOOKUP(2, 1/((A$7:INDEX(A:A, ROW()))&lt;&gt;""), A$7:INDEX(A:A, ROW())))</f>
        <v>MAIN BEAMS</v>
      </c>
    </row>
    <row r="172" spans="1:13">
      <c r="A172" s="260" t="s">
        <v>288</v>
      </c>
      <c r="B172" s="261"/>
      <c r="C172" s="261"/>
      <c r="D172" s="261"/>
      <c r="E172" s="261"/>
      <c r="F172" s="261"/>
      <c r="G172" s="262" t="str" cm="1">
        <f t="array" ref="G172">IFERROR(INDEX(Table_dim_price_recipe[Retail Price], MATCH(1, ("Calculator"&lt;&gt;Table_dim_price_recipe[Type.display])*($L172=Table_dim_price_recipe[Category])*($D172=Table_dim_price_recipe[Item Description]) * (G$6=Table_dim_price_recipe[Type])*(Table_dim_price_recipe[Retail Price]&lt;&gt;0)*($C172=Table_dim_price_recipe[Subcategory]), 0))*$B172,"")</f>
        <v/>
      </c>
      <c r="H172" s="262" t="str" cm="1">
        <f t="array" ref="H172">IFERROR(INDEX(Table_dim_price_recipe[Retail Price], MATCH(1, ("Calculator"&lt;&gt;Table_dim_price_recipe[Type.display])*($L172=Table_dim_price_recipe[Category])*($D172=Table_dim_price_recipe[Item Description]) * (H$6=Table_dim_price_recipe[Type])*(Table_dim_price_recipe[Retail Price]&lt;&gt;0)*($C172=Table_dim_price_recipe[Subcategory]), 0))*$B172,"")</f>
        <v/>
      </c>
      <c r="I172" s="262" t="str" cm="1">
        <f t="array" ref="I172">IFERROR(INDEX(Table_dim_price_recipe[Retail Price], MATCH(1, ("Calculator"&lt;&gt;Table_dim_price_recipe[Type.display])*($L172=Table_dim_price_recipe[Category])*($D172=Table_dim_price_recipe[Item Description]) * (I$6=Table_dim_price_recipe[Type])*(Table_dim_price_recipe[Retail Price]&lt;&gt;0)*($C172=Table_dim_price_recipe[Subcategory]), 0))*$B172,"")</f>
        <v/>
      </c>
      <c r="J172" s="262" t="str" cm="1">
        <f t="array" ref="J172">IFERROR(INDEX(Table_dim_price_recipe[Retail Price], MATCH(1, ("Calculator"&lt;&gt;Table_dim_price_recipe[Type.display])*($L172=Table_dim_price_recipe[Category])*($D172=Table_dim_price_recipe[Item Description]) * (J$6=Table_dim_price_recipe[Type])*(Table_dim_price_recipe[Retail Price]&lt;&gt;0)*($C172=Table_dim_price_recipe[Subcategory]), 0))*$B172,"")</f>
        <v/>
      </c>
      <c r="K172" s="262" t="str" cm="1">
        <f t="array" ref="K172">IFERROR(INDEX(Table_dim_price_recipe[Retail Price], MATCH(1, ("Calculator"&lt;&gt;Table_dim_price_recipe[Type.display])*($L172=Table_dim_price_recipe[Category])*($D172=Table_dim_price_recipe[Item Description]) * (K$6=Table_dim_price_recipe[Type])*(Table_dim_price_recipe[Retail Price]&lt;&gt;0)*($C172=Table_dim_price_recipe[Subcategory]), 0))*$B172,"")</f>
        <v/>
      </c>
      <c r="L172" s="262" t="str" cm="1">
        <f t="array" ref="L172">IF($A172&lt;&gt;"", $A172, LOOKUP(2, 1/((A$7:INDEX(A:A, ROW()))&lt;&gt;""), A$7:INDEX(A:A, ROW())))</f>
        <v>RAFTERS</v>
      </c>
    </row>
    <row r="173" spans="1:13">
      <c r="A173" s="263"/>
      <c r="B173" s="263"/>
      <c r="C173" s="263" t="s">
        <v>331</v>
      </c>
      <c r="D173" s="263" t="s">
        <v>32</v>
      </c>
      <c r="E173" s="263"/>
      <c r="F173" s="263"/>
      <c r="G173" s="39" cm="1">
        <f t="array" ref="G173">IFERROR(INDEX(Table_dim_price_recipe[Retail Price], MATCH(1, ("Calculator"&lt;&gt;Table_dim_price_recipe[Type.display])*($L173=Table_dim_price_recipe[Category])*($D173=Table_dim_price_recipe[Item Description]) * (G$6=Table_dim_price_recipe[Type])*(Table_dim_price_recipe[Retail Price]&lt;&gt;0)*($C173=Table_dim_price_recipe[Subcategory]), 0))*$B173,"")</f>
        <v>0</v>
      </c>
      <c r="H173" s="39" t="str" cm="1">
        <f t="array" ref="H173">IFERROR(INDEX(Table_dim_price_recipe[Retail Price], MATCH(1, ("Calculator"&lt;&gt;Table_dim_price_recipe[Type.display])*($L173=Table_dim_price_recipe[Category])*($D173=Table_dim_price_recipe[Item Description]) * (H$6=Table_dim_price_recipe[Type])*(Table_dim_price_recipe[Retail Price]&lt;&gt;0)*($C173=Table_dim_price_recipe[Subcategory]), 0))*$B173,"")</f>
        <v/>
      </c>
      <c r="I173" s="39" t="str" cm="1">
        <f t="array" ref="I173">IFERROR(INDEX(Table_dim_price_recipe[Retail Price], MATCH(1, ("Calculator"&lt;&gt;Table_dim_price_recipe[Type.display])*($L173=Table_dim_price_recipe[Category])*($D173=Table_dim_price_recipe[Item Description]) * (I$6=Table_dim_price_recipe[Type])*(Table_dim_price_recipe[Retail Price]&lt;&gt;0)*($C173=Table_dim_price_recipe[Subcategory]), 0))*$B173,"")</f>
        <v/>
      </c>
      <c r="J173" s="39" t="str" cm="1">
        <f t="array" ref="J173">IFERROR(INDEX(Table_dim_price_recipe[Retail Price], MATCH(1, ("Calculator"&lt;&gt;Table_dim_price_recipe[Type.display])*($L173=Table_dim_price_recipe[Category])*($D173=Table_dim_price_recipe[Item Description]) * (J$6=Table_dim_price_recipe[Type])*(Table_dim_price_recipe[Retail Price]&lt;&gt;0)*($C173=Table_dim_price_recipe[Subcategory]), 0))*$B173,"")</f>
        <v/>
      </c>
      <c r="K173" s="39" t="str" cm="1">
        <f t="array" ref="K173">IFERROR(INDEX(Table_dim_price_recipe[Retail Price], MATCH(1, ("Calculator"&lt;&gt;Table_dim_price_recipe[Type.display])*($L173=Table_dim_price_recipe[Category])*($D173=Table_dim_price_recipe[Item Description]) * (K$6=Table_dim_price_recipe[Type])*(Table_dim_price_recipe[Retail Price]&lt;&gt;0)*($C173=Table_dim_price_recipe[Subcategory]), 0))*$B173,"")</f>
        <v/>
      </c>
      <c r="L173" s="39" t="str" cm="1">
        <f t="array" ref="L173">IF($A173&lt;&gt;"", $A173, LOOKUP(2, 1/((A$7:INDEX(A:A, ROW()))&lt;&gt;""), A$7:INDEX(A:A, ROW())))</f>
        <v>RAFTERS</v>
      </c>
    </row>
    <row r="174" spans="1:13">
      <c r="A174" s="263"/>
      <c r="B174" s="263"/>
      <c r="C174" s="263" t="s">
        <v>331</v>
      </c>
      <c r="D174" s="263" t="s">
        <v>334</v>
      </c>
      <c r="E174" s="263"/>
      <c r="F174" s="263"/>
      <c r="G174" s="39" cm="1">
        <f t="array" ref="G174">IFERROR(INDEX(Table_dim_price_recipe[Retail Price], MATCH(1, ("Calculator"&lt;&gt;Table_dim_price_recipe[Type.display])*($L174=Table_dim_price_recipe[Category])*($D174=Table_dim_price_recipe[Item Description]) * (G$6=Table_dim_price_recipe[Type])*(Table_dim_price_recipe[Retail Price]&lt;&gt;0)*($C174=Table_dim_price_recipe[Subcategory]), 0))*$B174,"")</f>
        <v>0</v>
      </c>
      <c r="H174" s="39" t="str" cm="1">
        <f t="array" ref="H174">IFERROR(INDEX(Table_dim_price_recipe[Retail Price], MATCH(1, ("Calculator"&lt;&gt;Table_dim_price_recipe[Type.display])*($L174=Table_dim_price_recipe[Category])*($D174=Table_dim_price_recipe[Item Description]) * (H$6=Table_dim_price_recipe[Type])*(Table_dim_price_recipe[Retail Price]&lt;&gt;0)*($C174=Table_dim_price_recipe[Subcategory]), 0))*$B174,"")</f>
        <v/>
      </c>
      <c r="I174" s="39" t="str" cm="1">
        <f t="array" ref="I174">IFERROR(INDEX(Table_dim_price_recipe[Retail Price], MATCH(1, ("Calculator"&lt;&gt;Table_dim_price_recipe[Type.display])*($L174=Table_dim_price_recipe[Category])*($D174=Table_dim_price_recipe[Item Description]) * (I$6=Table_dim_price_recipe[Type])*(Table_dim_price_recipe[Retail Price]&lt;&gt;0)*($C174=Table_dim_price_recipe[Subcategory]), 0))*$B174,"")</f>
        <v/>
      </c>
      <c r="J174" s="39" t="str" cm="1">
        <f t="array" ref="J174">IFERROR(INDEX(Table_dim_price_recipe[Retail Price], MATCH(1, ("Calculator"&lt;&gt;Table_dim_price_recipe[Type.display])*($L174=Table_dim_price_recipe[Category])*($D174=Table_dim_price_recipe[Item Description]) * (J$6=Table_dim_price_recipe[Type])*(Table_dim_price_recipe[Retail Price]&lt;&gt;0)*($C174=Table_dim_price_recipe[Subcategory]), 0))*$B174,"")</f>
        <v/>
      </c>
      <c r="K174" s="39" t="str" cm="1">
        <f t="array" ref="K174">IFERROR(INDEX(Table_dim_price_recipe[Retail Price], MATCH(1, ("Calculator"&lt;&gt;Table_dim_price_recipe[Type.display])*($L174=Table_dim_price_recipe[Category])*($D174=Table_dim_price_recipe[Item Description]) * (K$6=Table_dim_price_recipe[Type])*(Table_dim_price_recipe[Retail Price]&lt;&gt;0)*($C174=Table_dim_price_recipe[Subcategory]), 0))*$B174,"")</f>
        <v/>
      </c>
      <c r="L174" s="39" t="str" cm="1">
        <f t="array" ref="L174">IF($A174&lt;&gt;"", $A174, LOOKUP(2, 1/((A$7:INDEX(A:A, ROW()))&lt;&gt;""), A$7:INDEX(A:A, ROW())))</f>
        <v>RAFTERS</v>
      </c>
    </row>
    <row r="175" spans="1:13">
      <c r="A175" s="263"/>
      <c r="B175" s="263"/>
      <c r="C175" s="263" t="s">
        <v>331</v>
      </c>
      <c r="D175" s="263" t="s">
        <v>333</v>
      </c>
      <c r="E175" s="263"/>
      <c r="F175" s="263"/>
      <c r="G175" s="39" cm="1">
        <f t="array" ref="G175">IFERROR(INDEX(Table_dim_price_recipe[Retail Price], MATCH(1, ("Calculator"&lt;&gt;Table_dim_price_recipe[Type.display])*($L175=Table_dim_price_recipe[Category])*($D175=Table_dim_price_recipe[Item Description]) * (G$6=Table_dim_price_recipe[Type])*(Table_dim_price_recipe[Retail Price]&lt;&gt;0)*($C175=Table_dim_price_recipe[Subcategory]), 0))*$B175,"")</f>
        <v>0</v>
      </c>
      <c r="H175" s="39" t="str" cm="1">
        <f t="array" ref="H175">IFERROR(INDEX(Table_dim_price_recipe[Retail Price], MATCH(1, ("Calculator"&lt;&gt;Table_dim_price_recipe[Type.display])*($L175=Table_dim_price_recipe[Category])*($D175=Table_dim_price_recipe[Item Description]) * (H$6=Table_dim_price_recipe[Type])*(Table_dim_price_recipe[Retail Price]&lt;&gt;0)*($C175=Table_dim_price_recipe[Subcategory]), 0))*$B175,"")</f>
        <v/>
      </c>
      <c r="I175" s="39" t="str" cm="1">
        <f t="array" ref="I175">IFERROR(INDEX(Table_dim_price_recipe[Retail Price], MATCH(1, ("Calculator"&lt;&gt;Table_dim_price_recipe[Type.display])*($L175=Table_dim_price_recipe[Category])*($D175=Table_dim_price_recipe[Item Description]) * (I$6=Table_dim_price_recipe[Type])*(Table_dim_price_recipe[Retail Price]&lt;&gt;0)*($C175=Table_dim_price_recipe[Subcategory]), 0))*$B175,"")</f>
        <v/>
      </c>
      <c r="J175" s="39" t="str" cm="1">
        <f t="array" ref="J175">IFERROR(INDEX(Table_dim_price_recipe[Retail Price], MATCH(1, ("Calculator"&lt;&gt;Table_dim_price_recipe[Type.display])*($L175=Table_dim_price_recipe[Category])*($D175=Table_dim_price_recipe[Item Description]) * (J$6=Table_dim_price_recipe[Type])*(Table_dim_price_recipe[Retail Price]&lt;&gt;0)*($C175=Table_dim_price_recipe[Subcategory]), 0))*$B175,"")</f>
        <v/>
      </c>
      <c r="K175" s="39" t="str" cm="1">
        <f t="array" ref="K175">IFERROR(INDEX(Table_dim_price_recipe[Retail Price], MATCH(1, ("Calculator"&lt;&gt;Table_dim_price_recipe[Type.display])*($L175=Table_dim_price_recipe[Category])*($D175=Table_dim_price_recipe[Item Description]) * (K$6=Table_dim_price_recipe[Type])*(Table_dim_price_recipe[Retail Price]&lt;&gt;0)*($C175=Table_dim_price_recipe[Subcategory]), 0))*$B175,"")</f>
        <v/>
      </c>
      <c r="L175" s="39" t="str" cm="1">
        <f t="array" ref="L175">IF($A175&lt;&gt;"", $A175, LOOKUP(2, 1/((A$7:INDEX(A:A, ROW()))&lt;&gt;""), A$7:INDEX(A:A, ROW())))</f>
        <v>RAFTERS</v>
      </c>
    </row>
    <row r="176" spans="1:13">
      <c r="A176" s="263"/>
      <c r="B176" s="263"/>
      <c r="C176" s="263" t="s">
        <v>331</v>
      </c>
      <c r="D176" s="263" t="s">
        <v>332</v>
      </c>
      <c r="E176" s="263"/>
      <c r="F176" s="263"/>
      <c r="G176" s="39" cm="1">
        <f t="array" ref="G176">IFERROR(INDEX(Table_dim_price_recipe[Retail Price], MATCH(1, ("Calculator"&lt;&gt;Table_dim_price_recipe[Type.display])*($L176=Table_dim_price_recipe[Category])*($D176=Table_dim_price_recipe[Item Description]) * (G$6=Table_dim_price_recipe[Type])*(Table_dim_price_recipe[Retail Price]&lt;&gt;0)*($C176=Table_dim_price_recipe[Subcategory]), 0))*$B176,"")</f>
        <v>0</v>
      </c>
      <c r="H176" s="39" t="str" cm="1">
        <f t="array" ref="H176">IFERROR(INDEX(Table_dim_price_recipe[Retail Price], MATCH(1, ("Calculator"&lt;&gt;Table_dim_price_recipe[Type.display])*($L176=Table_dim_price_recipe[Category])*($D176=Table_dim_price_recipe[Item Description]) * (H$6=Table_dim_price_recipe[Type])*(Table_dim_price_recipe[Retail Price]&lt;&gt;0)*($C176=Table_dim_price_recipe[Subcategory]), 0))*$B176,"")</f>
        <v/>
      </c>
      <c r="I176" s="39" t="str" cm="1">
        <f t="array" ref="I176">IFERROR(INDEX(Table_dim_price_recipe[Retail Price], MATCH(1, ("Calculator"&lt;&gt;Table_dim_price_recipe[Type.display])*($L176=Table_dim_price_recipe[Category])*($D176=Table_dim_price_recipe[Item Description]) * (I$6=Table_dim_price_recipe[Type])*(Table_dim_price_recipe[Retail Price]&lt;&gt;0)*($C176=Table_dim_price_recipe[Subcategory]), 0))*$B176,"")</f>
        <v/>
      </c>
      <c r="J176" s="39" t="str" cm="1">
        <f t="array" ref="J176">IFERROR(INDEX(Table_dim_price_recipe[Retail Price], MATCH(1, ("Calculator"&lt;&gt;Table_dim_price_recipe[Type.display])*($L176=Table_dim_price_recipe[Category])*($D176=Table_dim_price_recipe[Item Description]) * (J$6=Table_dim_price_recipe[Type])*(Table_dim_price_recipe[Retail Price]&lt;&gt;0)*($C176=Table_dim_price_recipe[Subcategory]), 0))*$B176,"")</f>
        <v/>
      </c>
      <c r="K176" s="39" t="str" cm="1">
        <f t="array" ref="K176">IFERROR(INDEX(Table_dim_price_recipe[Retail Price], MATCH(1, ("Calculator"&lt;&gt;Table_dim_price_recipe[Type.display])*($L176=Table_dim_price_recipe[Category])*($D176=Table_dim_price_recipe[Item Description]) * (K$6=Table_dim_price_recipe[Type])*(Table_dim_price_recipe[Retail Price]&lt;&gt;0)*($C176=Table_dim_price_recipe[Subcategory]), 0))*$B176,"")</f>
        <v/>
      </c>
      <c r="L176" s="39" t="str" cm="1">
        <f t="array" ref="L176">IF($A176&lt;&gt;"", $A176, LOOKUP(2, 1/((A$7:INDEX(A:A, ROW()))&lt;&gt;""), A$7:INDEX(A:A, ROW())))</f>
        <v>RAFTERS</v>
      </c>
    </row>
    <row r="177" spans="1:13">
      <c r="A177" s="263"/>
      <c r="B177" s="263"/>
      <c r="C177" s="263" t="s">
        <v>331</v>
      </c>
      <c r="D177" s="263" t="s">
        <v>338</v>
      </c>
      <c r="E177" s="263"/>
      <c r="F177" s="263"/>
      <c r="G177" s="39" cm="1">
        <f t="array" ref="G177">IFERROR(INDEX(Table_dim_price_recipe[Retail Price], MATCH(1, ("Calculator"&lt;&gt;Table_dim_price_recipe[Type.display])*($L177=Table_dim_price_recipe[Category])*($D177=Table_dim_price_recipe[Item Description]) * (G$6=Table_dim_price_recipe[Type])*(Table_dim_price_recipe[Retail Price]&lt;&gt;0)*($C177=Table_dim_price_recipe[Subcategory]), 0))*$B177,"")</f>
        <v>0</v>
      </c>
      <c r="H177" s="39" t="str" cm="1">
        <f t="array" ref="H177">IFERROR(INDEX(Table_dim_price_recipe[Retail Price], MATCH(1, ("Calculator"&lt;&gt;Table_dim_price_recipe[Type.display])*($L177=Table_dim_price_recipe[Category])*($D177=Table_dim_price_recipe[Item Description]) * (H$6=Table_dim_price_recipe[Type])*(Table_dim_price_recipe[Retail Price]&lt;&gt;0)*($C177=Table_dim_price_recipe[Subcategory]), 0))*$B177,"")</f>
        <v/>
      </c>
      <c r="I177" s="39" t="str" cm="1">
        <f t="array" ref="I177">IFERROR(INDEX(Table_dim_price_recipe[Retail Price], MATCH(1, ("Calculator"&lt;&gt;Table_dim_price_recipe[Type.display])*($L177=Table_dim_price_recipe[Category])*($D177=Table_dim_price_recipe[Item Description]) * (I$6=Table_dim_price_recipe[Type])*(Table_dim_price_recipe[Retail Price]&lt;&gt;0)*($C177=Table_dim_price_recipe[Subcategory]), 0))*$B177,"")</f>
        <v/>
      </c>
      <c r="J177" s="39" t="str" cm="1">
        <f t="array" ref="J177">IFERROR(INDEX(Table_dim_price_recipe[Retail Price], MATCH(1, ("Calculator"&lt;&gt;Table_dim_price_recipe[Type.display])*($L177=Table_dim_price_recipe[Category])*($D177=Table_dim_price_recipe[Item Description]) * (J$6=Table_dim_price_recipe[Type])*(Table_dim_price_recipe[Retail Price]&lt;&gt;0)*($C177=Table_dim_price_recipe[Subcategory]), 0))*$B177,"")</f>
        <v/>
      </c>
      <c r="K177" s="39" t="str" cm="1">
        <f t="array" ref="K177">IFERROR(INDEX(Table_dim_price_recipe[Retail Price], MATCH(1, ("Calculator"&lt;&gt;Table_dim_price_recipe[Type.display])*($L177=Table_dim_price_recipe[Category])*($D177=Table_dim_price_recipe[Item Description]) * (K$6=Table_dim_price_recipe[Type])*(Table_dim_price_recipe[Retail Price]&lt;&gt;0)*($C177=Table_dim_price_recipe[Subcategory]), 0))*$B177,"")</f>
        <v/>
      </c>
      <c r="L177" s="39" t="str" cm="1">
        <f t="array" ref="L177">IF($A177&lt;&gt;"", $A177, LOOKUP(2, 1/((A$7:INDEX(A:A, ROW()))&lt;&gt;""), A$7:INDEX(A:A, ROW())))</f>
        <v>RAFTERS</v>
      </c>
    </row>
    <row r="178" spans="1:13">
      <c r="A178" s="263"/>
      <c r="B178" s="263"/>
      <c r="C178" s="263" t="s">
        <v>331</v>
      </c>
      <c r="D178" s="263" t="s">
        <v>336</v>
      </c>
      <c r="E178" s="263"/>
      <c r="F178" s="263"/>
      <c r="G178" s="39" cm="1">
        <f t="array" ref="G178">IFERROR(INDEX(Table_dim_price_recipe[Retail Price], MATCH(1, ("Calculator"&lt;&gt;Table_dim_price_recipe[Type.display])*($L178=Table_dim_price_recipe[Category])*($D178=Table_dim_price_recipe[Item Description]) * (G$6=Table_dim_price_recipe[Type])*(Table_dim_price_recipe[Retail Price]&lt;&gt;0)*($C178=Table_dim_price_recipe[Subcategory]), 0))*$B178,"")</f>
        <v>0</v>
      </c>
      <c r="H178" s="39" t="str" cm="1">
        <f t="array" ref="H178">IFERROR(INDEX(Table_dim_price_recipe[Retail Price], MATCH(1, ("Calculator"&lt;&gt;Table_dim_price_recipe[Type.display])*($L178=Table_dim_price_recipe[Category])*($D178=Table_dim_price_recipe[Item Description]) * (H$6=Table_dim_price_recipe[Type])*(Table_dim_price_recipe[Retail Price]&lt;&gt;0)*($C178=Table_dim_price_recipe[Subcategory]), 0))*$B178,"")</f>
        <v/>
      </c>
      <c r="I178" s="39" t="str" cm="1">
        <f t="array" ref="I178">IFERROR(INDEX(Table_dim_price_recipe[Retail Price], MATCH(1, ("Calculator"&lt;&gt;Table_dim_price_recipe[Type.display])*($L178=Table_dim_price_recipe[Category])*($D178=Table_dim_price_recipe[Item Description]) * (I$6=Table_dim_price_recipe[Type])*(Table_dim_price_recipe[Retail Price]&lt;&gt;0)*($C178=Table_dim_price_recipe[Subcategory]), 0))*$B178,"")</f>
        <v/>
      </c>
      <c r="J178" s="39" t="str" cm="1">
        <f t="array" ref="J178">IFERROR(INDEX(Table_dim_price_recipe[Retail Price], MATCH(1, ("Calculator"&lt;&gt;Table_dim_price_recipe[Type.display])*($L178=Table_dim_price_recipe[Category])*($D178=Table_dim_price_recipe[Item Description]) * (J$6=Table_dim_price_recipe[Type])*(Table_dim_price_recipe[Retail Price]&lt;&gt;0)*($C178=Table_dim_price_recipe[Subcategory]), 0))*$B178,"")</f>
        <v/>
      </c>
      <c r="K178" s="39" t="str" cm="1">
        <f t="array" ref="K178">IFERROR(INDEX(Table_dim_price_recipe[Retail Price], MATCH(1, ("Calculator"&lt;&gt;Table_dim_price_recipe[Type.display])*($L178=Table_dim_price_recipe[Category])*($D178=Table_dim_price_recipe[Item Description]) * (K$6=Table_dim_price_recipe[Type])*(Table_dim_price_recipe[Retail Price]&lt;&gt;0)*($C178=Table_dim_price_recipe[Subcategory]), 0))*$B178,"")</f>
        <v/>
      </c>
      <c r="L178" s="39" t="str" cm="1">
        <f t="array" ref="L178">IF($A178&lt;&gt;"", $A178, LOOKUP(2, 1/((A$7:INDEX(A:A, ROW()))&lt;&gt;""), A$7:INDEX(A:A, ROW())))</f>
        <v>RAFTERS</v>
      </c>
    </row>
    <row r="179" spans="1:13">
      <c r="A179" s="263"/>
      <c r="B179" s="263"/>
      <c r="C179" s="263" t="s">
        <v>331</v>
      </c>
      <c r="D179" s="263" t="s">
        <v>337</v>
      </c>
      <c r="E179" s="263"/>
      <c r="F179" s="263"/>
      <c r="G179" s="39" cm="1">
        <f t="array" ref="G179">IFERROR(INDEX(Table_dim_price_recipe[Retail Price], MATCH(1, ("Calculator"&lt;&gt;Table_dim_price_recipe[Type.display])*($L179=Table_dim_price_recipe[Category])*($D179=Table_dim_price_recipe[Item Description]) * (G$6=Table_dim_price_recipe[Type])*(Table_dim_price_recipe[Retail Price]&lt;&gt;0)*($C179=Table_dim_price_recipe[Subcategory]), 0))*$B179,"")</f>
        <v>0</v>
      </c>
      <c r="H179" s="39" t="str" cm="1">
        <f t="array" ref="H179">IFERROR(INDEX(Table_dim_price_recipe[Retail Price], MATCH(1, ("Calculator"&lt;&gt;Table_dim_price_recipe[Type.display])*($L179=Table_dim_price_recipe[Category])*($D179=Table_dim_price_recipe[Item Description]) * (H$6=Table_dim_price_recipe[Type])*(Table_dim_price_recipe[Retail Price]&lt;&gt;0)*($C179=Table_dim_price_recipe[Subcategory]), 0))*$B179,"")</f>
        <v/>
      </c>
      <c r="I179" s="39" t="str" cm="1">
        <f t="array" ref="I179">IFERROR(INDEX(Table_dim_price_recipe[Retail Price], MATCH(1, ("Calculator"&lt;&gt;Table_dim_price_recipe[Type.display])*($L179=Table_dim_price_recipe[Category])*($D179=Table_dim_price_recipe[Item Description]) * (I$6=Table_dim_price_recipe[Type])*(Table_dim_price_recipe[Retail Price]&lt;&gt;0)*($C179=Table_dim_price_recipe[Subcategory]), 0))*$B179,"")</f>
        <v/>
      </c>
      <c r="J179" s="39" t="str" cm="1">
        <f t="array" ref="J179">IFERROR(INDEX(Table_dim_price_recipe[Retail Price], MATCH(1, ("Calculator"&lt;&gt;Table_dim_price_recipe[Type.display])*($L179=Table_dim_price_recipe[Category])*($D179=Table_dim_price_recipe[Item Description]) * (J$6=Table_dim_price_recipe[Type])*(Table_dim_price_recipe[Retail Price]&lt;&gt;0)*($C179=Table_dim_price_recipe[Subcategory]), 0))*$B179,"")</f>
        <v/>
      </c>
      <c r="K179" s="39" t="str" cm="1">
        <f t="array" ref="K179">IFERROR(INDEX(Table_dim_price_recipe[Retail Price], MATCH(1, ("Calculator"&lt;&gt;Table_dim_price_recipe[Type.display])*($L179=Table_dim_price_recipe[Category])*($D179=Table_dim_price_recipe[Item Description]) * (K$6=Table_dim_price_recipe[Type])*(Table_dim_price_recipe[Retail Price]&lt;&gt;0)*($C179=Table_dim_price_recipe[Subcategory]), 0))*$B179,"")</f>
        <v/>
      </c>
      <c r="L179" s="39" t="str" cm="1">
        <f t="array" ref="L179">IF($A179&lt;&gt;"", $A179, LOOKUP(2, 1/((A$7:INDEX(A:A, ROW()))&lt;&gt;""), A$7:INDEX(A:A, ROW())))</f>
        <v>RAFTERS</v>
      </c>
    </row>
    <row r="180" spans="1:13">
      <c r="A180" s="263"/>
      <c r="B180" s="263"/>
      <c r="C180" s="263" t="s">
        <v>331</v>
      </c>
      <c r="D180" s="263" t="s">
        <v>335</v>
      </c>
      <c r="E180" s="263"/>
      <c r="F180" s="263"/>
      <c r="G180" s="39" cm="1">
        <f t="array" ref="G180">IFERROR(INDEX(Table_dim_price_recipe[Retail Price], MATCH(1, ("Calculator"&lt;&gt;Table_dim_price_recipe[Type.display])*($L180=Table_dim_price_recipe[Category])*($D180=Table_dim_price_recipe[Item Description]) * (G$6=Table_dim_price_recipe[Type])*(Table_dim_price_recipe[Retail Price]&lt;&gt;0)*($C180=Table_dim_price_recipe[Subcategory]), 0))*$B180,"")</f>
        <v>0</v>
      </c>
      <c r="H180" s="39" t="str" cm="1">
        <f t="array" ref="H180">IFERROR(INDEX(Table_dim_price_recipe[Retail Price], MATCH(1, ("Calculator"&lt;&gt;Table_dim_price_recipe[Type.display])*($L180=Table_dim_price_recipe[Category])*($D180=Table_dim_price_recipe[Item Description]) * (H$6=Table_dim_price_recipe[Type])*(Table_dim_price_recipe[Retail Price]&lt;&gt;0)*($C180=Table_dim_price_recipe[Subcategory]), 0))*$B180,"")</f>
        <v/>
      </c>
      <c r="I180" s="39" t="str" cm="1">
        <f t="array" ref="I180">IFERROR(INDEX(Table_dim_price_recipe[Retail Price], MATCH(1, ("Calculator"&lt;&gt;Table_dim_price_recipe[Type.display])*($L180=Table_dim_price_recipe[Category])*($D180=Table_dim_price_recipe[Item Description]) * (I$6=Table_dim_price_recipe[Type])*(Table_dim_price_recipe[Retail Price]&lt;&gt;0)*($C180=Table_dim_price_recipe[Subcategory]), 0))*$B180,"")</f>
        <v/>
      </c>
      <c r="J180" s="39" t="str" cm="1">
        <f t="array" ref="J180">IFERROR(INDEX(Table_dim_price_recipe[Retail Price], MATCH(1, ("Calculator"&lt;&gt;Table_dim_price_recipe[Type.display])*($L180=Table_dim_price_recipe[Category])*($D180=Table_dim_price_recipe[Item Description]) * (J$6=Table_dim_price_recipe[Type])*(Table_dim_price_recipe[Retail Price]&lt;&gt;0)*($C180=Table_dim_price_recipe[Subcategory]), 0))*$B180,"")</f>
        <v/>
      </c>
      <c r="K180" s="39" t="str" cm="1">
        <f t="array" ref="K180">IFERROR(INDEX(Table_dim_price_recipe[Retail Price], MATCH(1, ("Calculator"&lt;&gt;Table_dim_price_recipe[Type.display])*($L180=Table_dim_price_recipe[Category])*($D180=Table_dim_price_recipe[Item Description]) * (K$6=Table_dim_price_recipe[Type])*(Table_dim_price_recipe[Retail Price]&lt;&gt;0)*($C180=Table_dim_price_recipe[Subcategory]), 0))*$B180,"")</f>
        <v/>
      </c>
      <c r="L180" s="39" t="str" cm="1">
        <f t="array" ref="L180">IF($A180&lt;&gt;"", $A180, LOOKUP(2, 1/((A$7:INDEX(A:A, ROW()))&lt;&gt;""), A$7:INDEX(A:A, ROW())))</f>
        <v>RAFTERS</v>
      </c>
      <c r="M180" s="17"/>
    </row>
    <row r="181" spans="1:13">
      <c r="A181" s="263"/>
      <c r="B181" s="263"/>
      <c r="C181" s="263" t="s">
        <v>331</v>
      </c>
      <c r="D181" s="263"/>
      <c r="E181" s="263"/>
      <c r="F181" s="263"/>
      <c r="G181" s="39" t="str" cm="1">
        <f t="array" ref="G181">IFERROR(INDEX(Table_dim_price_recipe[Retail Price], MATCH(1, ("Calculator"&lt;&gt;Table_dim_price_recipe[Type.display])*($L181=Table_dim_price_recipe[Category])*($D181=Table_dim_price_recipe[Item Description]) * (G$6=Table_dim_price_recipe[Type])*(Table_dim_price_recipe[Retail Price]&lt;&gt;0)*($C181=Table_dim_price_recipe[Subcategory]), 0))*$B181,"")</f>
        <v/>
      </c>
      <c r="H181" s="39" t="str" cm="1">
        <f t="array" ref="H181">IFERROR(INDEX(Table_dim_price_recipe[Retail Price], MATCH(1, ("Calculator"&lt;&gt;Table_dim_price_recipe[Type.display])*($L181=Table_dim_price_recipe[Category])*($D181=Table_dim_price_recipe[Item Description]) * (H$6=Table_dim_price_recipe[Type])*(Table_dim_price_recipe[Retail Price]&lt;&gt;0)*($C181=Table_dim_price_recipe[Subcategory]), 0))*$B181,"")</f>
        <v/>
      </c>
      <c r="I181" s="39" t="str" cm="1">
        <f t="array" ref="I181">IFERROR(INDEX(Table_dim_price_recipe[Retail Price], MATCH(1, ("Calculator"&lt;&gt;Table_dim_price_recipe[Type.display])*($L181=Table_dim_price_recipe[Category])*($D181=Table_dim_price_recipe[Item Description]) * (I$6=Table_dim_price_recipe[Type])*(Table_dim_price_recipe[Retail Price]&lt;&gt;0)*($C181=Table_dim_price_recipe[Subcategory]), 0))*$B181,"")</f>
        <v/>
      </c>
      <c r="J181" s="39" t="str" cm="1">
        <f t="array" ref="J181">IFERROR(INDEX(Table_dim_price_recipe[Retail Price], MATCH(1, ("Calculator"&lt;&gt;Table_dim_price_recipe[Type.display])*($L181=Table_dim_price_recipe[Category])*($D181=Table_dim_price_recipe[Item Description]) * (J$6=Table_dim_price_recipe[Type])*(Table_dim_price_recipe[Retail Price]&lt;&gt;0)*($C181=Table_dim_price_recipe[Subcategory]), 0))*$B181,"")</f>
        <v/>
      </c>
      <c r="K181" s="39" t="str" cm="1">
        <f t="array" ref="K181">IFERROR(INDEX(Table_dim_price_recipe[Retail Price], MATCH(1, ("Calculator"&lt;&gt;Table_dim_price_recipe[Type.display])*($L181=Table_dim_price_recipe[Category])*($D181=Table_dim_price_recipe[Item Description]) * (K$6=Table_dim_price_recipe[Type])*(Table_dim_price_recipe[Retail Price]&lt;&gt;0)*($C181=Table_dim_price_recipe[Subcategory]), 0))*$B181,"")</f>
        <v/>
      </c>
      <c r="L181" s="39" t="str" cm="1">
        <f t="array" ref="L181">IF($A181&lt;&gt;"", $A181, LOOKUP(2, 1/((A$7:INDEX(A:A, ROW()))&lt;&gt;""), A$7:INDEX(A:A, ROW())))</f>
        <v>RAFTERS</v>
      </c>
      <c r="M181" s="17"/>
    </row>
    <row r="182" spans="1:13" ht="15.75" thickBot="1">
      <c r="A182" s="263"/>
      <c r="B182" s="263"/>
      <c r="C182" s="263" t="s">
        <v>331</v>
      </c>
      <c r="D182" s="263"/>
      <c r="E182" s="263"/>
      <c r="F182" s="263"/>
      <c r="G182" s="39" t="str" cm="1">
        <f t="array" ref="G182">IFERROR(INDEX(Table_dim_price_recipe[Retail Price], MATCH(1, ("Calculator"&lt;&gt;Table_dim_price_recipe[Type.display])*($L182=Table_dim_price_recipe[Category])*($D182=Table_dim_price_recipe[Item Description]) * (G$6=Table_dim_price_recipe[Type])*(Table_dim_price_recipe[Retail Price]&lt;&gt;0)*($C182=Table_dim_price_recipe[Subcategory]), 0))*$B182,"")</f>
        <v/>
      </c>
      <c r="H182" s="39" t="str" cm="1">
        <f t="array" ref="H182">IFERROR(INDEX(Table_dim_price_recipe[Retail Price], MATCH(1, ("Calculator"&lt;&gt;Table_dim_price_recipe[Type.display])*($L182=Table_dim_price_recipe[Category])*($D182=Table_dim_price_recipe[Item Description]) * (H$6=Table_dim_price_recipe[Type])*(Table_dim_price_recipe[Retail Price]&lt;&gt;0)*($C182=Table_dim_price_recipe[Subcategory]), 0))*$B182,"")</f>
        <v/>
      </c>
      <c r="I182" s="39" t="str" cm="1">
        <f t="array" ref="I182">IFERROR(INDEX(Table_dim_price_recipe[Retail Price], MATCH(1, ("Calculator"&lt;&gt;Table_dim_price_recipe[Type.display])*($L182=Table_dim_price_recipe[Category])*($D182=Table_dim_price_recipe[Item Description]) * (I$6=Table_dim_price_recipe[Type])*(Table_dim_price_recipe[Retail Price]&lt;&gt;0)*($C182=Table_dim_price_recipe[Subcategory]), 0))*$B182,"")</f>
        <v/>
      </c>
      <c r="J182" s="39" t="str" cm="1">
        <f t="array" ref="J182">IFERROR(INDEX(Table_dim_price_recipe[Retail Price], MATCH(1, ("Calculator"&lt;&gt;Table_dim_price_recipe[Type.display])*($L182=Table_dim_price_recipe[Category])*($D182=Table_dim_price_recipe[Item Description]) * (J$6=Table_dim_price_recipe[Type])*(Table_dim_price_recipe[Retail Price]&lt;&gt;0)*($C182=Table_dim_price_recipe[Subcategory]), 0))*$B182,"")</f>
        <v/>
      </c>
      <c r="K182" s="39" t="str" cm="1">
        <f t="array" ref="K182">IFERROR(INDEX(Table_dim_price_recipe[Retail Price], MATCH(1, ("Calculator"&lt;&gt;Table_dim_price_recipe[Type.display])*($L182=Table_dim_price_recipe[Category])*($D182=Table_dim_price_recipe[Item Description]) * (K$6=Table_dim_price_recipe[Type])*(Table_dim_price_recipe[Retail Price]&lt;&gt;0)*($C182=Table_dim_price_recipe[Subcategory]), 0))*$B182,"")</f>
        <v/>
      </c>
      <c r="L182" s="39" t="str" cm="1">
        <f t="array" ref="L182">IF($A182&lt;&gt;"", $A182, LOOKUP(2, 1/((A$7:INDEX(A:A, ROW()))&lt;&gt;""), A$7:INDEX(A:A, ROW())))</f>
        <v>RAFTERS</v>
      </c>
      <c r="M182" s="18"/>
    </row>
    <row r="183" spans="1:13" ht="15.75" thickTop="1">
      <c r="A183" s="263"/>
      <c r="B183" s="263"/>
      <c r="C183" s="263" t="s">
        <v>155</v>
      </c>
      <c r="D183" s="263" t="s">
        <v>339</v>
      </c>
      <c r="E183" s="263"/>
      <c r="F183" s="263"/>
      <c r="G183" s="39" cm="1">
        <f t="array" ref="G183">IFERROR(INDEX(Table_dim_price_recipe[Retail Price], MATCH(1, ("Calculator"&lt;&gt;Table_dim_price_recipe[Type.display])*($L183=Table_dim_price_recipe[Category])*($D183=Table_dim_price_recipe[Item Description]) * (G$6=Table_dim_price_recipe[Type])*(Table_dim_price_recipe[Retail Price]&lt;&gt;0)*($C183=Table_dim_price_recipe[Subcategory]), 0))*$B183,"")</f>
        <v>0</v>
      </c>
      <c r="H183" s="39" t="str" cm="1">
        <f t="array" ref="H183">IFERROR(INDEX(Table_dim_price_recipe[Retail Price], MATCH(1, ("Calculator"&lt;&gt;Table_dim_price_recipe[Type.display])*($L183=Table_dim_price_recipe[Category])*($D183=Table_dim_price_recipe[Item Description]) * (H$6=Table_dim_price_recipe[Type])*(Table_dim_price_recipe[Retail Price]&lt;&gt;0)*($C183=Table_dim_price_recipe[Subcategory]), 0))*$B183,"")</f>
        <v/>
      </c>
      <c r="I183" s="39" t="str" cm="1">
        <f t="array" ref="I183">IFERROR(INDEX(Table_dim_price_recipe[Retail Price], MATCH(1, ("Calculator"&lt;&gt;Table_dim_price_recipe[Type.display])*($L183=Table_dim_price_recipe[Category])*($D183=Table_dim_price_recipe[Item Description]) * (I$6=Table_dim_price_recipe[Type])*(Table_dim_price_recipe[Retail Price]&lt;&gt;0)*($C183=Table_dim_price_recipe[Subcategory]), 0))*$B183,"")</f>
        <v/>
      </c>
      <c r="J183" s="39" t="str" cm="1">
        <f t="array" ref="J183">IFERROR(INDEX(Table_dim_price_recipe[Retail Price], MATCH(1, ("Calculator"&lt;&gt;Table_dim_price_recipe[Type.display])*($L183=Table_dim_price_recipe[Category])*($D183=Table_dim_price_recipe[Item Description]) * (J$6=Table_dim_price_recipe[Type])*(Table_dim_price_recipe[Retail Price]&lt;&gt;0)*($C183=Table_dim_price_recipe[Subcategory]), 0))*$B183,"")</f>
        <v/>
      </c>
      <c r="K183" s="39" t="str" cm="1">
        <f t="array" ref="K183">IFERROR(INDEX(Table_dim_price_recipe[Retail Price], MATCH(1, ("Calculator"&lt;&gt;Table_dim_price_recipe[Type.display])*($L183=Table_dim_price_recipe[Category])*($D183=Table_dim_price_recipe[Item Description]) * (K$6=Table_dim_price_recipe[Type])*(Table_dim_price_recipe[Retail Price]&lt;&gt;0)*($C183=Table_dim_price_recipe[Subcategory]), 0))*$B183,"")</f>
        <v/>
      </c>
      <c r="L183" s="39" t="str" cm="1">
        <f t="array" ref="L183">IF($A183&lt;&gt;"", $A183, LOOKUP(2, 1/((A$7:INDEX(A:A, ROW()))&lt;&gt;""), A$7:INDEX(A:A, ROW())))</f>
        <v>RAFTERS</v>
      </c>
      <c r="M183" s="213"/>
    </row>
    <row r="184" spans="1:13">
      <c r="A184" s="263"/>
      <c r="B184" s="263"/>
      <c r="C184" s="263" t="s">
        <v>155</v>
      </c>
      <c r="D184" s="263" t="s">
        <v>340</v>
      </c>
      <c r="E184" s="263"/>
      <c r="F184" s="263"/>
      <c r="G184" s="39" cm="1">
        <f t="array" ref="G184">IFERROR(INDEX(Table_dim_price_recipe[Retail Price], MATCH(1, ("Calculator"&lt;&gt;Table_dim_price_recipe[Type.display])*($L184=Table_dim_price_recipe[Category])*($D184=Table_dim_price_recipe[Item Description]) * (G$6=Table_dim_price_recipe[Type])*(Table_dim_price_recipe[Retail Price]&lt;&gt;0)*($C184=Table_dim_price_recipe[Subcategory]), 0))*$B184,"")</f>
        <v>0</v>
      </c>
      <c r="H184" s="39" t="str" cm="1">
        <f t="array" ref="H184">IFERROR(INDEX(Table_dim_price_recipe[Retail Price], MATCH(1, ("Calculator"&lt;&gt;Table_dim_price_recipe[Type.display])*($L184=Table_dim_price_recipe[Category])*($D184=Table_dim_price_recipe[Item Description]) * (H$6=Table_dim_price_recipe[Type])*(Table_dim_price_recipe[Retail Price]&lt;&gt;0)*($C184=Table_dim_price_recipe[Subcategory]), 0))*$B184,"")</f>
        <v/>
      </c>
      <c r="I184" s="39" t="str" cm="1">
        <f t="array" ref="I184">IFERROR(INDEX(Table_dim_price_recipe[Retail Price], MATCH(1, ("Calculator"&lt;&gt;Table_dim_price_recipe[Type.display])*($L184=Table_dim_price_recipe[Category])*($D184=Table_dim_price_recipe[Item Description]) * (I$6=Table_dim_price_recipe[Type])*(Table_dim_price_recipe[Retail Price]&lt;&gt;0)*($C184=Table_dim_price_recipe[Subcategory]), 0))*$B184,"")</f>
        <v/>
      </c>
      <c r="J184" s="39" t="str" cm="1">
        <f t="array" ref="J184">IFERROR(INDEX(Table_dim_price_recipe[Retail Price], MATCH(1, ("Calculator"&lt;&gt;Table_dim_price_recipe[Type.display])*($L184=Table_dim_price_recipe[Category])*($D184=Table_dim_price_recipe[Item Description]) * (J$6=Table_dim_price_recipe[Type])*(Table_dim_price_recipe[Retail Price]&lt;&gt;0)*($C184=Table_dim_price_recipe[Subcategory]), 0))*$B184,"")</f>
        <v/>
      </c>
      <c r="K184" s="39" t="str" cm="1">
        <f t="array" ref="K184">IFERROR(INDEX(Table_dim_price_recipe[Retail Price], MATCH(1, ("Calculator"&lt;&gt;Table_dim_price_recipe[Type.display])*($L184=Table_dim_price_recipe[Category])*($D184=Table_dim_price_recipe[Item Description]) * (K$6=Table_dim_price_recipe[Type])*(Table_dim_price_recipe[Retail Price]&lt;&gt;0)*($C184=Table_dim_price_recipe[Subcategory]), 0))*$B184,"")</f>
        <v/>
      </c>
      <c r="L184" s="39" t="str" cm="1">
        <f t="array" ref="L184">IF($A184&lt;&gt;"", $A184, LOOKUP(2, 1/((A$7:INDEX(A:A, ROW()))&lt;&gt;""), A$7:INDEX(A:A, ROW())))</f>
        <v>RAFTERS</v>
      </c>
      <c r="M184" s="211"/>
    </row>
    <row r="185" spans="1:13">
      <c r="A185" s="263"/>
      <c r="B185" s="263"/>
      <c r="C185" s="263" t="s">
        <v>155</v>
      </c>
      <c r="D185" s="263" t="s">
        <v>341</v>
      </c>
      <c r="E185" s="263"/>
      <c r="F185" s="263"/>
      <c r="G185" s="39" cm="1">
        <f t="array" ref="G185">IFERROR(INDEX(Table_dim_price_recipe[Retail Price], MATCH(1, ("Calculator"&lt;&gt;Table_dim_price_recipe[Type.display])*($L185=Table_dim_price_recipe[Category])*($D185=Table_dim_price_recipe[Item Description]) * (G$6=Table_dim_price_recipe[Type])*(Table_dim_price_recipe[Retail Price]&lt;&gt;0)*($C185=Table_dim_price_recipe[Subcategory]), 0))*$B185,"")</f>
        <v>0</v>
      </c>
      <c r="H185" s="39" t="str" cm="1">
        <f t="array" ref="H185">IFERROR(INDEX(Table_dim_price_recipe[Retail Price], MATCH(1, ("Calculator"&lt;&gt;Table_dim_price_recipe[Type.display])*($L185=Table_dim_price_recipe[Category])*($D185=Table_dim_price_recipe[Item Description]) * (H$6=Table_dim_price_recipe[Type])*(Table_dim_price_recipe[Retail Price]&lt;&gt;0)*($C185=Table_dim_price_recipe[Subcategory]), 0))*$B185,"")</f>
        <v/>
      </c>
      <c r="I185" s="39" t="str" cm="1">
        <f t="array" ref="I185">IFERROR(INDEX(Table_dim_price_recipe[Retail Price], MATCH(1, ("Calculator"&lt;&gt;Table_dim_price_recipe[Type.display])*($L185=Table_dim_price_recipe[Category])*($D185=Table_dim_price_recipe[Item Description]) * (I$6=Table_dim_price_recipe[Type])*(Table_dim_price_recipe[Retail Price]&lt;&gt;0)*($C185=Table_dim_price_recipe[Subcategory]), 0))*$B185,"")</f>
        <v/>
      </c>
      <c r="J185" s="39" t="str" cm="1">
        <f t="array" ref="J185">IFERROR(INDEX(Table_dim_price_recipe[Retail Price], MATCH(1, ("Calculator"&lt;&gt;Table_dim_price_recipe[Type.display])*($L185=Table_dim_price_recipe[Category])*($D185=Table_dim_price_recipe[Item Description]) * (J$6=Table_dim_price_recipe[Type])*(Table_dim_price_recipe[Retail Price]&lt;&gt;0)*($C185=Table_dim_price_recipe[Subcategory]), 0))*$B185,"")</f>
        <v/>
      </c>
      <c r="K185" s="39" t="str" cm="1">
        <f t="array" ref="K185">IFERROR(INDEX(Table_dim_price_recipe[Retail Price], MATCH(1, ("Calculator"&lt;&gt;Table_dim_price_recipe[Type.display])*($L185=Table_dim_price_recipe[Category])*($D185=Table_dim_price_recipe[Item Description]) * (K$6=Table_dim_price_recipe[Type])*(Table_dim_price_recipe[Retail Price]&lt;&gt;0)*($C185=Table_dim_price_recipe[Subcategory]), 0))*$B185,"")</f>
        <v/>
      </c>
      <c r="L185" s="39" t="str" cm="1">
        <f t="array" ref="L185">IF($A185&lt;&gt;"", $A185, LOOKUP(2, 1/((A$7:INDEX(A:A, ROW()))&lt;&gt;""), A$7:INDEX(A:A, ROW())))</f>
        <v>RAFTERS</v>
      </c>
      <c r="M185" s="211"/>
    </row>
    <row r="186" spans="1:13">
      <c r="A186" s="263"/>
      <c r="B186" s="263"/>
      <c r="C186" s="263" t="s">
        <v>155</v>
      </c>
      <c r="D186" s="263" t="s">
        <v>342</v>
      </c>
      <c r="E186" s="263"/>
      <c r="F186" s="263"/>
      <c r="G186" s="39" cm="1">
        <f t="array" ref="G186">IFERROR(INDEX(Table_dim_price_recipe[Retail Price], MATCH(1, ("Calculator"&lt;&gt;Table_dim_price_recipe[Type.display])*($L186=Table_dim_price_recipe[Category])*($D186=Table_dim_price_recipe[Item Description]) * (G$6=Table_dim_price_recipe[Type])*(Table_dim_price_recipe[Retail Price]&lt;&gt;0)*($C186=Table_dim_price_recipe[Subcategory]), 0))*$B186,"")</f>
        <v>0</v>
      </c>
      <c r="H186" s="39" t="str" cm="1">
        <f t="array" ref="H186">IFERROR(INDEX(Table_dim_price_recipe[Retail Price], MATCH(1, ("Calculator"&lt;&gt;Table_dim_price_recipe[Type.display])*($L186=Table_dim_price_recipe[Category])*($D186=Table_dim_price_recipe[Item Description]) * (H$6=Table_dim_price_recipe[Type])*(Table_dim_price_recipe[Retail Price]&lt;&gt;0)*($C186=Table_dim_price_recipe[Subcategory]), 0))*$B186,"")</f>
        <v/>
      </c>
      <c r="I186" s="39" t="str" cm="1">
        <f t="array" ref="I186">IFERROR(INDEX(Table_dim_price_recipe[Retail Price], MATCH(1, ("Calculator"&lt;&gt;Table_dim_price_recipe[Type.display])*($L186=Table_dim_price_recipe[Category])*($D186=Table_dim_price_recipe[Item Description]) * (I$6=Table_dim_price_recipe[Type])*(Table_dim_price_recipe[Retail Price]&lt;&gt;0)*($C186=Table_dim_price_recipe[Subcategory]), 0))*$B186,"")</f>
        <v/>
      </c>
      <c r="J186" s="39" t="str" cm="1">
        <f t="array" ref="J186">IFERROR(INDEX(Table_dim_price_recipe[Retail Price], MATCH(1, ("Calculator"&lt;&gt;Table_dim_price_recipe[Type.display])*($L186=Table_dim_price_recipe[Category])*($D186=Table_dim_price_recipe[Item Description]) * (J$6=Table_dim_price_recipe[Type])*(Table_dim_price_recipe[Retail Price]&lt;&gt;0)*($C186=Table_dim_price_recipe[Subcategory]), 0))*$B186,"")</f>
        <v/>
      </c>
      <c r="K186" s="39" t="str" cm="1">
        <f t="array" ref="K186">IFERROR(INDEX(Table_dim_price_recipe[Retail Price], MATCH(1, ("Calculator"&lt;&gt;Table_dim_price_recipe[Type.display])*($L186=Table_dim_price_recipe[Category])*($D186=Table_dim_price_recipe[Item Description]) * (K$6=Table_dim_price_recipe[Type])*(Table_dim_price_recipe[Retail Price]&lt;&gt;0)*($C186=Table_dim_price_recipe[Subcategory]), 0))*$B186,"")</f>
        <v/>
      </c>
      <c r="L186" s="39" t="str" cm="1">
        <f t="array" ref="L186">IF($A186&lt;&gt;"", $A186, LOOKUP(2, 1/((A$7:INDEX(A:A, ROW()))&lt;&gt;""), A$7:INDEX(A:A, ROW())))</f>
        <v>RAFTERS</v>
      </c>
      <c r="M186" s="211">
        <v>4</v>
      </c>
    </row>
    <row r="187" spans="1:13">
      <c r="A187" s="263"/>
      <c r="B187" s="263"/>
      <c r="C187" s="263" t="s">
        <v>155</v>
      </c>
      <c r="D187" s="263"/>
      <c r="E187" s="263"/>
      <c r="F187" s="263"/>
      <c r="G187" s="39" t="str" cm="1">
        <f t="array" ref="G187">IFERROR(INDEX(Table_dim_price_recipe[Retail Price], MATCH(1, ("Calculator"&lt;&gt;Table_dim_price_recipe[Type.display])*($L187=Table_dim_price_recipe[Category])*($D187=Table_dim_price_recipe[Item Description]) * (G$6=Table_dim_price_recipe[Type])*(Table_dim_price_recipe[Retail Price]&lt;&gt;0)*($C187=Table_dim_price_recipe[Subcategory]), 0))*$B187,"")</f>
        <v/>
      </c>
      <c r="H187" s="39" t="str" cm="1">
        <f t="array" ref="H187">IFERROR(INDEX(Table_dim_price_recipe[Retail Price], MATCH(1, ("Calculator"&lt;&gt;Table_dim_price_recipe[Type.display])*($L187=Table_dim_price_recipe[Category])*($D187=Table_dim_price_recipe[Item Description]) * (H$6=Table_dim_price_recipe[Type])*(Table_dim_price_recipe[Retail Price]&lt;&gt;0)*($C187=Table_dim_price_recipe[Subcategory]), 0))*$B187,"")</f>
        <v/>
      </c>
      <c r="I187" s="39" t="str" cm="1">
        <f t="array" ref="I187">IFERROR(INDEX(Table_dim_price_recipe[Retail Price], MATCH(1, ("Calculator"&lt;&gt;Table_dim_price_recipe[Type.display])*($L187=Table_dim_price_recipe[Category])*($D187=Table_dim_price_recipe[Item Description]) * (I$6=Table_dim_price_recipe[Type])*(Table_dim_price_recipe[Retail Price]&lt;&gt;0)*($C187=Table_dim_price_recipe[Subcategory]), 0))*$B187,"")</f>
        <v/>
      </c>
      <c r="J187" s="39" t="str" cm="1">
        <f t="array" ref="J187">IFERROR(INDEX(Table_dim_price_recipe[Retail Price], MATCH(1, ("Calculator"&lt;&gt;Table_dim_price_recipe[Type.display])*($L187=Table_dim_price_recipe[Category])*($D187=Table_dim_price_recipe[Item Description]) * (J$6=Table_dim_price_recipe[Type])*(Table_dim_price_recipe[Retail Price]&lt;&gt;0)*($C187=Table_dim_price_recipe[Subcategory]), 0))*$B187,"")</f>
        <v/>
      </c>
      <c r="K187" s="39" t="str" cm="1">
        <f t="array" ref="K187">IFERROR(INDEX(Table_dim_price_recipe[Retail Price], MATCH(1, ("Calculator"&lt;&gt;Table_dim_price_recipe[Type.display])*($L187=Table_dim_price_recipe[Category])*($D187=Table_dim_price_recipe[Item Description]) * (K$6=Table_dim_price_recipe[Type])*(Table_dim_price_recipe[Retail Price]&lt;&gt;0)*($C187=Table_dim_price_recipe[Subcategory]), 0))*$B187,"")</f>
        <v/>
      </c>
      <c r="L187" s="39" t="str" cm="1">
        <f t="array" ref="L187">IF($A187&lt;&gt;"", $A187, LOOKUP(2, 1/((A$7:INDEX(A:A, ROW()))&lt;&gt;""), A$7:INDEX(A:A, ROW())))</f>
        <v>RAFTERS</v>
      </c>
      <c r="M187" s="211">
        <v>5</v>
      </c>
    </row>
    <row r="188" spans="1:13">
      <c r="A188" s="263"/>
      <c r="B188" s="263"/>
      <c r="C188" s="263" t="s">
        <v>155</v>
      </c>
      <c r="D188" s="263"/>
      <c r="E188" s="263"/>
      <c r="F188" s="263"/>
      <c r="G188" s="39" t="str" cm="1">
        <f t="array" ref="G188">IFERROR(INDEX(Table_dim_price_recipe[Retail Price], MATCH(1, ("Calculator"&lt;&gt;Table_dim_price_recipe[Type.display])*($L188=Table_dim_price_recipe[Category])*($D188=Table_dim_price_recipe[Item Description]) * (G$6=Table_dim_price_recipe[Type])*(Table_dim_price_recipe[Retail Price]&lt;&gt;0)*($C188=Table_dim_price_recipe[Subcategory]), 0))*$B188,"")</f>
        <v/>
      </c>
      <c r="H188" s="39" t="str" cm="1">
        <f t="array" ref="H188">IFERROR(INDEX(Table_dim_price_recipe[Retail Price], MATCH(1, ("Calculator"&lt;&gt;Table_dim_price_recipe[Type.display])*($L188=Table_dim_price_recipe[Category])*($D188=Table_dim_price_recipe[Item Description]) * (H$6=Table_dim_price_recipe[Type])*(Table_dim_price_recipe[Retail Price]&lt;&gt;0)*($C188=Table_dim_price_recipe[Subcategory]), 0))*$B188,"")</f>
        <v/>
      </c>
      <c r="I188" s="39" t="str" cm="1">
        <f t="array" ref="I188">IFERROR(INDEX(Table_dim_price_recipe[Retail Price], MATCH(1, ("Calculator"&lt;&gt;Table_dim_price_recipe[Type.display])*($L188=Table_dim_price_recipe[Category])*($D188=Table_dim_price_recipe[Item Description]) * (I$6=Table_dim_price_recipe[Type])*(Table_dim_price_recipe[Retail Price]&lt;&gt;0)*($C188=Table_dim_price_recipe[Subcategory]), 0))*$B188,"")</f>
        <v/>
      </c>
      <c r="J188" s="39" t="str" cm="1">
        <f t="array" ref="J188">IFERROR(INDEX(Table_dim_price_recipe[Retail Price], MATCH(1, ("Calculator"&lt;&gt;Table_dim_price_recipe[Type.display])*($L188=Table_dim_price_recipe[Category])*($D188=Table_dim_price_recipe[Item Description]) * (J$6=Table_dim_price_recipe[Type])*(Table_dim_price_recipe[Retail Price]&lt;&gt;0)*($C188=Table_dim_price_recipe[Subcategory]), 0))*$B188,"")</f>
        <v/>
      </c>
      <c r="K188" s="39" t="str" cm="1">
        <f t="array" ref="K188">IFERROR(INDEX(Table_dim_price_recipe[Retail Price], MATCH(1, ("Calculator"&lt;&gt;Table_dim_price_recipe[Type.display])*($L188=Table_dim_price_recipe[Category])*($D188=Table_dim_price_recipe[Item Description]) * (K$6=Table_dim_price_recipe[Type])*(Table_dim_price_recipe[Retail Price]&lt;&gt;0)*($C188=Table_dim_price_recipe[Subcategory]), 0))*$B188,"")</f>
        <v/>
      </c>
      <c r="L188" s="39" t="str" cm="1">
        <f t="array" ref="L188">IF($A188&lt;&gt;"", $A188, LOOKUP(2, 1/((A$7:INDEX(A:A, ROW()))&lt;&gt;""), A$7:INDEX(A:A, ROW())))</f>
        <v>RAFTERS</v>
      </c>
      <c r="M188" s="211">
        <v>6</v>
      </c>
    </row>
    <row r="189" spans="1:13" ht="15.75" thickBot="1">
      <c r="A189" s="263"/>
      <c r="B189" s="263"/>
      <c r="C189" s="263" t="s">
        <v>343</v>
      </c>
      <c r="D189" s="263" t="s">
        <v>344</v>
      </c>
      <c r="E189" s="263"/>
      <c r="F189" s="263"/>
      <c r="G189" s="39" cm="1">
        <f t="array" ref="G189">IFERROR(INDEX(Table_dim_price_recipe[Retail Price], MATCH(1, ("Calculator"&lt;&gt;Table_dim_price_recipe[Type.display])*($L189=Table_dim_price_recipe[Category])*($D189=Table_dim_price_recipe[Item Description]) * (G$6=Table_dim_price_recipe[Type])*(Table_dim_price_recipe[Retail Price]&lt;&gt;0)*($C189=Table_dim_price_recipe[Subcategory]), 0))*$B189,"")</f>
        <v>0</v>
      </c>
      <c r="H189" s="39" t="str" cm="1">
        <f t="array" ref="H189">IFERROR(INDEX(Table_dim_price_recipe[Retail Price], MATCH(1, ("Calculator"&lt;&gt;Table_dim_price_recipe[Type.display])*($L189=Table_dim_price_recipe[Category])*($D189=Table_dim_price_recipe[Item Description]) * (H$6=Table_dim_price_recipe[Type])*(Table_dim_price_recipe[Retail Price]&lt;&gt;0)*($C189=Table_dim_price_recipe[Subcategory]), 0))*$B189,"")</f>
        <v/>
      </c>
      <c r="I189" s="39" t="str" cm="1">
        <f t="array" ref="I189">IFERROR(INDEX(Table_dim_price_recipe[Retail Price], MATCH(1, ("Calculator"&lt;&gt;Table_dim_price_recipe[Type.display])*($L189=Table_dim_price_recipe[Category])*($D189=Table_dim_price_recipe[Item Description]) * (I$6=Table_dim_price_recipe[Type])*(Table_dim_price_recipe[Retail Price]&lt;&gt;0)*($C189=Table_dim_price_recipe[Subcategory]), 0))*$B189,"")</f>
        <v/>
      </c>
      <c r="J189" s="39" t="str" cm="1">
        <f t="array" ref="J189">IFERROR(INDEX(Table_dim_price_recipe[Retail Price], MATCH(1, ("Calculator"&lt;&gt;Table_dim_price_recipe[Type.display])*($L189=Table_dim_price_recipe[Category])*($D189=Table_dim_price_recipe[Item Description]) * (J$6=Table_dim_price_recipe[Type])*(Table_dim_price_recipe[Retail Price]&lt;&gt;0)*($C189=Table_dim_price_recipe[Subcategory]), 0))*$B189,"")</f>
        <v/>
      </c>
      <c r="K189" s="39" t="str" cm="1">
        <f t="array" ref="K189">IFERROR(INDEX(Table_dim_price_recipe[Retail Price], MATCH(1, ("Calculator"&lt;&gt;Table_dim_price_recipe[Type.display])*($L189=Table_dim_price_recipe[Category])*($D189=Table_dim_price_recipe[Item Description]) * (K$6=Table_dim_price_recipe[Type])*(Table_dim_price_recipe[Retail Price]&lt;&gt;0)*($C189=Table_dim_price_recipe[Subcategory]), 0))*$B189,"")</f>
        <v/>
      </c>
      <c r="L189" s="39" t="str" cm="1">
        <f t="array" ref="L189">IF($A189&lt;&gt;"", $A189, LOOKUP(2, 1/((A$7:INDEX(A:A, ROW()))&lt;&gt;""), A$7:INDEX(A:A, ROW())))</f>
        <v>RAFTERS</v>
      </c>
      <c r="M189" s="212"/>
    </row>
    <row r="190" spans="1:13" ht="15.75" thickTop="1">
      <c r="A190" s="263"/>
      <c r="B190" s="263"/>
      <c r="C190" s="263" t="s">
        <v>343</v>
      </c>
      <c r="D190" s="263" t="s">
        <v>346</v>
      </c>
      <c r="E190" s="263"/>
      <c r="F190" s="263"/>
      <c r="G190" s="39" cm="1">
        <f t="array" ref="G190">IFERROR(INDEX(Table_dim_price_recipe[Retail Price], MATCH(1, ("Calculator"&lt;&gt;Table_dim_price_recipe[Type.display])*($L190=Table_dim_price_recipe[Category])*($D190=Table_dim_price_recipe[Item Description]) * (G$6=Table_dim_price_recipe[Type])*(Table_dim_price_recipe[Retail Price]&lt;&gt;0)*($C190=Table_dim_price_recipe[Subcategory]), 0))*$B190,"")</f>
        <v>0</v>
      </c>
      <c r="H190" s="39" t="str" cm="1">
        <f t="array" ref="H190">IFERROR(INDEX(Table_dim_price_recipe[Retail Price], MATCH(1, ("Calculator"&lt;&gt;Table_dim_price_recipe[Type.display])*($L190=Table_dim_price_recipe[Category])*($D190=Table_dim_price_recipe[Item Description]) * (H$6=Table_dim_price_recipe[Type])*(Table_dim_price_recipe[Retail Price]&lt;&gt;0)*($C190=Table_dim_price_recipe[Subcategory]), 0))*$B190,"")</f>
        <v/>
      </c>
      <c r="I190" s="39" t="str" cm="1">
        <f t="array" ref="I190">IFERROR(INDEX(Table_dim_price_recipe[Retail Price], MATCH(1, ("Calculator"&lt;&gt;Table_dim_price_recipe[Type.display])*($L190=Table_dim_price_recipe[Category])*($D190=Table_dim_price_recipe[Item Description]) * (I$6=Table_dim_price_recipe[Type])*(Table_dim_price_recipe[Retail Price]&lt;&gt;0)*($C190=Table_dim_price_recipe[Subcategory]), 0))*$B190,"")</f>
        <v/>
      </c>
      <c r="J190" s="39" t="str" cm="1">
        <f t="array" ref="J190">IFERROR(INDEX(Table_dim_price_recipe[Retail Price], MATCH(1, ("Calculator"&lt;&gt;Table_dim_price_recipe[Type.display])*($L190=Table_dim_price_recipe[Category])*($D190=Table_dim_price_recipe[Item Description]) * (J$6=Table_dim_price_recipe[Type])*(Table_dim_price_recipe[Retail Price]&lt;&gt;0)*($C190=Table_dim_price_recipe[Subcategory]), 0))*$B190,"")</f>
        <v/>
      </c>
      <c r="K190" s="39" t="str" cm="1">
        <f t="array" ref="K190">IFERROR(INDEX(Table_dim_price_recipe[Retail Price], MATCH(1, ("Calculator"&lt;&gt;Table_dim_price_recipe[Type.display])*($L190=Table_dim_price_recipe[Category])*($D190=Table_dim_price_recipe[Item Description]) * (K$6=Table_dim_price_recipe[Type])*(Table_dim_price_recipe[Retail Price]&lt;&gt;0)*($C190=Table_dim_price_recipe[Subcategory]), 0))*$B190,"")</f>
        <v/>
      </c>
      <c r="L190" s="39" t="str" cm="1">
        <f t="array" ref="L190">IF($A190&lt;&gt;"", $A190, LOOKUP(2, 1/((A$7:INDEX(A:A, ROW()))&lt;&gt;""), A$7:INDEX(A:A, ROW())))</f>
        <v>RAFTERS</v>
      </c>
      <c r="M190" s="14"/>
    </row>
    <row r="191" spans="1:13">
      <c r="A191" s="263"/>
      <c r="B191" s="263"/>
      <c r="C191" s="263" t="s">
        <v>343</v>
      </c>
      <c r="D191" s="263" t="s">
        <v>347</v>
      </c>
      <c r="E191" s="263"/>
      <c r="F191" s="263"/>
      <c r="G191" s="39" cm="1">
        <f t="array" ref="G191">IFERROR(INDEX(Table_dim_price_recipe[Retail Price], MATCH(1, ("Calculator"&lt;&gt;Table_dim_price_recipe[Type.display])*($L191=Table_dim_price_recipe[Category])*($D191=Table_dim_price_recipe[Item Description]) * (G$6=Table_dim_price_recipe[Type])*(Table_dim_price_recipe[Retail Price]&lt;&gt;0)*($C191=Table_dim_price_recipe[Subcategory]), 0))*$B191,"")</f>
        <v>0</v>
      </c>
      <c r="H191" s="39" t="str" cm="1">
        <f t="array" ref="H191">IFERROR(INDEX(Table_dim_price_recipe[Retail Price], MATCH(1, ("Calculator"&lt;&gt;Table_dim_price_recipe[Type.display])*($L191=Table_dim_price_recipe[Category])*($D191=Table_dim_price_recipe[Item Description]) * (H$6=Table_dim_price_recipe[Type])*(Table_dim_price_recipe[Retail Price]&lt;&gt;0)*($C191=Table_dim_price_recipe[Subcategory]), 0))*$B191,"")</f>
        <v/>
      </c>
      <c r="I191" s="39" t="str" cm="1">
        <f t="array" ref="I191">IFERROR(INDEX(Table_dim_price_recipe[Retail Price], MATCH(1, ("Calculator"&lt;&gt;Table_dim_price_recipe[Type.display])*($L191=Table_dim_price_recipe[Category])*($D191=Table_dim_price_recipe[Item Description]) * (I$6=Table_dim_price_recipe[Type])*(Table_dim_price_recipe[Retail Price]&lt;&gt;0)*($C191=Table_dim_price_recipe[Subcategory]), 0))*$B191,"")</f>
        <v/>
      </c>
      <c r="J191" s="39" t="str" cm="1">
        <f t="array" ref="J191">IFERROR(INDEX(Table_dim_price_recipe[Retail Price], MATCH(1, ("Calculator"&lt;&gt;Table_dim_price_recipe[Type.display])*($L191=Table_dim_price_recipe[Category])*($D191=Table_dim_price_recipe[Item Description]) * (J$6=Table_dim_price_recipe[Type])*(Table_dim_price_recipe[Retail Price]&lt;&gt;0)*($C191=Table_dim_price_recipe[Subcategory]), 0))*$B191,"")</f>
        <v/>
      </c>
      <c r="K191" s="39" t="str" cm="1">
        <f t="array" ref="K191">IFERROR(INDEX(Table_dim_price_recipe[Retail Price], MATCH(1, ("Calculator"&lt;&gt;Table_dim_price_recipe[Type.display])*($L191=Table_dim_price_recipe[Category])*($D191=Table_dim_price_recipe[Item Description]) * (K$6=Table_dim_price_recipe[Type])*(Table_dim_price_recipe[Retail Price]&lt;&gt;0)*($C191=Table_dim_price_recipe[Subcategory]), 0))*$B191,"")</f>
        <v/>
      </c>
      <c r="L191" s="39" t="str" cm="1">
        <f t="array" ref="L191">IF($A191&lt;&gt;"", $A191, LOOKUP(2, 1/((A$7:INDEX(A:A, ROW()))&lt;&gt;""), A$7:INDEX(A:A, ROW())))</f>
        <v>RAFTERS</v>
      </c>
      <c r="M191" s="14"/>
    </row>
    <row r="192" spans="1:13">
      <c r="A192" s="263"/>
      <c r="B192" s="263"/>
      <c r="C192" s="263" t="s">
        <v>343</v>
      </c>
      <c r="D192" s="263" t="s">
        <v>345</v>
      </c>
      <c r="E192" s="263"/>
      <c r="F192" s="263"/>
      <c r="G192" s="39" cm="1">
        <f t="array" ref="G192">IFERROR(INDEX(Table_dim_price_recipe[Retail Price], MATCH(1, ("Calculator"&lt;&gt;Table_dim_price_recipe[Type.display])*($L192=Table_dim_price_recipe[Category])*($D192=Table_dim_price_recipe[Item Description]) * (G$6=Table_dim_price_recipe[Type])*(Table_dim_price_recipe[Retail Price]&lt;&gt;0)*($C192=Table_dim_price_recipe[Subcategory]), 0))*$B192,"")</f>
        <v>0</v>
      </c>
      <c r="H192" s="39" t="str" cm="1">
        <f t="array" ref="H192">IFERROR(INDEX(Table_dim_price_recipe[Retail Price], MATCH(1, ("Calculator"&lt;&gt;Table_dim_price_recipe[Type.display])*($L192=Table_dim_price_recipe[Category])*($D192=Table_dim_price_recipe[Item Description]) * (H$6=Table_dim_price_recipe[Type])*(Table_dim_price_recipe[Retail Price]&lt;&gt;0)*($C192=Table_dim_price_recipe[Subcategory]), 0))*$B192,"")</f>
        <v/>
      </c>
      <c r="I192" s="39" t="str" cm="1">
        <f t="array" ref="I192">IFERROR(INDEX(Table_dim_price_recipe[Retail Price], MATCH(1, ("Calculator"&lt;&gt;Table_dim_price_recipe[Type.display])*($L192=Table_dim_price_recipe[Category])*($D192=Table_dim_price_recipe[Item Description]) * (I$6=Table_dim_price_recipe[Type])*(Table_dim_price_recipe[Retail Price]&lt;&gt;0)*($C192=Table_dim_price_recipe[Subcategory]), 0))*$B192,"")</f>
        <v/>
      </c>
      <c r="J192" s="39" t="str" cm="1">
        <f t="array" ref="J192">IFERROR(INDEX(Table_dim_price_recipe[Retail Price], MATCH(1, ("Calculator"&lt;&gt;Table_dim_price_recipe[Type.display])*($L192=Table_dim_price_recipe[Category])*($D192=Table_dim_price_recipe[Item Description]) * (J$6=Table_dim_price_recipe[Type])*(Table_dim_price_recipe[Retail Price]&lt;&gt;0)*($C192=Table_dim_price_recipe[Subcategory]), 0))*$B192,"")</f>
        <v/>
      </c>
      <c r="K192" s="39" t="str" cm="1">
        <f t="array" ref="K192">IFERROR(INDEX(Table_dim_price_recipe[Retail Price], MATCH(1, ("Calculator"&lt;&gt;Table_dim_price_recipe[Type.display])*($L192=Table_dim_price_recipe[Category])*($D192=Table_dim_price_recipe[Item Description]) * (K$6=Table_dim_price_recipe[Type])*(Table_dim_price_recipe[Retail Price]&lt;&gt;0)*($C192=Table_dim_price_recipe[Subcategory]), 0))*$B192,"")</f>
        <v/>
      </c>
      <c r="L192" s="39" t="str" cm="1">
        <f t="array" ref="L192">IF($A192&lt;&gt;"", $A192, LOOKUP(2, 1/((A$7:INDEX(A:A, ROW()))&lt;&gt;""), A$7:INDEX(A:A, ROW())))</f>
        <v>RAFTERS</v>
      </c>
      <c r="M192" s="14"/>
    </row>
    <row r="193" spans="1:13">
      <c r="A193" s="263"/>
      <c r="B193" s="263"/>
      <c r="C193" s="263" t="s">
        <v>343</v>
      </c>
      <c r="D193" s="263"/>
      <c r="E193" s="263"/>
      <c r="F193" s="263"/>
      <c r="G193" s="39" t="str" cm="1">
        <f t="array" ref="G193">IFERROR(INDEX(Table_dim_price_recipe[Retail Price], MATCH(1, ("Calculator"&lt;&gt;Table_dim_price_recipe[Type.display])*($L193=Table_dim_price_recipe[Category])*($D193=Table_dim_price_recipe[Item Description]) * (G$6=Table_dim_price_recipe[Type])*(Table_dim_price_recipe[Retail Price]&lt;&gt;0)*($C193=Table_dim_price_recipe[Subcategory]), 0))*$B193,"")</f>
        <v/>
      </c>
      <c r="H193" s="39" t="str" cm="1">
        <f t="array" ref="H193">IFERROR(INDEX(Table_dim_price_recipe[Retail Price], MATCH(1, ("Calculator"&lt;&gt;Table_dim_price_recipe[Type.display])*($L193=Table_dim_price_recipe[Category])*($D193=Table_dim_price_recipe[Item Description]) * (H$6=Table_dim_price_recipe[Type])*(Table_dim_price_recipe[Retail Price]&lt;&gt;0)*($C193=Table_dim_price_recipe[Subcategory]), 0))*$B193,"")</f>
        <v/>
      </c>
      <c r="I193" s="39" t="str" cm="1">
        <f t="array" ref="I193">IFERROR(INDEX(Table_dim_price_recipe[Retail Price], MATCH(1, ("Calculator"&lt;&gt;Table_dim_price_recipe[Type.display])*($L193=Table_dim_price_recipe[Category])*($D193=Table_dim_price_recipe[Item Description]) * (I$6=Table_dim_price_recipe[Type])*(Table_dim_price_recipe[Retail Price]&lt;&gt;0)*($C193=Table_dim_price_recipe[Subcategory]), 0))*$B193,"")</f>
        <v/>
      </c>
      <c r="J193" s="39" t="str" cm="1">
        <f t="array" ref="J193">IFERROR(INDEX(Table_dim_price_recipe[Retail Price], MATCH(1, ("Calculator"&lt;&gt;Table_dim_price_recipe[Type.display])*($L193=Table_dim_price_recipe[Category])*($D193=Table_dim_price_recipe[Item Description]) * (J$6=Table_dim_price_recipe[Type])*(Table_dim_price_recipe[Retail Price]&lt;&gt;0)*($C193=Table_dim_price_recipe[Subcategory]), 0))*$B193,"")</f>
        <v/>
      </c>
      <c r="K193" s="39" t="str" cm="1">
        <f t="array" ref="K193">IFERROR(INDEX(Table_dim_price_recipe[Retail Price], MATCH(1, ("Calculator"&lt;&gt;Table_dim_price_recipe[Type.display])*($L193=Table_dim_price_recipe[Category])*($D193=Table_dim_price_recipe[Item Description]) * (K$6=Table_dim_price_recipe[Type])*(Table_dim_price_recipe[Retail Price]&lt;&gt;0)*($C193=Table_dim_price_recipe[Subcategory]), 0))*$B193,"")</f>
        <v/>
      </c>
      <c r="L193" s="39" t="str" cm="1">
        <f t="array" ref="L193">IF($A193&lt;&gt;"", $A193, LOOKUP(2, 1/((A$7:INDEX(A:A, ROW()))&lt;&gt;""), A$7:INDEX(A:A, ROW())))</f>
        <v>RAFTERS</v>
      </c>
      <c r="M193" s="14"/>
    </row>
    <row r="194" spans="1:13">
      <c r="A194" s="263"/>
      <c r="B194" s="263"/>
      <c r="C194" s="263" t="s">
        <v>343</v>
      </c>
      <c r="D194" s="263"/>
      <c r="E194" s="263"/>
      <c r="F194" s="263"/>
      <c r="G194" s="39" t="str" cm="1">
        <f t="array" ref="G194">IFERROR(INDEX(Table_dim_price_recipe[Retail Price], MATCH(1, ("Calculator"&lt;&gt;Table_dim_price_recipe[Type.display])*($L194=Table_dim_price_recipe[Category])*($D194=Table_dim_price_recipe[Item Description]) * (G$6=Table_dim_price_recipe[Type])*(Table_dim_price_recipe[Retail Price]&lt;&gt;0)*($C194=Table_dim_price_recipe[Subcategory]), 0))*$B194,"")</f>
        <v/>
      </c>
      <c r="H194" s="39" t="str" cm="1">
        <f t="array" ref="H194">IFERROR(INDEX(Table_dim_price_recipe[Retail Price], MATCH(1, ("Calculator"&lt;&gt;Table_dim_price_recipe[Type.display])*($L194=Table_dim_price_recipe[Category])*($D194=Table_dim_price_recipe[Item Description]) * (H$6=Table_dim_price_recipe[Type])*(Table_dim_price_recipe[Retail Price]&lt;&gt;0)*($C194=Table_dim_price_recipe[Subcategory]), 0))*$B194,"")</f>
        <v/>
      </c>
      <c r="I194" s="39" t="str" cm="1">
        <f t="array" ref="I194">IFERROR(INDEX(Table_dim_price_recipe[Retail Price], MATCH(1, ("Calculator"&lt;&gt;Table_dim_price_recipe[Type.display])*($L194=Table_dim_price_recipe[Category])*($D194=Table_dim_price_recipe[Item Description]) * (I$6=Table_dim_price_recipe[Type])*(Table_dim_price_recipe[Retail Price]&lt;&gt;0)*($C194=Table_dim_price_recipe[Subcategory]), 0))*$B194,"")</f>
        <v/>
      </c>
      <c r="J194" s="39" t="str" cm="1">
        <f t="array" ref="J194">IFERROR(INDEX(Table_dim_price_recipe[Retail Price], MATCH(1, ("Calculator"&lt;&gt;Table_dim_price_recipe[Type.display])*($L194=Table_dim_price_recipe[Category])*($D194=Table_dim_price_recipe[Item Description]) * (J$6=Table_dim_price_recipe[Type])*(Table_dim_price_recipe[Retail Price]&lt;&gt;0)*($C194=Table_dim_price_recipe[Subcategory]), 0))*$B194,"")</f>
        <v/>
      </c>
      <c r="K194" s="39" t="str" cm="1">
        <f t="array" ref="K194">IFERROR(INDEX(Table_dim_price_recipe[Retail Price], MATCH(1, ("Calculator"&lt;&gt;Table_dim_price_recipe[Type.display])*($L194=Table_dim_price_recipe[Category])*($D194=Table_dim_price_recipe[Item Description]) * (K$6=Table_dim_price_recipe[Type])*(Table_dim_price_recipe[Retail Price]&lt;&gt;0)*($C194=Table_dim_price_recipe[Subcategory]), 0))*$B194,"")</f>
        <v/>
      </c>
      <c r="L194" s="39" t="str" cm="1">
        <f t="array" ref="L194">IF($A194&lt;&gt;"", $A194, LOOKUP(2, 1/((A$7:INDEX(A:A, ROW()))&lt;&gt;""), A$7:INDEX(A:A, ROW())))</f>
        <v>RAFTERS</v>
      </c>
      <c r="M194" s="14"/>
    </row>
    <row r="195" spans="1:13">
      <c r="A195" s="263"/>
      <c r="B195" s="263"/>
      <c r="C195" s="263" t="s">
        <v>18</v>
      </c>
      <c r="D195" s="263" t="s">
        <v>291</v>
      </c>
      <c r="E195" s="263"/>
      <c r="F195" s="263"/>
      <c r="G195" s="39" cm="1">
        <f t="array" ref="G195">IFERROR(INDEX(Table_dim_price_recipe[Retail Price], MATCH(1, ("Calculator"&lt;&gt;Table_dim_price_recipe[Type.display])*($L195=Table_dim_price_recipe[Category])*($D195=Table_dim_price_recipe[Item Description]) * (G$6=Table_dim_price_recipe[Type])*(Table_dim_price_recipe[Retail Price]&lt;&gt;0)*($C195=Table_dim_price_recipe[Subcategory]), 0))*$B195,"")</f>
        <v>0</v>
      </c>
      <c r="H195" s="39" t="str" cm="1">
        <f t="array" ref="H195">IFERROR(INDEX(Table_dim_price_recipe[Retail Price], MATCH(1, ("Calculator"&lt;&gt;Table_dim_price_recipe[Type.display])*($L195=Table_dim_price_recipe[Category])*($D195=Table_dim_price_recipe[Item Description]) * (H$6=Table_dim_price_recipe[Type])*(Table_dim_price_recipe[Retail Price]&lt;&gt;0)*($C195=Table_dim_price_recipe[Subcategory]), 0))*$B195,"")</f>
        <v/>
      </c>
      <c r="I195" s="39" t="str" cm="1">
        <f t="array" ref="I195">IFERROR(INDEX(Table_dim_price_recipe[Retail Price], MATCH(1, ("Calculator"&lt;&gt;Table_dim_price_recipe[Type.display])*($L195=Table_dim_price_recipe[Category])*($D195=Table_dim_price_recipe[Item Description]) * (I$6=Table_dim_price_recipe[Type])*(Table_dim_price_recipe[Retail Price]&lt;&gt;0)*($C195=Table_dim_price_recipe[Subcategory]), 0))*$B195,"")</f>
        <v/>
      </c>
      <c r="J195" s="39" t="str" cm="1">
        <f t="array" ref="J195">IFERROR(INDEX(Table_dim_price_recipe[Retail Price], MATCH(1, ("Calculator"&lt;&gt;Table_dim_price_recipe[Type.display])*($L195=Table_dim_price_recipe[Category])*($D195=Table_dim_price_recipe[Item Description]) * (J$6=Table_dim_price_recipe[Type])*(Table_dim_price_recipe[Retail Price]&lt;&gt;0)*($C195=Table_dim_price_recipe[Subcategory]), 0))*$B195,"")</f>
        <v/>
      </c>
      <c r="K195" s="39" t="str" cm="1">
        <f t="array" ref="K195">IFERROR(INDEX(Table_dim_price_recipe[Retail Price], MATCH(1, ("Calculator"&lt;&gt;Table_dim_price_recipe[Type.display])*($L195=Table_dim_price_recipe[Category])*($D195=Table_dim_price_recipe[Item Description]) * (K$6=Table_dim_price_recipe[Type])*(Table_dim_price_recipe[Retail Price]&lt;&gt;0)*($C195=Table_dim_price_recipe[Subcategory]), 0))*$B195,"")</f>
        <v/>
      </c>
      <c r="L195" s="39" t="str" cm="1">
        <f t="array" ref="L195">IF($A195&lt;&gt;"", $A195, LOOKUP(2, 1/((A$7:INDEX(A:A, ROW()))&lt;&gt;""), A$7:INDEX(A:A, ROW())))</f>
        <v>RAFTERS</v>
      </c>
      <c r="M195" s="14"/>
    </row>
    <row r="196" spans="1:13">
      <c r="A196" s="263"/>
      <c r="B196" s="263"/>
      <c r="C196" s="263" t="s">
        <v>18</v>
      </c>
      <c r="D196" s="263" t="s">
        <v>30</v>
      </c>
      <c r="E196" s="263"/>
      <c r="F196" s="263"/>
      <c r="G196" s="39" cm="1">
        <f t="array" ref="G196">IFERROR(INDEX(Table_dim_price_recipe[Retail Price], MATCH(1, ("Calculator"&lt;&gt;Table_dim_price_recipe[Type.display])*($L196=Table_dim_price_recipe[Category])*($D196=Table_dim_price_recipe[Item Description]) * (G$6=Table_dim_price_recipe[Type])*(Table_dim_price_recipe[Retail Price]&lt;&gt;0)*($C196=Table_dim_price_recipe[Subcategory]), 0))*$B196,"")</f>
        <v>0</v>
      </c>
      <c r="H196" s="39" t="str" cm="1">
        <f t="array" ref="H196">IFERROR(INDEX(Table_dim_price_recipe[Retail Price], MATCH(1, ("Calculator"&lt;&gt;Table_dim_price_recipe[Type.display])*($L196=Table_dim_price_recipe[Category])*($D196=Table_dim_price_recipe[Item Description]) * (H$6=Table_dim_price_recipe[Type])*(Table_dim_price_recipe[Retail Price]&lt;&gt;0)*($C196=Table_dim_price_recipe[Subcategory]), 0))*$B196,"")</f>
        <v/>
      </c>
      <c r="I196" s="39" t="str" cm="1">
        <f t="array" ref="I196">IFERROR(INDEX(Table_dim_price_recipe[Retail Price], MATCH(1, ("Calculator"&lt;&gt;Table_dim_price_recipe[Type.display])*($L196=Table_dim_price_recipe[Category])*($D196=Table_dim_price_recipe[Item Description]) * (I$6=Table_dim_price_recipe[Type])*(Table_dim_price_recipe[Retail Price]&lt;&gt;0)*($C196=Table_dim_price_recipe[Subcategory]), 0))*$B196,"")</f>
        <v/>
      </c>
      <c r="J196" s="39" t="str" cm="1">
        <f t="array" ref="J196">IFERROR(INDEX(Table_dim_price_recipe[Retail Price], MATCH(1, ("Calculator"&lt;&gt;Table_dim_price_recipe[Type.display])*($L196=Table_dim_price_recipe[Category])*($D196=Table_dim_price_recipe[Item Description]) * (J$6=Table_dim_price_recipe[Type])*(Table_dim_price_recipe[Retail Price]&lt;&gt;0)*($C196=Table_dim_price_recipe[Subcategory]), 0))*$B196,"")</f>
        <v/>
      </c>
      <c r="K196" s="39" t="str" cm="1">
        <f t="array" ref="K196">IFERROR(INDEX(Table_dim_price_recipe[Retail Price], MATCH(1, ("Calculator"&lt;&gt;Table_dim_price_recipe[Type.display])*($L196=Table_dim_price_recipe[Category])*($D196=Table_dim_price_recipe[Item Description]) * (K$6=Table_dim_price_recipe[Type])*(Table_dim_price_recipe[Retail Price]&lt;&gt;0)*($C196=Table_dim_price_recipe[Subcategory]), 0))*$B196,"")</f>
        <v/>
      </c>
      <c r="L196" s="39" t="str" cm="1">
        <f t="array" ref="L196">IF($A196&lt;&gt;"", $A196, LOOKUP(2, 1/((A$7:INDEX(A:A, ROW()))&lt;&gt;""), A$7:INDEX(A:A, ROW())))</f>
        <v>RAFTERS</v>
      </c>
      <c r="M196" s="14"/>
    </row>
    <row r="197" spans="1:13">
      <c r="A197" s="263"/>
      <c r="B197" s="263"/>
      <c r="C197" s="263" t="s">
        <v>18</v>
      </c>
      <c r="D197" s="263" t="s">
        <v>31</v>
      </c>
      <c r="E197" s="263"/>
      <c r="F197" s="263"/>
      <c r="G197" s="39" cm="1">
        <f t="array" ref="G197">IFERROR(INDEX(Table_dim_price_recipe[Retail Price], MATCH(1, ("Calculator"&lt;&gt;Table_dim_price_recipe[Type.display])*($L197=Table_dim_price_recipe[Category])*($D197=Table_dim_price_recipe[Item Description]) * (G$6=Table_dim_price_recipe[Type])*(Table_dim_price_recipe[Retail Price]&lt;&gt;0)*($C197=Table_dim_price_recipe[Subcategory]), 0))*$B197,"")</f>
        <v>0</v>
      </c>
      <c r="H197" s="39" t="str" cm="1">
        <f t="array" ref="H197">IFERROR(INDEX(Table_dim_price_recipe[Retail Price], MATCH(1, ("Calculator"&lt;&gt;Table_dim_price_recipe[Type.display])*($L197=Table_dim_price_recipe[Category])*($D197=Table_dim_price_recipe[Item Description]) * (H$6=Table_dim_price_recipe[Type])*(Table_dim_price_recipe[Retail Price]&lt;&gt;0)*($C197=Table_dim_price_recipe[Subcategory]), 0))*$B197,"")</f>
        <v/>
      </c>
      <c r="I197" s="39" t="str" cm="1">
        <f t="array" ref="I197">IFERROR(INDEX(Table_dim_price_recipe[Retail Price], MATCH(1, ("Calculator"&lt;&gt;Table_dim_price_recipe[Type.display])*($L197=Table_dim_price_recipe[Category])*($D197=Table_dim_price_recipe[Item Description]) * (I$6=Table_dim_price_recipe[Type])*(Table_dim_price_recipe[Retail Price]&lt;&gt;0)*($C197=Table_dim_price_recipe[Subcategory]), 0))*$B197,"")</f>
        <v/>
      </c>
      <c r="J197" s="39" t="str" cm="1">
        <f t="array" ref="J197">IFERROR(INDEX(Table_dim_price_recipe[Retail Price], MATCH(1, ("Calculator"&lt;&gt;Table_dim_price_recipe[Type.display])*($L197=Table_dim_price_recipe[Category])*($D197=Table_dim_price_recipe[Item Description]) * (J$6=Table_dim_price_recipe[Type])*(Table_dim_price_recipe[Retail Price]&lt;&gt;0)*($C197=Table_dim_price_recipe[Subcategory]), 0))*$B197,"")</f>
        <v/>
      </c>
      <c r="K197" s="39" t="str" cm="1">
        <f t="array" ref="K197">IFERROR(INDEX(Table_dim_price_recipe[Retail Price], MATCH(1, ("Calculator"&lt;&gt;Table_dim_price_recipe[Type.display])*($L197=Table_dim_price_recipe[Category])*($D197=Table_dim_price_recipe[Item Description]) * (K$6=Table_dim_price_recipe[Type])*(Table_dim_price_recipe[Retail Price]&lt;&gt;0)*($C197=Table_dim_price_recipe[Subcategory]), 0))*$B197,"")</f>
        <v/>
      </c>
      <c r="L197" s="39" t="str" cm="1">
        <f t="array" ref="L197">IF($A197&lt;&gt;"", $A197, LOOKUP(2, 1/((A$7:INDEX(A:A, ROW()))&lt;&gt;""), A$7:INDEX(A:A, ROW())))</f>
        <v>RAFTERS</v>
      </c>
      <c r="M197" s="14"/>
    </row>
    <row r="198" spans="1:13">
      <c r="A198" s="263"/>
      <c r="B198" s="263"/>
      <c r="C198" s="263" t="s">
        <v>18</v>
      </c>
      <c r="D198" s="263" t="s">
        <v>290</v>
      </c>
      <c r="E198" s="263"/>
      <c r="F198" s="263"/>
      <c r="G198" s="39" cm="1">
        <f t="array" ref="G198">IFERROR(INDEX(Table_dim_price_recipe[Retail Price], MATCH(1, ("Calculator"&lt;&gt;Table_dim_price_recipe[Type.display])*($L198=Table_dim_price_recipe[Category])*($D198=Table_dim_price_recipe[Item Description]) * (G$6=Table_dim_price_recipe[Type])*(Table_dim_price_recipe[Retail Price]&lt;&gt;0)*($C198=Table_dim_price_recipe[Subcategory]), 0))*$B198,"")</f>
        <v>0</v>
      </c>
      <c r="H198" s="39" t="str" cm="1">
        <f t="array" ref="H198">IFERROR(INDEX(Table_dim_price_recipe[Retail Price], MATCH(1, ("Calculator"&lt;&gt;Table_dim_price_recipe[Type.display])*($L198=Table_dim_price_recipe[Category])*($D198=Table_dim_price_recipe[Item Description]) * (H$6=Table_dim_price_recipe[Type])*(Table_dim_price_recipe[Retail Price]&lt;&gt;0)*($C198=Table_dim_price_recipe[Subcategory]), 0))*$B198,"")</f>
        <v/>
      </c>
      <c r="I198" s="39" t="str" cm="1">
        <f t="array" ref="I198">IFERROR(INDEX(Table_dim_price_recipe[Retail Price], MATCH(1, ("Calculator"&lt;&gt;Table_dim_price_recipe[Type.display])*($L198=Table_dim_price_recipe[Category])*($D198=Table_dim_price_recipe[Item Description]) * (I$6=Table_dim_price_recipe[Type])*(Table_dim_price_recipe[Retail Price]&lt;&gt;0)*($C198=Table_dim_price_recipe[Subcategory]), 0))*$B198,"")</f>
        <v/>
      </c>
      <c r="J198" s="39" t="str" cm="1">
        <f t="array" ref="J198">IFERROR(INDEX(Table_dim_price_recipe[Retail Price], MATCH(1, ("Calculator"&lt;&gt;Table_dim_price_recipe[Type.display])*($L198=Table_dim_price_recipe[Category])*($D198=Table_dim_price_recipe[Item Description]) * (J$6=Table_dim_price_recipe[Type])*(Table_dim_price_recipe[Retail Price]&lt;&gt;0)*($C198=Table_dim_price_recipe[Subcategory]), 0))*$B198,"")</f>
        <v/>
      </c>
      <c r="K198" s="39" t="str" cm="1">
        <f t="array" ref="K198">IFERROR(INDEX(Table_dim_price_recipe[Retail Price], MATCH(1, ("Calculator"&lt;&gt;Table_dim_price_recipe[Type.display])*($L198=Table_dim_price_recipe[Category])*($D198=Table_dim_price_recipe[Item Description]) * (K$6=Table_dim_price_recipe[Type])*(Table_dim_price_recipe[Retail Price]&lt;&gt;0)*($C198=Table_dim_price_recipe[Subcategory]), 0))*$B198,"")</f>
        <v/>
      </c>
      <c r="L198" s="39" t="str" cm="1">
        <f t="array" ref="L198">IF($A198&lt;&gt;"", $A198, LOOKUP(2, 1/((A$7:INDEX(A:A, ROW()))&lt;&gt;""), A$7:INDEX(A:A, ROW())))</f>
        <v>RAFTERS</v>
      </c>
      <c r="M198" s="14"/>
    </row>
    <row r="199" spans="1:13">
      <c r="A199" s="263"/>
      <c r="B199" s="263"/>
      <c r="C199" s="263" t="s">
        <v>18</v>
      </c>
      <c r="D199" s="263" t="s">
        <v>289</v>
      </c>
      <c r="E199" s="263"/>
      <c r="F199" s="263"/>
      <c r="G199" s="39" cm="1">
        <f t="array" ref="G199">IFERROR(INDEX(Table_dim_price_recipe[Retail Price], MATCH(1, ("Calculator"&lt;&gt;Table_dim_price_recipe[Type.display])*($L199=Table_dim_price_recipe[Category])*($D199=Table_dim_price_recipe[Item Description]) * (G$6=Table_dim_price_recipe[Type])*(Table_dim_price_recipe[Retail Price]&lt;&gt;0)*($C199=Table_dim_price_recipe[Subcategory]), 0))*$B199,"")</f>
        <v>0</v>
      </c>
      <c r="H199" s="39" t="str" cm="1">
        <f t="array" ref="H199">IFERROR(INDEX(Table_dim_price_recipe[Retail Price], MATCH(1, ("Calculator"&lt;&gt;Table_dim_price_recipe[Type.display])*($L199=Table_dim_price_recipe[Category])*($D199=Table_dim_price_recipe[Item Description]) * (H$6=Table_dim_price_recipe[Type])*(Table_dim_price_recipe[Retail Price]&lt;&gt;0)*($C199=Table_dim_price_recipe[Subcategory]), 0))*$B199,"")</f>
        <v/>
      </c>
      <c r="I199" s="39" t="str" cm="1">
        <f t="array" ref="I199">IFERROR(INDEX(Table_dim_price_recipe[Retail Price], MATCH(1, ("Calculator"&lt;&gt;Table_dim_price_recipe[Type.display])*($L199=Table_dim_price_recipe[Category])*($D199=Table_dim_price_recipe[Item Description]) * (I$6=Table_dim_price_recipe[Type])*(Table_dim_price_recipe[Retail Price]&lt;&gt;0)*($C199=Table_dim_price_recipe[Subcategory]), 0))*$B199,"")</f>
        <v/>
      </c>
      <c r="J199" s="39" t="str" cm="1">
        <f t="array" ref="J199">IFERROR(INDEX(Table_dim_price_recipe[Retail Price], MATCH(1, ("Calculator"&lt;&gt;Table_dim_price_recipe[Type.display])*($L199=Table_dim_price_recipe[Category])*($D199=Table_dim_price_recipe[Item Description]) * (J$6=Table_dim_price_recipe[Type])*(Table_dim_price_recipe[Retail Price]&lt;&gt;0)*($C199=Table_dim_price_recipe[Subcategory]), 0))*$B199,"")</f>
        <v/>
      </c>
      <c r="K199" s="39" t="str" cm="1">
        <f t="array" ref="K199">IFERROR(INDEX(Table_dim_price_recipe[Retail Price], MATCH(1, ("Calculator"&lt;&gt;Table_dim_price_recipe[Type.display])*($L199=Table_dim_price_recipe[Category])*($D199=Table_dim_price_recipe[Item Description]) * (K$6=Table_dim_price_recipe[Type])*(Table_dim_price_recipe[Retail Price]&lt;&gt;0)*($C199=Table_dim_price_recipe[Subcategory]), 0))*$B199,"")</f>
        <v/>
      </c>
      <c r="L199" s="39" t="str" cm="1">
        <f t="array" ref="L199">IF($A199&lt;&gt;"", $A199, LOOKUP(2, 1/((A$7:INDEX(A:A, ROW()))&lt;&gt;""), A$7:INDEX(A:A, ROW())))</f>
        <v>RAFTERS</v>
      </c>
      <c r="M199" s="14"/>
    </row>
    <row r="200" spans="1:13">
      <c r="A200" s="263"/>
      <c r="B200" s="263"/>
      <c r="C200" s="263" t="s">
        <v>18</v>
      </c>
      <c r="D200" s="263"/>
      <c r="E200" s="263"/>
      <c r="F200" s="263"/>
      <c r="G200" s="39" t="str" cm="1">
        <f t="array" ref="G200">IFERROR(INDEX(Table_dim_price_recipe[Retail Price], MATCH(1, ("Calculator"&lt;&gt;Table_dim_price_recipe[Type.display])*($L200=Table_dim_price_recipe[Category])*($D200=Table_dim_price_recipe[Item Description]) * (G$6=Table_dim_price_recipe[Type])*(Table_dim_price_recipe[Retail Price]&lt;&gt;0)*($C200=Table_dim_price_recipe[Subcategory]), 0))*$B200,"")</f>
        <v/>
      </c>
      <c r="H200" s="39" t="str" cm="1">
        <f t="array" ref="H200">IFERROR(INDEX(Table_dim_price_recipe[Retail Price], MATCH(1, ("Calculator"&lt;&gt;Table_dim_price_recipe[Type.display])*($L200=Table_dim_price_recipe[Category])*($D200=Table_dim_price_recipe[Item Description]) * (H$6=Table_dim_price_recipe[Type])*(Table_dim_price_recipe[Retail Price]&lt;&gt;0)*($C200=Table_dim_price_recipe[Subcategory]), 0))*$B200,"")</f>
        <v/>
      </c>
      <c r="I200" s="39" t="str" cm="1">
        <f t="array" ref="I200">IFERROR(INDEX(Table_dim_price_recipe[Retail Price], MATCH(1, ("Calculator"&lt;&gt;Table_dim_price_recipe[Type.display])*($L200=Table_dim_price_recipe[Category])*($D200=Table_dim_price_recipe[Item Description]) * (I$6=Table_dim_price_recipe[Type])*(Table_dim_price_recipe[Retail Price]&lt;&gt;0)*($C200=Table_dim_price_recipe[Subcategory]), 0))*$B200,"")</f>
        <v/>
      </c>
      <c r="J200" s="39" t="str" cm="1">
        <f t="array" ref="J200">IFERROR(INDEX(Table_dim_price_recipe[Retail Price], MATCH(1, ("Calculator"&lt;&gt;Table_dim_price_recipe[Type.display])*($L200=Table_dim_price_recipe[Category])*($D200=Table_dim_price_recipe[Item Description]) * (J$6=Table_dim_price_recipe[Type])*(Table_dim_price_recipe[Retail Price]&lt;&gt;0)*($C200=Table_dim_price_recipe[Subcategory]), 0))*$B200,"")</f>
        <v/>
      </c>
      <c r="K200" s="39" t="str" cm="1">
        <f t="array" ref="K200">IFERROR(INDEX(Table_dim_price_recipe[Retail Price], MATCH(1, ("Calculator"&lt;&gt;Table_dim_price_recipe[Type.display])*($L200=Table_dim_price_recipe[Category])*($D200=Table_dim_price_recipe[Item Description]) * (K$6=Table_dim_price_recipe[Type])*(Table_dim_price_recipe[Retail Price]&lt;&gt;0)*($C200=Table_dim_price_recipe[Subcategory]), 0))*$B200,"")</f>
        <v/>
      </c>
      <c r="L200" s="39" t="str" cm="1">
        <f t="array" ref="L200">IF($A200&lt;&gt;"", $A200, LOOKUP(2, 1/((A$7:INDEX(A:A, ROW()))&lt;&gt;""), A$7:INDEX(A:A, ROW())))</f>
        <v>RAFTERS</v>
      </c>
      <c r="M200" s="14"/>
    </row>
    <row r="201" spans="1:13">
      <c r="A201" s="263"/>
      <c r="B201" s="263"/>
      <c r="C201" s="263" t="s">
        <v>18</v>
      </c>
      <c r="D201" s="263"/>
      <c r="E201" s="263"/>
      <c r="F201" s="263"/>
      <c r="G201" s="39" t="str" cm="1">
        <f t="array" ref="G201">IFERROR(INDEX(Table_dim_price_recipe[Retail Price], MATCH(1, ("Calculator"&lt;&gt;Table_dim_price_recipe[Type.display])*($L201=Table_dim_price_recipe[Category])*($D201=Table_dim_price_recipe[Item Description]) * (G$6=Table_dim_price_recipe[Type])*(Table_dim_price_recipe[Retail Price]&lt;&gt;0)*($C201=Table_dim_price_recipe[Subcategory]), 0))*$B201,"")</f>
        <v/>
      </c>
      <c r="H201" s="39" t="str" cm="1">
        <f t="array" ref="H201">IFERROR(INDEX(Table_dim_price_recipe[Retail Price], MATCH(1, ("Calculator"&lt;&gt;Table_dim_price_recipe[Type.display])*($L201=Table_dim_price_recipe[Category])*($D201=Table_dim_price_recipe[Item Description]) * (H$6=Table_dim_price_recipe[Type])*(Table_dim_price_recipe[Retail Price]&lt;&gt;0)*($C201=Table_dim_price_recipe[Subcategory]), 0))*$B201,"")</f>
        <v/>
      </c>
      <c r="I201" s="39" t="str" cm="1">
        <f t="array" ref="I201">IFERROR(INDEX(Table_dim_price_recipe[Retail Price], MATCH(1, ("Calculator"&lt;&gt;Table_dim_price_recipe[Type.display])*($L201=Table_dim_price_recipe[Category])*($D201=Table_dim_price_recipe[Item Description]) * (I$6=Table_dim_price_recipe[Type])*(Table_dim_price_recipe[Retail Price]&lt;&gt;0)*($C201=Table_dim_price_recipe[Subcategory]), 0))*$B201,"")</f>
        <v/>
      </c>
      <c r="J201" s="39" t="str" cm="1">
        <f t="array" ref="J201">IFERROR(INDEX(Table_dim_price_recipe[Retail Price], MATCH(1, ("Calculator"&lt;&gt;Table_dim_price_recipe[Type.display])*($L201=Table_dim_price_recipe[Category])*($D201=Table_dim_price_recipe[Item Description]) * (J$6=Table_dim_price_recipe[Type])*(Table_dim_price_recipe[Retail Price]&lt;&gt;0)*($C201=Table_dim_price_recipe[Subcategory]), 0))*$B201,"")</f>
        <v/>
      </c>
      <c r="K201" s="39" t="str" cm="1">
        <f t="array" ref="K201">IFERROR(INDEX(Table_dim_price_recipe[Retail Price], MATCH(1, ("Calculator"&lt;&gt;Table_dim_price_recipe[Type.display])*($L201=Table_dim_price_recipe[Category])*($D201=Table_dim_price_recipe[Item Description]) * (K$6=Table_dim_price_recipe[Type])*(Table_dim_price_recipe[Retail Price]&lt;&gt;0)*($C201=Table_dim_price_recipe[Subcategory]), 0))*$B201,"")</f>
        <v/>
      </c>
      <c r="L201" s="39" t="str" cm="1">
        <f t="array" ref="L201">IF($A201&lt;&gt;"", $A201, LOOKUP(2, 1/((A$7:INDEX(A:A, ROW()))&lt;&gt;""), A$7:INDEX(A:A, ROW())))</f>
        <v>RAFTERS</v>
      </c>
      <c r="M201" s="14"/>
    </row>
    <row r="202" spans="1:13">
      <c r="A202" s="263"/>
      <c r="B202" s="263"/>
      <c r="C202" s="263" t="s">
        <v>111</v>
      </c>
      <c r="D202" s="263" t="s">
        <v>348</v>
      </c>
      <c r="E202" s="263"/>
      <c r="F202" s="263"/>
      <c r="G202" s="39" cm="1">
        <f t="array" ref="G202">IFERROR(INDEX(Table_dim_price_recipe[Retail Price], MATCH(1, ("Calculator"&lt;&gt;Table_dim_price_recipe[Type.display])*($L202=Table_dim_price_recipe[Category])*($D202=Table_dim_price_recipe[Item Description]) * (G$6=Table_dim_price_recipe[Type])*(Table_dim_price_recipe[Retail Price]&lt;&gt;0)*($C202=Table_dim_price_recipe[Subcategory]), 0))*$B202,"")</f>
        <v>0</v>
      </c>
      <c r="H202" s="39" t="str" cm="1">
        <f t="array" ref="H202">IFERROR(INDEX(Table_dim_price_recipe[Retail Price], MATCH(1, ("Calculator"&lt;&gt;Table_dim_price_recipe[Type.display])*($L202=Table_dim_price_recipe[Category])*($D202=Table_dim_price_recipe[Item Description]) * (H$6=Table_dim_price_recipe[Type])*(Table_dim_price_recipe[Retail Price]&lt;&gt;0)*($C202=Table_dim_price_recipe[Subcategory]), 0))*$B202,"")</f>
        <v/>
      </c>
      <c r="I202" s="39" t="str" cm="1">
        <f t="array" ref="I202">IFERROR(INDEX(Table_dim_price_recipe[Retail Price], MATCH(1, ("Calculator"&lt;&gt;Table_dim_price_recipe[Type.display])*($L202=Table_dim_price_recipe[Category])*($D202=Table_dim_price_recipe[Item Description]) * (I$6=Table_dim_price_recipe[Type])*(Table_dim_price_recipe[Retail Price]&lt;&gt;0)*($C202=Table_dim_price_recipe[Subcategory]), 0))*$B202,"")</f>
        <v/>
      </c>
      <c r="J202" s="39" t="str" cm="1">
        <f t="array" ref="J202">IFERROR(INDEX(Table_dim_price_recipe[Retail Price], MATCH(1, ("Calculator"&lt;&gt;Table_dim_price_recipe[Type.display])*($L202=Table_dim_price_recipe[Category])*($D202=Table_dim_price_recipe[Item Description]) * (J$6=Table_dim_price_recipe[Type])*(Table_dim_price_recipe[Retail Price]&lt;&gt;0)*($C202=Table_dim_price_recipe[Subcategory]), 0))*$B202,"")</f>
        <v/>
      </c>
      <c r="K202" s="39" t="str" cm="1">
        <f t="array" ref="K202">IFERROR(INDEX(Table_dim_price_recipe[Retail Price], MATCH(1, ("Calculator"&lt;&gt;Table_dim_price_recipe[Type.display])*($L202=Table_dim_price_recipe[Category])*($D202=Table_dim_price_recipe[Item Description]) * (K$6=Table_dim_price_recipe[Type])*(Table_dim_price_recipe[Retail Price]&lt;&gt;0)*($C202=Table_dim_price_recipe[Subcategory]), 0))*$B202,"")</f>
        <v/>
      </c>
      <c r="L202" s="39" t="str" cm="1">
        <f t="array" ref="L202">IF($A202&lt;&gt;"", $A202, LOOKUP(2, 1/((A$7:INDEX(A:A, ROW()))&lt;&gt;""), A$7:INDEX(A:A, ROW())))</f>
        <v>RAFTERS</v>
      </c>
      <c r="M202" s="14"/>
    </row>
    <row r="203" spans="1:13">
      <c r="A203" s="263"/>
      <c r="B203" s="263"/>
      <c r="C203" s="263" t="s">
        <v>111</v>
      </c>
      <c r="D203" s="263" t="s">
        <v>349</v>
      </c>
      <c r="E203" s="263"/>
      <c r="F203" s="263"/>
      <c r="G203" s="39" cm="1">
        <f t="array" ref="G203">IFERROR(INDEX(Table_dim_price_recipe[Retail Price], MATCH(1, ("Calculator"&lt;&gt;Table_dim_price_recipe[Type.display])*($L203=Table_dim_price_recipe[Category])*($D203=Table_dim_price_recipe[Item Description]) * (G$6=Table_dim_price_recipe[Type])*(Table_dim_price_recipe[Retail Price]&lt;&gt;0)*($C203=Table_dim_price_recipe[Subcategory]), 0))*$B203,"")</f>
        <v>0</v>
      </c>
      <c r="H203" s="39" t="str" cm="1">
        <f t="array" ref="H203">IFERROR(INDEX(Table_dim_price_recipe[Retail Price], MATCH(1, ("Calculator"&lt;&gt;Table_dim_price_recipe[Type.display])*($L203=Table_dim_price_recipe[Category])*($D203=Table_dim_price_recipe[Item Description]) * (H$6=Table_dim_price_recipe[Type])*(Table_dim_price_recipe[Retail Price]&lt;&gt;0)*($C203=Table_dim_price_recipe[Subcategory]), 0))*$B203,"")</f>
        <v/>
      </c>
      <c r="I203" s="39" t="str" cm="1">
        <f t="array" ref="I203">IFERROR(INDEX(Table_dim_price_recipe[Retail Price], MATCH(1, ("Calculator"&lt;&gt;Table_dim_price_recipe[Type.display])*($L203=Table_dim_price_recipe[Category])*($D203=Table_dim_price_recipe[Item Description]) * (I$6=Table_dim_price_recipe[Type])*(Table_dim_price_recipe[Retail Price]&lt;&gt;0)*($C203=Table_dim_price_recipe[Subcategory]), 0))*$B203,"")</f>
        <v/>
      </c>
      <c r="J203" s="39" t="str" cm="1">
        <f t="array" ref="J203">IFERROR(INDEX(Table_dim_price_recipe[Retail Price], MATCH(1, ("Calculator"&lt;&gt;Table_dim_price_recipe[Type.display])*($L203=Table_dim_price_recipe[Category])*($D203=Table_dim_price_recipe[Item Description]) * (J$6=Table_dim_price_recipe[Type])*(Table_dim_price_recipe[Retail Price]&lt;&gt;0)*($C203=Table_dim_price_recipe[Subcategory]), 0))*$B203,"")</f>
        <v/>
      </c>
      <c r="K203" s="39" t="str" cm="1">
        <f t="array" ref="K203">IFERROR(INDEX(Table_dim_price_recipe[Retail Price], MATCH(1, ("Calculator"&lt;&gt;Table_dim_price_recipe[Type.display])*($L203=Table_dim_price_recipe[Category])*($D203=Table_dim_price_recipe[Item Description]) * (K$6=Table_dim_price_recipe[Type])*(Table_dim_price_recipe[Retail Price]&lt;&gt;0)*($C203=Table_dim_price_recipe[Subcategory]), 0))*$B203,"")</f>
        <v/>
      </c>
      <c r="L203" s="39" t="str" cm="1">
        <f t="array" ref="L203">IF($A203&lt;&gt;"", $A203, LOOKUP(2, 1/((A$7:INDEX(A:A, ROW()))&lt;&gt;""), A$7:INDEX(A:A, ROW())))</f>
        <v>RAFTERS</v>
      </c>
      <c r="M203" s="14"/>
    </row>
    <row r="204" spans="1:13">
      <c r="A204" s="263"/>
      <c r="B204" s="263"/>
      <c r="C204" s="263" t="s">
        <v>111</v>
      </c>
      <c r="D204" s="263"/>
      <c r="E204" s="263"/>
      <c r="F204" s="263"/>
      <c r="G204" s="39" t="str" cm="1">
        <f t="array" ref="G204">IFERROR(INDEX(Table_dim_price_recipe[Retail Price], MATCH(1, ("Calculator"&lt;&gt;Table_dim_price_recipe[Type.display])*($L204=Table_dim_price_recipe[Category])*($D204=Table_dim_price_recipe[Item Description]) * (G$6=Table_dim_price_recipe[Type])*(Table_dim_price_recipe[Retail Price]&lt;&gt;0)*($C204=Table_dim_price_recipe[Subcategory]), 0))*$B204,"")</f>
        <v/>
      </c>
      <c r="H204" s="39" t="str" cm="1">
        <f t="array" ref="H204">IFERROR(INDEX(Table_dim_price_recipe[Retail Price], MATCH(1, ("Calculator"&lt;&gt;Table_dim_price_recipe[Type.display])*($L204=Table_dim_price_recipe[Category])*($D204=Table_dim_price_recipe[Item Description]) * (H$6=Table_dim_price_recipe[Type])*(Table_dim_price_recipe[Retail Price]&lt;&gt;0)*($C204=Table_dim_price_recipe[Subcategory]), 0))*$B204,"")</f>
        <v/>
      </c>
      <c r="I204" s="39" t="str" cm="1">
        <f t="array" ref="I204">IFERROR(INDEX(Table_dim_price_recipe[Retail Price], MATCH(1, ("Calculator"&lt;&gt;Table_dim_price_recipe[Type.display])*($L204=Table_dim_price_recipe[Category])*($D204=Table_dim_price_recipe[Item Description]) * (I$6=Table_dim_price_recipe[Type])*(Table_dim_price_recipe[Retail Price]&lt;&gt;0)*($C204=Table_dim_price_recipe[Subcategory]), 0))*$B204,"")</f>
        <v/>
      </c>
      <c r="J204" s="39" t="str" cm="1">
        <f t="array" ref="J204">IFERROR(INDEX(Table_dim_price_recipe[Retail Price], MATCH(1, ("Calculator"&lt;&gt;Table_dim_price_recipe[Type.display])*($L204=Table_dim_price_recipe[Category])*($D204=Table_dim_price_recipe[Item Description]) * (J$6=Table_dim_price_recipe[Type])*(Table_dim_price_recipe[Retail Price]&lt;&gt;0)*($C204=Table_dim_price_recipe[Subcategory]), 0))*$B204,"")</f>
        <v/>
      </c>
      <c r="K204" s="39" t="str" cm="1">
        <f t="array" ref="K204">IFERROR(INDEX(Table_dim_price_recipe[Retail Price], MATCH(1, ("Calculator"&lt;&gt;Table_dim_price_recipe[Type.display])*($L204=Table_dim_price_recipe[Category])*($D204=Table_dim_price_recipe[Item Description]) * (K$6=Table_dim_price_recipe[Type])*(Table_dim_price_recipe[Retail Price]&lt;&gt;0)*($C204=Table_dim_price_recipe[Subcategory]), 0))*$B204,"")</f>
        <v/>
      </c>
      <c r="L204" s="39" t="str" cm="1">
        <f t="array" ref="L204">IF($A204&lt;&gt;"", $A204, LOOKUP(2, 1/((A$7:INDEX(A:A, ROW()))&lt;&gt;""), A$7:INDEX(A:A, ROW())))</f>
        <v>RAFTERS</v>
      </c>
      <c r="M204" s="14"/>
    </row>
    <row r="205" spans="1:13" ht="12" customHeight="1">
      <c r="A205" s="263"/>
      <c r="B205" s="263"/>
      <c r="C205" s="263" t="s">
        <v>111</v>
      </c>
      <c r="D205" s="263"/>
      <c r="E205" s="263"/>
      <c r="F205" s="263"/>
      <c r="G205" s="39" t="str" cm="1">
        <f t="array" ref="G205">IFERROR(INDEX(Table_dim_price_recipe[Retail Price], MATCH(1, ("Calculator"&lt;&gt;Table_dim_price_recipe[Type.display])*($L205=Table_dim_price_recipe[Category])*($D205=Table_dim_price_recipe[Item Description]) * (G$6=Table_dim_price_recipe[Type])*(Table_dim_price_recipe[Retail Price]&lt;&gt;0)*($C205=Table_dim_price_recipe[Subcategory]), 0))*$B205,"")</f>
        <v/>
      </c>
      <c r="H205" s="39" t="str" cm="1">
        <f t="array" ref="H205">IFERROR(INDEX(Table_dim_price_recipe[Retail Price], MATCH(1, ("Calculator"&lt;&gt;Table_dim_price_recipe[Type.display])*($L205=Table_dim_price_recipe[Category])*($D205=Table_dim_price_recipe[Item Description]) * (H$6=Table_dim_price_recipe[Type])*(Table_dim_price_recipe[Retail Price]&lt;&gt;0)*($C205=Table_dim_price_recipe[Subcategory]), 0))*$B205,"")</f>
        <v/>
      </c>
      <c r="I205" s="39" t="str" cm="1">
        <f t="array" ref="I205">IFERROR(INDEX(Table_dim_price_recipe[Retail Price], MATCH(1, ("Calculator"&lt;&gt;Table_dim_price_recipe[Type.display])*($L205=Table_dim_price_recipe[Category])*($D205=Table_dim_price_recipe[Item Description]) * (I$6=Table_dim_price_recipe[Type])*(Table_dim_price_recipe[Retail Price]&lt;&gt;0)*($C205=Table_dim_price_recipe[Subcategory]), 0))*$B205,"")</f>
        <v/>
      </c>
      <c r="J205" s="39" t="str" cm="1">
        <f t="array" ref="J205">IFERROR(INDEX(Table_dim_price_recipe[Retail Price], MATCH(1, ("Calculator"&lt;&gt;Table_dim_price_recipe[Type.display])*($L205=Table_dim_price_recipe[Category])*($D205=Table_dim_price_recipe[Item Description]) * (J$6=Table_dim_price_recipe[Type])*(Table_dim_price_recipe[Retail Price]&lt;&gt;0)*($C205=Table_dim_price_recipe[Subcategory]), 0))*$B205,"")</f>
        <v/>
      </c>
      <c r="K205" s="39" t="str" cm="1">
        <f t="array" ref="K205">IFERROR(INDEX(Table_dim_price_recipe[Retail Price], MATCH(1, ("Calculator"&lt;&gt;Table_dim_price_recipe[Type.display])*($L205=Table_dim_price_recipe[Category])*($D205=Table_dim_price_recipe[Item Description]) * (K$6=Table_dim_price_recipe[Type])*(Table_dim_price_recipe[Retail Price]&lt;&gt;0)*($C205=Table_dim_price_recipe[Subcategory]), 0))*$B205,"")</f>
        <v/>
      </c>
      <c r="L205" s="39" t="str" cm="1">
        <f t="array" ref="L205">IF($A205&lt;&gt;"", $A205, LOOKUP(2, 1/((A$7:INDEX(A:A, ROW()))&lt;&gt;""), A$7:INDEX(A:A, ROW())))</f>
        <v>RAFTERS</v>
      </c>
      <c r="M205" s="14"/>
    </row>
    <row r="206" spans="1:13">
      <c r="A206" s="263"/>
      <c r="B206" s="263"/>
      <c r="C206" s="263" t="s">
        <v>292</v>
      </c>
      <c r="D206" s="263" t="s">
        <v>24</v>
      </c>
      <c r="E206" s="263"/>
      <c r="F206" s="263"/>
      <c r="G206" s="39" cm="1">
        <f t="array" ref="G206">IFERROR(INDEX(Table_dim_price_recipe[Retail Price], MATCH(1, ("Calculator"&lt;&gt;Table_dim_price_recipe[Type.display])*($L206=Table_dim_price_recipe[Category])*($D206=Table_dim_price_recipe[Item Description]) * (G$6=Table_dim_price_recipe[Type])*(Table_dim_price_recipe[Retail Price]&lt;&gt;0)*($C206=Table_dim_price_recipe[Subcategory]), 0))*$B206,"")</f>
        <v>0</v>
      </c>
      <c r="H206" s="39" t="str" cm="1">
        <f t="array" ref="H206">IFERROR(INDEX(Table_dim_price_recipe[Retail Price], MATCH(1, ("Calculator"&lt;&gt;Table_dim_price_recipe[Type.display])*($L206=Table_dim_price_recipe[Category])*($D206=Table_dim_price_recipe[Item Description]) * (H$6=Table_dim_price_recipe[Type])*(Table_dim_price_recipe[Retail Price]&lt;&gt;0)*($C206=Table_dim_price_recipe[Subcategory]), 0))*$B206,"")</f>
        <v/>
      </c>
      <c r="I206" s="39" t="str" cm="1">
        <f t="array" ref="I206">IFERROR(INDEX(Table_dim_price_recipe[Retail Price], MATCH(1, ("Calculator"&lt;&gt;Table_dim_price_recipe[Type.display])*($L206=Table_dim_price_recipe[Category])*($D206=Table_dim_price_recipe[Item Description]) * (I$6=Table_dim_price_recipe[Type])*(Table_dim_price_recipe[Retail Price]&lt;&gt;0)*($C206=Table_dim_price_recipe[Subcategory]), 0))*$B206,"")</f>
        <v/>
      </c>
      <c r="J206" s="39" t="str" cm="1">
        <f t="array" ref="J206">IFERROR(INDEX(Table_dim_price_recipe[Retail Price], MATCH(1, ("Calculator"&lt;&gt;Table_dim_price_recipe[Type.display])*($L206=Table_dim_price_recipe[Category])*($D206=Table_dim_price_recipe[Item Description]) * (J$6=Table_dim_price_recipe[Type])*(Table_dim_price_recipe[Retail Price]&lt;&gt;0)*($C206=Table_dim_price_recipe[Subcategory]), 0))*$B206,"")</f>
        <v/>
      </c>
      <c r="K206" s="39" t="str" cm="1">
        <f t="array" ref="K206">IFERROR(INDEX(Table_dim_price_recipe[Retail Price], MATCH(1, ("Calculator"&lt;&gt;Table_dim_price_recipe[Type.display])*($L206=Table_dim_price_recipe[Category])*($D206=Table_dim_price_recipe[Item Description]) * (K$6=Table_dim_price_recipe[Type])*(Table_dim_price_recipe[Retail Price]&lt;&gt;0)*($C206=Table_dim_price_recipe[Subcategory]), 0))*$B206,"")</f>
        <v/>
      </c>
      <c r="L206" s="39" t="str" cm="1">
        <f t="array" ref="L206">IF($A206&lt;&gt;"", $A206, LOOKUP(2, 1/((A$7:INDEX(A:A, ROW()))&lt;&gt;""), A$7:INDEX(A:A, ROW())))</f>
        <v>RAFTERS</v>
      </c>
      <c r="M206" s="14"/>
    </row>
    <row r="207" spans="1:13">
      <c r="A207" s="263"/>
      <c r="B207" s="263"/>
      <c r="C207" s="263" t="s">
        <v>292</v>
      </c>
      <c r="D207" s="263" t="s">
        <v>62</v>
      </c>
      <c r="E207" s="263"/>
      <c r="F207" s="263"/>
      <c r="G207" s="39" cm="1">
        <f t="array" ref="G207">IFERROR(INDEX(Table_dim_price_recipe[Retail Price], MATCH(1, ("Calculator"&lt;&gt;Table_dim_price_recipe[Type.display])*($L207=Table_dim_price_recipe[Category])*($D207=Table_dim_price_recipe[Item Description]) * (G$6=Table_dim_price_recipe[Type])*(Table_dim_price_recipe[Retail Price]&lt;&gt;0)*($C207=Table_dim_price_recipe[Subcategory]), 0))*$B207,"")</f>
        <v>0</v>
      </c>
      <c r="H207" s="39" t="str" cm="1">
        <f t="array" ref="H207">IFERROR(INDEX(Table_dim_price_recipe[Retail Price], MATCH(1, ("Calculator"&lt;&gt;Table_dim_price_recipe[Type.display])*($L207=Table_dim_price_recipe[Category])*($D207=Table_dim_price_recipe[Item Description]) * (H$6=Table_dim_price_recipe[Type])*(Table_dim_price_recipe[Retail Price]&lt;&gt;0)*($C207=Table_dim_price_recipe[Subcategory]), 0))*$B207,"")</f>
        <v/>
      </c>
      <c r="I207" s="39" t="str" cm="1">
        <f t="array" ref="I207">IFERROR(INDEX(Table_dim_price_recipe[Retail Price], MATCH(1, ("Calculator"&lt;&gt;Table_dim_price_recipe[Type.display])*($L207=Table_dim_price_recipe[Category])*($D207=Table_dim_price_recipe[Item Description]) * (I$6=Table_dim_price_recipe[Type])*(Table_dim_price_recipe[Retail Price]&lt;&gt;0)*($C207=Table_dim_price_recipe[Subcategory]), 0))*$B207,"")</f>
        <v/>
      </c>
      <c r="J207" s="39" t="str" cm="1">
        <f t="array" ref="J207">IFERROR(INDEX(Table_dim_price_recipe[Retail Price], MATCH(1, ("Calculator"&lt;&gt;Table_dim_price_recipe[Type.display])*($L207=Table_dim_price_recipe[Category])*($D207=Table_dim_price_recipe[Item Description]) * (J$6=Table_dim_price_recipe[Type])*(Table_dim_price_recipe[Retail Price]&lt;&gt;0)*($C207=Table_dim_price_recipe[Subcategory]), 0))*$B207,"")</f>
        <v/>
      </c>
      <c r="K207" s="39" t="str" cm="1">
        <f t="array" ref="K207">IFERROR(INDEX(Table_dim_price_recipe[Retail Price], MATCH(1, ("Calculator"&lt;&gt;Table_dim_price_recipe[Type.display])*($L207=Table_dim_price_recipe[Category])*($D207=Table_dim_price_recipe[Item Description]) * (K$6=Table_dim_price_recipe[Type])*(Table_dim_price_recipe[Retail Price]&lt;&gt;0)*($C207=Table_dim_price_recipe[Subcategory]), 0))*$B207,"")</f>
        <v/>
      </c>
      <c r="L207" s="39" t="str" cm="1">
        <f t="array" ref="L207">IF($A207&lt;&gt;"", $A207, LOOKUP(2, 1/((A$7:INDEX(A:A, ROW()))&lt;&gt;""), A$7:INDEX(A:A, ROW())))</f>
        <v>RAFTERS</v>
      </c>
      <c r="M207" s="14"/>
    </row>
    <row r="208" spans="1:13">
      <c r="A208" s="263"/>
      <c r="B208" s="263"/>
      <c r="C208" s="263" t="s">
        <v>292</v>
      </c>
      <c r="D208" s="263" t="s">
        <v>293</v>
      </c>
      <c r="E208" s="263"/>
      <c r="F208" s="263"/>
      <c r="G208" s="39" cm="1">
        <f t="array" ref="G208">IFERROR(INDEX(Table_dim_price_recipe[Retail Price], MATCH(1, ("Calculator"&lt;&gt;Table_dim_price_recipe[Type.display])*($L208=Table_dim_price_recipe[Category])*($D208=Table_dim_price_recipe[Item Description]) * (G$6=Table_dim_price_recipe[Type])*(Table_dim_price_recipe[Retail Price]&lt;&gt;0)*($C208=Table_dim_price_recipe[Subcategory]), 0))*$B208,"")</f>
        <v>0</v>
      </c>
      <c r="H208" s="39" t="str" cm="1">
        <f t="array" ref="H208">IFERROR(INDEX(Table_dim_price_recipe[Retail Price], MATCH(1, ("Calculator"&lt;&gt;Table_dim_price_recipe[Type.display])*($L208=Table_dim_price_recipe[Category])*($D208=Table_dim_price_recipe[Item Description]) * (H$6=Table_dim_price_recipe[Type])*(Table_dim_price_recipe[Retail Price]&lt;&gt;0)*($C208=Table_dim_price_recipe[Subcategory]), 0))*$B208,"")</f>
        <v/>
      </c>
      <c r="I208" s="39" t="str" cm="1">
        <f t="array" ref="I208">IFERROR(INDEX(Table_dim_price_recipe[Retail Price], MATCH(1, ("Calculator"&lt;&gt;Table_dim_price_recipe[Type.display])*($L208=Table_dim_price_recipe[Category])*($D208=Table_dim_price_recipe[Item Description]) * (I$6=Table_dim_price_recipe[Type])*(Table_dim_price_recipe[Retail Price]&lt;&gt;0)*($C208=Table_dim_price_recipe[Subcategory]), 0))*$B208,"")</f>
        <v/>
      </c>
      <c r="J208" s="39" t="str" cm="1">
        <f t="array" ref="J208">IFERROR(INDEX(Table_dim_price_recipe[Retail Price], MATCH(1, ("Calculator"&lt;&gt;Table_dim_price_recipe[Type.display])*($L208=Table_dim_price_recipe[Category])*($D208=Table_dim_price_recipe[Item Description]) * (J$6=Table_dim_price_recipe[Type])*(Table_dim_price_recipe[Retail Price]&lt;&gt;0)*($C208=Table_dim_price_recipe[Subcategory]), 0))*$B208,"")</f>
        <v/>
      </c>
      <c r="K208" s="39" t="str" cm="1">
        <f t="array" ref="K208">IFERROR(INDEX(Table_dim_price_recipe[Retail Price], MATCH(1, ("Calculator"&lt;&gt;Table_dim_price_recipe[Type.display])*($L208=Table_dim_price_recipe[Category])*($D208=Table_dim_price_recipe[Item Description]) * (K$6=Table_dim_price_recipe[Type])*(Table_dim_price_recipe[Retail Price]&lt;&gt;0)*($C208=Table_dim_price_recipe[Subcategory]), 0))*$B208,"")</f>
        <v/>
      </c>
      <c r="L208" s="39" t="str" cm="1">
        <f t="array" ref="L208">IF($A208&lt;&gt;"", $A208, LOOKUP(2, 1/((A$7:INDEX(A:A, ROW()))&lt;&gt;""), A$7:INDEX(A:A, ROW())))</f>
        <v>RAFTERS</v>
      </c>
      <c r="M208" s="14"/>
    </row>
    <row r="209" spans="1:13">
      <c r="A209" s="263"/>
      <c r="B209" s="263"/>
      <c r="C209" s="263" t="s">
        <v>292</v>
      </c>
      <c r="D209" s="263"/>
      <c r="E209" s="263"/>
      <c r="F209" s="263"/>
      <c r="G209" s="39" t="str" cm="1">
        <f t="array" ref="G209">IFERROR(INDEX(Table_dim_price_recipe[Retail Price], MATCH(1, ("Calculator"&lt;&gt;Table_dim_price_recipe[Type.display])*($L209=Table_dim_price_recipe[Category])*($D209=Table_dim_price_recipe[Item Description]) * (G$6=Table_dim_price_recipe[Type])*(Table_dim_price_recipe[Retail Price]&lt;&gt;0)*($C209=Table_dim_price_recipe[Subcategory]), 0))*$B209,"")</f>
        <v/>
      </c>
      <c r="H209" s="39" t="str" cm="1">
        <f t="array" ref="H209">IFERROR(INDEX(Table_dim_price_recipe[Retail Price], MATCH(1, ("Calculator"&lt;&gt;Table_dim_price_recipe[Type.display])*($L209=Table_dim_price_recipe[Category])*($D209=Table_dim_price_recipe[Item Description]) * (H$6=Table_dim_price_recipe[Type])*(Table_dim_price_recipe[Retail Price]&lt;&gt;0)*($C209=Table_dim_price_recipe[Subcategory]), 0))*$B209,"")</f>
        <v/>
      </c>
      <c r="I209" s="39" t="str" cm="1">
        <f t="array" ref="I209">IFERROR(INDEX(Table_dim_price_recipe[Retail Price], MATCH(1, ("Calculator"&lt;&gt;Table_dim_price_recipe[Type.display])*($L209=Table_dim_price_recipe[Category])*($D209=Table_dim_price_recipe[Item Description]) * (I$6=Table_dim_price_recipe[Type])*(Table_dim_price_recipe[Retail Price]&lt;&gt;0)*($C209=Table_dim_price_recipe[Subcategory]), 0))*$B209,"")</f>
        <v/>
      </c>
      <c r="J209" s="39" t="str" cm="1">
        <f t="array" ref="J209">IFERROR(INDEX(Table_dim_price_recipe[Retail Price], MATCH(1, ("Calculator"&lt;&gt;Table_dim_price_recipe[Type.display])*($L209=Table_dim_price_recipe[Category])*($D209=Table_dim_price_recipe[Item Description]) * (J$6=Table_dim_price_recipe[Type])*(Table_dim_price_recipe[Retail Price]&lt;&gt;0)*($C209=Table_dim_price_recipe[Subcategory]), 0))*$B209,"")</f>
        <v/>
      </c>
      <c r="K209" s="39" t="str" cm="1">
        <f t="array" ref="K209">IFERROR(INDEX(Table_dim_price_recipe[Retail Price], MATCH(1, ("Calculator"&lt;&gt;Table_dim_price_recipe[Type.display])*($L209=Table_dim_price_recipe[Category])*($D209=Table_dim_price_recipe[Item Description]) * (K$6=Table_dim_price_recipe[Type])*(Table_dim_price_recipe[Retail Price]&lt;&gt;0)*($C209=Table_dim_price_recipe[Subcategory]), 0))*$B209,"")</f>
        <v/>
      </c>
      <c r="L209" s="39" t="str" cm="1">
        <f t="array" ref="L209">IF($A209&lt;&gt;"", $A209, LOOKUP(2, 1/((A$7:INDEX(A:A, ROW()))&lt;&gt;""), A$7:INDEX(A:A, ROW())))</f>
        <v>RAFTERS</v>
      </c>
      <c r="M209" s="14"/>
    </row>
    <row r="210" spans="1:13">
      <c r="A210" s="263"/>
      <c r="B210" s="263"/>
      <c r="C210" s="263" t="s">
        <v>292</v>
      </c>
      <c r="D210" s="263"/>
      <c r="E210" s="263"/>
      <c r="F210" s="263"/>
      <c r="G210" s="39" t="str" cm="1">
        <f t="array" ref="G210">IFERROR(INDEX(Table_dim_price_recipe[Retail Price], MATCH(1, ("Calculator"&lt;&gt;Table_dim_price_recipe[Type.display])*($L210=Table_dim_price_recipe[Category])*($D210=Table_dim_price_recipe[Item Description]) * (G$6=Table_dim_price_recipe[Type])*(Table_dim_price_recipe[Retail Price]&lt;&gt;0)*($C210=Table_dim_price_recipe[Subcategory]), 0))*$B210,"")</f>
        <v/>
      </c>
      <c r="H210" s="39" t="str" cm="1">
        <f t="array" ref="H210">IFERROR(INDEX(Table_dim_price_recipe[Retail Price], MATCH(1, ("Calculator"&lt;&gt;Table_dim_price_recipe[Type.display])*($L210=Table_dim_price_recipe[Category])*($D210=Table_dim_price_recipe[Item Description]) * (H$6=Table_dim_price_recipe[Type])*(Table_dim_price_recipe[Retail Price]&lt;&gt;0)*($C210=Table_dim_price_recipe[Subcategory]), 0))*$B210,"")</f>
        <v/>
      </c>
      <c r="I210" s="39" t="str" cm="1">
        <f t="array" ref="I210">IFERROR(INDEX(Table_dim_price_recipe[Retail Price], MATCH(1, ("Calculator"&lt;&gt;Table_dim_price_recipe[Type.display])*($L210=Table_dim_price_recipe[Category])*($D210=Table_dim_price_recipe[Item Description]) * (I$6=Table_dim_price_recipe[Type])*(Table_dim_price_recipe[Retail Price]&lt;&gt;0)*($C210=Table_dim_price_recipe[Subcategory]), 0))*$B210,"")</f>
        <v/>
      </c>
      <c r="J210" s="39" t="str" cm="1">
        <f t="array" ref="J210">IFERROR(INDEX(Table_dim_price_recipe[Retail Price], MATCH(1, ("Calculator"&lt;&gt;Table_dim_price_recipe[Type.display])*($L210=Table_dim_price_recipe[Category])*($D210=Table_dim_price_recipe[Item Description]) * (J$6=Table_dim_price_recipe[Type])*(Table_dim_price_recipe[Retail Price]&lt;&gt;0)*($C210=Table_dim_price_recipe[Subcategory]), 0))*$B210,"")</f>
        <v/>
      </c>
      <c r="K210" s="39" t="str" cm="1">
        <f t="array" ref="K210">IFERROR(INDEX(Table_dim_price_recipe[Retail Price], MATCH(1, ("Calculator"&lt;&gt;Table_dim_price_recipe[Type.display])*($L210=Table_dim_price_recipe[Category])*($D210=Table_dim_price_recipe[Item Description]) * (K$6=Table_dim_price_recipe[Type])*(Table_dim_price_recipe[Retail Price]&lt;&gt;0)*($C210=Table_dim_price_recipe[Subcategory]), 0))*$B210,"")</f>
        <v/>
      </c>
      <c r="L210" s="39" t="str" cm="1">
        <f t="array" ref="L210">IF($A210&lt;&gt;"", $A210, LOOKUP(2, 1/((A$7:INDEX(A:A, ROW()))&lt;&gt;""), A$7:INDEX(A:A, ROW())))</f>
        <v>RAFTERS</v>
      </c>
      <c r="M210" s="14"/>
    </row>
    <row r="211" spans="1:13">
      <c r="A211" s="260" t="s">
        <v>33</v>
      </c>
      <c r="B211" s="261"/>
      <c r="C211" s="261"/>
      <c r="D211" s="261"/>
      <c r="E211" s="261"/>
      <c r="F211" s="261"/>
      <c r="G211" s="262" t="str" cm="1">
        <f t="array" ref="G211">IFERROR(INDEX(Table_dim_price_recipe[Retail Price], MATCH(1, ("Calculator"&lt;&gt;Table_dim_price_recipe[Type.display])*($L211=Table_dim_price_recipe[Category])*($D211=Table_dim_price_recipe[Item Description]) * (G$6=Table_dim_price_recipe[Type])*(Table_dim_price_recipe[Retail Price]&lt;&gt;0)*($C211=Table_dim_price_recipe[Subcategory]), 0))*$B211,"")</f>
        <v/>
      </c>
      <c r="H211" s="262" t="str" cm="1">
        <f t="array" ref="H211">IFERROR(INDEX(Table_dim_price_recipe[Retail Price], MATCH(1, ("Calculator"&lt;&gt;Table_dim_price_recipe[Type.display])*($L211=Table_dim_price_recipe[Category])*($D211=Table_dim_price_recipe[Item Description]) * (H$6=Table_dim_price_recipe[Type])*(Table_dim_price_recipe[Retail Price]&lt;&gt;0)*($C211=Table_dim_price_recipe[Subcategory]), 0))*$B211,"")</f>
        <v/>
      </c>
      <c r="I211" s="262" t="str" cm="1">
        <f t="array" ref="I211">IFERROR(INDEX(Table_dim_price_recipe[Retail Price], MATCH(1, ("Calculator"&lt;&gt;Table_dim_price_recipe[Type.display])*($L211=Table_dim_price_recipe[Category])*($D211=Table_dim_price_recipe[Item Description]) * (I$6=Table_dim_price_recipe[Type])*(Table_dim_price_recipe[Retail Price]&lt;&gt;0)*($C211=Table_dim_price_recipe[Subcategory]), 0))*$B211,"")</f>
        <v/>
      </c>
      <c r="J211" s="262" t="str" cm="1">
        <f t="array" ref="J211">IFERROR(INDEX(Table_dim_price_recipe[Retail Price], MATCH(1, ("Calculator"&lt;&gt;Table_dim_price_recipe[Type.display])*($L211=Table_dim_price_recipe[Category])*($D211=Table_dim_price_recipe[Item Description]) * (J$6=Table_dim_price_recipe[Type])*(Table_dim_price_recipe[Retail Price]&lt;&gt;0)*($C211=Table_dim_price_recipe[Subcategory]), 0))*$B211,"")</f>
        <v/>
      </c>
      <c r="K211" s="262" t="str" cm="1">
        <f t="array" ref="K211">IFERROR(INDEX(Table_dim_price_recipe[Retail Price], MATCH(1, ("Calculator"&lt;&gt;Table_dim_price_recipe[Type.display])*($L211=Table_dim_price_recipe[Category])*($D211=Table_dim_price_recipe[Item Description]) * (K$6=Table_dim_price_recipe[Type])*(Table_dim_price_recipe[Retail Price]&lt;&gt;0)*($C211=Table_dim_price_recipe[Subcategory]), 0))*$B211,"")</f>
        <v/>
      </c>
      <c r="L211" s="262" t="str" cm="1">
        <f t="array" ref="L211">IF($A211&lt;&gt;"", $A211, LOOKUP(2, 1/((A$7:INDEX(A:A, ROW()))&lt;&gt;""), A$7:INDEX(A:A, ROW())))</f>
        <v>FASCIA BOARD</v>
      </c>
      <c r="M211" s="14"/>
    </row>
    <row r="212" spans="1:13">
      <c r="A212" s="263"/>
      <c r="B212" s="263"/>
      <c r="C212" s="263" t="s">
        <v>326</v>
      </c>
      <c r="D212" s="263" t="s">
        <v>327</v>
      </c>
      <c r="E212" s="263"/>
      <c r="F212" s="263"/>
      <c r="G212" s="39" cm="1">
        <f t="array" ref="G212">IFERROR(INDEX(Table_dim_price_recipe[Retail Price], MATCH(1, ("Calculator"&lt;&gt;Table_dim_price_recipe[Type.display])*($L212=Table_dim_price_recipe[Category])*($D212=Table_dim_price_recipe[Item Description]) * (G$6=Table_dim_price_recipe[Type])*(Table_dim_price_recipe[Retail Price]&lt;&gt;0)*($C212=Table_dim_price_recipe[Subcategory]), 0))*$B212,"")</f>
        <v>0</v>
      </c>
      <c r="H212" s="39" t="str" cm="1">
        <f t="array" ref="H212">IFERROR(INDEX(Table_dim_price_recipe[Retail Price], MATCH(1, ("Calculator"&lt;&gt;Table_dim_price_recipe[Type.display])*($L212=Table_dim_price_recipe[Category])*($D212=Table_dim_price_recipe[Item Description]) * (H$6=Table_dim_price_recipe[Type])*(Table_dim_price_recipe[Retail Price]&lt;&gt;0)*($C212=Table_dim_price_recipe[Subcategory]), 0))*$B212,"")</f>
        <v/>
      </c>
      <c r="I212" s="39" t="str" cm="1">
        <f t="array" ref="I212">IFERROR(INDEX(Table_dim_price_recipe[Retail Price], MATCH(1, ("Calculator"&lt;&gt;Table_dim_price_recipe[Type.display])*($L212=Table_dim_price_recipe[Category])*($D212=Table_dim_price_recipe[Item Description]) * (I$6=Table_dim_price_recipe[Type])*(Table_dim_price_recipe[Retail Price]&lt;&gt;0)*($C212=Table_dim_price_recipe[Subcategory]), 0))*$B212,"")</f>
        <v/>
      </c>
      <c r="J212" s="39" t="str" cm="1">
        <f t="array" ref="J212">IFERROR(INDEX(Table_dim_price_recipe[Retail Price], MATCH(1, ("Calculator"&lt;&gt;Table_dim_price_recipe[Type.display])*($L212=Table_dim_price_recipe[Category])*($D212=Table_dim_price_recipe[Item Description]) * (J$6=Table_dim_price_recipe[Type])*(Table_dim_price_recipe[Retail Price]&lt;&gt;0)*($C212=Table_dim_price_recipe[Subcategory]), 0))*$B212,"")</f>
        <v/>
      </c>
      <c r="K212" s="39" t="str" cm="1">
        <f t="array" ref="K212">IFERROR(INDEX(Table_dim_price_recipe[Retail Price], MATCH(1, ("Calculator"&lt;&gt;Table_dim_price_recipe[Type.display])*($L212=Table_dim_price_recipe[Category])*($D212=Table_dim_price_recipe[Item Description]) * (K$6=Table_dim_price_recipe[Type])*(Table_dim_price_recipe[Retail Price]&lt;&gt;0)*($C212=Table_dim_price_recipe[Subcategory]), 0))*$B212,"")</f>
        <v/>
      </c>
      <c r="L212" s="39" t="str" cm="1">
        <f t="array" ref="L212">IF($A212&lt;&gt;"", $A212, LOOKUP(2, 1/((A$7:INDEX(A:A, ROW()))&lt;&gt;""), A$7:INDEX(A:A, ROW())))</f>
        <v>FASCIA BOARD</v>
      </c>
      <c r="M212" s="14"/>
    </row>
    <row r="213" spans="1:13">
      <c r="A213" s="263"/>
      <c r="B213" s="263"/>
      <c r="C213" s="263" t="s">
        <v>326</v>
      </c>
      <c r="D213" s="263" t="s">
        <v>328</v>
      </c>
      <c r="E213" s="263"/>
      <c r="F213" s="263"/>
      <c r="G213" s="39" cm="1">
        <f t="array" ref="G213">IFERROR(INDEX(Table_dim_price_recipe[Retail Price], MATCH(1, ("Calculator"&lt;&gt;Table_dim_price_recipe[Type.display])*($L213=Table_dim_price_recipe[Category])*($D213=Table_dim_price_recipe[Item Description]) * (G$6=Table_dim_price_recipe[Type])*(Table_dim_price_recipe[Retail Price]&lt;&gt;0)*($C213=Table_dim_price_recipe[Subcategory]), 0))*$B213,"")</f>
        <v>0</v>
      </c>
      <c r="H213" s="39" t="str" cm="1">
        <f t="array" ref="H213">IFERROR(INDEX(Table_dim_price_recipe[Retail Price], MATCH(1, ("Calculator"&lt;&gt;Table_dim_price_recipe[Type.display])*($L213=Table_dim_price_recipe[Category])*($D213=Table_dim_price_recipe[Item Description]) * (H$6=Table_dim_price_recipe[Type])*(Table_dim_price_recipe[Retail Price]&lt;&gt;0)*($C213=Table_dim_price_recipe[Subcategory]), 0))*$B213,"")</f>
        <v/>
      </c>
      <c r="I213" s="39" t="str" cm="1">
        <f t="array" ref="I213">IFERROR(INDEX(Table_dim_price_recipe[Retail Price], MATCH(1, ("Calculator"&lt;&gt;Table_dim_price_recipe[Type.display])*($L213=Table_dim_price_recipe[Category])*($D213=Table_dim_price_recipe[Item Description]) * (I$6=Table_dim_price_recipe[Type])*(Table_dim_price_recipe[Retail Price]&lt;&gt;0)*($C213=Table_dim_price_recipe[Subcategory]), 0))*$B213,"")</f>
        <v/>
      </c>
      <c r="J213" s="39" t="str" cm="1">
        <f t="array" ref="J213">IFERROR(INDEX(Table_dim_price_recipe[Retail Price], MATCH(1, ("Calculator"&lt;&gt;Table_dim_price_recipe[Type.display])*($L213=Table_dim_price_recipe[Category])*($D213=Table_dim_price_recipe[Item Description]) * (J$6=Table_dim_price_recipe[Type])*(Table_dim_price_recipe[Retail Price]&lt;&gt;0)*($C213=Table_dim_price_recipe[Subcategory]), 0))*$B213,"")</f>
        <v/>
      </c>
      <c r="K213" s="39" t="str" cm="1">
        <f t="array" ref="K213">IFERROR(INDEX(Table_dim_price_recipe[Retail Price], MATCH(1, ("Calculator"&lt;&gt;Table_dim_price_recipe[Type.display])*($L213=Table_dim_price_recipe[Category])*($D213=Table_dim_price_recipe[Item Description]) * (K$6=Table_dim_price_recipe[Type])*(Table_dim_price_recipe[Retail Price]&lt;&gt;0)*($C213=Table_dim_price_recipe[Subcategory]), 0))*$B213,"")</f>
        <v/>
      </c>
      <c r="L213" s="39" t="str" cm="1">
        <f t="array" ref="L213">IF($A213&lt;&gt;"", $A213, LOOKUP(2, 1/((A$7:INDEX(A:A, ROW()))&lt;&gt;""), A$7:INDEX(A:A, ROW())))</f>
        <v>FASCIA BOARD</v>
      </c>
      <c r="M213" s="14"/>
    </row>
    <row r="214" spans="1:13">
      <c r="A214" s="263"/>
      <c r="B214" s="263"/>
      <c r="C214" s="263" t="s">
        <v>326</v>
      </c>
      <c r="D214" s="263" t="s">
        <v>329</v>
      </c>
      <c r="E214" s="263"/>
      <c r="F214" s="263"/>
      <c r="G214" s="39" cm="1">
        <f t="array" ref="G214">IFERROR(INDEX(Table_dim_price_recipe[Retail Price], MATCH(1, ("Calculator"&lt;&gt;Table_dim_price_recipe[Type.display])*($L214=Table_dim_price_recipe[Category])*($D214=Table_dim_price_recipe[Item Description]) * (G$6=Table_dim_price_recipe[Type])*(Table_dim_price_recipe[Retail Price]&lt;&gt;0)*($C214=Table_dim_price_recipe[Subcategory]), 0))*$B214,"")</f>
        <v>0</v>
      </c>
      <c r="H214" s="39" t="str" cm="1">
        <f t="array" ref="H214">IFERROR(INDEX(Table_dim_price_recipe[Retail Price], MATCH(1, ("Calculator"&lt;&gt;Table_dim_price_recipe[Type.display])*($L214=Table_dim_price_recipe[Category])*($D214=Table_dim_price_recipe[Item Description]) * (H$6=Table_dim_price_recipe[Type])*(Table_dim_price_recipe[Retail Price]&lt;&gt;0)*($C214=Table_dim_price_recipe[Subcategory]), 0))*$B214,"")</f>
        <v/>
      </c>
      <c r="I214" s="39" t="str" cm="1">
        <f t="array" ref="I214">IFERROR(INDEX(Table_dim_price_recipe[Retail Price], MATCH(1, ("Calculator"&lt;&gt;Table_dim_price_recipe[Type.display])*($L214=Table_dim_price_recipe[Category])*($D214=Table_dim_price_recipe[Item Description]) * (I$6=Table_dim_price_recipe[Type])*(Table_dim_price_recipe[Retail Price]&lt;&gt;0)*($C214=Table_dim_price_recipe[Subcategory]), 0))*$B214,"")</f>
        <v/>
      </c>
      <c r="J214" s="39" t="str" cm="1">
        <f t="array" ref="J214">IFERROR(INDEX(Table_dim_price_recipe[Retail Price], MATCH(1, ("Calculator"&lt;&gt;Table_dim_price_recipe[Type.display])*($L214=Table_dim_price_recipe[Category])*($D214=Table_dim_price_recipe[Item Description]) * (J$6=Table_dim_price_recipe[Type])*(Table_dim_price_recipe[Retail Price]&lt;&gt;0)*($C214=Table_dim_price_recipe[Subcategory]), 0))*$B214,"")</f>
        <v/>
      </c>
      <c r="K214" s="39" t="str" cm="1">
        <f t="array" ref="K214">IFERROR(INDEX(Table_dim_price_recipe[Retail Price], MATCH(1, ("Calculator"&lt;&gt;Table_dim_price_recipe[Type.display])*($L214=Table_dim_price_recipe[Category])*($D214=Table_dim_price_recipe[Item Description]) * (K$6=Table_dim_price_recipe[Type])*(Table_dim_price_recipe[Retail Price]&lt;&gt;0)*($C214=Table_dim_price_recipe[Subcategory]), 0))*$B214,"")</f>
        <v/>
      </c>
      <c r="L214" s="39" t="str" cm="1">
        <f t="array" ref="L214">IF($A214&lt;&gt;"", $A214, LOOKUP(2, 1/((A$7:INDEX(A:A, ROW()))&lt;&gt;""), A$7:INDEX(A:A, ROW())))</f>
        <v>FASCIA BOARD</v>
      </c>
      <c r="M214" s="14"/>
    </row>
    <row r="215" spans="1:13">
      <c r="A215" s="263"/>
      <c r="B215" s="263"/>
      <c r="C215" s="263" t="s">
        <v>326</v>
      </c>
      <c r="D215" s="263" t="s">
        <v>330</v>
      </c>
      <c r="E215" s="263"/>
      <c r="F215" s="263"/>
      <c r="G215" s="39" cm="1">
        <f t="array" ref="G215">IFERROR(INDEX(Table_dim_price_recipe[Retail Price], MATCH(1, ("Calculator"&lt;&gt;Table_dim_price_recipe[Type.display])*($L215=Table_dim_price_recipe[Category])*($D215=Table_dim_price_recipe[Item Description]) * (G$6=Table_dim_price_recipe[Type])*(Table_dim_price_recipe[Retail Price]&lt;&gt;0)*($C215=Table_dim_price_recipe[Subcategory]), 0))*$B215,"")</f>
        <v>0</v>
      </c>
      <c r="H215" s="39" t="str" cm="1">
        <f t="array" ref="H215">IFERROR(INDEX(Table_dim_price_recipe[Retail Price], MATCH(1, ("Calculator"&lt;&gt;Table_dim_price_recipe[Type.display])*($L215=Table_dim_price_recipe[Category])*($D215=Table_dim_price_recipe[Item Description]) * (H$6=Table_dim_price_recipe[Type])*(Table_dim_price_recipe[Retail Price]&lt;&gt;0)*($C215=Table_dim_price_recipe[Subcategory]), 0))*$B215,"")</f>
        <v/>
      </c>
      <c r="I215" s="39" t="str" cm="1">
        <f t="array" ref="I215">IFERROR(INDEX(Table_dim_price_recipe[Retail Price], MATCH(1, ("Calculator"&lt;&gt;Table_dim_price_recipe[Type.display])*($L215=Table_dim_price_recipe[Category])*($D215=Table_dim_price_recipe[Item Description]) * (I$6=Table_dim_price_recipe[Type])*(Table_dim_price_recipe[Retail Price]&lt;&gt;0)*($C215=Table_dim_price_recipe[Subcategory]), 0))*$B215,"")</f>
        <v/>
      </c>
      <c r="J215" s="39" t="str" cm="1">
        <f t="array" ref="J215">IFERROR(INDEX(Table_dim_price_recipe[Retail Price], MATCH(1, ("Calculator"&lt;&gt;Table_dim_price_recipe[Type.display])*($L215=Table_dim_price_recipe[Category])*($D215=Table_dim_price_recipe[Item Description]) * (J$6=Table_dim_price_recipe[Type])*(Table_dim_price_recipe[Retail Price]&lt;&gt;0)*($C215=Table_dim_price_recipe[Subcategory]), 0))*$B215,"")</f>
        <v/>
      </c>
      <c r="K215" s="39" t="str" cm="1">
        <f t="array" ref="K215">IFERROR(INDEX(Table_dim_price_recipe[Retail Price], MATCH(1, ("Calculator"&lt;&gt;Table_dim_price_recipe[Type.display])*($L215=Table_dim_price_recipe[Category])*($D215=Table_dim_price_recipe[Item Description]) * (K$6=Table_dim_price_recipe[Type])*(Table_dim_price_recipe[Retail Price]&lt;&gt;0)*($C215=Table_dim_price_recipe[Subcategory]), 0))*$B215,"")</f>
        <v/>
      </c>
      <c r="L215" s="39" t="str" cm="1">
        <f t="array" ref="L215">IF($A215&lt;&gt;"", $A215, LOOKUP(2, 1/((A$7:INDEX(A:A, ROW()))&lt;&gt;""), A$7:INDEX(A:A, ROW())))</f>
        <v>FASCIA BOARD</v>
      </c>
      <c r="M215" s="14"/>
    </row>
    <row r="216" spans="1:13">
      <c r="A216" s="263"/>
      <c r="B216" s="263"/>
      <c r="C216" s="263" t="s">
        <v>326</v>
      </c>
      <c r="D216" s="263"/>
      <c r="E216" s="263"/>
      <c r="F216" s="263"/>
      <c r="G216" s="39" t="str" cm="1">
        <f t="array" ref="G216">IFERROR(INDEX(Table_dim_price_recipe[Retail Price], MATCH(1, ("Calculator"&lt;&gt;Table_dim_price_recipe[Type.display])*($L216=Table_dim_price_recipe[Category])*($D216=Table_dim_price_recipe[Item Description]) * (G$6=Table_dim_price_recipe[Type])*(Table_dim_price_recipe[Retail Price]&lt;&gt;0)*($C216=Table_dim_price_recipe[Subcategory]), 0))*$B216,"")</f>
        <v/>
      </c>
      <c r="H216" s="39" t="str" cm="1">
        <f t="array" ref="H216">IFERROR(INDEX(Table_dim_price_recipe[Retail Price], MATCH(1, ("Calculator"&lt;&gt;Table_dim_price_recipe[Type.display])*($L216=Table_dim_price_recipe[Category])*($D216=Table_dim_price_recipe[Item Description]) * (H$6=Table_dim_price_recipe[Type])*(Table_dim_price_recipe[Retail Price]&lt;&gt;0)*($C216=Table_dim_price_recipe[Subcategory]), 0))*$B216,"")</f>
        <v/>
      </c>
      <c r="I216" s="39" t="str" cm="1">
        <f t="array" ref="I216">IFERROR(INDEX(Table_dim_price_recipe[Retail Price], MATCH(1, ("Calculator"&lt;&gt;Table_dim_price_recipe[Type.display])*($L216=Table_dim_price_recipe[Category])*($D216=Table_dim_price_recipe[Item Description]) * (I$6=Table_dim_price_recipe[Type])*(Table_dim_price_recipe[Retail Price]&lt;&gt;0)*($C216=Table_dim_price_recipe[Subcategory]), 0))*$B216,"")</f>
        <v/>
      </c>
      <c r="J216" s="39" t="str" cm="1">
        <f t="array" ref="J216">IFERROR(INDEX(Table_dim_price_recipe[Retail Price], MATCH(1, ("Calculator"&lt;&gt;Table_dim_price_recipe[Type.display])*($L216=Table_dim_price_recipe[Category])*($D216=Table_dim_price_recipe[Item Description]) * (J$6=Table_dim_price_recipe[Type])*(Table_dim_price_recipe[Retail Price]&lt;&gt;0)*($C216=Table_dim_price_recipe[Subcategory]), 0))*$B216,"")</f>
        <v/>
      </c>
      <c r="K216" s="39" t="str" cm="1">
        <f t="array" ref="K216">IFERROR(INDEX(Table_dim_price_recipe[Retail Price], MATCH(1, ("Calculator"&lt;&gt;Table_dim_price_recipe[Type.display])*($L216=Table_dim_price_recipe[Category])*($D216=Table_dim_price_recipe[Item Description]) * (K$6=Table_dim_price_recipe[Type])*(Table_dim_price_recipe[Retail Price]&lt;&gt;0)*($C216=Table_dim_price_recipe[Subcategory]), 0))*$B216,"")</f>
        <v/>
      </c>
      <c r="L216" s="39" t="str" cm="1">
        <f t="array" ref="L216">IF($A216&lt;&gt;"", $A216, LOOKUP(2, 1/((A$7:INDEX(A:A, ROW()))&lt;&gt;""), A$7:INDEX(A:A, ROW())))</f>
        <v>FASCIA BOARD</v>
      </c>
      <c r="M216" s="14"/>
    </row>
    <row r="217" spans="1:13">
      <c r="A217" s="263"/>
      <c r="B217" s="263"/>
      <c r="C217" s="263" t="s">
        <v>326</v>
      </c>
      <c r="D217" s="263"/>
      <c r="E217" s="263"/>
      <c r="F217" s="263"/>
      <c r="G217" s="39" t="str" cm="1">
        <f t="array" ref="G217">IFERROR(INDEX(Table_dim_price_recipe[Retail Price], MATCH(1, ("Calculator"&lt;&gt;Table_dim_price_recipe[Type.display])*($L217=Table_dim_price_recipe[Category])*($D217=Table_dim_price_recipe[Item Description]) * (G$6=Table_dim_price_recipe[Type])*(Table_dim_price_recipe[Retail Price]&lt;&gt;0)*($C217=Table_dim_price_recipe[Subcategory]), 0))*$B217,"")</f>
        <v/>
      </c>
      <c r="H217" s="39" t="str" cm="1">
        <f t="array" ref="H217">IFERROR(INDEX(Table_dim_price_recipe[Retail Price], MATCH(1, ("Calculator"&lt;&gt;Table_dim_price_recipe[Type.display])*($L217=Table_dim_price_recipe[Category])*($D217=Table_dim_price_recipe[Item Description]) * (H$6=Table_dim_price_recipe[Type])*(Table_dim_price_recipe[Retail Price]&lt;&gt;0)*($C217=Table_dim_price_recipe[Subcategory]), 0))*$B217,"")</f>
        <v/>
      </c>
      <c r="I217" s="39" t="str" cm="1">
        <f t="array" ref="I217">IFERROR(INDEX(Table_dim_price_recipe[Retail Price], MATCH(1, ("Calculator"&lt;&gt;Table_dim_price_recipe[Type.display])*($L217=Table_dim_price_recipe[Category])*($D217=Table_dim_price_recipe[Item Description]) * (I$6=Table_dim_price_recipe[Type])*(Table_dim_price_recipe[Retail Price]&lt;&gt;0)*($C217=Table_dim_price_recipe[Subcategory]), 0))*$B217,"")</f>
        <v/>
      </c>
      <c r="J217" s="39" t="str" cm="1">
        <f t="array" ref="J217">IFERROR(INDEX(Table_dim_price_recipe[Retail Price], MATCH(1, ("Calculator"&lt;&gt;Table_dim_price_recipe[Type.display])*($L217=Table_dim_price_recipe[Category])*($D217=Table_dim_price_recipe[Item Description]) * (J$6=Table_dim_price_recipe[Type])*(Table_dim_price_recipe[Retail Price]&lt;&gt;0)*($C217=Table_dim_price_recipe[Subcategory]), 0))*$B217,"")</f>
        <v/>
      </c>
      <c r="K217" s="39" t="str" cm="1">
        <f t="array" ref="K217">IFERROR(INDEX(Table_dim_price_recipe[Retail Price], MATCH(1, ("Calculator"&lt;&gt;Table_dim_price_recipe[Type.display])*($L217=Table_dim_price_recipe[Category])*($D217=Table_dim_price_recipe[Item Description]) * (K$6=Table_dim_price_recipe[Type])*(Table_dim_price_recipe[Retail Price]&lt;&gt;0)*($C217=Table_dim_price_recipe[Subcategory]), 0))*$B217,"")</f>
        <v/>
      </c>
      <c r="L217" s="39" t="str" cm="1">
        <f t="array" ref="L217">IF($A217&lt;&gt;"", $A217, LOOKUP(2, 1/((A$7:INDEX(A:A, ROW()))&lt;&gt;""), A$7:INDEX(A:A, ROW())))</f>
        <v>FASCIA BOARD</v>
      </c>
      <c r="M217" s="14"/>
    </row>
    <row r="218" spans="1:13">
      <c r="A218" s="263"/>
      <c r="B218" s="263"/>
      <c r="C218" s="263" t="s">
        <v>325</v>
      </c>
      <c r="D218" s="263"/>
      <c r="E218" s="263"/>
      <c r="F218" s="263"/>
      <c r="G218" s="39" t="str" cm="1">
        <f t="array" ref="G218">IFERROR(INDEX(Table_dim_price_recipe[Retail Price], MATCH(1, ("Calculator"&lt;&gt;Table_dim_price_recipe[Type.display])*($L218=Table_dim_price_recipe[Category])*($D218=Table_dim_price_recipe[Item Description]) * (G$6=Table_dim_price_recipe[Type])*(Table_dim_price_recipe[Retail Price]&lt;&gt;0)*($C218=Table_dim_price_recipe[Subcategory]), 0))*$B218,"")</f>
        <v/>
      </c>
      <c r="H218" s="39" t="str" cm="1">
        <f t="array" ref="H218">IFERROR(INDEX(Table_dim_price_recipe[Retail Price], MATCH(1, ("Calculator"&lt;&gt;Table_dim_price_recipe[Type.display])*($L218=Table_dim_price_recipe[Category])*($D218=Table_dim_price_recipe[Item Description]) * (H$6=Table_dim_price_recipe[Type])*(Table_dim_price_recipe[Retail Price]&lt;&gt;0)*($C218=Table_dim_price_recipe[Subcategory]), 0))*$B218,"")</f>
        <v/>
      </c>
      <c r="I218" s="39" t="str" cm="1">
        <f t="array" ref="I218">IFERROR(INDEX(Table_dim_price_recipe[Retail Price], MATCH(1, ("Calculator"&lt;&gt;Table_dim_price_recipe[Type.display])*($L218=Table_dim_price_recipe[Category])*($D218=Table_dim_price_recipe[Item Description]) * (I$6=Table_dim_price_recipe[Type])*(Table_dim_price_recipe[Retail Price]&lt;&gt;0)*($C218=Table_dim_price_recipe[Subcategory]), 0))*$B218,"")</f>
        <v/>
      </c>
      <c r="J218" s="39" t="str" cm="1">
        <f t="array" ref="J218">IFERROR(INDEX(Table_dim_price_recipe[Retail Price], MATCH(1, ("Calculator"&lt;&gt;Table_dim_price_recipe[Type.display])*($L218=Table_dim_price_recipe[Category])*($D218=Table_dim_price_recipe[Item Description]) * (J$6=Table_dim_price_recipe[Type])*(Table_dim_price_recipe[Retail Price]&lt;&gt;0)*($C218=Table_dim_price_recipe[Subcategory]), 0))*$B218,"")</f>
        <v/>
      </c>
      <c r="K218" s="39" t="str" cm="1">
        <f t="array" ref="K218">IFERROR(INDEX(Table_dim_price_recipe[Retail Price], MATCH(1, ("Calculator"&lt;&gt;Table_dim_price_recipe[Type.display])*($L218=Table_dim_price_recipe[Category])*($D218=Table_dim_price_recipe[Item Description]) * (K$6=Table_dim_price_recipe[Type])*(Table_dim_price_recipe[Retail Price]&lt;&gt;0)*($C218=Table_dim_price_recipe[Subcategory]), 0))*$B218,"")</f>
        <v/>
      </c>
      <c r="L218" s="39" t="str" cm="1">
        <f t="array" ref="L218">IF($A218&lt;&gt;"", $A218, LOOKUP(2, 1/((A$7:INDEX(A:A, ROW()))&lt;&gt;""), A$7:INDEX(A:A, ROW())))</f>
        <v>FASCIA BOARD</v>
      </c>
      <c r="M218" s="14"/>
    </row>
    <row r="219" spans="1:13">
      <c r="A219" s="263"/>
      <c r="B219" s="263"/>
      <c r="C219" s="263" t="s">
        <v>325</v>
      </c>
      <c r="D219" s="263"/>
      <c r="E219" s="263"/>
      <c r="F219" s="263"/>
      <c r="G219" s="39" t="str" cm="1">
        <f t="array" ref="G219">IFERROR(INDEX(Table_dim_price_recipe[Retail Price], MATCH(1, ("Calculator"&lt;&gt;Table_dim_price_recipe[Type.display])*($L219=Table_dim_price_recipe[Category])*($D219=Table_dim_price_recipe[Item Description]) * (G$6=Table_dim_price_recipe[Type])*(Table_dim_price_recipe[Retail Price]&lt;&gt;0)*($C219=Table_dim_price_recipe[Subcategory]), 0))*$B219,"")</f>
        <v/>
      </c>
      <c r="H219" s="39" t="str" cm="1">
        <f t="array" ref="H219">IFERROR(INDEX(Table_dim_price_recipe[Retail Price], MATCH(1, ("Calculator"&lt;&gt;Table_dim_price_recipe[Type.display])*($L219=Table_dim_price_recipe[Category])*($D219=Table_dim_price_recipe[Item Description]) * (H$6=Table_dim_price_recipe[Type])*(Table_dim_price_recipe[Retail Price]&lt;&gt;0)*($C219=Table_dim_price_recipe[Subcategory]), 0))*$B219,"")</f>
        <v/>
      </c>
      <c r="I219" s="39" t="str" cm="1">
        <f t="array" ref="I219">IFERROR(INDEX(Table_dim_price_recipe[Retail Price], MATCH(1, ("Calculator"&lt;&gt;Table_dim_price_recipe[Type.display])*($L219=Table_dim_price_recipe[Category])*($D219=Table_dim_price_recipe[Item Description]) * (I$6=Table_dim_price_recipe[Type])*(Table_dim_price_recipe[Retail Price]&lt;&gt;0)*($C219=Table_dim_price_recipe[Subcategory]), 0))*$B219,"")</f>
        <v/>
      </c>
      <c r="J219" s="39" t="str" cm="1">
        <f t="array" ref="J219">IFERROR(INDEX(Table_dim_price_recipe[Retail Price], MATCH(1, ("Calculator"&lt;&gt;Table_dim_price_recipe[Type.display])*($L219=Table_dim_price_recipe[Category])*($D219=Table_dim_price_recipe[Item Description]) * (J$6=Table_dim_price_recipe[Type])*(Table_dim_price_recipe[Retail Price]&lt;&gt;0)*($C219=Table_dim_price_recipe[Subcategory]), 0))*$B219,"")</f>
        <v/>
      </c>
      <c r="K219" s="39" t="str" cm="1">
        <f t="array" ref="K219">IFERROR(INDEX(Table_dim_price_recipe[Retail Price], MATCH(1, ("Calculator"&lt;&gt;Table_dim_price_recipe[Type.display])*($L219=Table_dim_price_recipe[Category])*($D219=Table_dim_price_recipe[Item Description]) * (K$6=Table_dim_price_recipe[Type])*(Table_dim_price_recipe[Retail Price]&lt;&gt;0)*($C219=Table_dim_price_recipe[Subcategory]), 0))*$B219,"")</f>
        <v/>
      </c>
      <c r="L219" s="39" t="str" cm="1">
        <f t="array" ref="L219">IF($A219&lt;&gt;"", $A219, LOOKUP(2, 1/((A$7:INDEX(A:A, ROW()))&lt;&gt;""), A$7:INDEX(A:A, ROW())))</f>
        <v>FASCIA BOARD</v>
      </c>
      <c r="M219" s="14"/>
    </row>
    <row r="220" spans="1:13">
      <c r="A220" s="263"/>
      <c r="B220" s="263"/>
      <c r="C220" s="263" t="s">
        <v>915</v>
      </c>
      <c r="D220" s="263" t="s">
        <v>916</v>
      </c>
      <c r="E220" s="263"/>
      <c r="F220" s="263"/>
      <c r="G220" s="39" t="str" cm="1">
        <f t="array" ref="G220">IFERROR(INDEX(Table_dim_price_recipe[Retail Price], MATCH(1, ("Calculator"&lt;&gt;Table_dim_price_recipe[Type.display])*($L220=Table_dim_price_recipe[Category])*($D220=Table_dim_price_recipe[Item Description]) * (G$6=Table_dim_price_recipe[Type])*(Table_dim_price_recipe[Retail Price]&lt;&gt;0)*($C220=Table_dim_price_recipe[Subcategory]), 0))*$B220,"")</f>
        <v/>
      </c>
      <c r="H220" s="39" cm="1">
        <f t="array" ref="H220">IFERROR(INDEX(Table_dim_price_recipe[Retail Price], MATCH(1, ("Calculator"&lt;&gt;Table_dim_price_recipe[Type.display])*($L220=Table_dim_price_recipe[Category])*($D220=Table_dim_price_recipe[Item Description]) * (H$6=Table_dim_price_recipe[Type])*(Table_dim_price_recipe[Retail Price]&lt;&gt;0)*($C220=Table_dim_price_recipe[Subcategory]), 0))*$B220,"")</f>
        <v>0</v>
      </c>
      <c r="I220" s="39" t="str" cm="1">
        <f t="array" ref="I220">IFERROR(INDEX(Table_dim_price_recipe[Retail Price], MATCH(1, ("Calculator"&lt;&gt;Table_dim_price_recipe[Type.display])*($L220=Table_dim_price_recipe[Category])*($D220=Table_dim_price_recipe[Item Description]) * (I$6=Table_dim_price_recipe[Type])*(Table_dim_price_recipe[Retail Price]&lt;&gt;0)*($C220=Table_dim_price_recipe[Subcategory]), 0))*$B220,"")</f>
        <v/>
      </c>
      <c r="J220" s="39" t="str" cm="1">
        <f t="array" ref="J220">IFERROR(INDEX(Table_dim_price_recipe[Retail Price], MATCH(1, ("Calculator"&lt;&gt;Table_dim_price_recipe[Type.display])*($L220=Table_dim_price_recipe[Category])*($D220=Table_dim_price_recipe[Item Description]) * (J$6=Table_dim_price_recipe[Type])*(Table_dim_price_recipe[Retail Price]&lt;&gt;0)*($C220=Table_dim_price_recipe[Subcategory]), 0))*$B220,"")</f>
        <v/>
      </c>
      <c r="K220" s="39" t="str" cm="1">
        <f t="array" ref="K220">IFERROR(INDEX(Table_dim_price_recipe[Retail Price], MATCH(1, ("Calculator"&lt;&gt;Table_dim_price_recipe[Type.display])*($L220=Table_dim_price_recipe[Category])*($D220=Table_dim_price_recipe[Item Description]) * (K$6=Table_dim_price_recipe[Type])*(Table_dim_price_recipe[Retail Price]&lt;&gt;0)*($C220=Table_dim_price_recipe[Subcategory]), 0))*$B220,"")</f>
        <v/>
      </c>
      <c r="L220" s="39" t="str" cm="1">
        <f t="array" ref="L220">IF($A220&lt;&gt;"", $A220, LOOKUP(2, 1/((A$7:INDEX(A:A, ROW()))&lt;&gt;""), A$7:INDEX(A:A, ROW())))</f>
        <v>FASCIA BOARD</v>
      </c>
      <c r="M220" s="14"/>
    </row>
    <row r="221" spans="1:13">
      <c r="A221" s="263"/>
      <c r="B221" s="263"/>
      <c r="C221" s="263" t="s">
        <v>915</v>
      </c>
      <c r="D221" s="263" t="s">
        <v>921</v>
      </c>
      <c r="E221" s="263"/>
      <c r="F221" s="263"/>
      <c r="G221" s="39" t="str" cm="1">
        <f t="array" ref="G221">IFERROR(INDEX(Table_dim_price_recipe[Retail Price], MATCH(1, ("Calculator"&lt;&gt;Table_dim_price_recipe[Type.display])*($L221=Table_dim_price_recipe[Category])*($D221=Table_dim_price_recipe[Item Description]) * (G$6=Table_dim_price_recipe[Type])*(Table_dim_price_recipe[Retail Price]&lt;&gt;0)*($C221=Table_dim_price_recipe[Subcategory]), 0))*$B221,"")</f>
        <v/>
      </c>
      <c r="H221" s="39" cm="1">
        <f t="array" ref="H221">IFERROR(INDEX(Table_dim_price_recipe[Retail Price], MATCH(1, ("Calculator"&lt;&gt;Table_dim_price_recipe[Type.display])*($L221=Table_dim_price_recipe[Category])*($D221=Table_dim_price_recipe[Item Description]) * (H$6=Table_dim_price_recipe[Type])*(Table_dim_price_recipe[Retail Price]&lt;&gt;0)*($C221=Table_dim_price_recipe[Subcategory]), 0))*$B221,"")</f>
        <v>0</v>
      </c>
      <c r="I221" s="39" t="str" cm="1">
        <f t="array" ref="I221">IFERROR(INDEX(Table_dim_price_recipe[Retail Price], MATCH(1, ("Calculator"&lt;&gt;Table_dim_price_recipe[Type.display])*($L221=Table_dim_price_recipe[Category])*($D221=Table_dim_price_recipe[Item Description]) * (I$6=Table_dim_price_recipe[Type])*(Table_dim_price_recipe[Retail Price]&lt;&gt;0)*($C221=Table_dim_price_recipe[Subcategory]), 0))*$B221,"")</f>
        <v/>
      </c>
      <c r="J221" s="39" t="str" cm="1">
        <f t="array" ref="J221">IFERROR(INDEX(Table_dim_price_recipe[Retail Price], MATCH(1, ("Calculator"&lt;&gt;Table_dim_price_recipe[Type.display])*($L221=Table_dim_price_recipe[Category])*($D221=Table_dim_price_recipe[Item Description]) * (J$6=Table_dim_price_recipe[Type])*(Table_dim_price_recipe[Retail Price]&lt;&gt;0)*($C221=Table_dim_price_recipe[Subcategory]), 0))*$B221,"")</f>
        <v/>
      </c>
      <c r="K221" s="39" t="str" cm="1">
        <f t="array" ref="K221">IFERROR(INDEX(Table_dim_price_recipe[Retail Price], MATCH(1, ("Calculator"&lt;&gt;Table_dim_price_recipe[Type.display])*($L221=Table_dim_price_recipe[Category])*($D221=Table_dim_price_recipe[Item Description]) * (K$6=Table_dim_price_recipe[Type])*(Table_dim_price_recipe[Retail Price]&lt;&gt;0)*($C221=Table_dim_price_recipe[Subcategory]), 0))*$B221,"")</f>
        <v/>
      </c>
      <c r="L221" s="39" t="str" cm="1">
        <f t="array" ref="L221">IF($A221&lt;&gt;"", $A221, LOOKUP(2, 1/((A$7:INDEX(A:A, ROW()))&lt;&gt;""), A$7:INDEX(A:A, ROW())))</f>
        <v>FASCIA BOARD</v>
      </c>
      <c r="M221" s="14"/>
    </row>
    <row r="222" spans="1:13">
      <c r="A222" s="263"/>
      <c r="B222" s="263"/>
      <c r="C222" s="263" t="s">
        <v>915</v>
      </c>
      <c r="D222" s="263" t="s">
        <v>917</v>
      </c>
      <c r="E222" s="263"/>
      <c r="F222" s="263"/>
      <c r="G222" s="39" t="str" cm="1">
        <f t="array" ref="G222">IFERROR(INDEX(Table_dim_price_recipe[Retail Price], MATCH(1, ("Calculator"&lt;&gt;Table_dim_price_recipe[Type.display])*($L222=Table_dim_price_recipe[Category])*($D222=Table_dim_price_recipe[Item Description]) * (G$6=Table_dim_price_recipe[Type])*(Table_dim_price_recipe[Retail Price]&lt;&gt;0)*($C222=Table_dim_price_recipe[Subcategory]), 0))*$B222,"")</f>
        <v/>
      </c>
      <c r="H222" s="39" cm="1">
        <f t="array" ref="H222">IFERROR(INDEX(Table_dim_price_recipe[Retail Price], MATCH(1, ("Calculator"&lt;&gt;Table_dim_price_recipe[Type.display])*($L222=Table_dim_price_recipe[Category])*($D222=Table_dim_price_recipe[Item Description]) * (H$6=Table_dim_price_recipe[Type])*(Table_dim_price_recipe[Retail Price]&lt;&gt;0)*($C222=Table_dim_price_recipe[Subcategory]), 0))*$B222,"")</f>
        <v>0</v>
      </c>
      <c r="I222" s="39" t="str" cm="1">
        <f t="array" ref="I222">IFERROR(INDEX(Table_dim_price_recipe[Retail Price], MATCH(1, ("Calculator"&lt;&gt;Table_dim_price_recipe[Type.display])*($L222=Table_dim_price_recipe[Category])*($D222=Table_dim_price_recipe[Item Description]) * (I$6=Table_dim_price_recipe[Type])*(Table_dim_price_recipe[Retail Price]&lt;&gt;0)*($C222=Table_dim_price_recipe[Subcategory]), 0))*$B222,"")</f>
        <v/>
      </c>
      <c r="J222" s="39" t="str" cm="1">
        <f t="array" ref="J222">IFERROR(INDEX(Table_dim_price_recipe[Retail Price], MATCH(1, ("Calculator"&lt;&gt;Table_dim_price_recipe[Type.display])*($L222=Table_dim_price_recipe[Category])*($D222=Table_dim_price_recipe[Item Description]) * (J$6=Table_dim_price_recipe[Type])*(Table_dim_price_recipe[Retail Price]&lt;&gt;0)*($C222=Table_dim_price_recipe[Subcategory]), 0))*$B222,"")</f>
        <v/>
      </c>
      <c r="K222" s="39" t="str" cm="1">
        <f t="array" ref="K222">IFERROR(INDEX(Table_dim_price_recipe[Retail Price], MATCH(1, ("Calculator"&lt;&gt;Table_dim_price_recipe[Type.display])*($L222=Table_dim_price_recipe[Category])*($D222=Table_dim_price_recipe[Item Description]) * (K$6=Table_dim_price_recipe[Type])*(Table_dim_price_recipe[Retail Price]&lt;&gt;0)*($C222=Table_dim_price_recipe[Subcategory]), 0))*$B222,"")</f>
        <v/>
      </c>
      <c r="L222" s="39" t="str" cm="1">
        <f t="array" ref="L222">IF($A222&lt;&gt;"", $A222, LOOKUP(2, 1/((A$7:INDEX(A:A, ROW()))&lt;&gt;""), A$7:INDEX(A:A, ROW())))</f>
        <v>FASCIA BOARD</v>
      </c>
      <c r="M222" s="14"/>
    </row>
    <row r="223" spans="1:13">
      <c r="A223" s="263"/>
      <c r="B223" s="263"/>
      <c r="C223" s="263" t="s">
        <v>915</v>
      </c>
      <c r="D223" s="263" t="s">
        <v>918</v>
      </c>
      <c r="E223" s="263"/>
      <c r="F223" s="263"/>
      <c r="G223" s="39" t="str" cm="1">
        <f t="array" ref="G223">IFERROR(INDEX(Table_dim_price_recipe[Retail Price], MATCH(1, ("Calculator"&lt;&gt;Table_dim_price_recipe[Type.display])*($L223=Table_dim_price_recipe[Category])*($D223=Table_dim_price_recipe[Item Description]) * (G$6=Table_dim_price_recipe[Type])*(Table_dim_price_recipe[Retail Price]&lt;&gt;0)*($C223=Table_dim_price_recipe[Subcategory]), 0))*$B223,"")</f>
        <v/>
      </c>
      <c r="H223" s="39" cm="1">
        <f t="array" ref="H223">IFERROR(INDEX(Table_dim_price_recipe[Retail Price], MATCH(1, ("Calculator"&lt;&gt;Table_dim_price_recipe[Type.display])*($L223=Table_dim_price_recipe[Category])*($D223=Table_dim_price_recipe[Item Description]) * (H$6=Table_dim_price_recipe[Type])*(Table_dim_price_recipe[Retail Price]&lt;&gt;0)*($C223=Table_dim_price_recipe[Subcategory]), 0))*$B223,"")</f>
        <v>0</v>
      </c>
      <c r="I223" s="39" t="str" cm="1">
        <f t="array" ref="I223">IFERROR(INDEX(Table_dim_price_recipe[Retail Price], MATCH(1, ("Calculator"&lt;&gt;Table_dim_price_recipe[Type.display])*($L223=Table_dim_price_recipe[Category])*($D223=Table_dim_price_recipe[Item Description]) * (I$6=Table_dim_price_recipe[Type])*(Table_dim_price_recipe[Retail Price]&lt;&gt;0)*($C223=Table_dim_price_recipe[Subcategory]), 0))*$B223,"")</f>
        <v/>
      </c>
      <c r="J223" s="39" t="str" cm="1">
        <f t="array" ref="J223">IFERROR(INDEX(Table_dim_price_recipe[Retail Price], MATCH(1, ("Calculator"&lt;&gt;Table_dim_price_recipe[Type.display])*($L223=Table_dim_price_recipe[Category])*($D223=Table_dim_price_recipe[Item Description]) * (J$6=Table_dim_price_recipe[Type])*(Table_dim_price_recipe[Retail Price]&lt;&gt;0)*($C223=Table_dim_price_recipe[Subcategory]), 0))*$B223,"")</f>
        <v/>
      </c>
      <c r="K223" s="39" t="str" cm="1">
        <f t="array" ref="K223">IFERROR(INDEX(Table_dim_price_recipe[Retail Price], MATCH(1, ("Calculator"&lt;&gt;Table_dim_price_recipe[Type.display])*($L223=Table_dim_price_recipe[Category])*($D223=Table_dim_price_recipe[Item Description]) * (K$6=Table_dim_price_recipe[Type])*(Table_dim_price_recipe[Retail Price]&lt;&gt;0)*($C223=Table_dim_price_recipe[Subcategory]), 0))*$B223,"")</f>
        <v/>
      </c>
      <c r="L223" s="39" t="str" cm="1">
        <f t="array" ref="L223">IF($A223&lt;&gt;"", $A223, LOOKUP(2, 1/((A$7:INDEX(A:A, ROW()))&lt;&gt;""), A$7:INDEX(A:A, ROW())))</f>
        <v>FASCIA BOARD</v>
      </c>
      <c r="M223" s="14"/>
    </row>
    <row r="224" spans="1:13">
      <c r="A224" s="263"/>
      <c r="B224" s="263"/>
      <c r="C224" s="263" t="s">
        <v>915</v>
      </c>
      <c r="D224" s="263"/>
      <c r="E224" s="263"/>
      <c r="F224" s="263"/>
      <c r="G224" s="39" t="str" cm="1">
        <f t="array" ref="G224">IFERROR(INDEX(Table_dim_price_recipe[Retail Price], MATCH(1, ("Calculator"&lt;&gt;Table_dim_price_recipe[Type.display])*($L224=Table_dim_price_recipe[Category])*($D224=Table_dim_price_recipe[Item Description]) * (G$6=Table_dim_price_recipe[Type])*(Table_dim_price_recipe[Retail Price]&lt;&gt;0)*($C224=Table_dim_price_recipe[Subcategory]), 0))*$B224,"")</f>
        <v/>
      </c>
      <c r="H224" s="39" t="str" cm="1">
        <f t="array" ref="H224">IFERROR(INDEX(Table_dim_price_recipe[Retail Price], MATCH(1, ("Calculator"&lt;&gt;Table_dim_price_recipe[Type.display])*($L224=Table_dim_price_recipe[Category])*($D224=Table_dim_price_recipe[Item Description]) * (H$6=Table_dim_price_recipe[Type])*(Table_dim_price_recipe[Retail Price]&lt;&gt;0)*($C224=Table_dim_price_recipe[Subcategory]), 0))*$B224,"")</f>
        <v/>
      </c>
      <c r="I224" s="39" t="str" cm="1">
        <f t="array" ref="I224">IFERROR(INDEX(Table_dim_price_recipe[Retail Price], MATCH(1, ("Calculator"&lt;&gt;Table_dim_price_recipe[Type.display])*($L224=Table_dim_price_recipe[Category])*($D224=Table_dim_price_recipe[Item Description]) * (I$6=Table_dim_price_recipe[Type])*(Table_dim_price_recipe[Retail Price]&lt;&gt;0)*($C224=Table_dim_price_recipe[Subcategory]), 0))*$B224,"")</f>
        <v/>
      </c>
      <c r="J224" s="39" t="str" cm="1">
        <f t="array" ref="J224">IFERROR(INDEX(Table_dim_price_recipe[Retail Price], MATCH(1, ("Calculator"&lt;&gt;Table_dim_price_recipe[Type.display])*($L224=Table_dim_price_recipe[Category])*($D224=Table_dim_price_recipe[Item Description]) * (J$6=Table_dim_price_recipe[Type])*(Table_dim_price_recipe[Retail Price]&lt;&gt;0)*($C224=Table_dim_price_recipe[Subcategory]), 0))*$B224,"")</f>
        <v/>
      </c>
      <c r="K224" s="39" t="str" cm="1">
        <f t="array" ref="K224">IFERROR(INDEX(Table_dim_price_recipe[Retail Price], MATCH(1, ("Calculator"&lt;&gt;Table_dim_price_recipe[Type.display])*($L224=Table_dim_price_recipe[Category])*($D224=Table_dim_price_recipe[Item Description]) * (K$6=Table_dim_price_recipe[Type])*(Table_dim_price_recipe[Retail Price]&lt;&gt;0)*($C224=Table_dim_price_recipe[Subcategory]), 0))*$B224,"")</f>
        <v/>
      </c>
      <c r="L224" s="39" t="str" cm="1">
        <f t="array" ref="L224">IF($A224&lt;&gt;"", $A224, LOOKUP(2, 1/((A$7:INDEX(A:A, ROW()))&lt;&gt;""), A$7:INDEX(A:A, ROW())))</f>
        <v>FASCIA BOARD</v>
      </c>
      <c r="M224" s="14"/>
    </row>
    <row r="225" spans="1:13">
      <c r="A225" s="263"/>
      <c r="B225" s="263"/>
      <c r="C225" s="263" t="s">
        <v>915</v>
      </c>
      <c r="D225" s="263"/>
      <c r="E225" s="263"/>
      <c r="F225" s="263"/>
      <c r="G225" s="39" t="str" cm="1">
        <f t="array" ref="G225">IFERROR(INDEX(Table_dim_price_recipe[Retail Price], MATCH(1, ("Calculator"&lt;&gt;Table_dim_price_recipe[Type.display])*($L225=Table_dim_price_recipe[Category])*($D225=Table_dim_price_recipe[Item Description]) * (G$6=Table_dim_price_recipe[Type])*(Table_dim_price_recipe[Retail Price]&lt;&gt;0)*($C225=Table_dim_price_recipe[Subcategory]), 0))*$B225,"")</f>
        <v/>
      </c>
      <c r="H225" s="39" t="str" cm="1">
        <f t="array" ref="H225">IFERROR(INDEX(Table_dim_price_recipe[Retail Price], MATCH(1, ("Calculator"&lt;&gt;Table_dim_price_recipe[Type.display])*($L225=Table_dim_price_recipe[Category])*($D225=Table_dim_price_recipe[Item Description]) * (H$6=Table_dim_price_recipe[Type])*(Table_dim_price_recipe[Retail Price]&lt;&gt;0)*($C225=Table_dim_price_recipe[Subcategory]), 0))*$B225,"")</f>
        <v/>
      </c>
      <c r="I225" s="39" t="str" cm="1">
        <f t="array" ref="I225">IFERROR(INDEX(Table_dim_price_recipe[Retail Price], MATCH(1, ("Calculator"&lt;&gt;Table_dim_price_recipe[Type.display])*($L225=Table_dim_price_recipe[Category])*($D225=Table_dim_price_recipe[Item Description]) * (I$6=Table_dim_price_recipe[Type])*(Table_dim_price_recipe[Retail Price]&lt;&gt;0)*($C225=Table_dim_price_recipe[Subcategory]), 0))*$B225,"")</f>
        <v/>
      </c>
      <c r="J225" s="39" t="str" cm="1">
        <f t="array" ref="J225">IFERROR(INDEX(Table_dim_price_recipe[Retail Price], MATCH(1, ("Calculator"&lt;&gt;Table_dim_price_recipe[Type.display])*($L225=Table_dim_price_recipe[Category])*($D225=Table_dim_price_recipe[Item Description]) * (J$6=Table_dim_price_recipe[Type])*(Table_dim_price_recipe[Retail Price]&lt;&gt;0)*($C225=Table_dim_price_recipe[Subcategory]), 0))*$B225,"")</f>
        <v/>
      </c>
      <c r="K225" s="39" t="str" cm="1">
        <f t="array" ref="K225">IFERROR(INDEX(Table_dim_price_recipe[Retail Price], MATCH(1, ("Calculator"&lt;&gt;Table_dim_price_recipe[Type.display])*($L225=Table_dim_price_recipe[Category])*($D225=Table_dim_price_recipe[Item Description]) * (K$6=Table_dim_price_recipe[Type])*(Table_dim_price_recipe[Retail Price]&lt;&gt;0)*($C225=Table_dim_price_recipe[Subcategory]), 0))*$B225,"")</f>
        <v/>
      </c>
      <c r="L225" s="39" t="str" cm="1">
        <f t="array" ref="L225">IF($A225&lt;&gt;"", $A225, LOOKUP(2, 1/((A$7:INDEX(A:A, ROW()))&lt;&gt;""), A$7:INDEX(A:A, ROW())))</f>
        <v>FASCIA BOARD</v>
      </c>
      <c r="M225" s="14"/>
    </row>
    <row r="226" spans="1:13">
      <c r="A226" s="260" t="s">
        <v>34</v>
      </c>
      <c r="B226" s="261"/>
      <c r="C226" s="261"/>
      <c r="D226" s="261"/>
      <c r="E226" s="261"/>
      <c r="F226" s="261"/>
      <c r="G226" s="262" t="str" cm="1">
        <f t="array" ref="G226">IFERROR(INDEX(Table_dim_price_recipe[Retail Price], MATCH(1, ("Calculator"&lt;&gt;Table_dim_price_recipe[Type.display])*($L226=Table_dim_price_recipe[Category])*($D226=Table_dim_price_recipe[Item Description]) * (G$6=Table_dim_price_recipe[Type])*(Table_dim_price_recipe[Retail Price]&lt;&gt;0)*($C226=Table_dim_price_recipe[Subcategory]), 0))*$B226,"")</f>
        <v/>
      </c>
      <c r="H226" s="262" t="str" cm="1">
        <f t="array" ref="H226">IFERROR(INDEX(Table_dim_price_recipe[Retail Price], MATCH(1, ("Calculator"&lt;&gt;Table_dim_price_recipe[Type.display])*($L226=Table_dim_price_recipe[Category])*($D226=Table_dim_price_recipe[Item Description]) * (H$6=Table_dim_price_recipe[Type])*(Table_dim_price_recipe[Retail Price]&lt;&gt;0)*($C226=Table_dim_price_recipe[Subcategory]), 0))*$B226,"")</f>
        <v/>
      </c>
      <c r="I226" s="262" t="str" cm="1">
        <f t="array" ref="I226">IFERROR(INDEX(Table_dim_price_recipe[Retail Price], MATCH(1, ("Calculator"&lt;&gt;Table_dim_price_recipe[Type.display])*($L226=Table_dim_price_recipe[Category])*($D226=Table_dim_price_recipe[Item Description]) * (I$6=Table_dim_price_recipe[Type])*(Table_dim_price_recipe[Retail Price]&lt;&gt;0)*($C226=Table_dim_price_recipe[Subcategory]), 0))*$B226,"")</f>
        <v/>
      </c>
      <c r="J226" s="262" t="str" cm="1">
        <f t="array" ref="J226">IFERROR(INDEX(Table_dim_price_recipe[Retail Price], MATCH(1, ("Calculator"&lt;&gt;Table_dim_price_recipe[Type.display])*($L226=Table_dim_price_recipe[Category])*($D226=Table_dim_price_recipe[Item Description]) * (J$6=Table_dim_price_recipe[Type])*(Table_dim_price_recipe[Retail Price]&lt;&gt;0)*($C226=Table_dim_price_recipe[Subcategory]), 0))*$B226,"")</f>
        <v/>
      </c>
      <c r="K226" s="262" t="str" cm="1">
        <f t="array" ref="K226">IFERROR(INDEX(Table_dim_price_recipe[Retail Price], MATCH(1, ("Calculator"&lt;&gt;Table_dim_price_recipe[Type.display])*($L226=Table_dim_price_recipe[Category])*($D226=Table_dim_price_recipe[Item Description]) * (K$6=Table_dim_price_recipe[Type])*(Table_dim_price_recipe[Retail Price]&lt;&gt;0)*($C226=Table_dim_price_recipe[Subcategory]), 0))*$B226,"")</f>
        <v/>
      </c>
      <c r="L226" s="262" t="str" cm="1">
        <f t="array" ref="L226">IF($A226&lt;&gt;"", $A226, LOOKUP(2, 1/((A$7:INDEX(A:A, ROW()))&lt;&gt;""), A$7:INDEX(A:A, ROW())))</f>
        <v>TIE BEAMS</v>
      </c>
      <c r="M226" s="14"/>
    </row>
    <row r="227" spans="1:13">
      <c r="A227" s="263"/>
      <c r="B227" s="263"/>
      <c r="C227" s="263" t="s">
        <v>915</v>
      </c>
      <c r="D227" s="263" t="s">
        <v>919</v>
      </c>
      <c r="E227" s="263"/>
      <c r="F227" s="263"/>
      <c r="G227" s="39" t="str" cm="1">
        <f t="array" ref="G227">IFERROR(INDEX(Table_dim_price_recipe[Retail Price], MATCH(1, ("Calculator"&lt;&gt;Table_dim_price_recipe[Type.display])*($L227=Table_dim_price_recipe[Category])*($D227=Table_dim_price_recipe[Item Description]) * (G$6=Table_dim_price_recipe[Type])*(Table_dim_price_recipe[Retail Price]&lt;&gt;0)*($C227=Table_dim_price_recipe[Subcategory]), 0))*$B227,"")</f>
        <v/>
      </c>
      <c r="H227" s="39" t="str" cm="1">
        <f t="array" ref="H227">IFERROR(INDEX(Table_dim_price_recipe[Retail Price], MATCH(1, ("Calculator"&lt;&gt;Table_dim_price_recipe[Type.display])*($L227=Table_dim_price_recipe[Category])*($D227=Table_dim_price_recipe[Item Description]) * (H$6=Table_dim_price_recipe[Type])*(Table_dim_price_recipe[Retail Price]&lt;&gt;0)*($C227=Table_dim_price_recipe[Subcategory]), 0))*$B227,"")</f>
        <v/>
      </c>
      <c r="I227" s="39" t="str" cm="1">
        <f t="array" ref="I227">IFERROR(INDEX(Table_dim_price_recipe[Retail Price], MATCH(1, ("Calculator"&lt;&gt;Table_dim_price_recipe[Type.display])*($L227=Table_dim_price_recipe[Category])*($D227=Table_dim_price_recipe[Item Description]) * (I$6=Table_dim_price_recipe[Type])*(Table_dim_price_recipe[Retail Price]&lt;&gt;0)*($C227=Table_dim_price_recipe[Subcategory]), 0))*$B227,"")</f>
        <v/>
      </c>
      <c r="J227" s="39" t="str" cm="1">
        <f t="array" ref="J227">IFERROR(INDEX(Table_dim_price_recipe[Retail Price], MATCH(1, ("Calculator"&lt;&gt;Table_dim_price_recipe[Type.display])*($L227=Table_dim_price_recipe[Category])*($D227=Table_dim_price_recipe[Item Description]) * (J$6=Table_dim_price_recipe[Type])*(Table_dim_price_recipe[Retail Price]&lt;&gt;0)*($C227=Table_dim_price_recipe[Subcategory]), 0))*$B227,"")</f>
        <v/>
      </c>
      <c r="K227" s="39" t="str" cm="1">
        <f t="array" ref="K227">IFERROR(INDEX(Table_dim_price_recipe[Retail Price], MATCH(1, ("Calculator"&lt;&gt;Table_dim_price_recipe[Type.display])*($L227=Table_dim_price_recipe[Category])*($D227=Table_dim_price_recipe[Item Description]) * (K$6=Table_dim_price_recipe[Type])*(Table_dim_price_recipe[Retail Price]&lt;&gt;0)*($C227=Table_dim_price_recipe[Subcategory]), 0))*$B227,"")</f>
        <v/>
      </c>
      <c r="L227" s="39" t="str" cm="1">
        <f t="array" ref="L227">IF($A227&lt;&gt;"", $A227, LOOKUP(2, 1/((A$7:INDEX(A:A, ROW()))&lt;&gt;""), A$7:INDEX(A:A, ROW())))</f>
        <v>TIE BEAMS</v>
      </c>
      <c r="M227" s="14"/>
    </row>
    <row r="228" spans="1:13">
      <c r="A228" s="263"/>
      <c r="B228" s="263"/>
      <c r="C228" s="263" t="s">
        <v>915</v>
      </c>
      <c r="D228" s="263"/>
      <c r="E228" s="263"/>
      <c r="F228" s="263"/>
      <c r="G228" s="39" t="str" cm="1">
        <f t="array" ref="G228">IFERROR(INDEX(Table_dim_price_recipe[Retail Price], MATCH(1, ("Calculator"&lt;&gt;Table_dim_price_recipe[Type.display])*($L228=Table_dim_price_recipe[Category])*($D228=Table_dim_price_recipe[Item Description]) * (G$6=Table_dim_price_recipe[Type])*(Table_dim_price_recipe[Retail Price]&lt;&gt;0)*($C228=Table_dim_price_recipe[Subcategory]), 0))*$B228,"")</f>
        <v/>
      </c>
      <c r="H228" s="39" t="str" cm="1">
        <f t="array" ref="H228">IFERROR(INDEX(Table_dim_price_recipe[Retail Price], MATCH(1, ("Calculator"&lt;&gt;Table_dim_price_recipe[Type.display])*($L228=Table_dim_price_recipe[Category])*($D228=Table_dim_price_recipe[Item Description]) * (H$6=Table_dim_price_recipe[Type])*(Table_dim_price_recipe[Retail Price]&lt;&gt;0)*($C228=Table_dim_price_recipe[Subcategory]), 0))*$B228,"")</f>
        <v/>
      </c>
      <c r="I228" s="39" t="str" cm="1">
        <f t="array" ref="I228">IFERROR(INDEX(Table_dim_price_recipe[Retail Price], MATCH(1, ("Calculator"&lt;&gt;Table_dim_price_recipe[Type.display])*($L228=Table_dim_price_recipe[Category])*($D228=Table_dim_price_recipe[Item Description]) * (I$6=Table_dim_price_recipe[Type])*(Table_dim_price_recipe[Retail Price]&lt;&gt;0)*($C228=Table_dim_price_recipe[Subcategory]), 0))*$B228,"")</f>
        <v/>
      </c>
      <c r="J228" s="39" t="str" cm="1">
        <f t="array" ref="J228">IFERROR(INDEX(Table_dim_price_recipe[Retail Price], MATCH(1, ("Calculator"&lt;&gt;Table_dim_price_recipe[Type.display])*($L228=Table_dim_price_recipe[Category])*($D228=Table_dim_price_recipe[Item Description]) * (J$6=Table_dim_price_recipe[Type])*(Table_dim_price_recipe[Retail Price]&lt;&gt;0)*($C228=Table_dim_price_recipe[Subcategory]), 0))*$B228,"")</f>
        <v/>
      </c>
      <c r="K228" s="39" t="str" cm="1">
        <f t="array" ref="K228">IFERROR(INDEX(Table_dim_price_recipe[Retail Price], MATCH(1, ("Calculator"&lt;&gt;Table_dim_price_recipe[Type.display])*($L228=Table_dim_price_recipe[Category])*($D228=Table_dim_price_recipe[Item Description]) * (K$6=Table_dim_price_recipe[Type])*(Table_dim_price_recipe[Retail Price]&lt;&gt;0)*($C228=Table_dim_price_recipe[Subcategory]), 0))*$B228,"")</f>
        <v/>
      </c>
      <c r="L228" s="39" t="str" cm="1">
        <f t="array" ref="L228">IF($A228&lt;&gt;"", $A228, LOOKUP(2, 1/((A$7:INDEX(A:A, ROW()))&lt;&gt;""), A$7:INDEX(A:A, ROW())))</f>
        <v>TIE BEAMS</v>
      </c>
      <c r="M228" s="14"/>
    </row>
    <row r="229" spans="1:13">
      <c r="A229" s="263"/>
      <c r="B229" s="263"/>
      <c r="C229" s="263" t="s">
        <v>915</v>
      </c>
      <c r="D229" s="263"/>
      <c r="E229" s="263"/>
      <c r="F229" s="263"/>
      <c r="G229" s="39" t="str" cm="1">
        <f t="array" ref="G229">IFERROR(INDEX(Table_dim_price_recipe[Retail Price], MATCH(1, ("Calculator"&lt;&gt;Table_dim_price_recipe[Type.display])*($L229=Table_dim_price_recipe[Category])*($D229=Table_dim_price_recipe[Item Description]) * (G$6=Table_dim_price_recipe[Type])*(Table_dim_price_recipe[Retail Price]&lt;&gt;0)*($C229=Table_dim_price_recipe[Subcategory]), 0))*$B229,"")</f>
        <v/>
      </c>
      <c r="H229" s="39" t="str" cm="1">
        <f t="array" ref="H229">IFERROR(INDEX(Table_dim_price_recipe[Retail Price], MATCH(1, ("Calculator"&lt;&gt;Table_dim_price_recipe[Type.display])*($L229=Table_dim_price_recipe[Category])*($D229=Table_dim_price_recipe[Item Description]) * (H$6=Table_dim_price_recipe[Type])*(Table_dim_price_recipe[Retail Price]&lt;&gt;0)*($C229=Table_dim_price_recipe[Subcategory]), 0))*$B229,"")</f>
        <v/>
      </c>
      <c r="I229" s="39" t="str" cm="1">
        <f t="array" ref="I229">IFERROR(INDEX(Table_dim_price_recipe[Retail Price], MATCH(1, ("Calculator"&lt;&gt;Table_dim_price_recipe[Type.display])*($L229=Table_dim_price_recipe[Category])*($D229=Table_dim_price_recipe[Item Description]) * (I$6=Table_dim_price_recipe[Type])*(Table_dim_price_recipe[Retail Price]&lt;&gt;0)*($C229=Table_dim_price_recipe[Subcategory]), 0))*$B229,"")</f>
        <v/>
      </c>
      <c r="J229" s="39" t="str" cm="1">
        <f t="array" ref="J229">IFERROR(INDEX(Table_dim_price_recipe[Retail Price], MATCH(1, ("Calculator"&lt;&gt;Table_dim_price_recipe[Type.display])*($L229=Table_dim_price_recipe[Category])*($D229=Table_dim_price_recipe[Item Description]) * (J$6=Table_dim_price_recipe[Type])*(Table_dim_price_recipe[Retail Price]&lt;&gt;0)*($C229=Table_dim_price_recipe[Subcategory]), 0))*$B229,"")</f>
        <v/>
      </c>
      <c r="K229" s="39" t="str" cm="1">
        <f t="array" ref="K229">IFERROR(INDEX(Table_dim_price_recipe[Retail Price], MATCH(1, ("Calculator"&lt;&gt;Table_dim_price_recipe[Type.display])*($L229=Table_dim_price_recipe[Category])*($D229=Table_dim_price_recipe[Item Description]) * (K$6=Table_dim_price_recipe[Type])*(Table_dim_price_recipe[Retail Price]&lt;&gt;0)*($C229=Table_dim_price_recipe[Subcategory]), 0))*$B229,"")</f>
        <v/>
      </c>
      <c r="L229" s="39" t="str" cm="1">
        <f t="array" ref="L229">IF($A229&lt;&gt;"", $A229, LOOKUP(2, 1/((A$7:INDEX(A:A, ROW()))&lt;&gt;""), A$7:INDEX(A:A, ROW())))</f>
        <v>TIE BEAMS</v>
      </c>
      <c r="M229" s="14"/>
    </row>
    <row r="230" spans="1:13">
      <c r="A230" s="263"/>
      <c r="B230" s="263"/>
      <c r="C230" s="263" t="s">
        <v>264</v>
      </c>
      <c r="D230" s="263" t="s">
        <v>1181</v>
      </c>
      <c r="E230" s="263" t="s">
        <v>1181</v>
      </c>
      <c r="F230" s="263"/>
      <c r="G230" s="39" cm="1">
        <f t="array" ref="G230">IFERROR(INDEX(Table_dim_price_recipe[Retail Price], MATCH(1, ("Calculator"&lt;&gt;Table_dim_price_recipe[Type.display])*($L230=Table_dim_price_recipe[Category])*($D230=Table_dim_price_recipe[Item Description]) * (G$6=Table_dim_price_recipe[Type])*(Table_dim_price_recipe[Retail Price]&lt;&gt;0)*($C230=Table_dim_price_recipe[Subcategory]), 0))*$B230,"")</f>
        <v>0</v>
      </c>
      <c r="H230" s="39" t="str" cm="1">
        <f t="array" ref="H230">IFERROR(INDEX(Table_dim_price_recipe[Retail Price], MATCH(1, ("Calculator"&lt;&gt;Table_dim_price_recipe[Type.display])*($L230=Table_dim_price_recipe[Category])*($D230=Table_dim_price_recipe[Item Description]) * (H$6=Table_dim_price_recipe[Type])*(Table_dim_price_recipe[Retail Price]&lt;&gt;0)*($C230=Table_dim_price_recipe[Subcategory]), 0))*$B230,"")</f>
        <v/>
      </c>
      <c r="I230" s="39" t="str" cm="1">
        <f t="array" ref="I230">IFERROR(INDEX(Table_dim_price_recipe[Retail Price], MATCH(1, ("Calculator"&lt;&gt;Table_dim_price_recipe[Type.display])*($L230=Table_dim_price_recipe[Category])*($D230=Table_dim_price_recipe[Item Description]) * (I$6=Table_dim_price_recipe[Type])*(Table_dim_price_recipe[Retail Price]&lt;&gt;0)*($C230=Table_dim_price_recipe[Subcategory]), 0))*$B230,"")</f>
        <v/>
      </c>
      <c r="J230" s="39" t="str" cm="1">
        <f t="array" ref="J230">IFERROR(INDEX(Table_dim_price_recipe[Retail Price], MATCH(1, ("Calculator"&lt;&gt;Table_dim_price_recipe[Type.display])*($L230=Table_dim_price_recipe[Category])*($D230=Table_dim_price_recipe[Item Description]) * (J$6=Table_dim_price_recipe[Type])*(Table_dim_price_recipe[Retail Price]&lt;&gt;0)*($C230=Table_dim_price_recipe[Subcategory]), 0))*$B230,"")</f>
        <v/>
      </c>
      <c r="K230" s="39" t="str" cm="1">
        <f t="array" ref="K230">IFERROR(INDEX(Table_dim_price_recipe[Retail Price], MATCH(1, ("Calculator"&lt;&gt;Table_dim_price_recipe[Type.display])*($L230=Table_dim_price_recipe[Category])*($D230=Table_dim_price_recipe[Item Description]) * (K$6=Table_dim_price_recipe[Type])*(Table_dim_price_recipe[Retail Price]&lt;&gt;0)*($C230=Table_dim_price_recipe[Subcategory]), 0))*$B230,"")</f>
        <v/>
      </c>
      <c r="L230" s="39" t="str" cm="1">
        <f t="array" ref="L230">IF($A230&lt;&gt;"", $A230, LOOKUP(2, 1/((A$7:INDEX(A:A, ROW()))&lt;&gt;""), A$7:INDEX(A:A, ROW())))</f>
        <v>TIE BEAMS</v>
      </c>
      <c r="M230" s="14"/>
    </row>
    <row r="231" spans="1:13">
      <c r="A231" s="263"/>
      <c r="B231" s="263"/>
      <c r="C231" s="263" t="s">
        <v>264</v>
      </c>
      <c r="D231" s="263" t="s">
        <v>1298</v>
      </c>
      <c r="E231" s="263" t="s">
        <v>1298</v>
      </c>
      <c r="F231" s="263"/>
      <c r="G231" s="39" cm="1">
        <f t="array" ref="G231">IFERROR(INDEX(Table_dim_price_recipe[Retail Price], MATCH(1, ("Calculator"&lt;&gt;Table_dim_price_recipe[Type.display])*($L231=Table_dim_price_recipe[Category])*($D231=Table_dim_price_recipe[Item Description]) * (G$6=Table_dim_price_recipe[Type])*(Table_dim_price_recipe[Retail Price]&lt;&gt;0)*($C231=Table_dim_price_recipe[Subcategory]), 0))*$B231,"")</f>
        <v>0</v>
      </c>
      <c r="H231" s="39" t="str" cm="1">
        <f t="array" ref="H231">IFERROR(INDEX(Table_dim_price_recipe[Retail Price], MATCH(1, ("Calculator"&lt;&gt;Table_dim_price_recipe[Type.display])*($L231=Table_dim_price_recipe[Category])*($D231=Table_dim_price_recipe[Item Description]) * (H$6=Table_dim_price_recipe[Type])*(Table_dim_price_recipe[Retail Price]&lt;&gt;0)*($C231=Table_dim_price_recipe[Subcategory]), 0))*$B231,"")</f>
        <v/>
      </c>
      <c r="I231" s="39" t="str" cm="1">
        <f t="array" ref="I231">IFERROR(INDEX(Table_dim_price_recipe[Retail Price], MATCH(1, ("Calculator"&lt;&gt;Table_dim_price_recipe[Type.display])*($L231=Table_dim_price_recipe[Category])*($D231=Table_dim_price_recipe[Item Description]) * (I$6=Table_dim_price_recipe[Type])*(Table_dim_price_recipe[Retail Price]&lt;&gt;0)*($C231=Table_dim_price_recipe[Subcategory]), 0))*$B231,"")</f>
        <v/>
      </c>
      <c r="J231" s="39" t="str" cm="1">
        <f t="array" ref="J231">IFERROR(INDEX(Table_dim_price_recipe[Retail Price], MATCH(1, ("Calculator"&lt;&gt;Table_dim_price_recipe[Type.display])*($L231=Table_dim_price_recipe[Category])*($D231=Table_dim_price_recipe[Item Description]) * (J$6=Table_dim_price_recipe[Type])*(Table_dim_price_recipe[Retail Price]&lt;&gt;0)*($C231=Table_dim_price_recipe[Subcategory]), 0))*$B231,"")</f>
        <v/>
      </c>
      <c r="K231" s="39" t="str" cm="1">
        <f t="array" ref="K231">IFERROR(INDEX(Table_dim_price_recipe[Retail Price], MATCH(1, ("Calculator"&lt;&gt;Table_dim_price_recipe[Type.display])*($L231=Table_dim_price_recipe[Category])*($D231=Table_dim_price_recipe[Item Description]) * (K$6=Table_dim_price_recipe[Type])*(Table_dim_price_recipe[Retail Price]&lt;&gt;0)*($C231=Table_dim_price_recipe[Subcategory]), 0))*$B231,"")</f>
        <v/>
      </c>
      <c r="L231" s="39" t="str" cm="1">
        <f t="array" ref="L231">IF($A231&lt;&gt;"", $A231, LOOKUP(2, 1/((A$7:INDEX(A:A, ROW()))&lt;&gt;""), A$7:INDEX(A:A, ROW())))</f>
        <v>TIE BEAMS</v>
      </c>
      <c r="M231" s="14"/>
    </row>
    <row r="232" spans="1:13">
      <c r="A232" s="263"/>
      <c r="B232" s="263"/>
      <c r="C232" s="263" t="s">
        <v>264</v>
      </c>
      <c r="D232" s="263" t="s">
        <v>1297</v>
      </c>
      <c r="E232" s="263" t="s">
        <v>1297</v>
      </c>
      <c r="F232" s="263"/>
      <c r="G232" s="39" cm="1">
        <f t="array" ref="G232">IFERROR(INDEX(Table_dim_price_recipe[Retail Price], MATCH(1, ("Calculator"&lt;&gt;Table_dim_price_recipe[Type.display])*($L232=Table_dim_price_recipe[Category])*($D232=Table_dim_price_recipe[Item Description]) * (G$6=Table_dim_price_recipe[Type])*(Table_dim_price_recipe[Retail Price]&lt;&gt;0)*($C232=Table_dim_price_recipe[Subcategory]), 0))*$B232,"")</f>
        <v>0</v>
      </c>
      <c r="H232" s="39" t="str" cm="1">
        <f t="array" ref="H232">IFERROR(INDEX(Table_dim_price_recipe[Retail Price], MATCH(1, ("Calculator"&lt;&gt;Table_dim_price_recipe[Type.display])*($L232=Table_dim_price_recipe[Category])*($D232=Table_dim_price_recipe[Item Description]) * (H$6=Table_dim_price_recipe[Type])*(Table_dim_price_recipe[Retail Price]&lt;&gt;0)*($C232=Table_dim_price_recipe[Subcategory]), 0))*$B232,"")</f>
        <v/>
      </c>
      <c r="I232" s="39" t="str" cm="1">
        <f t="array" ref="I232">IFERROR(INDEX(Table_dim_price_recipe[Retail Price], MATCH(1, ("Calculator"&lt;&gt;Table_dim_price_recipe[Type.display])*($L232=Table_dim_price_recipe[Category])*($D232=Table_dim_price_recipe[Item Description]) * (I$6=Table_dim_price_recipe[Type])*(Table_dim_price_recipe[Retail Price]&lt;&gt;0)*($C232=Table_dim_price_recipe[Subcategory]), 0))*$B232,"")</f>
        <v/>
      </c>
      <c r="J232" s="39" t="str" cm="1">
        <f t="array" ref="J232">IFERROR(INDEX(Table_dim_price_recipe[Retail Price], MATCH(1, ("Calculator"&lt;&gt;Table_dim_price_recipe[Type.display])*($L232=Table_dim_price_recipe[Category])*($D232=Table_dim_price_recipe[Item Description]) * (J$6=Table_dim_price_recipe[Type])*(Table_dim_price_recipe[Retail Price]&lt;&gt;0)*($C232=Table_dim_price_recipe[Subcategory]), 0))*$B232,"")</f>
        <v/>
      </c>
      <c r="K232" s="39" t="str" cm="1">
        <f t="array" ref="K232">IFERROR(INDEX(Table_dim_price_recipe[Retail Price], MATCH(1, ("Calculator"&lt;&gt;Table_dim_price_recipe[Type.display])*($L232=Table_dim_price_recipe[Category])*($D232=Table_dim_price_recipe[Item Description]) * (K$6=Table_dim_price_recipe[Type])*(Table_dim_price_recipe[Retail Price]&lt;&gt;0)*($C232=Table_dim_price_recipe[Subcategory]), 0))*$B232,"")</f>
        <v/>
      </c>
      <c r="L232" s="39" t="str" cm="1">
        <f t="array" ref="L232">IF($A232&lt;&gt;"", $A232, LOOKUP(2, 1/((A$7:INDEX(A:A, ROW()))&lt;&gt;""), A$7:INDEX(A:A, ROW())))</f>
        <v>TIE BEAMS</v>
      </c>
      <c r="M232" s="14"/>
    </row>
    <row r="233" spans="1:13">
      <c r="A233" s="263"/>
      <c r="B233" s="263"/>
      <c r="C233" s="263" t="s">
        <v>264</v>
      </c>
      <c r="D233" s="263" t="s">
        <v>1296</v>
      </c>
      <c r="E233" s="263" t="s">
        <v>1296</v>
      </c>
      <c r="F233" s="263"/>
      <c r="G233" s="39" cm="1">
        <f t="array" ref="G233">IFERROR(INDEX(Table_dim_price_recipe[Retail Price], MATCH(1, ("Calculator"&lt;&gt;Table_dim_price_recipe[Type.display])*($L233=Table_dim_price_recipe[Category])*($D233=Table_dim_price_recipe[Item Description]) * (G$6=Table_dim_price_recipe[Type])*(Table_dim_price_recipe[Retail Price]&lt;&gt;0)*($C233=Table_dim_price_recipe[Subcategory]), 0))*$B233,"")</f>
        <v>0</v>
      </c>
      <c r="H233" s="39" t="str" cm="1">
        <f t="array" ref="H233">IFERROR(INDEX(Table_dim_price_recipe[Retail Price], MATCH(1, ("Calculator"&lt;&gt;Table_dim_price_recipe[Type.display])*($L233=Table_dim_price_recipe[Category])*($D233=Table_dim_price_recipe[Item Description]) * (H$6=Table_dim_price_recipe[Type])*(Table_dim_price_recipe[Retail Price]&lt;&gt;0)*($C233=Table_dim_price_recipe[Subcategory]), 0))*$B233,"")</f>
        <v/>
      </c>
      <c r="I233" s="39" t="str" cm="1">
        <f t="array" ref="I233">IFERROR(INDEX(Table_dim_price_recipe[Retail Price], MATCH(1, ("Calculator"&lt;&gt;Table_dim_price_recipe[Type.display])*($L233=Table_dim_price_recipe[Category])*($D233=Table_dim_price_recipe[Item Description]) * (I$6=Table_dim_price_recipe[Type])*(Table_dim_price_recipe[Retail Price]&lt;&gt;0)*($C233=Table_dim_price_recipe[Subcategory]), 0))*$B233,"")</f>
        <v/>
      </c>
      <c r="J233" s="39" t="str" cm="1">
        <f t="array" ref="J233">IFERROR(INDEX(Table_dim_price_recipe[Retail Price], MATCH(1, ("Calculator"&lt;&gt;Table_dim_price_recipe[Type.display])*($L233=Table_dim_price_recipe[Category])*($D233=Table_dim_price_recipe[Item Description]) * (J$6=Table_dim_price_recipe[Type])*(Table_dim_price_recipe[Retail Price]&lt;&gt;0)*($C233=Table_dim_price_recipe[Subcategory]), 0))*$B233,"")</f>
        <v/>
      </c>
      <c r="K233" s="39" t="str" cm="1">
        <f t="array" ref="K233">IFERROR(INDEX(Table_dim_price_recipe[Retail Price], MATCH(1, ("Calculator"&lt;&gt;Table_dim_price_recipe[Type.display])*($L233=Table_dim_price_recipe[Category])*($D233=Table_dim_price_recipe[Item Description]) * (K$6=Table_dim_price_recipe[Type])*(Table_dim_price_recipe[Retail Price]&lt;&gt;0)*($C233=Table_dim_price_recipe[Subcategory]), 0))*$B233,"")</f>
        <v/>
      </c>
      <c r="L233" s="39" t="str" cm="1">
        <f t="array" ref="L233">IF($A233&lt;&gt;"", $A233, LOOKUP(2, 1/((A$7:INDEX(A:A, ROW()))&lt;&gt;""), A$7:INDEX(A:A, ROW())))</f>
        <v>TIE BEAMS</v>
      </c>
      <c r="M233" s="14"/>
    </row>
    <row r="234" spans="1:13">
      <c r="A234" s="263"/>
      <c r="B234" s="263"/>
      <c r="C234" s="263" t="s">
        <v>264</v>
      </c>
      <c r="D234" s="263" t="s">
        <v>1299</v>
      </c>
      <c r="E234" s="263" t="s">
        <v>1299</v>
      </c>
      <c r="F234" s="263"/>
      <c r="G234" s="39" cm="1">
        <f t="array" ref="G234">IFERROR(INDEX(Table_dim_price_recipe[Retail Price], MATCH(1, ("Calculator"&lt;&gt;Table_dim_price_recipe[Type.display])*($L234=Table_dim_price_recipe[Category])*($D234=Table_dim_price_recipe[Item Description]) * (G$6=Table_dim_price_recipe[Type])*(Table_dim_price_recipe[Retail Price]&lt;&gt;0)*($C234=Table_dim_price_recipe[Subcategory]), 0))*$B234,"")</f>
        <v>0</v>
      </c>
      <c r="H234" s="39" t="str" cm="1">
        <f t="array" ref="H234">IFERROR(INDEX(Table_dim_price_recipe[Retail Price], MATCH(1, ("Calculator"&lt;&gt;Table_dim_price_recipe[Type.display])*($L234=Table_dim_price_recipe[Category])*($D234=Table_dim_price_recipe[Item Description]) * (H$6=Table_dim_price_recipe[Type])*(Table_dim_price_recipe[Retail Price]&lt;&gt;0)*($C234=Table_dim_price_recipe[Subcategory]), 0))*$B234,"")</f>
        <v/>
      </c>
      <c r="I234" s="39" t="str" cm="1">
        <f t="array" ref="I234">IFERROR(INDEX(Table_dim_price_recipe[Retail Price], MATCH(1, ("Calculator"&lt;&gt;Table_dim_price_recipe[Type.display])*($L234=Table_dim_price_recipe[Category])*($D234=Table_dim_price_recipe[Item Description]) * (I$6=Table_dim_price_recipe[Type])*(Table_dim_price_recipe[Retail Price]&lt;&gt;0)*($C234=Table_dim_price_recipe[Subcategory]), 0))*$B234,"")</f>
        <v/>
      </c>
      <c r="J234" s="39" t="str" cm="1">
        <f t="array" ref="J234">IFERROR(INDEX(Table_dim_price_recipe[Retail Price], MATCH(1, ("Calculator"&lt;&gt;Table_dim_price_recipe[Type.display])*($L234=Table_dim_price_recipe[Category])*($D234=Table_dim_price_recipe[Item Description]) * (J$6=Table_dim_price_recipe[Type])*(Table_dim_price_recipe[Retail Price]&lt;&gt;0)*($C234=Table_dim_price_recipe[Subcategory]), 0))*$B234,"")</f>
        <v/>
      </c>
      <c r="K234" s="39" t="str" cm="1">
        <f t="array" ref="K234">IFERROR(INDEX(Table_dim_price_recipe[Retail Price], MATCH(1, ("Calculator"&lt;&gt;Table_dim_price_recipe[Type.display])*($L234=Table_dim_price_recipe[Category])*($D234=Table_dim_price_recipe[Item Description]) * (K$6=Table_dim_price_recipe[Type])*(Table_dim_price_recipe[Retail Price]&lt;&gt;0)*($C234=Table_dim_price_recipe[Subcategory]), 0))*$B234,"")</f>
        <v/>
      </c>
      <c r="L234" s="39" t="str" cm="1">
        <f t="array" ref="L234">IF($A234&lt;&gt;"", $A234, LOOKUP(2, 1/((A$7:INDEX(A:A, ROW()))&lt;&gt;""), A$7:INDEX(A:A, ROW())))</f>
        <v>TIE BEAMS</v>
      </c>
      <c r="M234" s="14"/>
    </row>
    <row r="235" spans="1:13">
      <c r="A235" s="263"/>
      <c r="B235" s="263"/>
      <c r="C235" s="263" t="s">
        <v>264</v>
      </c>
      <c r="D235" s="263" t="s">
        <v>264</v>
      </c>
      <c r="E235" s="263" t="s">
        <v>265</v>
      </c>
      <c r="F235" s="263"/>
      <c r="G235" s="39" t="str" cm="1">
        <f t="array" ref="G235">IFERROR(INDEX(Table_dim_price_recipe[Retail Price], MATCH(1, ("Calculator"&lt;&gt;Table_dim_price_recipe[Type.display])*($L235=Table_dim_price_recipe[Category])*($D235=Table_dim_price_recipe[Item Description]) * (G$6=Table_dim_price_recipe[Type])*(Table_dim_price_recipe[Retail Price]&lt;&gt;0)*($C235=Table_dim_price_recipe[Subcategory]), 0))*$B235,"")</f>
        <v/>
      </c>
      <c r="H235" s="39" t="str" cm="1">
        <f t="array" ref="H235">IFERROR(INDEX(Table_dim_price_recipe[Retail Price], MATCH(1, ("Calculator"&lt;&gt;Table_dim_price_recipe[Type.display])*($L235=Table_dim_price_recipe[Category])*($D235=Table_dim_price_recipe[Item Description]) * (H$6=Table_dim_price_recipe[Type])*(Table_dim_price_recipe[Retail Price]&lt;&gt;0)*($C235=Table_dim_price_recipe[Subcategory]), 0))*$B235,"")</f>
        <v/>
      </c>
      <c r="I235" s="39" t="str" cm="1">
        <f t="array" ref="I235">IFERROR(INDEX(Table_dim_price_recipe[Retail Price], MATCH(1, ("Calculator"&lt;&gt;Table_dim_price_recipe[Type.display])*($L235=Table_dim_price_recipe[Category])*($D235=Table_dim_price_recipe[Item Description]) * (I$6=Table_dim_price_recipe[Type])*(Table_dim_price_recipe[Retail Price]&lt;&gt;0)*($C235=Table_dim_price_recipe[Subcategory]), 0))*$B235,"")</f>
        <v/>
      </c>
      <c r="J235" s="39" t="str" cm="1">
        <f t="array" ref="J235">IFERROR(INDEX(Table_dim_price_recipe[Retail Price], MATCH(1, ("Calculator"&lt;&gt;Table_dim_price_recipe[Type.display])*($L235=Table_dim_price_recipe[Category])*($D235=Table_dim_price_recipe[Item Description]) * (J$6=Table_dim_price_recipe[Type])*(Table_dim_price_recipe[Retail Price]&lt;&gt;0)*($C235=Table_dim_price_recipe[Subcategory]), 0))*$B235,"")</f>
        <v/>
      </c>
      <c r="K235" s="39" t="str" cm="1">
        <f t="array" ref="K235">IFERROR(INDEX(Table_dim_price_recipe[Retail Price], MATCH(1, ("Calculator"&lt;&gt;Table_dim_price_recipe[Type.display])*($L235=Table_dim_price_recipe[Category])*($D235=Table_dim_price_recipe[Item Description]) * (K$6=Table_dim_price_recipe[Type])*(Table_dim_price_recipe[Retail Price]&lt;&gt;0)*($C235=Table_dim_price_recipe[Subcategory]), 0))*$B235,"")</f>
        <v/>
      </c>
      <c r="L235" s="39" t="str" cm="1">
        <f t="array" ref="L235">IF($A235&lt;&gt;"", $A235, LOOKUP(2, 1/((A$7:INDEX(A:A, ROW()))&lt;&gt;""), A$7:INDEX(A:A, ROW())))</f>
        <v>TIE BEAMS</v>
      </c>
      <c r="M235" s="14"/>
    </row>
    <row r="236" spans="1:13">
      <c r="A236" s="263"/>
      <c r="B236" s="263"/>
      <c r="C236" s="263" t="s">
        <v>264</v>
      </c>
      <c r="D236" s="263" t="s">
        <v>271</v>
      </c>
      <c r="E236" s="263" t="s">
        <v>271</v>
      </c>
      <c r="F236" s="263"/>
      <c r="G236" s="39" cm="1">
        <f t="array" ref="G236">IFERROR(INDEX(Table_dim_price_recipe[Retail Price], MATCH(1, ("Calculator"&lt;&gt;Table_dim_price_recipe[Type.display])*($L236=Table_dim_price_recipe[Category])*($D236=Table_dim_price_recipe[Item Description]) * (G$6=Table_dim_price_recipe[Type])*(Table_dim_price_recipe[Retail Price]&lt;&gt;0)*($C236=Table_dim_price_recipe[Subcategory]), 0))*$B236,"")</f>
        <v>0</v>
      </c>
      <c r="H236" s="39" t="str" cm="1">
        <f t="array" ref="H236">IFERROR(INDEX(Table_dim_price_recipe[Retail Price], MATCH(1, ("Calculator"&lt;&gt;Table_dim_price_recipe[Type.display])*($L236=Table_dim_price_recipe[Category])*($D236=Table_dim_price_recipe[Item Description]) * (H$6=Table_dim_price_recipe[Type])*(Table_dim_price_recipe[Retail Price]&lt;&gt;0)*($C236=Table_dim_price_recipe[Subcategory]), 0))*$B236,"")</f>
        <v/>
      </c>
      <c r="I236" s="39" t="str" cm="1">
        <f t="array" ref="I236">IFERROR(INDEX(Table_dim_price_recipe[Retail Price], MATCH(1, ("Calculator"&lt;&gt;Table_dim_price_recipe[Type.display])*($L236=Table_dim_price_recipe[Category])*($D236=Table_dim_price_recipe[Item Description]) * (I$6=Table_dim_price_recipe[Type])*(Table_dim_price_recipe[Retail Price]&lt;&gt;0)*($C236=Table_dim_price_recipe[Subcategory]), 0))*$B236,"")</f>
        <v/>
      </c>
      <c r="J236" s="39" t="str" cm="1">
        <f t="array" ref="J236">IFERROR(INDEX(Table_dim_price_recipe[Retail Price], MATCH(1, ("Calculator"&lt;&gt;Table_dim_price_recipe[Type.display])*($L236=Table_dim_price_recipe[Category])*($D236=Table_dim_price_recipe[Item Description]) * (J$6=Table_dim_price_recipe[Type])*(Table_dim_price_recipe[Retail Price]&lt;&gt;0)*($C236=Table_dim_price_recipe[Subcategory]), 0))*$B236,"")</f>
        <v/>
      </c>
      <c r="K236" s="39" t="str" cm="1">
        <f t="array" ref="K236">IFERROR(INDEX(Table_dim_price_recipe[Retail Price], MATCH(1, ("Calculator"&lt;&gt;Table_dim_price_recipe[Type.display])*($L236=Table_dim_price_recipe[Category])*($D236=Table_dim_price_recipe[Item Description]) * (K$6=Table_dim_price_recipe[Type])*(Table_dim_price_recipe[Retail Price]&lt;&gt;0)*($C236=Table_dim_price_recipe[Subcategory]), 0))*$B236,"")</f>
        <v/>
      </c>
      <c r="L236" s="39" t="str" cm="1">
        <f t="array" ref="L236">IF($A236&lt;&gt;"", $A236, LOOKUP(2, 1/((A$7:INDEX(A:A, ROW()))&lt;&gt;""), A$7:INDEX(A:A, ROW())))</f>
        <v>TIE BEAMS</v>
      </c>
      <c r="M236" s="14"/>
    </row>
    <row r="237" spans="1:13">
      <c r="A237" s="263"/>
      <c r="B237" s="263"/>
      <c r="C237" s="263" t="s">
        <v>264</v>
      </c>
      <c r="D237" s="263"/>
      <c r="E237" s="263"/>
      <c r="F237" s="263"/>
      <c r="G237" s="39" t="str" cm="1">
        <f t="array" ref="G237">IFERROR(INDEX(Table_dim_price_recipe[Retail Price], MATCH(1, ("Calculator"&lt;&gt;Table_dim_price_recipe[Type.display])*($L237=Table_dim_price_recipe[Category])*($D237=Table_dim_price_recipe[Item Description]) * (G$6=Table_dim_price_recipe[Type])*(Table_dim_price_recipe[Retail Price]&lt;&gt;0)*($C237=Table_dim_price_recipe[Subcategory]), 0))*$B237,"")</f>
        <v/>
      </c>
      <c r="H237" s="39" t="str" cm="1">
        <f t="array" ref="H237">IFERROR(INDEX(Table_dim_price_recipe[Retail Price], MATCH(1, ("Calculator"&lt;&gt;Table_dim_price_recipe[Type.display])*($L237=Table_dim_price_recipe[Category])*($D237=Table_dim_price_recipe[Item Description]) * (H$6=Table_dim_price_recipe[Type])*(Table_dim_price_recipe[Retail Price]&lt;&gt;0)*($C237=Table_dim_price_recipe[Subcategory]), 0))*$B237,"")</f>
        <v/>
      </c>
      <c r="I237" s="39" t="str" cm="1">
        <f t="array" ref="I237">IFERROR(INDEX(Table_dim_price_recipe[Retail Price], MATCH(1, ("Calculator"&lt;&gt;Table_dim_price_recipe[Type.display])*($L237=Table_dim_price_recipe[Category])*($D237=Table_dim_price_recipe[Item Description]) * (I$6=Table_dim_price_recipe[Type])*(Table_dim_price_recipe[Retail Price]&lt;&gt;0)*($C237=Table_dim_price_recipe[Subcategory]), 0))*$B237,"")</f>
        <v/>
      </c>
      <c r="J237" s="39" t="str" cm="1">
        <f t="array" ref="J237">IFERROR(INDEX(Table_dim_price_recipe[Retail Price], MATCH(1, ("Calculator"&lt;&gt;Table_dim_price_recipe[Type.display])*($L237=Table_dim_price_recipe[Category])*($D237=Table_dim_price_recipe[Item Description]) * (J$6=Table_dim_price_recipe[Type])*(Table_dim_price_recipe[Retail Price]&lt;&gt;0)*($C237=Table_dim_price_recipe[Subcategory]), 0))*$B237,"")</f>
        <v/>
      </c>
      <c r="K237" s="39" t="str" cm="1">
        <f t="array" ref="K237">IFERROR(INDEX(Table_dim_price_recipe[Retail Price], MATCH(1, ("Calculator"&lt;&gt;Table_dim_price_recipe[Type.display])*($L237=Table_dim_price_recipe[Category])*($D237=Table_dim_price_recipe[Item Description]) * (K$6=Table_dim_price_recipe[Type])*(Table_dim_price_recipe[Retail Price]&lt;&gt;0)*($C237=Table_dim_price_recipe[Subcategory]), 0))*$B237,"")</f>
        <v/>
      </c>
      <c r="L237" s="39" t="str" cm="1">
        <f t="array" ref="L237">IF($A237&lt;&gt;"", $A237, LOOKUP(2, 1/((A$7:INDEX(A:A, ROW()))&lt;&gt;""), A$7:INDEX(A:A, ROW())))</f>
        <v>TIE BEAMS</v>
      </c>
      <c r="M237" s="14"/>
    </row>
    <row r="238" spans="1:13">
      <c r="A238" s="263"/>
      <c r="B238" s="263"/>
      <c r="C238" s="263" t="s">
        <v>264</v>
      </c>
      <c r="D238" s="263"/>
      <c r="E238" s="263"/>
      <c r="F238" s="263"/>
      <c r="G238" s="39" t="str" cm="1">
        <f t="array" ref="G238">IFERROR(INDEX(Table_dim_price_recipe[Retail Price], MATCH(1, ("Calculator"&lt;&gt;Table_dim_price_recipe[Type.display])*($L238=Table_dim_price_recipe[Category])*($D238=Table_dim_price_recipe[Item Description]) * (G$6=Table_dim_price_recipe[Type])*(Table_dim_price_recipe[Retail Price]&lt;&gt;0)*($C238=Table_dim_price_recipe[Subcategory]), 0))*$B238,"")</f>
        <v/>
      </c>
      <c r="H238" s="39" t="str" cm="1">
        <f t="array" ref="H238">IFERROR(INDEX(Table_dim_price_recipe[Retail Price], MATCH(1, ("Calculator"&lt;&gt;Table_dim_price_recipe[Type.display])*($L238=Table_dim_price_recipe[Category])*($D238=Table_dim_price_recipe[Item Description]) * (H$6=Table_dim_price_recipe[Type])*(Table_dim_price_recipe[Retail Price]&lt;&gt;0)*($C238=Table_dim_price_recipe[Subcategory]), 0))*$B238,"")</f>
        <v/>
      </c>
      <c r="I238" s="39" t="str" cm="1">
        <f t="array" ref="I238">IFERROR(INDEX(Table_dim_price_recipe[Retail Price], MATCH(1, ("Calculator"&lt;&gt;Table_dim_price_recipe[Type.display])*($L238=Table_dim_price_recipe[Category])*($D238=Table_dim_price_recipe[Item Description]) * (I$6=Table_dim_price_recipe[Type])*(Table_dim_price_recipe[Retail Price]&lt;&gt;0)*($C238=Table_dim_price_recipe[Subcategory]), 0))*$B238,"")</f>
        <v/>
      </c>
      <c r="J238" s="39" t="str" cm="1">
        <f t="array" ref="J238">IFERROR(INDEX(Table_dim_price_recipe[Retail Price], MATCH(1, ("Calculator"&lt;&gt;Table_dim_price_recipe[Type.display])*($L238=Table_dim_price_recipe[Category])*($D238=Table_dim_price_recipe[Item Description]) * (J$6=Table_dim_price_recipe[Type])*(Table_dim_price_recipe[Retail Price]&lt;&gt;0)*($C238=Table_dim_price_recipe[Subcategory]), 0))*$B238,"")</f>
        <v/>
      </c>
      <c r="K238" s="39" t="str" cm="1">
        <f t="array" ref="K238">IFERROR(INDEX(Table_dim_price_recipe[Retail Price], MATCH(1, ("Calculator"&lt;&gt;Table_dim_price_recipe[Type.display])*($L238=Table_dim_price_recipe[Category])*($D238=Table_dim_price_recipe[Item Description]) * (K$6=Table_dim_price_recipe[Type])*(Table_dim_price_recipe[Retail Price]&lt;&gt;0)*($C238=Table_dim_price_recipe[Subcategory]), 0))*$B238,"")</f>
        <v/>
      </c>
      <c r="L238" s="39" t="str" cm="1">
        <f t="array" ref="L238">IF($A238&lt;&gt;"", $A238, LOOKUP(2, 1/((A$7:INDEX(A:A, ROW()))&lt;&gt;""), A$7:INDEX(A:A, ROW())))</f>
        <v>TIE BEAMS</v>
      </c>
      <c r="M238" s="14"/>
    </row>
    <row r="239" spans="1:13">
      <c r="A239" s="263"/>
      <c r="B239" s="263"/>
      <c r="C239" s="263" t="s">
        <v>1035</v>
      </c>
      <c r="D239" s="263" t="s">
        <v>1036</v>
      </c>
      <c r="E239" s="263"/>
      <c r="F239" s="263"/>
      <c r="G239" s="39" t="str" cm="1">
        <f t="array" ref="G239">IFERROR(INDEX(Table_dim_price_recipe[Retail Price], MATCH(1, ("Calculator"&lt;&gt;Table_dim_price_recipe[Type.display])*($L239=Table_dim_price_recipe[Category])*($D239=Table_dim_price_recipe[Item Description]) * (G$6=Table_dim_price_recipe[Type])*(Table_dim_price_recipe[Retail Price]&lt;&gt;0)*($C239=Table_dim_price_recipe[Subcategory]), 0))*$B239,"")</f>
        <v/>
      </c>
      <c r="H239" s="39" t="str" cm="1">
        <f t="array" ref="H239">IFERROR(INDEX(Table_dim_price_recipe[Retail Price], MATCH(1, ("Calculator"&lt;&gt;Table_dim_price_recipe[Type.display])*($L239=Table_dim_price_recipe[Category])*($D239=Table_dim_price_recipe[Item Description]) * (H$6=Table_dim_price_recipe[Type])*(Table_dim_price_recipe[Retail Price]&lt;&gt;0)*($C239=Table_dim_price_recipe[Subcategory]), 0))*$B239,"")</f>
        <v/>
      </c>
      <c r="I239" s="39" t="str" cm="1">
        <f t="array" ref="I239">IFERROR(INDEX(Table_dim_price_recipe[Retail Price], MATCH(1, ("Calculator"&lt;&gt;Table_dim_price_recipe[Type.display])*($L239=Table_dim_price_recipe[Category])*($D239=Table_dim_price_recipe[Item Description]) * (I$6=Table_dim_price_recipe[Type])*(Table_dim_price_recipe[Retail Price]&lt;&gt;0)*($C239=Table_dim_price_recipe[Subcategory]), 0))*$B239,"")</f>
        <v/>
      </c>
      <c r="J239" s="39" t="str" cm="1">
        <f t="array" ref="J239">IFERROR(INDEX(Table_dim_price_recipe[Retail Price], MATCH(1, ("Calculator"&lt;&gt;Table_dim_price_recipe[Type.display])*($L239=Table_dim_price_recipe[Category])*($D239=Table_dim_price_recipe[Item Description]) * (J$6=Table_dim_price_recipe[Type])*(Table_dim_price_recipe[Retail Price]&lt;&gt;0)*($C239=Table_dim_price_recipe[Subcategory]), 0))*$B239,"")</f>
        <v/>
      </c>
      <c r="K239" s="39" cm="1">
        <f t="array" ref="K239">IFERROR(INDEX(Table_dim_price_recipe[Retail Price], MATCH(1, ("Calculator"&lt;&gt;Table_dim_price_recipe[Type.display])*($L239=Table_dim_price_recipe[Category])*($D239=Table_dim_price_recipe[Item Description]) * (K$6=Table_dim_price_recipe[Type])*(Table_dim_price_recipe[Retail Price]&lt;&gt;0)*($C239=Table_dim_price_recipe[Subcategory]), 0))*$B239,"")</f>
        <v>0</v>
      </c>
      <c r="L239" s="39" t="str" cm="1">
        <f t="array" ref="L239">IF($A239&lt;&gt;"", $A239, LOOKUP(2, 1/((A$7:INDEX(A:A, ROW()))&lt;&gt;""), A$7:INDEX(A:A, ROW())))</f>
        <v>TIE BEAMS</v>
      </c>
      <c r="M239" s="14"/>
    </row>
    <row r="240" spans="1:13">
      <c r="A240" s="263"/>
      <c r="B240" s="263"/>
      <c r="C240" s="263" t="s">
        <v>1035</v>
      </c>
      <c r="D240" s="263" t="s">
        <v>1036</v>
      </c>
      <c r="E240" s="263"/>
      <c r="F240" s="263"/>
      <c r="G240" s="39" t="str" cm="1">
        <f t="array" ref="G240">IFERROR(INDEX(Table_dim_price_recipe[Retail Price], MATCH(1, ("Calculator"&lt;&gt;Table_dim_price_recipe[Type.display])*($L240=Table_dim_price_recipe[Category])*($D240=Table_dim_price_recipe[Item Description]) * (G$6=Table_dim_price_recipe[Type])*(Table_dim_price_recipe[Retail Price]&lt;&gt;0)*($C240=Table_dim_price_recipe[Subcategory]), 0))*$B240,"")</f>
        <v/>
      </c>
      <c r="H240" s="39" t="str" cm="1">
        <f t="array" ref="H240">IFERROR(INDEX(Table_dim_price_recipe[Retail Price], MATCH(1, ("Calculator"&lt;&gt;Table_dim_price_recipe[Type.display])*($L240=Table_dim_price_recipe[Category])*($D240=Table_dim_price_recipe[Item Description]) * (H$6=Table_dim_price_recipe[Type])*(Table_dim_price_recipe[Retail Price]&lt;&gt;0)*($C240=Table_dim_price_recipe[Subcategory]), 0))*$B240,"")</f>
        <v/>
      </c>
      <c r="I240" s="39" t="str" cm="1">
        <f t="array" ref="I240">IFERROR(INDEX(Table_dim_price_recipe[Retail Price], MATCH(1, ("Calculator"&lt;&gt;Table_dim_price_recipe[Type.display])*($L240=Table_dim_price_recipe[Category])*($D240=Table_dim_price_recipe[Item Description]) * (I$6=Table_dim_price_recipe[Type])*(Table_dim_price_recipe[Retail Price]&lt;&gt;0)*($C240=Table_dim_price_recipe[Subcategory]), 0))*$B240,"")</f>
        <v/>
      </c>
      <c r="J240" s="39" t="str" cm="1">
        <f t="array" ref="J240">IFERROR(INDEX(Table_dim_price_recipe[Retail Price], MATCH(1, ("Calculator"&lt;&gt;Table_dim_price_recipe[Type.display])*($L240=Table_dim_price_recipe[Category])*($D240=Table_dim_price_recipe[Item Description]) * (J$6=Table_dim_price_recipe[Type])*(Table_dim_price_recipe[Retail Price]&lt;&gt;0)*($C240=Table_dim_price_recipe[Subcategory]), 0))*$B240,"")</f>
        <v/>
      </c>
      <c r="K240" s="39" cm="1">
        <f t="array" ref="K240">IFERROR(INDEX(Table_dim_price_recipe[Retail Price], MATCH(1, ("Calculator"&lt;&gt;Table_dim_price_recipe[Type.display])*($L240=Table_dim_price_recipe[Category])*($D240=Table_dim_price_recipe[Item Description]) * (K$6=Table_dim_price_recipe[Type])*(Table_dim_price_recipe[Retail Price]&lt;&gt;0)*($C240=Table_dim_price_recipe[Subcategory]), 0))*$B240,"")</f>
        <v>0</v>
      </c>
      <c r="L240" s="39" t="str" cm="1">
        <f t="array" ref="L240">IF($A240&lt;&gt;"", $A240, LOOKUP(2, 1/((A$7:INDEX(A:A, ROW()))&lt;&gt;""), A$7:INDEX(A:A, ROW())))</f>
        <v>TIE BEAMS</v>
      </c>
      <c r="M240" s="14"/>
    </row>
    <row r="241" spans="1:13">
      <c r="A241" s="263"/>
      <c r="B241" s="263"/>
      <c r="C241" s="263" t="s">
        <v>1035</v>
      </c>
      <c r="D241" s="263"/>
      <c r="E241" s="263"/>
      <c r="F241" s="263"/>
      <c r="G241" s="39" t="str" cm="1">
        <f t="array" ref="G241">IFERROR(INDEX(Table_dim_price_recipe[Retail Price], MATCH(1, ("Calculator"&lt;&gt;Table_dim_price_recipe[Type.display])*($L241=Table_dim_price_recipe[Category])*($D241=Table_dim_price_recipe[Item Description]) * (G$6=Table_dim_price_recipe[Type])*(Table_dim_price_recipe[Retail Price]&lt;&gt;0)*($C241=Table_dim_price_recipe[Subcategory]), 0))*$B241,"")</f>
        <v/>
      </c>
      <c r="H241" s="39" t="str" cm="1">
        <f t="array" ref="H241">IFERROR(INDEX(Table_dim_price_recipe[Retail Price], MATCH(1, ("Calculator"&lt;&gt;Table_dim_price_recipe[Type.display])*($L241=Table_dim_price_recipe[Category])*($D241=Table_dim_price_recipe[Item Description]) * (H$6=Table_dim_price_recipe[Type])*(Table_dim_price_recipe[Retail Price]&lt;&gt;0)*($C241=Table_dim_price_recipe[Subcategory]), 0))*$B241,"")</f>
        <v/>
      </c>
      <c r="I241" s="39" t="str" cm="1">
        <f t="array" ref="I241">IFERROR(INDEX(Table_dim_price_recipe[Retail Price], MATCH(1, ("Calculator"&lt;&gt;Table_dim_price_recipe[Type.display])*($L241=Table_dim_price_recipe[Category])*($D241=Table_dim_price_recipe[Item Description]) * (I$6=Table_dim_price_recipe[Type])*(Table_dim_price_recipe[Retail Price]&lt;&gt;0)*($C241=Table_dim_price_recipe[Subcategory]), 0))*$B241,"")</f>
        <v/>
      </c>
      <c r="J241" s="39" t="str" cm="1">
        <f t="array" ref="J241">IFERROR(INDEX(Table_dim_price_recipe[Retail Price], MATCH(1, ("Calculator"&lt;&gt;Table_dim_price_recipe[Type.display])*($L241=Table_dim_price_recipe[Category])*($D241=Table_dim_price_recipe[Item Description]) * (J$6=Table_dim_price_recipe[Type])*(Table_dim_price_recipe[Retail Price]&lt;&gt;0)*($C241=Table_dim_price_recipe[Subcategory]), 0))*$B241,"")</f>
        <v/>
      </c>
      <c r="K241" s="39" t="str" cm="1">
        <f t="array" ref="K241">IFERROR(INDEX(Table_dim_price_recipe[Retail Price], MATCH(1, ("Calculator"&lt;&gt;Table_dim_price_recipe[Type.display])*($L241=Table_dim_price_recipe[Category])*($D241=Table_dim_price_recipe[Item Description]) * (K$6=Table_dim_price_recipe[Type])*(Table_dim_price_recipe[Retail Price]&lt;&gt;0)*($C241=Table_dim_price_recipe[Subcategory]), 0))*$B241,"")</f>
        <v/>
      </c>
      <c r="L241" s="39" t="str" cm="1">
        <f t="array" ref="L241">IF($A241&lt;&gt;"", $A241, LOOKUP(2, 1/((A$7:INDEX(A:A, ROW()))&lt;&gt;""), A$7:INDEX(A:A, ROW())))</f>
        <v>TIE BEAMS</v>
      </c>
      <c r="M241" s="14"/>
    </row>
    <row r="242" spans="1:13">
      <c r="A242" s="263"/>
      <c r="B242" s="263"/>
      <c r="C242" s="263" t="s">
        <v>1035</v>
      </c>
      <c r="D242" s="263"/>
      <c r="E242" s="263"/>
      <c r="F242" s="263"/>
      <c r="G242" s="39" t="str" cm="1">
        <f t="array" ref="G242">IFERROR(INDEX(Table_dim_price_recipe[Retail Price], MATCH(1, ("Calculator"&lt;&gt;Table_dim_price_recipe[Type.display])*($L242=Table_dim_price_recipe[Category])*($D242=Table_dim_price_recipe[Item Description]) * (G$6=Table_dim_price_recipe[Type])*(Table_dim_price_recipe[Retail Price]&lt;&gt;0)*($C242=Table_dim_price_recipe[Subcategory]), 0))*$B242,"")</f>
        <v/>
      </c>
      <c r="H242" s="39" t="str" cm="1">
        <f t="array" ref="H242">IFERROR(INDEX(Table_dim_price_recipe[Retail Price], MATCH(1, ("Calculator"&lt;&gt;Table_dim_price_recipe[Type.display])*($L242=Table_dim_price_recipe[Category])*($D242=Table_dim_price_recipe[Item Description]) * (H$6=Table_dim_price_recipe[Type])*(Table_dim_price_recipe[Retail Price]&lt;&gt;0)*($C242=Table_dim_price_recipe[Subcategory]), 0))*$B242,"")</f>
        <v/>
      </c>
      <c r="I242" s="39" t="str" cm="1">
        <f t="array" ref="I242">IFERROR(INDEX(Table_dim_price_recipe[Retail Price], MATCH(1, ("Calculator"&lt;&gt;Table_dim_price_recipe[Type.display])*($L242=Table_dim_price_recipe[Category])*($D242=Table_dim_price_recipe[Item Description]) * (I$6=Table_dim_price_recipe[Type])*(Table_dim_price_recipe[Retail Price]&lt;&gt;0)*($C242=Table_dim_price_recipe[Subcategory]), 0))*$B242,"")</f>
        <v/>
      </c>
      <c r="J242" s="39" t="str" cm="1">
        <f t="array" ref="J242">IFERROR(INDEX(Table_dim_price_recipe[Retail Price], MATCH(1, ("Calculator"&lt;&gt;Table_dim_price_recipe[Type.display])*($L242=Table_dim_price_recipe[Category])*($D242=Table_dim_price_recipe[Item Description]) * (J$6=Table_dim_price_recipe[Type])*(Table_dim_price_recipe[Retail Price]&lt;&gt;0)*($C242=Table_dim_price_recipe[Subcategory]), 0))*$B242,"")</f>
        <v/>
      </c>
      <c r="K242" s="39" t="str" cm="1">
        <f t="array" ref="K242">IFERROR(INDEX(Table_dim_price_recipe[Retail Price], MATCH(1, ("Calculator"&lt;&gt;Table_dim_price_recipe[Type.display])*($L242=Table_dim_price_recipe[Category])*($D242=Table_dim_price_recipe[Item Description]) * (K$6=Table_dim_price_recipe[Type])*(Table_dim_price_recipe[Retail Price]&lt;&gt;0)*($C242=Table_dim_price_recipe[Subcategory]), 0))*$B242,"")</f>
        <v/>
      </c>
      <c r="L242" s="39" t="str" cm="1">
        <f t="array" ref="L242">IF($A242&lt;&gt;"", $A242, LOOKUP(2, 1/((A$7:INDEX(A:A, ROW()))&lt;&gt;""), A$7:INDEX(A:A, ROW())))</f>
        <v>TIE BEAMS</v>
      </c>
      <c r="M242" s="14"/>
    </row>
    <row r="243" spans="1:13">
      <c r="A243" s="263"/>
      <c r="B243" s="263">
        <v>1</v>
      </c>
      <c r="C243" s="263" t="s">
        <v>272</v>
      </c>
      <c r="D243" s="263" t="s">
        <v>156</v>
      </c>
      <c r="E243" s="263" t="s">
        <v>156</v>
      </c>
      <c r="F243" s="263"/>
      <c r="G243" s="39" cm="1">
        <f t="array" ref="G243">IFERROR(INDEX(Table_dim_price_recipe[Retail Price], MATCH(1, ("Calculator"&lt;&gt;Table_dim_price_recipe[Type.display])*($L243=Table_dim_price_recipe[Category])*($D243=Table_dim_price_recipe[Item Description]) * (G$6=Table_dim_price_recipe[Type])*(Table_dim_price_recipe[Retail Price]&lt;&gt;0)*($C243=Table_dim_price_recipe[Subcategory]), 0))*$B243,"")</f>
        <v>4.6399999999999997</v>
      </c>
      <c r="H243" s="39" t="str" cm="1">
        <f t="array" ref="H243">IFERROR(INDEX(Table_dim_price_recipe[Retail Price], MATCH(1, ("Calculator"&lt;&gt;Table_dim_price_recipe[Type.display])*($L243=Table_dim_price_recipe[Category])*($D243=Table_dim_price_recipe[Item Description]) * (H$6=Table_dim_price_recipe[Type])*(Table_dim_price_recipe[Retail Price]&lt;&gt;0)*($C243=Table_dim_price_recipe[Subcategory]), 0))*$B243,"")</f>
        <v/>
      </c>
      <c r="I243" s="39" t="str" cm="1">
        <f t="array" ref="I243">IFERROR(INDEX(Table_dim_price_recipe[Retail Price], MATCH(1, ("Calculator"&lt;&gt;Table_dim_price_recipe[Type.display])*($L243=Table_dim_price_recipe[Category])*($D243=Table_dim_price_recipe[Item Description]) * (I$6=Table_dim_price_recipe[Type])*(Table_dim_price_recipe[Retail Price]&lt;&gt;0)*($C243=Table_dim_price_recipe[Subcategory]), 0))*$B243,"")</f>
        <v/>
      </c>
      <c r="J243" s="39" t="str" cm="1">
        <f t="array" ref="J243">IFERROR(INDEX(Table_dim_price_recipe[Retail Price], MATCH(1, ("Calculator"&lt;&gt;Table_dim_price_recipe[Type.display])*($L243=Table_dim_price_recipe[Category])*($D243=Table_dim_price_recipe[Item Description]) * (J$6=Table_dim_price_recipe[Type])*(Table_dim_price_recipe[Retail Price]&lt;&gt;0)*($C243=Table_dim_price_recipe[Subcategory]), 0))*$B243,"")</f>
        <v/>
      </c>
      <c r="K243" s="39" t="str" cm="1">
        <f t="array" ref="K243">IFERROR(INDEX(Table_dim_price_recipe[Retail Price], MATCH(1, ("Calculator"&lt;&gt;Table_dim_price_recipe[Type.display])*($L243=Table_dim_price_recipe[Category])*($D243=Table_dim_price_recipe[Item Description]) * (K$6=Table_dim_price_recipe[Type])*(Table_dim_price_recipe[Retail Price]&lt;&gt;0)*($C243=Table_dim_price_recipe[Subcategory]), 0))*$B243,"")</f>
        <v/>
      </c>
      <c r="L243" s="39" t="str" cm="1">
        <f t="array" ref="L243">IF($A243&lt;&gt;"", $A243, LOOKUP(2, 1/((A$7:INDEX(A:A, ROW()))&lt;&gt;""), A$7:INDEX(A:A, ROW())))</f>
        <v>TIE BEAMS</v>
      </c>
      <c r="M243" s="14"/>
    </row>
    <row r="244" spans="1:13">
      <c r="A244" s="263"/>
      <c r="B244" s="263"/>
      <c r="C244" s="263" t="s">
        <v>272</v>
      </c>
      <c r="D244" s="263" t="s">
        <v>275</v>
      </c>
      <c r="E244" s="263" t="s">
        <v>275</v>
      </c>
      <c r="F244" s="263"/>
      <c r="G244" s="39" cm="1">
        <f t="array" ref="G244">IFERROR(INDEX(Table_dim_price_recipe[Retail Price], MATCH(1, ("Calculator"&lt;&gt;Table_dim_price_recipe[Type.display])*($L244=Table_dim_price_recipe[Category])*($D244=Table_dim_price_recipe[Item Description]) * (G$6=Table_dim_price_recipe[Type])*(Table_dim_price_recipe[Retail Price]&lt;&gt;0)*($C244=Table_dim_price_recipe[Subcategory]), 0))*$B244,"")</f>
        <v>0</v>
      </c>
      <c r="H244" s="39" t="str" cm="1">
        <f t="array" ref="H244">IFERROR(INDEX(Table_dim_price_recipe[Retail Price], MATCH(1, ("Calculator"&lt;&gt;Table_dim_price_recipe[Type.display])*($L244=Table_dim_price_recipe[Category])*($D244=Table_dim_price_recipe[Item Description]) * (H$6=Table_dim_price_recipe[Type])*(Table_dim_price_recipe[Retail Price]&lt;&gt;0)*($C244=Table_dim_price_recipe[Subcategory]), 0))*$B244,"")</f>
        <v/>
      </c>
      <c r="I244" s="39" t="str" cm="1">
        <f t="array" ref="I244">IFERROR(INDEX(Table_dim_price_recipe[Retail Price], MATCH(1, ("Calculator"&lt;&gt;Table_dim_price_recipe[Type.display])*($L244=Table_dim_price_recipe[Category])*($D244=Table_dim_price_recipe[Item Description]) * (I$6=Table_dim_price_recipe[Type])*(Table_dim_price_recipe[Retail Price]&lt;&gt;0)*($C244=Table_dim_price_recipe[Subcategory]), 0))*$B244,"")</f>
        <v/>
      </c>
      <c r="J244" s="39" t="str" cm="1">
        <f t="array" ref="J244">IFERROR(INDEX(Table_dim_price_recipe[Retail Price], MATCH(1, ("Calculator"&lt;&gt;Table_dim_price_recipe[Type.display])*($L244=Table_dim_price_recipe[Category])*($D244=Table_dim_price_recipe[Item Description]) * (J$6=Table_dim_price_recipe[Type])*(Table_dim_price_recipe[Retail Price]&lt;&gt;0)*($C244=Table_dim_price_recipe[Subcategory]), 0))*$B244,"")</f>
        <v/>
      </c>
      <c r="K244" s="39" t="str" cm="1">
        <f t="array" ref="K244">IFERROR(INDEX(Table_dim_price_recipe[Retail Price], MATCH(1, ("Calculator"&lt;&gt;Table_dim_price_recipe[Type.display])*($L244=Table_dim_price_recipe[Category])*($D244=Table_dim_price_recipe[Item Description]) * (K$6=Table_dim_price_recipe[Type])*(Table_dim_price_recipe[Retail Price]&lt;&gt;0)*($C244=Table_dim_price_recipe[Subcategory]), 0))*$B244,"")</f>
        <v/>
      </c>
      <c r="L244" s="39" t="str" cm="1">
        <f t="array" ref="L244">IF($A244&lt;&gt;"", $A244, LOOKUP(2, 1/((A$7:INDEX(A:A, ROW()))&lt;&gt;""), A$7:INDEX(A:A, ROW())))</f>
        <v>TIE BEAMS</v>
      </c>
      <c r="M244" s="14"/>
    </row>
    <row r="245" spans="1:13">
      <c r="A245" s="263"/>
      <c r="B245" s="263"/>
      <c r="C245" s="263" t="s">
        <v>272</v>
      </c>
      <c r="D245" s="263" t="s">
        <v>281</v>
      </c>
      <c r="E245" s="263" t="s">
        <v>281</v>
      </c>
      <c r="F245" s="263"/>
      <c r="G245" s="39" cm="1">
        <f t="array" ref="G245">IFERROR(INDEX(Table_dim_price_recipe[Retail Price], MATCH(1, ("Calculator"&lt;&gt;Table_dim_price_recipe[Type.display])*($L245=Table_dim_price_recipe[Category])*($D245=Table_dim_price_recipe[Item Description]) * (G$6=Table_dim_price_recipe[Type])*(Table_dim_price_recipe[Retail Price]&lt;&gt;0)*($C245=Table_dim_price_recipe[Subcategory]), 0))*$B245,"")</f>
        <v>0</v>
      </c>
      <c r="H245" s="39" t="str" cm="1">
        <f t="array" ref="H245">IFERROR(INDEX(Table_dim_price_recipe[Retail Price], MATCH(1, ("Calculator"&lt;&gt;Table_dim_price_recipe[Type.display])*($L245=Table_dim_price_recipe[Category])*($D245=Table_dim_price_recipe[Item Description]) * (H$6=Table_dim_price_recipe[Type])*(Table_dim_price_recipe[Retail Price]&lt;&gt;0)*($C245=Table_dim_price_recipe[Subcategory]), 0))*$B245,"")</f>
        <v/>
      </c>
      <c r="I245" s="39" t="str" cm="1">
        <f t="array" ref="I245">IFERROR(INDEX(Table_dim_price_recipe[Retail Price], MATCH(1, ("Calculator"&lt;&gt;Table_dim_price_recipe[Type.display])*($L245=Table_dim_price_recipe[Category])*($D245=Table_dim_price_recipe[Item Description]) * (I$6=Table_dim_price_recipe[Type])*(Table_dim_price_recipe[Retail Price]&lt;&gt;0)*($C245=Table_dim_price_recipe[Subcategory]), 0))*$B245,"")</f>
        <v/>
      </c>
      <c r="J245" s="39" t="str" cm="1">
        <f t="array" ref="J245">IFERROR(INDEX(Table_dim_price_recipe[Retail Price], MATCH(1, ("Calculator"&lt;&gt;Table_dim_price_recipe[Type.display])*($L245=Table_dim_price_recipe[Category])*($D245=Table_dim_price_recipe[Item Description]) * (J$6=Table_dim_price_recipe[Type])*(Table_dim_price_recipe[Retail Price]&lt;&gt;0)*($C245=Table_dim_price_recipe[Subcategory]), 0))*$B245,"")</f>
        <v/>
      </c>
      <c r="K245" s="39" t="str" cm="1">
        <f t="array" ref="K245">IFERROR(INDEX(Table_dim_price_recipe[Retail Price], MATCH(1, ("Calculator"&lt;&gt;Table_dim_price_recipe[Type.display])*($L245=Table_dim_price_recipe[Category])*($D245=Table_dim_price_recipe[Item Description]) * (K$6=Table_dim_price_recipe[Type])*(Table_dim_price_recipe[Retail Price]&lt;&gt;0)*($C245=Table_dim_price_recipe[Subcategory]), 0))*$B245,"")</f>
        <v/>
      </c>
      <c r="L245" s="39" t="str" cm="1">
        <f t="array" ref="L245">IF($A245&lt;&gt;"", $A245, LOOKUP(2, 1/((A$7:INDEX(A:A, ROW()))&lt;&gt;""), A$7:INDEX(A:A, ROW())))</f>
        <v>TIE BEAMS</v>
      </c>
      <c r="M245" s="14"/>
    </row>
    <row r="246" spans="1:13">
      <c r="A246" s="263"/>
      <c r="B246" s="263"/>
      <c r="C246" s="263" t="s">
        <v>272</v>
      </c>
      <c r="D246" s="263" t="s">
        <v>274</v>
      </c>
      <c r="E246" s="263" t="s">
        <v>274</v>
      </c>
      <c r="F246" s="263"/>
      <c r="G246" s="39" cm="1">
        <f t="array" ref="G246">IFERROR(INDEX(Table_dim_price_recipe[Retail Price], MATCH(1, ("Calculator"&lt;&gt;Table_dim_price_recipe[Type.display])*($L246=Table_dim_price_recipe[Category])*($D246=Table_dim_price_recipe[Item Description]) * (G$6=Table_dim_price_recipe[Type])*(Table_dim_price_recipe[Retail Price]&lt;&gt;0)*($C246=Table_dim_price_recipe[Subcategory]), 0))*$B246,"")</f>
        <v>0</v>
      </c>
      <c r="H246" s="39" t="str" cm="1">
        <f t="array" ref="H246">IFERROR(INDEX(Table_dim_price_recipe[Retail Price], MATCH(1, ("Calculator"&lt;&gt;Table_dim_price_recipe[Type.display])*($L246=Table_dim_price_recipe[Category])*($D246=Table_dim_price_recipe[Item Description]) * (H$6=Table_dim_price_recipe[Type])*(Table_dim_price_recipe[Retail Price]&lt;&gt;0)*($C246=Table_dim_price_recipe[Subcategory]), 0))*$B246,"")</f>
        <v/>
      </c>
      <c r="I246" s="39" t="str" cm="1">
        <f t="array" ref="I246">IFERROR(INDEX(Table_dim_price_recipe[Retail Price], MATCH(1, ("Calculator"&lt;&gt;Table_dim_price_recipe[Type.display])*($L246=Table_dim_price_recipe[Category])*($D246=Table_dim_price_recipe[Item Description]) * (I$6=Table_dim_price_recipe[Type])*(Table_dim_price_recipe[Retail Price]&lt;&gt;0)*($C246=Table_dim_price_recipe[Subcategory]), 0))*$B246,"")</f>
        <v/>
      </c>
      <c r="J246" s="39" t="str" cm="1">
        <f t="array" ref="J246">IFERROR(INDEX(Table_dim_price_recipe[Retail Price], MATCH(1, ("Calculator"&lt;&gt;Table_dim_price_recipe[Type.display])*($L246=Table_dim_price_recipe[Category])*($D246=Table_dim_price_recipe[Item Description]) * (J$6=Table_dim_price_recipe[Type])*(Table_dim_price_recipe[Retail Price]&lt;&gt;0)*($C246=Table_dim_price_recipe[Subcategory]), 0))*$B246,"")</f>
        <v/>
      </c>
      <c r="K246" s="39" t="str" cm="1">
        <f t="array" ref="K246">IFERROR(INDEX(Table_dim_price_recipe[Retail Price], MATCH(1, ("Calculator"&lt;&gt;Table_dim_price_recipe[Type.display])*($L246=Table_dim_price_recipe[Category])*($D246=Table_dim_price_recipe[Item Description]) * (K$6=Table_dim_price_recipe[Type])*(Table_dim_price_recipe[Retail Price]&lt;&gt;0)*($C246=Table_dim_price_recipe[Subcategory]), 0))*$B246,"")</f>
        <v/>
      </c>
      <c r="L246" s="39" t="str" cm="1">
        <f t="array" ref="L246">IF($A246&lt;&gt;"", $A246, LOOKUP(2, 1/((A$7:INDEX(A:A, ROW()))&lt;&gt;""), A$7:INDEX(A:A, ROW())))</f>
        <v>TIE BEAMS</v>
      </c>
      <c r="M246" s="14"/>
    </row>
    <row r="247" spans="1:13">
      <c r="A247" s="263"/>
      <c r="B247" s="263"/>
      <c r="C247" s="263" t="s">
        <v>272</v>
      </c>
      <c r="D247" s="263" t="s">
        <v>273</v>
      </c>
      <c r="E247" s="263" t="s">
        <v>273</v>
      </c>
      <c r="F247" s="263"/>
      <c r="G247" s="39" cm="1">
        <f t="array" ref="G247">IFERROR(INDEX(Table_dim_price_recipe[Retail Price], MATCH(1, ("Calculator"&lt;&gt;Table_dim_price_recipe[Type.display])*($L247=Table_dim_price_recipe[Category])*($D247=Table_dim_price_recipe[Item Description]) * (G$6=Table_dim_price_recipe[Type])*(Table_dim_price_recipe[Retail Price]&lt;&gt;0)*($C247=Table_dim_price_recipe[Subcategory]), 0))*$B247,"")</f>
        <v>0</v>
      </c>
      <c r="H247" s="39" t="str" cm="1">
        <f t="array" ref="H247">IFERROR(INDEX(Table_dim_price_recipe[Retail Price], MATCH(1, ("Calculator"&lt;&gt;Table_dim_price_recipe[Type.display])*($L247=Table_dim_price_recipe[Category])*($D247=Table_dim_price_recipe[Item Description]) * (H$6=Table_dim_price_recipe[Type])*(Table_dim_price_recipe[Retail Price]&lt;&gt;0)*($C247=Table_dim_price_recipe[Subcategory]), 0))*$B247,"")</f>
        <v/>
      </c>
      <c r="I247" s="39" t="str" cm="1">
        <f t="array" ref="I247">IFERROR(INDEX(Table_dim_price_recipe[Retail Price], MATCH(1, ("Calculator"&lt;&gt;Table_dim_price_recipe[Type.display])*($L247=Table_dim_price_recipe[Category])*($D247=Table_dim_price_recipe[Item Description]) * (I$6=Table_dim_price_recipe[Type])*(Table_dim_price_recipe[Retail Price]&lt;&gt;0)*($C247=Table_dim_price_recipe[Subcategory]), 0))*$B247,"")</f>
        <v/>
      </c>
      <c r="J247" s="39" t="str" cm="1">
        <f t="array" ref="J247">IFERROR(INDEX(Table_dim_price_recipe[Retail Price], MATCH(1, ("Calculator"&lt;&gt;Table_dim_price_recipe[Type.display])*($L247=Table_dim_price_recipe[Category])*($D247=Table_dim_price_recipe[Item Description]) * (J$6=Table_dim_price_recipe[Type])*(Table_dim_price_recipe[Retail Price]&lt;&gt;0)*($C247=Table_dim_price_recipe[Subcategory]), 0))*$B247,"")</f>
        <v/>
      </c>
      <c r="K247" s="39" t="str" cm="1">
        <f t="array" ref="K247">IFERROR(INDEX(Table_dim_price_recipe[Retail Price], MATCH(1, ("Calculator"&lt;&gt;Table_dim_price_recipe[Type.display])*($L247=Table_dim_price_recipe[Category])*($D247=Table_dim_price_recipe[Item Description]) * (K$6=Table_dim_price_recipe[Type])*(Table_dim_price_recipe[Retail Price]&lt;&gt;0)*($C247=Table_dim_price_recipe[Subcategory]), 0))*$B247,"")</f>
        <v/>
      </c>
      <c r="L247" s="39" t="str" cm="1">
        <f t="array" ref="L247">IF($A247&lt;&gt;"", $A247, LOOKUP(2, 1/((A$7:INDEX(A:A, ROW()))&lt;&gt;""), A$7:INDEX(A:A, ROW())))</f>
        <v>TIE BEAMS</v>
      </c>
      <c r="M247" s="14"/>
    </row>
    <row r="248" spans="1:13">
      <c r="A248" s="263"/>
      <c r="B248" s="263"/>
      <c r="C248" s="263" t="s">
        <v>272</v>
      </c>
      <c r="D248" s="263" t="s">
        <v>279</v>
      </c>
      <c r="E248" s="263" t="s">
        <v>279</v>
      </c>
      <c r="F248" s="263"/>
      <c r="G248" s="39" cm="1">
        <f t="array" ref="G248">IFERROR(INDEX(Table_dim_price_recipe[Retail Price], MATCH(1, ("Calculator"&lt;&gt;Table_dim_price_recipe[Type.display])*($L248=Table_dim_price_recipe[Category])*($D248=Table_dim_price_recipe[Item Description]) * (G$6=Table_dim_price_recipe[Type])*(Table_dim_price_recipe[Retail Price]&lt;&gt;0)*($C248=Table_dim_price_recipe[Subcategory]), 0))*$B248,"")</f>
        <v>0</v>
      </c>
      <c r="H248" s="39" t="str" cm="1">
        <f t="array" ref="H248">IFERROR(INDEX(Table_dim_price_recipe[Retail Price], MATCH(1, ("Calculator"&lt;&gt;Table_dim_price_recipe[Type.display])*($L248=Table_dim_price_recipe[Category])*($D248=Table_dim_price_recipe[Item Description]) * (H$6=Table_dim_price_recipe[Type])*(Table_dim_price_recipe[Retail Price]&lt;&gt;0)*($C248=Table_dim_price_recipe[Subcategory]), 0))*$B248,"")</f>
        <v/>
      </c>
      <c r="I248" s="39" t="str" cm="1">
        <f t="array" ref="I248">IFERROR(INDEX(Table_dim_price_recipe[Retail Price], MATCH(1, ("Calculator"&lt;&gt;Table_dim_price_recipe[Type.display])*($L248=Table_dim_price_recipe[Category])*($D248=Table_dim_price_recipe[Item Description]) * (I$6=Table_dim_price_recipe[Type])*(Table_dim_price_recipe[Retail Price]&lt;&gt;0)*($C248=Table_dim_price_recipe[Subcategory]), 0))*$B248,"")</f>
        <v/>
      </c>
      <c r="J248" s="39" t="str" cm="1">
        <f t="array" ref="J248">IFERROR(INDEX(Table_dim_price_recipe[Retail Price], MATCH(1, ("Calculator"&lt;&gt;Table_dim_price_recipe[Type.display])*($L248=Table_dim_price_recipe[Category])*($D248=Table_dim_price_recipe[Item Description]) * (J$6=Table_dim_price_recipe[Type])*(Table_dim_price_recipe[Retail Price]&lt;&gt;0)*($C248=Table_dim_price_recipe[Subcategory]), 0))*$B248,"")</f>
        <v/>
      </c>
      <c r="K248" s="39" t="str" cm="1">
        <f t="array" ref="K248">IFERROR(INDEX(Table_dim_price_recipe[Retail Price], MATCH(1, ("Calculator"&lt;&gt;Table_dim_price_recipe[Type.display])*($L248=Table_dim_price_recipe[Category])*($D248=Table_dim_price_recipe[Item Description]) * (K$6=Table_dim_price_recipe[Type])*(Table_dim_price_recipe[Retail Price]&lt;&gt;0)*($C248=Table_dim_price_recipe[Subcategory]), 0))*$B248,"")</f>
        <v/>
      </c>
      <c r="L248" s="39" t="str" cm="1">
        <f t="array" ref="L248">IF($A248&lt;&gt;"", $A248, LOOKUP(2, 1/((A$7:INDEX(A:A, ROW()))&lt;&gt;""), A$7:INDEX(A:A, ROW())))</f>
        <v>TIE BEAMS</v>
      </c>
      <c r="M248" s="14"/>
    </row>
    <row r="249" spans="1:13">
      <c r="A249" s="263"/>
      <c r="B249" s="263"/>
      <c r="C249" s="263" t="s">
        <v>272</v>
      </c>
      <c r="D249" s="263" t="s">
        <v>278</v>
      </c>
      <c r="E249" s="263" t="s">
        <v>278</v>
      </c>
      <c r="F249" s="263"/>
      <c r="G249" s="39" cm="1">
        <f t="array" ref="G249">IFERROR(INDEX(Table_dim_price_recipe[Retail Price], MATCH(1, ("Calculator"&lt;&gt;Table_dim_price_recipe[Type.display])*($L249=Table_dim_price_recipe[Category])*($D249=Table_dim_price_recipe[Item Description]) * (G$6=Table_dim_price_recipe[Type])*(Table_dim_price_recipe[Retail Price]&lt;&gt;0)*($C249=Table_dim_price_recipe[Subcategory]), 0))*$B249,"")</f>
        <v>0</v>
      </c>
      <c r="H249" s="39" t="str" cm="1">
        <f t="array" ref="H249">IFERROR(INDEX(Table_dim_price_recipe[Retail Price], MATCH(1, ("Calculator"&lt;&gt;Table_dim_price_recipe[Type.display])*($L249=Table_dim_price_recipe[Category])*($D249=Table_dim_price_recipe[Item Description]) * (H$6=Table_dim_price_recipe[Type])*(Table_dim_price_recipe[Retail Price]&lt;&gt;0)*($C249=Table_dim_price_recipe[Subcategory]), 0))*$B249,"")</f>
        <v/>
      </c>
      <c r="I249" s="39" t="str" cm="1">
        <f t="array" ref="I249">IFERROR(INDEX(Table_dim_price_recipe[Retail Price], MATCH(1, ("Calculator"&lt;&gt;Table_dim_price_recipe[Type.display])*($L249=Table_dim_price_recipe[Category])*($D249=Table_dim_price_recipe[Item Description]) * (I$6=Table_dim_price_recipe[Type])*(Table_dim_price_recipe[Retail Price]&lt;&gt;0)*($C249=Table_dim_price_recipe[Subcategory]), 0))*$B249,"")</f>
        <v/>
      </c>
      <c r="J249" s="39" t="str" cm="1">
        <f t="array" ref="J249">IFERROR(INDEX(Table_dim_price_recipe[Retail Price], MATCH(1, ("Calculator"&lt;&gt;Table_dim_price_recipe[Type.display])*($L249=Table_dim_price_recipe[Category])*($D249=Table_dim_price_recipe[Item Description]) * (J$6=Table_dim_price_recipe[Type])*(Table_dim_price_recipe[Retail Price]&lt;&gt;0)*($C249=Table_dim_price_recipe[Subcategory]), 0))*$B249,"")</f>
        <v/>
      </c>
      <c r="K249" s="39" t="str" cm="1">
        <f t="array" ref="K249">IFERROR(INDEX(Table_dim_price_recipe[Retail Price], MATCH(1, ("Calculator"&lt;&gt;Table_dim_price_recipe[Type.display])*($L249=Table_dim_price_recipe[Category])*($D249=Table_dim_price_recipe[Item Description]) * (K$6=Table_dim_price_recipe[Type])*(Table_dim_price_recipe[Retail Price]&lt;&gt;0)*($C249=Table_dim_price_recipe[Subcategory]), 0))*$B249,"")</f>
        <v/>
      </c>
      <c r="L249" s="39" t="str" cm="1">
        <f t="array" ref="L249">IF($A249&lt;&gt;"", $A249, LOOKUP(2, 1/((A$7:INDEX(A:A, ROW()))&lt;&gt;""), A$7:INDEX(A:A, ROW())))</f>
        <v>TIE BEAMS</v>
      </c>
      <c r="M249" s="14"/>
    </row>
    <row r="250" spans="1:13">
      <c r="A250" s="263"/>
      <c r="B250" s="263"/>
      <c r="C250" s="263" t="s">
        <v>272</v>
      </c>
      <c r="D250" s="263" t="s">
        <v>277</v>
      </c>
      <c r="E250" s="263" t="s">
        <v>277</v>
      </c>
      <c r="F250" s="263"/>
      <c r="G250" s="39" cm="1">
        <f t="array" ref="G250">IFERROR(INDEX(Table_dim_price_recipe[Retail Price], MATCH(1, ("Calculator"&lt;&gt;Table_dim_price_recipe[Type.display])*($L250=Table_dim_price_recipe[Category])*($D250=Table_dim_price_recipe[Item Description]) * (G$6=Table_dim_price_recipe[Type])*(Table_dim_price_recipe[Retail Price]&lt;&gt;0)*($C250=Table_dim_price_recipe[Subcategory]), 0))*$B250,"")</f>
        <v>0</v>
      </c>
      <c r="H250" s="39" t="str" cm="1">
        <f t="array" ref="H250">IFERROR(INDEX(Table_dim_price_recipe[Retail Price], MATCH(1, ("Calculator"&lt;&gt;Table_dim_price_recipe[Type.display])*($L250=Table_dim_price_recipe[Category])*($D250=Table_dim_price_recipe[Item Description]) * (H$6=Table_dim_price_recipe[Type])*(Table_dim_price_recipe[Retail Price]&lt;&gt;0)*($C250=Table_dim_price_recipe[Subcategory]), 0))*$B250,"")</f>
        <v/>
      </c>
      <c r="I250" s="39" t="str" cm="1">
        <f t="array" ref="I250">IFERROR(INDEX(Table_dim_price_recipe[Retail Price], MATCH(1, ("Calculator"&lt;&gt;Table_dim_price_recipe[Type.display])*($L250=Table_dim_price_recipe[Category])*($D250=Table_dim_price_recipe[Item Description]) * (I$6=Table_dim_price_recipe[Type])*(Table_dim_price_recipe[Retail Price]&lt;&gt;0)*($C250=Table_dim_price_recipe[Subcategory]), 0))*$B250,"")</f>
        <v/>
      </c>
      <c r="J250" s="39" t="str" cm="1">
        <f t="array" ref="J250">IFERROR(INDEX(Table_dim_price_recipe[Retail Price], MATCH(1, ("Calculator"&lt;&gt;Table_dim_price_recipe[Type.display])*($L250=Table_dim_price_recipe[Category])*($D250=Table_dim_price_recipe[Item Description]) * (J$6=Table_dim_price_recipe[Type])*(Table_dim_price_recipe[Retail Price]&lt;&gt;0)*($C250=Table_dim_price_recipe[Subcategory]), 0))*$B250,"")</f>
        <v/>
      </c>
      <c r="K250" s="39" t="str" cm="1">
        <f t="array" ref="K250">IFERROR(INDEX(Table_dim_price_recipe[Retail Price], MATCH(1, ("Calculator"&lt;&gt;Table_dim_price_recipe[Type.display])*($L250=Table_dim_price_recipe[Category])*($D250=Table_dim_price_recipe[Item Description]) * (K$6=Table_dim_price_recipe[Type])*(Table_dim_price_recipe[Retail Price]&lt;&gt;0)*($C250=Table_dim_price_recipe[Subcategory]), 0))*$B250,"")</f>
        <v/>
      </c>
      <c r="L250" s="39" t="str" cm="1">
        <f t="array" ref="L250">IF($A250&lt;&gt;"", $A250, LOOKUP(2, 1/((A$7:INDEX(A:A, ROW()))&lt;&gt;""), A$7:INDEX(A:A, ROW())))</f>
        <v>TIE BEAMS</v>
      </c>
      <c r="M250" s="14"/>
    </row>
    <row r="251" spans="1:13">
      <c r="A251" s="263"/>
      <c r="B251" s="263"/>
      <c r="C251" s="263" t="s">
        <v>272</v>
      </c>
      <c r="D251" s="263" t="s">
        <v>276</v>
      </c>
      <c r="E251" s="263" t="s">
        <v>276</v>
      </c>
      <c r="F251" s="263"/>
      <c r="G251" s="39" cm="1">
        <f t="array" ref="G251">IFERROR(INDEX(Table_dim_price_recipe[Retail Price], MATCH(1, ("Calculator"&lt;&gt;Table_dim_price_recipe[Type.display])*($L251=Table_dim_price_recipe[Category])*($D251=Table_dim_price_recipe[Item Description]) * (G$6=Table_dim_price_recipe[Type])*(Table_dim_price_recipe[Retail Price]&lt;&gt;0)*($C251=Table_dim_price_recipe[Subcategory]), 0))*$B251,"")</f>
        <v>0</v>
      </c>
      <c r="H251" s="39" t="str" cm="1">
        <f t="array" ref="H251">IFERROR(INDEX(Table_dim_price_recipe[Retail Price], MATCH(1, ("Calculator"&lt;&gt;Table_dim_price_recipe[Type.display])*($L251=Table_dim_price_recipe[Category])*($D251=Table_dim_price_recipe[Item Description]) * (H$6=Table_dim_price_recipe[Type])*(Table_dim_price_recipe[Retail Price]&lt;&gt;0)*($C251=Table_dim_price_recipe[Subcategory]), 0))*$B251,"")</f>
        <v/>
      </c>
      <c r="I251" s="39" t="str" cm="1">
        <f t="array" ref="I251">IFERROR(INDEX(Table_dim_price_recipe[Retail Price], MATCH(1, ("Calculator"&lt;&gt;Table_dim_price_recipe[Type.display])*($L251=Table_dim_price_recipe[Category])*($D251=Table_dim_price_recipe[Item Description]) * (I$6=Table_dim_price_recipe[Type])*(Table_dim_price_recipe[Retail Price]&lt;&gt;0)*($C251=Table_dim_price_recipe[Subcategory]), 0))*$B251,"")</f>
        <v/>
      </c>
      <c r="J251" s="39" t="str" cm="1">
        <f t="array" ref="J251">IFERROR(INDEX(Table_dim_price_recipe[Retail Price], MATCH(1, ("Calculator"&lt;&gt;Table_dim_price_recipe[Type.display])*($L251=Table_dim_price_recipe[Category])*($D251=Table_dim_price_recipe[Item Description]) * (J$6=Table_dim_price_recipe[Type])*(Table_dim_price_recipe[Retail Price]&lt;&gt;0)*($C251=Table_dim_price_recipe[Subcategory]), 0))*$B251,"")</f>
        <v/>
      </c>
      <c r="K251" s="39" t="str" cm="1">
        <f t="array" ref="K251">IFERROR(INDEX(Table_dim_price_recipe[Retail Price], MATCH(1, ("Calculator"&lt;&gt;Table_dim_price_recipe[Type.display])*($L251=Table_dim_price_recipe[Category])*($D251=Table_dim_price_recipe[Item Description]) * (K$6=Table_dim_price_recipe[Type])*(Table_dim_price_recipe[Retail Price]&lt;&gt;0)*($C251=Table_dim_price_recipe[Subcategory]), 0))*$B251,"")</f>
        <v/>
      </c>
      <c r="L251" s="39" t="str" cm="1">
        <f t="array" ref="L251">IF($A251&lt;&gt;"", $A251, LOOKUP(2, 1/((A$7:INDEX(A:A, ROW()))&lt;&gt;""), A$7:INDEX(A:A, ROW())))</f>
        <v>TIE BEAMS</v>
      </c>
      <c r="M251" s="14"/>
    </row>
    <row r="252" spans="1:13">
      <c r="A252" s="263"/>
      <c r="B252" s="263"/>
      <c r="C252" s="263" t="s">
        <v>272</v>
      </c>
      <c r="D252" s="263" t="s">
        <v>280</v>
      </c>
      <c r="E252" s="263" t="s">
        <v>280</v>
      </c>
      <c r="F252" s="263"/>
      <c r="G252" s="39" cm="1">
        <f t="array" ref="G252">IFERROR(INDEX(Table_dim_price_recipe[Retail Price], MATCH(1, ("Calculator"&lt;&gt;Table_dim_price_recipe[Type.display])*($L252=Table_dim_price_recipe[Category])*($D252=Table_dim_price_recipe[Item Description]) * (G$6=Table_dim_price_recipe[Type])*(Table_dim_price_recipe[Retail Price]&lt;&gt;0)*($C252=Table_dim_price_recipe[Subcategory]), 0))*$B252,"")</f>
        <v>0</v>
      </c>
      <c r="H252" s="39" t="str" cm="1">
        <f t="array" ref="H252">IFERROR(INDEX(Table_dim_price_recipe[Retail Price], MATCH(1, ("Calculator"&lt;&gt;Table_dim_price_recipe[Type.display])*($L252=Table_dim_price_recipe[Category])*($D252=Table_dim_price_recipe[Item Description]) * (H$6=Table_dim_price_recipe[Type])*(Table_dim_price_recipe[Retail Price]&lt;&gt;0)*($C252=Table_dim_price_recipe[Subcategory]), 0))*$B252,"")</f>
        <v/>
      </c>
      <c r="I252" s="39" t="str" cm="1">
        <f t="array" ref="I252">IFERROR(INDEX(Table_dim_price_recipe[Retail Price], MATCH(1, ("Calculator"&lt;&gt;Table_dim_price_recipe[Type.display])*($L252=Table_dim_price_recipe[Category])*($D252=Table_dim_price_recipe[Item Description]) * (I$6=Table_dim_price_recipe[Type])*(Table_dim_price_recipe[Retail Price]&lt;&gt;0)*($C252=Table_dim_price_recipe[Subcategory]), 0))*$B252,"")</f>
        <v/>
      </c>
      <c r="J252" s="39" t="str" cm="1">
        <f t="array" ref="J252">IFERROR(INDEX(Table_dim_price_recipe[Retail Price], MATCH(1, ("Calculator"&lt;&gt;Table_dim_price_recipe[Type.display])*($L252=Table_dim_price_recipe[Category])*($D252=Table_dim_price_recipe[Item Description]) * (J$6=Table_dim_price_recipe[Type])*(Table_dim_price_recipe[Retail Price]&lt;&gt;0)*($C252=Table_dim_price_recipe[Subcategory]), 0))*$B252,"")</f>
        <v/>
      </c>
      <c r="K252" s="39" t="str" cm="1">
        <f t="array" ref="K252">IFERROR(INDEX(Table_dim_price_recipe[Retail Price], MATCH(1, ("Calculator"&lt;&gt;Table_dim_price_recipe[Type.display])*($L252=Table_dim_price_recipe[Category])*($D252=Table_dim_price_recipe[Item Description]) * (K$6=Table_dim_price_recipe[Type])*(Table_dim_price_recipe[Retail Price]&lt;&gt;0)*($C252=Table_dim_price_recipe[Subcategory]), 0))*$B252,"")</f>
        <v/>
      </c>
      <c r="L252" s="39" t="str" cm="1">
        <f t="array" ref="L252">IF($A252&lt;&gt;"", $A252, LOOKUP(2, 1/((A$7:INDEX(A:A, ROW()))&lt;&gt;""), A$7:INDEX(A:A, ROW())))</f>
        <v>TIE BEAMS</v>
      </c>
      <c r="M252" s="14"/>
    </row>
    <row r="253" spans="1:13">
      <c r="A253" s="263"/>
      <c r="B253" s="263"/>
      <c r="C253" s="263" t="s">
        <v>272</v>
      </c>
      <c r="D253" s="263"/>
      <c r="E253" s="263"/>
      <c r="F253" s="263"/>
      <c r="G253" s="39" t="str" cm="1">
        <f t="array" ref="G253">IFERROR(INDEX(Table_dim_price_recipe[Retail Price], MATCH(1, ("Calculator"&lt;&gt;Table_dim_price_recipe[Type.display])*($L253=Table_dim_price_recipe[Category])*($D253=Table_dim_price_recipe[Item Description]) * (G$6=Table_dim_price_recipe[Type])*(Table_dim_price_recipe[Retail Price]&lt;&gt;0)*($C253=Table_dim_price_recipe[Subcategory]), 0))*$B253,"")</f>
        <v/>
      </c>
      <c r="H253" s="39" t="str" cm="1">
        <f t="array" ref="H253">IFERROR(INDEX(Table_dim_price_recipe[Retail Price], MATCH(1, ("Calculator"&lt;&gt;Table_dim_price_recipe[Type.display])*($L253=Table_dim_price_recipe[Category])*($D253=Table_dim_price_recipe[Item Description]) * (H$6=Table_dim_price_recipe[Type])*(Table_dim_price_recipe[Retail Price]&lt;&gt;0)*($C253=Table_dim_price_recipe[Subcategory]), 0))*$B253,"")</f>
        <v/>
      </c>
      <c r="I253" s="39" t="str" cm="1">
        <f t="array" ref="I253">IFERROR(INDEX(Table_dim_price_recipe[Retail Price], MATCH(1, ("Calculator"&lt;&gt;Table_dim_price_recipe[Type.display])*($L253=Table_dim_price_recipe[Category])*($D253=Table_dim_price_recipe[Item Description]) * (I$6=Table_dim_price_recipe[Type])*(Table_dim_price_recipe[Retail Price]&lt;&gt;0)*($C253=Table_dim_price_recipe[Subcategory]), 0))*$B253,"")</f>
        <v/>
      </c>
      <c r="J253" s="39" t="str" cm="1">
        <f t="array" ref="J253">IFERROR(INDEX(Table_dim_price_recipe[Retail Price], MATCH(1, ("Calculator"&lt;&gt;Table_dim_price_recipe[Type.display])*($L253=Table_dim_price_recipe[Category])*($D253=Table_dim_price_recipe[Item Description]) * (J$6=Table_dim_price_recipe[Type])*(Table_dim_price_recipe[Retail Price]&lt;&gt;0)*($C253=Table_dim_price_recipe[Subcategory]), 0))*$B253,"")</f>
        <v/>
      </c>
      <c r="K253" s="39" t="str" cm="1">
        <f t="array" ref="K253">IFERROR(INDEX(Table_dim_price_recipe[Retail Price], MATCH(1, ("Calculator"&lt;&gt;Table_dim_price_recipe[Type.display])*($L253=Table_dim_price_recipe[Category])*($D253=Table_dim_price_recipe[Item Description]) * (K$6=Table_dim_price_recipe[Type])*(Table_dim_price_recipe[Retail Price]&lt;&gt;0)*($C253=Table_dim_price_recipe[Subcategory]), 0))*$B253,"")</f>
        <v/>
      </c>
      <c r="L253" s="39" t="str" cm="1">
        <f t="array" ref="L253">IF($A253&lt;&gt;"", $A253, LOOKUP(2, 1/((A$7:INDEX(A:A, ROW()))&lt;&gt;""), A$7:INDEX(A:A, ROW())))</f>
        <v>TIE BEAMS</v>
      </c>
      <c r="M253" s="14"/>
    </row>
    <row r="254" spans="1:13">
      <c r="A254" s="263"/>
      <c r="B254" s="263"/>
      <c r="C254" s="263" t="s">
        <v>272</v>
      </c>
      <c r="D254" s="263"/>
      <c r="E254" s="263"/>
      <c r="F254" s="263"/>
      <c r="G254" s="39" t="str" cm="1">
        <f t="array" ref="G254">IFERROR(INDEX(Table_dim_price_recipe[Retail Price], MATCH(1, ("Calculator"&lt;&gt;Table_dim_price_recipe[Type.display])*($L254=Table_dim_price_recipe[Category])*($D254=Table_dim_price_recipe[Item Description]) * (G$6=Table_dim_price_recipe[Type])*(Table_dim_price_recipe[Retail Price]&lt;&gt;0)*($C254=Table_dim_price_recipe[Subcategory]), 0))*$B254,"")</f>
        <v/>
      </c>
      <c r="H254" s="39" t="str" cm="1">
        <f t="array" ref="H254">IFERROR(INDEX(Table_dim_price_recipe[Retail Price], MATCH(1, ("Calculator"&lt;&gt;Table_dim_price_recipe[Type.display])*($L254=Table_dim_price_recipe[Category])*($D254=Table_dim_price_recipe[Item Description]) * (H$6=Table_dim_price_recipe[Type])*(Table_dim_price_recipe[Retail Price]&lt;&gt;0)*($C254=Table_dim_price_recipe[Subcategory]), 0))*$B254,"")</f>
        <v/>
      </c>
      <c r="I254" s="39" t="str" cm="1">
        <f t="array" ref="I254">IFERROR(INDEX(Table_dim_price_recipe[Retail Price], MATCH(1, ("Calculator"&lt;&gt;Table_dim_price_recipe[Type.display])*($L254=Table_dim_price_recipe[Category])*($D254=Table_dim_price_recipe[Item Description]) * (I$6=Table_dim_price_recipe[Type])*(Table_dim_price_recipe[Retail Price]&lt;&gt;0)*($C254=Table_dim_price_recipe[Subcategory]), 0))*$B254,"")</f>
        <v/>
      </c>
      <c r="J254" s="39" t="str" cm="1">
        <f t="array" ref="J254">IFERROR(INDEX(Table_dim_price_recipe[Retail Price], MATCH(1, ("Calculator"&lt;&gt;Table_dim_price_recipe[Type.display])*($L254=Table_dim_price_recipe[Category])*($D254=Table_dim_price_recipe[Item Description]) * (J$6=Table_dim_price_recipe[Type])*(Table_dim_price_recipe[Retail Price]&lt;&gt;0)*($C254=Table_dim_price_recipe[Subcategory]), 0))*$B254,"")</f>
        <v/>
      </c>
      <c r="K254" s="39" t="str" cm="1">
        <f t="array" ref="K254">IFERROR(INDEX(Table_dim_price_recipe[Retail Price], MATCH(1, ("Calculator"&lt;&gt;Table_dim_price_recipe[Type.display])*($L254=Table_dim_price_recipe[Category])*($D254=Table_dim_price_recipe[Item Description]) * (K$6=Table_dim_price_recipe[Type])*(Table_dim_price_recipe[Retail Price]&lt;&gt;0)*($C254=Table_dim_price_recipe[Subcategory]), 0))*$B254,"")</f>
        <v/>
      </c>
      <c r="L254" s="39" t="str" cm="1">
        <f t="array" ref="L254">IF($A254&lt;&gt;"", $A254, LOOKUP(2, 1/((A$7:INDEX(A:A, ROW()))&lt;&gt;""), A$7:INDEX(A:A, ROW())))</f>
        <v>TIE BEAMS</v>
      </c>
      <c r="M254" s="14"/>
    </row>
    <row r="255" spans="1:13">
      <c r="A255" s="263"/>
      <c r="B255" s="263"/>
      <c r="C255" s="263" t="s">
        <v>282</v>
      </c>
      <c r="D255" s="263" t="s">
        <v>275</v>
      </c>
      <c r="E255" s="263" t="s">
        <v>275</v>
      </c>
      <c r="F255" s="263"/>
      <c r="G255" s="39" cm="1">
        <f t="array" ref="G255">IFERROR(INDEX(Table_dim_price_recipe[Retail Price], MATCH(1, ("Calculator"&lt;&gt;Table_dim_price_recipe[Type.display])*($L255=Table_dim_price_recipe[Category])*($D255=Table_dim_price_recipe[Item Description]) * (G$6=Table_dim_price_recipe[Type])*(Table_dim_price_recipe[Retail Price]&lt;&gt;0)*($C255=Table_dim_price_recipe[Subcategory]), 0))*$B255,"")</f>
        <v>0</v>
      </c>
      <c r="H255" s="39" t="str" cm="1">
        <f t="array" ref="H255">IFERROR(INDEX(Table_dim_price_recipe[Retail Price], MATCH(1, ("Calculator"&lt;&gt;Table_dim_price_recipe[Type.display])*($L255=Table_dim_price_recipe[Category])*($D255=Table_dim_price_recipe[Item Description]) * (H$6=Table_dim_price_recipe[Type])*(Table_dim_price_recipe[Retail Price]&lt;&gt;0)*($C255=Table_dim_price_recipe[Subcategory]), 0))*$B255,"")</f>
        <v/>
      </c>
      <c r="I255" s="39" t="str" cm="1">
        <f t="array" ref="I255">IFERROR(INDEX(Table_dim_price_recipe[Retail Price], MATCH(1, ("Calculator"&lt;&gt;Table_dim_price_recipe[Type.display])*($L255=Table_dim_price_recipe[Category])*($D255=Table_dim_price_recipe[Item Description]) * (I$6=Table_dim_price_recipe[Type])*(Table_dim_price_recipe[Retail Price]&lt;&gt;0)*($C255=Table_dim_price_recipe[Subcategory]), 0))*$B255,"")</f>
        <v/>
      </c>
      <c r="J255" s="39" t="str" cm="1">
        <f t="array" ref="J255">IFERROR(INDEX(Table_dim_price_recipe[Retail Price], MATCH(1, ("Calculator"&lt;&gt;Table_dim_price_recipe[Type.display])*($L255=Table_dim_price_recipe[Category])*($D255=Table_dim_price_recipe[Item Description]) * (J$6=Table_dim_price_recipe[Type])*(Table_dim_price_recipe[Retail Price]&lt;&gt;0)*($C255=Table_dim_price_recipe[Subcategory]), 0))*$B255,"")</f>
        <v/>
      </c>
      <c r="K255" s="39" t="str" cm="1">
        <f t="array" ref="K255">IFERROR(INDEX(Table_dim_price_recipe[Retail Price], MATCH(1, ("Calculator"&lt;&gt;Table_dim_price_recipe[Type.display])*($L255=Table_dim_price_recipe[Category])*($D255=Table_dim_price_recipe[Item Description]) * (K$6=Table_dim_price_recipe[Type])*(Table_dim_price_recipe[Retail Price]&lt;&gt;0)*($C255=Table_dim_price_recipe[Subcategory]), 0))*$B255,"")</f>
        <v/>
      </c>
      <c r="L255" s="39" t="str" cm="1">
        <f t="array" ref="L255">IF($A255&lt;&gt;"", $A255, LOOKUP(2, 1/((A$7:INDEX(A:A, ROW()))&lt;&gt;""), A$7:INDEX(A:A, ROW())))</f>
        <v>TIE BEAMS</v>
      </c>
      <c r="M255" s="14"/>
    </row>
    <row r="256" spans="1:13">
      <c r="A256" s="263"/>
      <c r="B256" s="263"/>
      <c r="C256" s="263" t="s">
        <v>282</v>
      </c>
      <c r="D256" s="263" t="s">
        <v>281</v>
      </c>
      <c r="E256" s="263" t="s">
        <v>281</v>
      </c>
      <c r="F256" s="263"/>
      <c r="G256" s="39" cm="1">
        <f t="array" ref="G256">IFERROR(INDEX(Table_dim_price_recipe[Retail Price], MATCH(1, ("Calculator"&lt;&gt;Table_dim_price_recipe[Type.display])*($L256=Table_dim_price_recipe[Category])*($D256=Table_dim_price_recipe[Item Description]) * (G$6=Table_dim_price_recipe[Type])*(Table_dim_price_recipe[Retail Price]&lt;&gt;0)*($C256=Table_dim_price_recipe[Subcategory]), 0))*$B256,"")</f>
        <v>0</v>
      </c>
      <c r="H256" s="39" t="str" cm="1">
        <f t="array" ref="H256">IFERROR(INDEX(Table_dim_price_recipe[Retail Price], MATCH(1, ("Calculator"&lt;&gt;Table_dim_price_recipe[Type.display])*($L256=Table_dim_price_recipe[Category])*($D256=Table_dim_price_recipe[Item Description]) * (H$6=Table_dim_price_recipe[Type])*(Table_dim_price_recipe[Retail Price]&lt;&gt;0)*($C256=Table_dim_price_recipe[Subcategory]), 0))*$B256,"")</f>
        <v/>
      </c>
      <c r="I256" s="39" t="str" cm="1">
        <f t="array" ref="I256">IFERROR(INDEX(Table_dim_price_recipe[Retail Price], MATCH(1, ("Calculator"&lt;&gt;Table_dim_price_recipe[Type.display])*($L256=Table_dim_price_recipe[Category])*($D256=Table_dim_price_recipe[Item Description]) * (I$6=Table_dim_price_recipe[Type])*(Table_dim_price_recipe[Retail Price]&lt;&gt;0)*($C256=Table_dim_price_recipe[Subcategory]), 0))*$B256,"")</f>
        <v/>
      </c>
      <c r="J256" s="39" t="str" cm="1">
        <f t="array" ref="J256">IFERROR(INDEX(Table_dim_price_recipe[Retail Price], MATCH(1, ("Calculator"&lt;&gt;Table_dim_price_recipe[Type.display])*($L256=Table_dim_price_recipe[Category])*($D256=Table_dim_price_recipe[Item Description]) * (J$6=Table_dim_price_recipe[Type])*(Table_dim_price_recipe[Retail Price]&lt;&gt;0)*($C256=Table_dim_price_recipe[Subcategory]), 0))*$B256,"")</f>
        <v/>
      </c>
      <c r="K256" s="39" t="str" cm="1">
        <f t="array" ref="K256">IFERROR(INDEX(Table_dim_price_recipe[Retail Price], MATCH(1, ("Calculator"&lt;&gt;Table_dim_price_recipe[Type.display])*($L256=Table_dim_price_recipe[Category])*($D256=Table_dim_price_recipe[Item Description]) * (K$6=Table_dim_price_recipe[Type])*(Table_dim_price_recipe[Retail Price]&lt;&gt;0)*($C256=Table_dim_price_recipe[Subcategory]), 0))*$B256,"")</f>
        <v/>
      </c>
      <c r="L256" s="39" t="str" cm="1">
        <f t="array" ref="L256">IF($A256&lt;&gt;"", $A256, LOOKUP(2, 1/((A$7:INDEX(A:A, ROW()))&lt;&gt;""), A$7:INDEX(A:A, ROW())))</f>
        <v>TIE BEAMS</v>
      </c>
      <c r="M256" s="14"/>
    </row>
    <row r="257" spans="1:13">
      <c r="A257" s="263"/>
      <c r="B257" s="263"/>
      <c r="C257" s="263" t="s">
        <v>282</v>
      </c>
      <c r="D257" s="263" t="s">
        <v>274</v>
      </c>
      <c r="E257" s="263" t="s">
        <v>274</v>
      </c>
      <c r="F257" s="263"/>
      <c r="G257" s="39" cm="1">
        <f t="array" ref="G257">IFERROR(INDEX(Table_dim_price_recipe[Retail Price], MATCH(1, ("Calculator"&lt;&gt;Table_dim_price_recipe[Type.display])*($L257=Table_dim_price_recipe[Category])*($D257=Table_dim_price_recipe[Item Description]) * (G$6=Table_dim_price_recipe[Type])*(Table_dim_price_recipe[Retail Price]&lt;&gt;0)*($C257=Table_dim_price_recipe[Subcategory]), 0))*$B257,"")</f>
        <v>0</v>
      </c>
      <c r="H257" s="39" t="str" cm="1">
        <f t="array" ref="H257">IFERROR(INDEX(Table_dim_price_recipe[Retail Price], MATCH(1, ("Calculator"&lt;&gt;Table_dim_price_recipe[Type.display])*($L257=Table_dim_price_recipe[Category])*($D257=Table_dim_price_recipe[Item Description]) * (H$6=Table_dim_price_recipe[Type])*(Table_dim_price_recipe[Retail Price]&lt;&gt;0)*($C257=Table_dim_price_recipe[Subcategory]), 0))*$B257,"")</f>
        <v/>
      </c>
      <c r="I257" s="39" t="str" cm="1">
        <f t="array" ref="I257">IFERROR(INDEX(Table_dim_price_recipe[Retail Price], MATCH(1, ("Calculator"&lt;&gt;Table_dim_price_recipe[Type.display])*($L257=Table_dim_price_recipe[Category])*($D257=Table_dim_price_recipe[Item Description]) * (I$6=Table_dim_price_recipe[Type])*(Table_dim_price_recipe[Retail Price]&lt;&gt;0)*($C257=Table_dim_price_recipe[Subcategory]), 0))*$B257,"")</f>
        <v/>
      </c>
      <c r="J257" s="39" t="str" cm="1">
        <f t="array" ref="J257">IFERROR(INDEX(Table_dim_price_recipe[Retail Price], MATCH(1, ("Calculator"&lt;&gt;Table_dim_price_recipe[Type.display])*($L257=Table_dim_price_recipe[Category])*($D257=Table_dim_price_recipe[Item Description]) * (J$6=Table_dim_price_recipe[Type])*(Table_dim_price_recipe[Retail Price]&lt;&gt;0)*($C257=Table_dim_price_recipe[Subcategory]), 0))*$B257,"")</f>
        <v/>
      </c>
      <c r="K257" s="39" t="str" cm="1">
        <f t="array" ref="K257">IFERROR(INDEX(Table_dim_price_recipe[Retail Price], MATCH(1, ("Calculator"&lt;&gt;Table_dim_price_recipe[Type.display])*($L257=Table_dim_price_recipe[Category])*($D257=Table_dim_price_recipe[Item Description]) * (K$6=Table_dim_price_recipe[Type])*(Table_dim_price_recipe[Retail Price]&lt;&gt;0)*($C257=Table_dim_price_recipe[Subcategory]), 0))*$B257,"")</f>
        <v/>
      </c>
      <c r="L257" s="39" t="str" cm="1">
        <f t="array" ref="L257">IF($A257&lt;&gt;"", $A257, LOOKUP(2, 1/((A$7:INDEX(A:A, ROW()))&lt;&gt;""), A$7:INDEX(A:A, ROW())))</f>
        <v>TIE BEAMS</v>
      </c>
      <c r="M257" s="14"/>
    </row>
    <row r="258" spans="1:13">
      <c r="A258" s="263"/>
      <c r="B258" s="263"/>
      <c r="C258" s="263" t="s">
        <v>282</v>
      </c>
      <c r="D258" s="263" t="s">
        <v>283</v>
      </c>
      <c r="E258" s="263" t="s">
        <v>283</v>
      </c>
      <c r="F258" s="263"/>
      <c r="G258" s="39" cm="1">
        <f t="array" ref="G258">IFERROR(INDEX(Table_dim_price_recipe[Retail Price], MATCH(1, ("Calculator"&lt;&gt;Table_dim_price_recipe[Type.display])*($L258=Table_dim_price_recipe[Category])*($D258=Table_dim_price_recipe[Item Description]) * (G$6=Table_dim_price_recipe[Type])*(Table_dim_price_recipe[Retail Price]&lt;&gt;0)*($C258=Table_dim_price_recipe[Subcategory]), 0))*$B258,"")</f>
        <v>0</v>
      </c>
      <c r="H258" s="39" t="str" cm="1">
        <f t="array" ref="H258">IFERROR(INDEX(Table_dim_price_recipe[Retail Price], MATCH(1, ("Calculator"&lt;&gt;Table_dim_price_recipe[Type.display])*($L258=Table_dim_price_recipe[Category])*($D258=Table_dim_price_recipe[Item Description]) * (H$6=Table_dim_price_recipe[Type])*(Table_dim_price_recipe[Retail Price]&lt;&gt;0)*($C258=Table_dim_price_recipe[Subcategory]), 0))*$B258,"")</f>
        <v/>
      </c>
      <c r="I258" s="39" t="str" cm="1">
        <f t="array" ref="I258">IFERROR(INDEX(Table_dim_price_recipe[Retail Price], MATCH(1, ("Calculator"&lt;&gt;Table_dim_price_recipe[Type.display])*($L258=Table_dim_price_recipe[Category])*($D258=Table_dim_price_recipe[Item Description]) * (I$6=Table_dim_price_recipe[Type])*(Table_dim_price_recipe[Retail Price]&lt;&gt;0)*($C258=Table_dim_price_recipe[Subcategory]), 0))*$B258,"")</f>
        <v/>
      </c>
      <c r="J258" s="39" t="str" cm="1">
        <f t="array" ref="J258">IFERROR(INDEX(Table_dim_price_recipe[Retail Price], MATCH(1, ("Calculator"&lt;&gt;Table_dim_price_recipe[Type.display])*($L258=Table_dim_price_recipe[Category])*($D258=Table_dim_price_recipe[Item Description]) * (J$6=Table_dim_price_recipe[Type])*(Table_dim_price_recipe[Retail Price]&lt;&gt;0)*($C258=Table_dim_price_recipe[Subcategory]), 0))*$B258,"")</f>
        <v/>
      </c>
      <c r="K258" s="39" t="str" cm="1">
        <f t="array" ref="K258">IFERROR(INDEX(Table_dim_price_recipe[Retail Price], MATCH(1, ("Calculator"&lt;&gt;Table_dim_price_recipe[Type.display])*($L258=Table_dim_price_recipe[Category])*($D258=Table_dim_price_recipe[Item Description]) * (K$6=Table_dim_price_recipe[Type])*(Table_dim_price_recipe[Retail Price]&lt;&gt;0)*($C258=Table_dim_price_recipe[Subcategory]), 0))*$B258,"")</f>
        <v/>
      </c>
      <c r="L258" s="39" t="str" cm="1">
        <f t="array" ref="L258">IF($A258&lt;&gt;"", $A258, LOOKUP(2, 1/((A$7:INDEX(A:A, ROW()))&lt;&gt;""), A$7:INDEX(A:A, ROW())))</f>
        <v>TIE BEAMS</v>
      </c>
      <c r="M258" s="14"/>
    </row>
    <row r="259" spans="1:13">
      <c r="A259" s="263"/>
      <c r="B259" s="263"/>
      <c r="C259" s="263" t="s">
        <v>282</v>
      </c>
      <c r="D259" s="263" t="s">
        <v>273</v>
      </c>
      <c r="E259" s="263" t="s">
        <v>273</v>
      </c>
      <c r="F259" s="263"/>
      <c r="G259" s="39" cm="1">
        <f t="array" ref="G259">IFERROR(INDEX(Table_dim_price_recipe[Retail Price], MATCH(1, ("Calculator"&lt;&gt;Table_dim_price_recipe[Type.display])*($L259=Table_dim_price_recipe[Category])*($D259=Table_dim_price_recipe[Item Description]) * (G$6=Table_dim_price_recipe[Type])*(Table_dim_price_recipe[Retail Price]&lt;&gt;0)*($C259=Table_dim_price_recipe[Subcategory]), 0))*$B259,"")</f>
        <v>0</v>
      </c>
      <c r="H259" s="39" t="str" cm="1">
        <f t="array" ref="H259">IFERROR(INDEX(Table_dim_price_recipe[Retail Price], MATCH(1, ("Calculator"&lt;&gt;Table_dim_price_recipe[Type.display])*($L259=Table_dim_price_recipe[Category])*($D259=Table_dim_price_recipe[Item Description]) * (H$6=Table_dim_price_recipe[Type])*(Table_dim_price_recipe[Retail Price]&lt;&gt;0)*($C259=Table_dim_price_recipe[Subcategory]), 0))*$B259,"")</f>
        <v/>
      </c>
      <c r="I259" s="39" t="str" cm="1">
        <f t="array" ref="I259">IFERROR(INDEX(Table_dim_price_recipe[Retail Price], MATCH(1, ("Calculator"&lt;&gt;Table_dim_price_recipe[Type.display])*($L259=Table_dim_price_recipe[Category])*($D259=Table_dim_price_recipe[Item Description]) * (I$6=Table_dim_price_recipe[Type])*(Table_dim_price_recipe[Retail Price]&lt;&gt;0)*($C259=Table_dim_price_recipe[Subcategory]), 0))*$B259,"")</f>
        <v/>
      </c>
      <c r="J259" s="39" t="str" cm="1">
        <f t="array" ref="J259">IFERROR(INDEX(Table_dim_price_recipe[Retail Price], MATCH(1, ("Calculator"&lt;&gt;Table_dim_price_recipe[Type.display])*($L259=Table_dim_price_recipe[Category])*($D259=Table_dim_price_recipe[Item Description]) * (J$6=Table_dim_price_recipe[Type])*(Table_dim_price_recipe[Retail Price]&lt;&gt;0)*($C259=Table_dim_price_recipe[Subcategory]), 0))*$B259,"")</f>
        <v/>
      </c>
      <c r="K259" s="39" t="str" cm="1">
        <f t="array" ref="K259">IFERROR(INDEX(Table_dim_price_recipe[Retail Price], MATCH(1, ("Calculator"&lt;&gt;Table_dim_price_recipe[Type.display])*($L259=Table_dim_price_recipe[Category])*($D259=Table_dim_price_recipe[Item Description]) * (K$6=Table_dim_price_recipe[Type])*(Table_dim_price_recipe[Retail Price]&lt;&gt;0)*($C259=Table_dim_price_recipe[Subcategory]), 0))*$B259,"")</f>
        <v/>
      </c>
      <c r="L259" s="39" t="str" cm="1">
        <f t="array" ref="L259">IF($A259&lt;&gt;"", $A259, LOOKUP(2, 1/((A$7:INDEX(A:A, ROW()))&lt;&gt;""), A$7:INDEX(A:A, ROW())))</f>
        <v>TIE BEAMS</v>
      </c>
      <c r="M259" s="14"/>
    </row>
    <row r="260" spans="1:13">
      <c r="A260" s="263"/>
      <c r="B260" s="263"/>
      <c r="C260" s="263" t="s">
        <v>282</v>
      </c>
      <c r="D260" s="263" t="s">
        <v>287</v>
      </c>
      <c r="E260" s="263" t="s">
        <v>287</v>
      </c>
      <c r="F260" s="263"/>
      <c r="G260" s="39" cm="1">
        <f t="array" ref="G260">IFERROR(INDEX(Table_dim_price_recipe[Retail Price], MATCH(1, ("Calculator"&lt;&gt;Table_dim_price_recipe[Type.display])*($L260=Table_dim_price_recipe[Category])*($D260=Table_dim_price_recipe[Item Description]) * (G$6=Table_dim_price_recipe[Type])*(Table_dim_price_recipe[Retail Price]&lt;&gt;0)*($C260=Table_dim_price_recipe[Subcategory]), 0))*$B260,"")</f>
        <v>0</v>
      </c>
      <c r="H260" s="39" t="str" cm="1">
        <f t="array" ref="H260">IFERROR(INDEX(Table_dim_price_recipe[Retail Price], MATCH(1, ("Calculator"&lt;&gt;Table_dim_price_recipe[Type.display])*($L260=Table_dim_price_recipe[Category])*($D260=Table_dim_price_recipe[Item Description]) * (H$6=Table_dim_price_recipe[Type])*(Table_dim_price_recipe[Retail Price]&lt;&gt;0)*($C260=Table_dim_price_recipe[Subcategory]), 0))*$B260,"")</f>
        <v/>
      </c>
      <c r="I260" s="39" t="str" cm="1">
        <f t="array" ref="I260">IFERROR(INDEX(Table_dim_price_recipe[Retail Price], MATCH(1, ("Calculator"&lt;&gt;Table_dim_price_recipe[Type.display])*($L260=Table_dim_price_recipe[Category])*($D260=Table_dim_price_recipe[Item Description]) * (I$6=Table_dim_price_recipe[Type])*(Table_dim_price_recipe[Retail Price]&lt;&gt;0)*($C260=Table_dim_price_recipe[Subcategory]), 0))*$B260,"")</f>
        <v/>
      </c>
      <c r="J260" s="39" t="str" cm="1">
        <f t="array" ref="J260">IFERROR(INDEX(Table_dim_price_recipe[Retail Price], MATCH(1, ("Calculator"&lt;&gt;Table_dim_price_recipe[Type.display])*($L260=Table_dim_price_recipe[Category])*($D260=Table_dim_price_recipe[Item Description]) * (J$6=Table_dim_price_recipe[Type])*(Table_dim_price_recipe[Retail Price]&lt;&gt;0)*($C260=Table_dim_price_recipe[Subcategory]), 0))*$B260,"")</f>
        <v/>
      </c>
      <c r="K260" s="39" t="str" cm="1">
        <f t="array" ref="K260">IFERROR(INDEX(Table_dim_price_recipe[Retail Price], MATCH(1, ("Calculator"&lt;&gt;Table_dim_price_recipe[Type.display])*($L260=Table_dim_price_recipe[Category])*($D260=Table_dim_price_recipe[Item Description]) * (K$6=Table_dim_price_recipe[Type])*(Table_dim_price_recipe[Retail Price]&lt;&gt;0)*($C260=Table_dim_price_recipe[Subcategory]), 0))*$B260,"")</f>
        <v/>
      </c>
      <c r="L260" s="39" t="str" cm="1">
        <f t="array" ref="L260">IF($A260&lt;&gt;"", $A260, LOOKUP(2, 1/((A$7:INDEX(A:A, ROW()))&lt;&gt;""), A$7:INDEX(A:A, ROW())))</f>
        <v>TIE BEAMS</v>
      </c>
      <c r="M260" s="14"/>
    </row>
    <row r="261" spans="1:13">
      <c r="A261" s="263"/>
      <c r="B261" s="263"/>
      <c r="C261" s="263" t="s">
        <v>282</v>
      </c>
      <c r="D261" s="263" t="s">
        <v>286</v>
      </c>
      <c r="E261" s="263" t="s">
        <v>286</v>
      </c>
      <c r="F261" s="263"/>
      <c r="G261" s="39" cm="1">
        <f t="array" ref="G261">IFERROR(INDEX(Table_dim_price_recipe[Retail Price], MATCH(1, ("Calculator"&lt;&gt;Table_dim_price_recipe[Type.display])*($L261=Table_dim_price_recipe[Category])*($D261=Table_dim_price_recipe[Item Description]) * (G$6=Table_dim_price_recipe[Type])*(Table_dim_price_recipe[Retail Price]&lt;&gt;0)*($C261=Table_dim_price_recipe[Subcategory]), 0))*$B261,"")</f>
        <v>0</v>
      </c>
      <c r="H261" s="39" t="str" cm="1">
        <f t="array" ref="H261">IFERROR(INDEX(Table_dim_price_recipe[Retail Price], MATCH(1, ("Calculator"&lt;&gt;Table_dim_price_recipe[Type.display])*($L261=Table_dim_price_recipe[Category])*($D261=Table_dim_price_recipe[Item Description]) * (H$6=Table_dim_price_recipe[Type])*(Table_dim_price_recipe[Retail Price]&lt;&gt;0)*($C261=Table_dim_price_recipe[Subcategory]), 0))*$B261,"")</f>
        <v/>
      </c>
      <c r="I261" s="39" t="str" cm="1">
        <f t="array" ref="I261">IFERROR(INDEX(Table_dim_price_recipe[Retail Price], MATCH(1, ("Calculator"&lt;&gt;Table_dim_price_recipe[Type.display])*($L261=Table_dim_price_recipe[Category])*($D261=Table_dim_price_recipe[Item Description]) * (I$6=Table_dim_price_recipe[Type])*(Table_dim_price_recipe[Retail Price]&lt;&gt;0)*($C261=Table_dim_price_recipe[Subcategory]), 0))*$B261,"")</f>
        <v/>
      </c>
      <c r="J261" s="39" t="str" cm="1">
        <f t="array" ref="J261">IFERROR(INDEX(Table_dim_price_recipe[Retail Price], MATCH(1, ("Calculator"&lt;&gt;Table_dim_price_recipe[Type.display])*($L261=Table_dim_price_recipe[Category])*($D261=Table_dim_price_recipe[Item Description]) * (J$6=Table_dim_price_recipe[Type])*(Table_dim_price_recipe[Retail Price]&lt;&gt;0)*($C261=Table_dim_price_recipe[Subcategory]), 0))*$B261,"")</f>
        <v/>
      </c>
      <c r="K261" s="39" t="str" cm="1">
        <f t="array" ref="K261">IFERROR(INDEX(Table_dim_price_recipe[Retail Price], MATCH(1, ("Calculator"&lt;&gt;Table_dim_price_recipe[Type.display])*($L261=Table_dim_price_recipe[Category])*($D261=Table_dim_price_recipe[Item Description]) * (K$6=Table_dim_price_recipe[Type])*(Table_dim_price_recipe[Retail Price]&lt;&gt;0)*($C261=Table_dim_price_recipe[Subcategory]), 0))*$B261,"")</f>
        <v/>
      </c>
      <c r="L261" s="39" t="str" cm="1">
        <f t="array" ref="L261">IF($A261&lt;&gt;"", $A261, LOOKUP(2, 1/((A$7:INDEX(A:A, ROW()))&lt;&gt;""), A$7:INDEX(A:A, ROW())))</f>
        <v>TIE BEAMS</v>
      </c>
      <c r="M261" s="14"/>
    </row>
    <row r="262" spans="1:13">
      <c r="A262" s="263"/>
      <c r="B262" s="263"/>
      <c r="C262" s="263" t="s">
        <v>282</v>
      </c>
      <c r="D262" s="263" t="s">
        <v>285</v>
      </c>
      <c r="E262" s="263" t="s">
        <v>285</v>
      </c>
      <c r="F262" s="263"/>
      <c r="G262" s="39" cm="1">
        <f t="array" ref="G262">IFERROR(INDEX(Table_dim_price_recipe[Retail Price], MATCH(1, ("Calculator"&lt;&gt;Table_dim_price_recipe[Type.display])*($L262=Table_dim_price_recipe[Category])*($D262=Table_dim_price_recipe[Item Description]) * (G$6=Table_dim_price_recipe[Type])*(Table_dim_price_recipe[Retail Price]&lt;&gt;0)*($C262=Table_dim_price_recipe[Subcategory]), 0))*$B262,"")</f>
        <v>0</v>
      </c>
      <c r="H262" s="39" t="str" cm="1">
        <f t="array" ref="H262">IFERROR(INDEX(Table_dim_price_recipe[Retail Price], MATCH(1, ("Calculator"&lt;&gt;Table_dim_price_recipe[Type.display])*($L262=Table_dim_price_recipe[Category])*($D262=Table_dim_price_recipe[Item Description]) * (H$6=Table_dim_price_recipe[Type])*(Table_dim_price_recipe[Retail Price]&lt;&gt;0)*($C262=Table_dim_price_recipe[Subcategory]), 0))*$B262,"")</f>
        <v/>
      </c>
      <c r="I262" s="39" t="str" cm="1">
        <f t="array" ref="I262">IFERROR(INDEX(Table_dim_price_recipe[Retail Price], MATCH(1, ("Calculator"&lt;&gt;Table_dim_price_recipe[Type.display])*($L262=Table_dim_price_recipe[Category])*($D262=Table_dim_price_recipe[Item Description]) * (I$6=Table_dim_price_recipe[Type])*(Table_dim_price_recipe[Retail Price]&lt;&gt;0)*($C262=Table_dim_price_recipe[Subcategory]), 0))*$B262,"")</f>
        <v/>
      </c>
      <c r="J262" s="39" t="str" cm="1">
        <f t="array" ref="J262">IFERROR(INDEX(Table_dim_price_recipe[Retail Price], MATCH(1, ("Calculator"&lt;&gt;Table_dim_price_recipe[Type.display])*($L262=Table_dim_price_recipe[Category])*($D262=Table_dim_price_recipe[Item Description]) * (J$6=Table_dim_price_recipe[Type])*(Table_dim_price_recipe[Retail Price]&lt;&gt;0)*($C262=Table_dim_price_recipe[Subcategory]), 0))*$B262,"")</f>
        <v/>
      </c>
      <c r="K262" s="39" t="str" cm="1">
        <f t="array" ref="K262">IFERROR(INDEX(Table_dim_price_recipe[Retail Price], MATCH(1, ("Calculator"&lt;&gt;Table_dim_price_recipe[Type.display])*($L262=Table_dim_price_recipe[Category])*($D262=Table_dim_price_recipe[Item Description]) * (K$6=Table_dim_price_recipe[Type])*(Table_dim_price_recipe[Retail Price]&lt;&gt;0)*($C262=Table_dim_price_recipe[Subcategory]), 0))*$B262,"")</f>
        <v/>
      </c>
      <c r="L262" s="39" t="str" cm="1">
        <f t="array" ref="L262">IF($A262&lt;&gt;"", $A262, LOOKUP(2, 1/((A$7:INDEX(A:A, ROW()))&lt;&gt;""), A$7:INDEX(A:A, ROW())))</f>
        <v>TIE BEAMS</v>
      </c>
      <c r="M262" s="14"/>
    </row>
    <row r="263" spans="1:13">
      <c r="A263" s="263"/>
      <c r="B263" s="263"/>
      <c r="C263" s="263" t="s">
        <v>282</v>
      </c>
      <c r="D263" s="263" t="s">
        <v>284</v>
      </c>
      <c r="E263" s="263" t="s">
        <v>284</v>
      </c>
      <c r="F263" s="263"/>
      <c r="G263" s="39" cm="1">
        <f t="array" ref="G263">IFERROR(INDEX(Table_dim_price_recipe[Retail Price], MATCH(1, ("Calculator"&lt;&gt;Table_dim_price_recipe[Type.display])*($L263=Table_dim_price_recipe[Category])*($D263=Table_dim_price_recipe[Item Description]) * (G$6=Table_dim_price_recipe[Type])*(Table_dim_price_recipe[Retail Price]&lt;&gt;0)*($C263=Table_dim_price_recipe[Subcategory]), 0))*$B263,"")</f>
        <v>0</v>
      </c>
      <c r="H263" s="39" t="str" cm="1">
        <f t="array" ref="H263">IFERROR(INDEX(Table_dim_price_recipe[Retail Price], MATCH(1, ("Calculator"&lt;&gt;Table_dim_price_recipe[Type.display])*($L263=Table_dim_price_recipe[Category])*($D263=Table_dim_price_recipe[Item Description]) * (H$6=Table_dim_price_recipe[Type])*(Table_dim_price_recipe[Retail Price]&lt;&gt;0)*($C263=Table_dim_price_recipe[Subcategory]), 0))*$B263,"")</f>
        <v/>
      </c>
      <c r="I263" s="39" t="str" cm="1">
        <f t="array" ref="I263">IFERROR(INDEX(Table_dim_price_recipe[Retail Price], MATCH(1, ("Calculator"&lt;&gt;Table_dim_price_recipe[Type.display])*($L263=Table_dim_price_recipe[Category])*($D263=Table_dim_price_recipe[Item Description]) * (I$6=Table_dim_price_recipe[Type])*(Table_dim_price_recipe[Retail Price]&lt;&gt;0)*($C263=Table_dim_price_recipe[Subcategory]), 0))*$B263,"")</f>
        <v/>
      </c>
      <c r="J263" s="39" t="str" cm="1">
        <f t="array" ref="J263">IFERROR(INDEX(Table_dim_price_recipe[Retail Price], MATCH(1, ("Calculator"&lt;&gt;Table_dim_price_recipe[Type.display])*($L263=Table_dim_price_recipe[Category])*($D263=Table_dim_price_recipe[Item Description]) * (J$6=Table_dim_price_recipe[Type])*(Table_dim_price_recipe[Retail Price]&lt;&gt;0)*($C263=Table_dim_price_recipe[Subcategory]), 0))*$B263,"")</f>
        <v/>
      </c>
      <c r="K263" s="39" t="str" cm="1">
        <f t="array" ref="K263">IFERROR(INDEX(Table_dim_price_recipe[Retail Price], MATCH(1, ("Calculator"&lt;&gt;Table_dim_price_recipe[Type.display])*($L263=Table_dim_price_recipe[Category])*($D263=Table_dim_price_recipe[Item Description]) * (K$6=Table_dim_price_recipe[Type])*(Table_dim_price_recipe[Retail Price]&lt;&gt;0)*($C263=Table_dim_price_recipe[Subcategory]), 0))*$B263,"")</f>
        <v/>
      </c>
      <c r="L263" s="39" t="str" cm="1">
        <f t="array" ref="L263">IF($A263&lt;&gt;"", $A263, LOOKUP(2, 1/((A$7:INDEX(A:A, ROW()))&lt;&gt;""), A$7:INDEX(A:A, ROW())))</f>
        <v>TIE BEAMS</v>
      </c>
      <c r="M263" s="14"/>
    </row>
    <row r="264" spans="1:13">
      <c r="A264" s="263"/>
      <c r="B264" s="263"/>
      <c r="C264" s="263" t="s">
        <v>282</v>
      </c>
      <c r="D264" s="263" t="s">
        <v>277</v>
      </c>
      <c r="E264" s="263" t="s">
        <v>277</v>
      </c>
      <c r="F264" s="263"/>
      <c r="G264" s="39" cm="1">
        <f t="array" ref="G264">IFERROR(INDEX(Table_dim_price_recipe[Retail Price], MATCH(1, ("Calculator"&lt;&gt;Table_dim_price_recipe[Type.display])*($L264=Table_dim_price_recipe[Category])*($D264=Table_dim_price_recipe[Item Description]) * (G$6=Table_dim_price_recipe[Type])*(Table_dim_price_recipe[Retail Price]&lt;&gt;0)*($C264=Table_dim_price_recipe[Subcategory]), 0))*$B264,"")</f>
        <v>0</v>
      </c>
      <c r="H264" s="39" t="str" cm="1">
        <f t="array" ref="H264">IFERROR(INDEX(Table_dim_price_recipe[Retail Price], MATCH(1, ("Calculator"&lt;&gt;Table_dim_price_recipe[Type.display])*($L264=Table_dim_price_recipe[Category])*($D264=Table_dim_price_recipe[Item Description]) * (H$6=Table_dim_price_recipe[Type])*(Table_dim_price_recipe[Retail Price]&lt;&gt;0)*($C264=Table_dim_price_recipe[Subcategory]), 0))*$B264,"")</f>
        <v/>
      </c>
      <c r="I264" s="39" t="str" cm="1">
        <f t="array" ref="I264">IFERROR(INDEX(Table_dim_price_recipe[Retail Price], MATCH(1, ("Calculator"&lt;&gt;Table_dim_price_recipe[Type.display])*($L264=Table_dim_price_recipe[Category])*($D264=Table_dim_price_recipe[Item Description]) * (I$6=Table_dim_price_recipe[Type])*(Table_dim_price_recipe[Retail Price]&lt;&gt;0)*($C264=Table_dim_price_recipe[Subcategory]), 0))*$B264,"")</f>
        <v/>
      </c>
      <c r="J264" s="39" t="str" cm="1">
        <f t="array" ref="J264">IFERROR(INDEX(Table_dim_price_recipe[Retail Price], MATCH(1, ("Calculator"&lt;&gt;Table_dim_price_recipe[Type.display])*($L264=Table_dim_price_recipe[Category])*($D264=Table_dim_price_recipe[Item Description]) * (J$6=Table_dim_price_recipe[Type])*(Table_dim_price_recipe[Retail Price]&lt;&gt;0)*($C264=Table_dim_price_recipe[Subcategory]), 0))*$B264,"")</f>
        <v/>
      </c>
      <c r="K264" s="39" t="str" cm="1">
        <f t="array" ref="K264">IFERROR(INDEX(Table_dim_price_recipe[Retail Price], MATCH(1, ("Calculator"&lt;&gt;Table_dim_price_recipe[Type.display])*($L264=Table_dim_price_recipe[Category])*($D264=Table_dim_price_recipe[Item Description]) * (K$6=Table_dim_price_recipe[Type])*(Table_dim_price_recipe[Retail Price]&lt;&gt;0)*($C264=Table_dim_price_recipe[Subcategory]), 0))*$B264,"")</f>
        <v/>
      </c>
      <c r="L264" s="39" t="str" cm="1">
        <f t="array" ref="L264">IF($A264&lt;&gt;"", $A264, LOOKUP(2, 1/((A$7:INDEX(A:A, ROW()))&lt;&gt;""), A$7:INDEX(A:A, ROW())))</f>
        <v>TIE BEAMS</v>
      </c>
      <c r="M264" s="14"/>
    </row>
    <row r="265" spans="1:13">
      <c r="A265" s="263"/>
      <c r="B265" s="263"/>
      <c r="C265" s="263" t="s">
        <v>282</v>
      </c>
      <c r="D265" s="263" t="s">
        <v>276</v>
      </c>
      <c r="E265" s="263" t="s">
        <v>276</v>
      </c>
      <c r="F265" s="263"/>
      <c r="G265" s="39" cm="1">
        <f t="array" ref="G265">IFERROR(INDEX(Table_dim_price_recipe[Retail Price], MATCH(1, ("Calculator"&lt;&gt;Table_dim_price_recipe[Type.display])*($L265=Table_dim_price_recipe[Category])*($D265=Table_dim_price_recipe[Item Description]) * (G$6=Table_dim_price_recipe[Type])*(Table_dim_price_recipe[Retail Price]&lt;&gt;0)*($C265=Table_dim_price_recipe[Subcategory]), 0))*$B265,"")</f>
        <v>0</v>
      </c>
      <c r="H265" s="39" t="str" cm="1">
        <f t="array" ref="H265">IFERROR(INDEX(Table_dim_price_recipe[Retail Price], MATCH(1, ("Calculator"&lt;&gt;Table_dim_price_recipe[Type.display])*($L265=Table_dim_price_recipe[Category])*($D265=Table_dim_price_recipe[Item Description]) * (H$6=Table_dim_price_recipe[Type])*(Table_dim_price_recipe[Retail Price]&lt;&gt;0)*($C265=Table_dim_price_recipe[Subcategory]), 0))*$B265,"")</f>
        <v/>
      </c>
      <c r="I265" s="39" t="str" cm="1">
        <f t="array" ref="I265">IFERROR(INDEX(Table_dim_price_recipe[Retail Price], MATCH(1, ("Calculator"&lt;&gt;Table_dim_price_recipe[Type.display])*($L265=Table_dim_price_recipe[Category])*($D265=Table_dim_price_recipe[Item Description]) * (I$6=Table_dim_price_recipe[Type])*(Table_dim_price_recipe[Retail Price]&lt;&gt;0)*($C265=Table_dim_price_recipe[Subcategory]), 0))*$B265,"")</f>
        <v/>
      </c>
      <c r="J265" s="39" t="str" cm="1">
        <f t="array" ref="J265">IFERROR(INDEX(Table_dim_price_recipe[Retail Price], MATCH(1, ("Calculator"&lt;&gt;Table_dim_price_recipe[Type.display])*($L265=Table_dim_price_recipe[Category])*($D265=Table_dim_price_recipe[Item Description]) * (J$6=Table_dim_price_recipe[Type])*(Table_dim_price_recipe[Retail Price]&lt;&gt;0)*($C265=Table_dim_price_recipe[Subcategory]), 0))*$B265,"")</f>
        <v/>
      </c>
      <c r="K265" s="39" t="str" cm="1">
        <f t="array" ref="K265">IFERROR(INDEX(Table_dim_price_recipe[Retail Price], MATCH(1, ("Calculator"&lt;&gt;Table_dim_price_recipe[Type.display])*($L265=Table_dim_price_recipe[Category])*($D265=Table_dim_price_recipe[Item Description]) * (K$6=Table_dim_price_recipe[Type])*(Table_dim_price_recipe[Retail Price]&lt;&gt;0)*($C265=Table_dim_price_recipe[Subcategory]), 0))*$B265,"")</f>
        <v/>
      </c>
      <c r="L265" s="39" t="str" cm="1">
        <f t="array" ref="L265">IF($A265&lt;&gt;"", $A265, LOOKUP(2, 1/((A$7:INDEX(A:A, ROW()))&lt;&gt;""), A$7:INDEX(A:A, ROW())))</f>
        <v>TIE BEAMS</v>
      </c>
      <c r="M265" s="14"/>
    </row>
    <row r="266" spans="1:13">
      <c r="A266" s="263"/>
      <c r="B266" s="263"/>
      <c r="C266" s="263" t="s">
        <v>282</v>
      </c>
      <c r="D266" s="263" t="s">
        <v>280</v>
      </c>
      <c r="E266" s="263" t="s">
        <v>280</v>
      </c>
      <c r="F266" s="263"/>
      <c r="G266" s="39" cm="1">
        <f t="array" ref="G266">IFERROR(INDEX(Table_dim_price_recipe[Retail Price], MATCH(1, ("Calculator"&lt;&gt;Table_dim_price_recipe[Type.display])*($L266=Table_dim_price_recipe[Category])*($D266=Table_dim_price_recipe[Item Description]) * (G$6=Table_dim_price_recipe[Type])*(Table_dim_price_recipe[Retail Price]&lt;&gt;0)*($C266=Table_dim_price_recipe[Subcategory]), 0))*$B266,"")</f>
        <v>0</v>
      </c>
      <c r="H266" s="39" t="str" cm="1">
        <f t="array" ref="H266">IFERROR(INDEX(Table_dim_price_recipe[Retail Price], MATCH(1, ("Calculator"&lt;&gt;Table_dim_price_recipe[Type.display])*($L266=Table_dim_price_recipe[Category])*($D266=Table_dim_price_recipe[Item Description]) * (H$6=Table_dim_price_recipe[Type])*(Table_dim_price_recipe[Retail Price]&lt;&gt;0)*($C266=Table_dim_price_recipe[Subcategory]), 0))*$B266,"")</f>
        <v/>
      </c>
      <c r="I266" s="39" t="str" cm="1">
        <f t="array" ref="I266">IFERROR(INDEX(Table_dim_price_recipe[Retail Price], MATCH(1, ("Calculator"&lt;&gt;Table_dim_price_recipe[Type.display])*($L266=Table_dim_price_recipe[Category])*($D266=Table_dim_price_recipe[Item Description]) * (I$6=Table_dim_price_recipe[Type])*(Table_dim_price_recipe[Retail Price]&lt;&gt;0)*($C266=Table_dim_price_recipe[Subcategory]), 0))*$B266,"")</f>
        <v/>
      </c>
      <c r="J266" s="39" t="str" cm="1">
        <f t="array" ref="J266">IFERROR(INDEX(Table_dim_price_recipe[Retail Price], MATCH(1, ("Calculator"&lt;&gt;Table_dim_price_recipe[Type.display])*($L266=Table_dim_price_recipe[Category])*($D266=Table_dim_price_recipe[Item Description]) * (J$6=Table_dim_price_recipe[Type])*(Table_dim_price_recipe[Retail Price]&lt;&gt;0)*($C266=Table_dim_price_recipe[Subcategory]), 0))*$B266,"")</f>
        <v/>
      </c>
      <c r="K266" s="39" t="str" cm="1">
        <f t="array" ref="K266">IFERROR(INDEX(Table_dim_price_recipe[Retail Price], MATCH(1, ("Calculator"&lt;&gt;Table_dim_price_recipe[Type.display])*($L266=Table_dim_price_recipe[Category])*($D266=Table_dim_price_recipe[Item Description]) * (K$6=Table_dim_price_recipe[Type])*(Table_dim_price_recipe[Retail Price]&lt;&gt;0)*($C266=Table_dim_price_recipe[Subcategory]), 0))*$B266,"")</f>
        <v/>
      </c>
      <c r="L266" s="39" t="str" cm="1">
        <f t="array" ref="L266">IF($A266&lt;&gt;"", $A266, LOOKUP(2, 1/((A$7:INDEX(A:A, ROW()))&lt;&gt;""), A$7:INDEX(A:A, ROW())))</f>
        <v>TIE BEAMS</v>
      </c>
      <c r="M266" s="14"/>
    </row>
    <row r="267" spans="1:13">
      <c r="A267" s="263"/>
      <c r="B267" s="263"/>
      <c r="C267" s="263" t="s">
        <v>282</v>
      </c>
      <c r="D267" s="263"/>
      <c r="E267" s="263"/>
      <c r="F267" s="263"/>
      <c r="G267" s="39" t="str" cm="1">
        <f t="array" ref="G267">IFERROR(INDEX(Table_dim_price_recipe[Retail Price], MATCH(1, ("Calculator"&lt;&gt;Table_dim_price_recipe[Type.display])*($L267=Table_dim_price_recipe[Category])*($D267=Table_dim_price_recipe[Item Description]) * (G$6=Table_dim_price_recipe[Type])*(Table_dim_price_recipe[Retail Price]&lt;&gt;0)*($C267=Table_dim_price_recipe[Subcategory]), 0))*$B267,"")</f>
        <v/>
      </c>
      <c r="H267" s="39" t="str" cm="1">
        <f t="array" ref="H267">IFERROR(INDEX(Table_dim_price_recipe[Retail Price], MATCH(1, ("Calculator"&lt;&gt;Table_dim_price_recipe[Type.display])*($L267=Table_dim_price_recipe[Category])*($D267=Table_dim_price_recipe[Item Description]) * (H$6=Table_dim_price_recipe[Type])*(Table_dim_price_recipe[Retail Price]&lt;&gt;0)*($C267=Table_dim_price_recipe[Subcategory]), 0))*$B267,"")</f>
        <v/>
      </c>
      <c r="I267" s="39" t="str" cm="1">
        <f t="array" ref="I267">IFERROR(INDEX(Table_dim_price_recipe[Retail Price], MATCH(1, ("Calculator"&lt;&gt;Table_dim_price_recipe[Type.display])*($L267=Table_dim_price_recipe[Category])*($D267=Table_dim_price_recipe[Item Description]) * (I$6=Table_dim_price_recipe[Type])*(Table_dim_price_recipe[Retail Price]&lt;&gt;0)*($C267=Table_dim_price_recipe[Subcategory]), 0))*$B267,"")</f>
        <v/>
      </c>
      <c r="J267" s="39" t="str" cm="1">
        <f t="array" ref="J267">IFERROR(INDEX(Table_dim_price_recipe[Retail Price], MATCH(1, ("Calculator"&lt;&gt;Table_dim_price_recipe[Type.display])*($L267=Table_dim_price_recipe[Category])*($D267=Table_dim_price_recipe[Item Description]) * (J$6=Table_dim_price_recipe[Type])*(Table_dim_price_recipe[Retail Price]&lt;&gt;0)*($C267=Table_dim_price_recipe[Subcategory]), 0))*$B267,"")</f>
        <v/>
      </c>
      <c r="K267" s="39" t="str" cm="1">
        <f t="array" ref="K267">IFERROR(INDEX(Table_dim_price_recipe[Retail Price], MATCH(1, ("Calculator"&lt;&gt;Table_dim_price_recipe[Type.display])*($L267=Table_dim_price_recipe[Category])*($D267=Table_dim_price_recipe[Item Description]) * (K$6=Table_dim_price_recipe[Type])*(Table_dim_price_recipe[Retail Price]&lt;&gt;0)*($C267=Table_dim_price_recipe[Subcategory]), 0))*$B267,"")</f>
        <v/>
      </c>
      <c r="L267" s="39" t="str" cm="1">
        <f t="array" ref="L267">IF($A267&lt;&gt;"", $A267, LOOKUP(2, 1/((A$7:INDEX(A:A, ROW()))&lt;&gt;""), A$7:INDEX(A:A, ROW())))</f>
        <v>TIE BEAMS</v>
      </c>
      <c r="M267" s="14"/>
    </row>
    <row r="268" spans="1:13">
      <c r="A268" s="263"/>
      <c r="B268" s="263"/>
      <c r="C268" s="263" t="s">
        <v>282</v>
      </c>
      <c r="D268" s="263"/>
      <c r="E268" s="263"/>
      <c r="F268" s="263"/>
      <c r="G268" s="39" t="str" cm="1">
        <f t="array" ref="G268">IFERROR(INDEX(Table_dim_price_recipe[Retail Price], MATCH(1, ("Calculator"&lt;&gt;Table_dim_price_recipe[Type.display])*($L268=Table_dim_price_recipe[Category])*($D268=Table_dim_price_recipe[Item Description]) * (G$6=Table_dim_price_recipe[Type])*(Table_dim_price_recipe[Retail Price]&lt;&gt;0)*($C268=Table_dim_price_recipe[Subcategory]), 0))*$B268,"")</f>
        <v/>
      </c>
      <c r="H268" s="39" t="str" cm="1">
        <f t="array" ref="H268">IFERROR(INDEX(Table_dim_price_recipe[Retail Price], MATCH(1, ("Calculator"&lt;&gt;Table_dim_price_recipe[Type.display])*($L268=Table_dim_price_recipe[Category])*($D268=Table_dim_price_recipe[Item Description]) * (H$6=Table_dim_price_recipe[Type])*(Table_dim_price_recipe[Retail Price]&lt;&gt;0)*($C268=Table_dim_price_recipe[Subcategory]), 0))*$B268,"")</f>
        <v/>
      </c>
      <c r="I268" s="39" t="str" cm="1">
        <f t="array" ref="I268">IFERROR(INDEX(Table_dim_price_recipe[Retail Price], MATCH(1, ("Calculator"&lt;&gt;Table_dim_price_recipe[Type.display])*($L268=Table_dim_price_recipe[Category])*($D268=Table_dim_price_recipe[Item Description]) * (I$6=Table_dim_price_recipe[Type])*(Table_dim_price_recipe[Retail Price]&lt;&gt;0)*($C268=Table_dim_price_recipe[Subcategory]), 0))*$B268,"")</f>
        <v/>
      </c>
      <c r="J268" s="39" t="str" cm="1">
        <f t="array" ref="J268">IFERROR(INDEX(Table_dim_price_recipe[Retail Price], MATCH(1, ("Calculator"&lt;&gt;Table_dim_price_recipe[Type.display])*($L268=Table_dim_price_recipe[Category])*($D268=Table_dim_price_recipe[Item Description]) * (J$6=Table_dim_price_recipe[Type])*(Table_dim_price_recipe[Retail Price]&lt;&gt;0)*($C268=Table_dim_price_recipe[Subcategory]), 0))*$B268,"")</f>
        <v/>
      </c>
      <c r="K268" s="39" t="str" cm="1">
        <f t="array" ref="K268">IFERROR(INDEX(Table_dim_price_recipe[Retail Price], MATCH(1, ("Calculator"&lt;&gt;Table_dim_price_recipe[Type.display])*($L268=Table_dim_price_recipe[Category])*($D268=Table_dim_price_recipe[Item Description]) * (K$6=Table_dim_price_recipe[Type])*(Table_dim_price_recipe[Retail Price]&lt;&gt;0)*($C268=Table_dim_price_recipe[Subcategory]), 0))*$B268,"")</f>
        <v/>
      </c>
      <c r="L268" s="39" t="str" cm="1">
        <f t="array" ref="L268">IF($A268&lt;&gt;"", $A268, LOOKUP(2, 1/((A$7:INDEX(A:A, ROW()))&lt;&gt;""), A$7:INDEX(A:A, ROW())))</f>
        <v>TIE BEAMS</v>
      </c>
      <c r="M268" s="14"/>
    </row>
    <row r="269" spans="1:13">
      <c r="A269" s="260" t="s">
        <v>35</v>
      </c>
      <c r="B269" s="261"/>
      <c r="C269" s="261"/>
      <c r="D269" s="261"/>
      <c r="E269" s="261"/>
      <c r="F269" s="261"/>
      <c r="G269" s="262" t="str" cm="1">
        <f t="array" ref="G269">IFERROR(INDEX(Table_dim_price_recipe[Retail Price], MATCH(1, ("Calculator"&lt;&gt;Table_dim_price_recipe[Type.display])*($L269=Table_dim_price_recipe[Category])*($D269=Table_dim_price_recipe[Item Description]) * (G$6=Table_dim_price_recipe[Type])*(Table_dim_price_recipe[Retail Price]&lt;&gt;0)*($C269=Table_dim_price_recipe[Subcategory]), 0))*$B269,"")</f>
        <v/>
      </c>
      <c r="H269" s="262" t="str" cm="1">
        <f t="array" ref="H269">IFERROR(INDEX(Table_dim_price_recipe[Retail Price], MATCH(1, ("Calculator"&lt;&gt;Table_dim_price_recipe[Type.display])*($L269=Table_dim_price_recipe[Category])*($D269=Table_dim_price_recipe[Item Description]) * (H$6=Table_dim_price_recipe[Type])*(Table_dim_price_recipe[Retail Price]&lt;&gt;0)*($C269=Table_dim_price_recipe[Subcategory]), 0))*$B269,"")</f>
        <v/>
      </c>
      <c r="I269" s="262" t="str" cm="1">
        <f t="array" ref="I269">IFERROR(INDEX(Table_dim_price_recipe[Retail Price], MATCH(1, ("Calculator"&lt;&gt;Table_dim_price_recipe[Type.display])*($L269=Table_dim_price_recipe[Category])*($D269=Table_dim_price_recipe[Item Description]) * (I$6=Table_dim_price_recipe[Type])*(Table_dim_price_recipe[Retail Price]&lt;&gt;0)*($C269=Table_dim_price_recipe[Subcategory]), 0))*$B269,"")</f>
        <v/>
      </c>
      <c r="J269" s="262" t="str" cm="1">
        <f t="array" ref="J269">IFERROR(INDEX(Table_dim_price_recipe[Retail Price], MATCH(1, ("Calculator"&lt;&gt;Table_dim_price_recipe[Type.display])*($L269=Table_dim_price_recipe[Category])*($D269=Table_dim_price_recipe[Item Description]) * (J$6=Table_dim_price_recipe[Type])*(Table_dim_price_recipe[Retail Price]&lt;&gt;0)*($C269=Table_dim_price_recipe[Subcategory]), 0))*$B269,"")</f>
        <v/>
      </c>
      <c r="K269" s="262" t="str" cm="1">
        <f t="array" ref="K269">IFERROR(INDEX(Table_dim_price_recipe[Retail Price], MATCH(1, ("Calculator"&lt;&gt;Table_dim_price_recipe[Type.display])*($L269=Table_dim_price_recipe[Category])*($D269=Table_dim_price_recipe[Item Description]) * (K$6=Table_dim_price_recipe[Type])*(Table_dim_price_recipe[Retail Price]&lt;&gt;0)*($C269=Table_dim_price_recipe[Subcategory]), 0))*$B269,"")</f>
        <v/>
      </c>
      <c r="L269" s="262" t="str" cm="1">
        <f t="array" ref="L269">IF($A269&lt;&gt;"", $A269, LOOKUP(2, 1/((A$7:INDEX(A:A, ROW()))&lt;&gt;""), A$7:INDEX(A:A, ROW())))</f>
        <v>RIDGES HIPS &amp; VALLEYS</v>
      </c>
      <c r="M269" s="14"/>
    </row>
    <row r="270" spans="1:13">
      <c r="A270" s="263"/>
      <c r="B270" s="263"/>
      <c r="C270" s="263" t="s">
        <v>854</v>
      </c>
      <c r="D270" s="263" t="s">
        <v>856</v>
      </c>
      <c r="E270" s="263"/>
      <c r="F270" s="263"/>
      <c r="G270" s="39" t="str" cm="1">
        <f t="array" ref="G270">IFERROR(INDEX(Table_dim_price_recipe[Retail Price], MATCH(1, ("Calculator"&lt;&gt;Table_dim_price_recipe[Type.display])*($L270=Table_dim_price_recipe[Category])*($D270=Table_dim_price_recipe[Item Description]) * (G$6=Table_dim_price_recipe[Type])*(Table_dim_price_recipe[Retail Price]&lt;&gt;0)*($C270=Table_dim_price_recipe[Subcategory]), 0))*$B270,"")</f>
        <v/>
      </c>
      <c r="H270" s="39" t="str" cm="1">
        <f t="array" ref="H270">IFERROR(INDEX(Table_dim_price_recipe[Retail Price], MATCH(1, ("Calculator"&lt;&gt;Table_dim_price_recipe[Type.display])*($L270=Table_dim_price_recipe[Category])*($D270=Table_dim_price_recipe[Item Description]) * (H$6=Table_dim_price_recipe[Type])*(Table_dim_price_recipe[Retail Price]&lt;&gt;0)*($C270=Table_dim_price_recipe[Subcategory]), 0))*$B270,"")</f>
        <v/>
      </c>
      <c r="I270" s="39" t="str" cm="1">
        <f t="array" ref="I270">IFERROR(INDEX(Table_dim_price_recipe[Retail Price], MATCH(1, ("Calculator"&lt;&gt;Table_dim_price_recipe[Type.display])*($L270=Table_dim_price_recipe[Category])*($D270=Table_dim_price_recipe[Item Description]) * (I$6=Table_dim_price_recipe[Type])*(Table_dim_price_recipe[Retail Price]&lt;&gt;0)*($C270=Table_dim_price_recipe[Subcategory]), 0))*$B270,"")</f>
        <v/>
      </c>
      <c r="J270" s="39" t="str" cm="1">
        <f t="array" ref="J270">IFERROR(INDEX(Table_dim_price_recipe[Retail Price], MATCH(1, ("Calculator"&lt;&gt;Table_dim_price_recipe[Type.display])*($L270=Table_dim_price_recipe[Category])*($D270=Table_dim_price_recipe[Item Description]) * (J$6=Table_dim_price_recipe[Type])*(Table_dim_price_recipe[Retail Price]&lt;&gt;0)*($C270=Table_dim_price_recipe[Subcategory]), 0))*$B270,"")</f>
        <v/>
      </c>
      <c r="K270" s="39" cm="1">
        <f t="array" ref="K270">IFERROR(INDEX(Table_dim_price_recipe[Retail Price], MATCH(1, ("Calculator"&lt;&gt;Table_dim_price_recipe[Type.display])*($L270=Table_dim_price_recipe[Category])*($D270=Table_dim_price_recipe[Item Description]) * (K$6=Table_dim_price_recipe[Type])*(Table_dim_price_recipe[Retail Price]&lt;&gt;0)*($C270=Table_dim_price_recipe[Subcategory]), 0))*$B270,"")</f>
        <v>0</v>
      </c>
      <c r="L270" s="39" t="str" cm="1">
        <f t="array" ref="L270">IF($A270&lt;&gt;"", $A270, LOOKUP(2, 1/((A$7:INDEX(A:A, ROW()))&lt;&gt;""), A$7:INDEX(A:A, ROW())))</f>
        <v>RIDGES HIPS &amp; VALLEYS</v>
      </c>
      <c r="M270" s="14"/>
    </row>
    <row r="271" spans="1:13">
      <c r="A271" s="263"/>
      <c r="B271" s="263"/>
      <c r="C271" s="263" t="s">
        <v>854</v>
      </c>
      <c r="D271" s="263" t="s">
        <v>857</v>
      </c>
      <c r="E271" s="263"/>
      <c r="F271" s="263"/>
      <c r="G271" s="39" t="str" cm="1">
        <f t="array" ref="G271">IFERROR(INDEX(Table_dim_price_recipe[Retail Price], MATCH(1, ("Calculator"&lt;&gt;Table_dim_price_recipe[Type.display])*($L271=Table_dim_price_recipe[Category])*($D271=Table_dim_price_recipe[Item Description]) * (G$6=Table_dim_price_recipe[Type])*(Table_dim_price_recipe[Retail Price]&lt;&gt;0)*($C271=Table_dim_price_recipe[Subcategory]), 0))*$B271,"")</f>
        <v/>
      </c>
      <c r="H271" s="39" t="str" cm="1">
        <f t="array" ref="H271">IFERROR(INDEX(Table_dim_price_recipe[Retail Price], MATCH(1, ("Calculator"&lt;&gt;Table_dim_price_recipe[Type.display])*($L271=Table_dim_price_recipe[Category])*($D271=Table_dim_price_recipe[Item Description]) * (H$6=Table_dim_price_recipe[Type])*(Table_dim_price_recipe[Retail Price]&lt;&gt;0)*($C271=Table_dim_price_recipe[Subcategory]), 0))*$B271,"")</f>
        <v/>
      </c>
      <c r="I271" s="39" t="str" cm="1">
        <f t="array" ref="I271">IFERROR(INDEX(Table_dim_price_recipe[Retail Price], MATCH(1, ("Calculator"&lt;&gt;Table_dim_price_recipe[Type.display])*($L271=Table_dim_price_recipe[Category])*($D271=Table_dim_price_recipe[Item Description]) * (I$6=Table_dim_price_recipe[Type])*(Table_dim_price_recipe[Retail Price]&lt;&gt;0)*($C271=Table_dim_price_recipe[Subcategory]), 0))*$B271,"")</f>
        <v/>
      </c>
      <c r="J271" s="39" t="str" cm="1">
        <f t="array" ref="J271">IFERROR(INDEX(Table_dim_price_recipe[Retail Price], MATCH(1, ("Calculator"&lt;&gt;Table_dim_price_recipe[Type.display])*($L271=Table_dim_price_recipe[Category])*($D271=Table_dim_price_recipe[Item Description]) * (J$6=Table_dim_price_recipe[Type])*(Table_dim_price_recipe[Retail Price]&lt;&gt;0)*($C271=Table_dim_price_recipe[Subcategory]), 0))*$B271,"")</f>
        <v/>
      </c>
      <c r="K271" s="39" cm="1">
        <f t="array" ref="K271">IFERROR(INDEX(Table_dim_price_recipe[Retail Price], MATCH(1, ("Calculator"&lt;&gt;Table_dim_price_recipe[Type.display])*($L271=Table_dim_price_recipe[Category])*($D271=Table_dim_price_recipe[Item Description]) * (K$6=Table_dim_price_recipe[Type])*(Table_dim_price_recipe[Retail Price]&lt;&gt;0)*($C271=Table_dim_price_recipe[Subcategory]), 0))*$B271,"")</f>
        <v>0</v>
      </c>
      <c r="L271" s="39" t="str" cm="1">
        <f t="array" ref="L271">IF($A271&lt;&gt;"", $A271, LOOKUP(2, 1/((A$7:INDEX(A:A, ROW()))&lt;&gt;""), A$7:INDEX(A:A, ROW())))</f>
        <v>RIDGES HIPS &amp; VALLEYS</v>
      </c>
      <c r="M271" s="14"/>
    </row>
    <row r="272" spans="1:13">
      <c r="A272" s="263"/>
      <c r="B272" s="263"/>
      <c r="C272" s="263" t="s">
        <v>854</v>
      </c>
      <c r="D272" s="263" t="s">
        <v>855</v>
      </c>
      <c r="E272" s="263"/>
      <c r="F272" s="263"/>
      <c r="G272" s="39" t="str" cm="1">
        <f t="array" ref="G272">IFERROR(INDEX(Table_dim_price_recipe[Retail Price], MATCH(1, ("Calculator"&lt;&gt;Table_dim_price_recipe[Type.display])*($L272=Table_dim_price_recipe[Category])*($D272=Table_dim_price_recipe[Item Description]) * (G$6=Table_dim_price_recipe[Type])*(Table_dim_price_recipe[Retail Price]&lt;&gt;0)*($C272=Table_dim_price_recipe[Subcategory]), 0))*$B272,"")</f>
        <v/>
      </c>
      <c r="H272" s="39" t="str" cm="1">
        <f t="array" ref="H272">IFERROR(INDEX(Table_dim_price_recipe[Retail Price], MATCH(1, ("Calculator"&lt;&gt;Table_dim_price_recipe[Type.display])*($L272=Table_dim_price_recipe[Category])*($D272=Table_dim_price_recipe[Item Description]) * (H$6=Table_dim_price_recipe[Type])*(Table_dim_price_recipe[Retail Price]&lt;&gt;0)*($C272=Table_dim_price_recipe[Subcategory]), 0))*$B272,"")</f>
        <v/>
      </c>
      <c r="I272" s="39" t="str" cm="1">
        <f t="array" ref="I272">IFERROR(INDEX(Table_dim_price_recipe[Retail Price], MATCH(1, ("Calculator"&lt;&gt;Table_dim_price_recipe[Type.display])*($L272=Table_dim_price_recipe[Category])*($D272=Table_dim_price_recipe[Item Description]) * (I$6=Table_dim_price_recipe[Type])*(Table_dim_price_recipe[Retail Price]&lt;&gt;0)*($C272=Table_dim_price_recipe[Subcategory]), 0))*$B272,"")</f>
        <v/>
      </c>
      <c r="J272" s="39" t="str" cm="1">
        <f t="array" ref="J272">IFERROR(INDEX(Table_dim_price_recipe[Retail Price], MATCH(1, ("Calculator"&lt;&gt;Table_dim_price_recipe[Type.display])*($L272=Table_dim_price_recipe[Category])*($D272=Table_dim_price_recipe[Item Description]) * (J$6=Table_dim_price_recipe[Type])*(Table_dim_price_recipe[Retail Price]&lt;&gt;0)*($C272=Table_dim_price_recipe[Subcategory]), 0))*$B272,"")</f>
        <v/>
      </c>
      <c r="K272" s="39" cm="1">
        <f t="array" ref="K272">IFERROR(INDEX(Table_dim_price_recipe[Retail Price], MATCH(1, ("Calculator"&lt;&gt;Table_dim_price_recipe[Type.display])*($L272=Table_dim_price_recipe[Category])*($D272=Table_dim_price_recipe[Item Description]) * (K$6=Table_dim_price_recipe[Type])*(Table_dim_price_recipe[Retail Price]&lt;&gt;0)*($C272=Table_dim_price_recipe[Subcategory]), 0))*$B272,"")</f>
        <v>0</v>
      </c>
      <c r="L272" s="39" t="str" cm="1">
        <f t="array" ref="L272">IF($A272&lt;&gt;"", $A272, LOOKUP(2, 1/((A$7:INDEX(A:A, ROW()))&lt;&gt;""), A$7:INDEX(A:A, ROW())))</f>
        <v>RIDGES HIPS &amp; VALLEYS</v>
      </c>
      <c r="M272" s="14"/>
    </row>
    <row r="273" spans="1:13">
      <c r="A273" s="263"/>
      <c r="B273" s="263"/>
      <c r="C273" s="263" t="s">
        <v>854</v>
      </c>
      <c r="D273" s="263"/>
      <c r="E273" s="263"/>
      <c r="F273" s="263"/>
      <c r="G273" s="39" t="str" cm="1">
        <f t="array" ref="G273">IFERROR(INDEX(Table_dim_price_recipe[Retail Price], MATCH(1, ("Calculator"&lt;&gt;Table_dim_price_recipe[Type.display])*($L273=Table_dim_price_recipe[Category])*($D273=Table_dim_price_recipe[Item Description]) * (G$6=Table_dim_price_recipe[Type])*(Table_dim_price_recipe[Retail Price]&lt;&gt;0)*($C273=Table_dim_price_recipe[Subcategory]), 0))*$B273,"")</f>
        <v/>
      </c>
      <c r="H273" s="39" t="str" cm="1">
        <f t="array" ref="H273">IFERROR(INDEX(Table_dim_price_recipe[Retail Price], MATCH(1, ("Calculator"&lt;&gt;Table_dim_price_recipe[Type.display])*($L273=Table_dim_price_recipe[Category])*($D273=Table_dim_price_recipe[Item Description]) * (H$6=Table_dim_price_recipe[Type])*(Table_dim_price_recipe[Retail Price]&lt;&gt;0)*($C273=Table_dim_price_recipe[Subcategory]), 0))*$B273,"")</f>
        <v/>
      </c>
      <c r="I273" s="39" t="str" cm="1">
        <f t="array" ref="I273">IFERROR(INDEX(Table_dim_price_recipe[Retail Price], MATCH(1, ("Calculator"&lt;&gt;Table_dim_price_recipe[Type.display])*($L273=Table_dim_price_recipe[Category])*($D273=Table_dim_price_recipe[Item Description]) * (I$6=Table_dim_price_recipe[Type])*(Table_dim_price_recipe[Retail Price]&lt;&gt;0)*($C273=Table_dim_price_recipe[Subcategory]), 0))*$B273,"")</f>
        <v/>
      </c>
      <c r="J273" s="39" t="str" cm="1">
        <f t="array" ref="J273">IFERROR(INDEX(Table_dim_price_recipe[Retail Price], MATCH(1, ("Calculator"&lt;&gt;Table_dim_price_recipe[Type.display])*($L273=Table_dim_price_recipe[Category])*($D273=Table_dim_price_recipe[Item Description]) * (J$6=Table_dim_price_recipe[Type])*(Table_dim_price_recipe[Retail Price]&lt;&gt;0)*($C273=Table_dim_price_recipe[Subcategory]), 0))*$B273,"")</f>
        <v/>
      </c>
      <c r="K273" s="39" t="str" cm="1">
        <f t="array" ref="K273">IFERROR(INDEX(Table_dim_price_recipe[Retail Price], MATCH(1, ("Calculator"&lt;&gt;Table_dim_price_recipe[Type.display])*($L273=Table_dim_price_recipe[Category])*($D273=Table_dim_price_recipe[Item Description]) * (K$6=Table_dim_price_recipe[Type])*(Table_dim_price_recipe[Retail Price]&lt;&gt;0)*($C273=Table_dim_price_recipe[Subcategory]), 0))*$B273,"")</f>
        <v/>
      </c>
      <c r="L273" s="39" t="str" cm="1">
        <f t="array" ref="L273">IF($A273&lt;&gt;"", $A273, LOOKUP(2, 1/((A$7:INDEX(A:A, ROW()))&lt;&gt;""), A$7:INDEX(A:A, ROW())))</f>
        <v>RIDGES HIPS &amp; VALLEYS</v>
      </c>
      <c r="M273" s="14"/>
    </row>
    <row r="274" spans="1:13">
      <c r="A274" s="263"/>
      <c r="B274" s="263"/>
      <c r="C274" s="263" t="s">
        <v>854</v>
      </c>
      <c r="D274" s="263"/>
      <c r="E274" s="263"/>
      <c r="F274" s="263"/>
      <c r="G274" s="39" t="str" cm="1">
        <f t="array" ref="G274">IFERROR(INDEX(Table_dim_price_recipe[Retail Price], MATCH(1, ("Calculator"&lt;&gt;Table_dim_price_recipe[Type.display])*($L274=Table_dim_price_recipe[Category])*($D274=Table_dim_price_recipe[Item Description]) * (G$6=Table_dim_price_recipe[Type])*(Table_dim_price_recipe[Retail Price]&lt;&gt;0)*($C274=Table_dim_price_recipe[Subcategory]), 0))*$B274,"")</f>
        <v/>
      </c>
      <c r="H274" s="39" t="str" cm="1">
        <f t="array" ref="H274">IFERROR(INDEX(Table_dim_price_recipe[Retail Price], MATCH(1, ("Calculator"&lt;&gt;Table_dim_price_recipe[Type.display])*($L274=Table_dim_price_recipe[Category])*($D274=Table_dim_price_recipe[Item Description]) * (H$6=Table_dim_price_recipe[Type])*(Table_dim_price_recipe[Retail Price]&lt;&gt;0)*($C274=Table_dim_price_recipe[Subcategory]), 0))*$B274,"")</f>
        <v/>
      </c>
      <c r="I274" s="39" t="str" cm="1">
        <f t="array" ref="I274">IFERROR(INDEX(Table_dim_price_recipe[Retail Price], MATCH(1, ("Calculator"&lt;&gt;Table_dim_price_recipe[Type.display])*($L274=Table_dim_price_recipe[Category])*($D274=Table_dim_price_recipe[Item Description]) * (I$6=Table_dim_price_recipe[Type])*(Table_dim_price_recipe[Retail Price]&lt;&gt;0)*($C274=Table_dim_price_recipe[Subcategory]), 0))*$B274,"")</f>
        <v/>
      </c>
      <c r="J274" s="39" t="str" cm="1">
        <f t="array" ref="J274">IFERROR(INDEX(Table_dim_price_recipe[Retail Price], MATCH(1, ("Calculator"&lt;&gt;Table_dim_price_recipe[Type.display])*($L274=Table_dim_price_recipe[Category])*($D274=Table_dim_price_recipe[Item Description]) * (J$6=Table_dim_price_recipe[Type])*(Table_dim_price_recipe[Retail Price]&lt;&gt;0)*($C274=Table_dim_price_recipe[Subcategory]), 0))*$B274,"")</f>
        <v/>
      </c>
      <c r="K274" s="39" t="str" cm="1">
        <f t="array" ref="K274">IFERROR(INDEX(Table_dim_price_recipe[Retail Price], MATCH(1, ("Calculator"&lt;&gt;Table_dim_price_recipe[Type.display])*($L274=Table_dim_price_recipe[Category])*($D274=Table_dim_price_recipe[Item Description]) * (K$6=Table_dim_price_recipe[Type])*(Table_dim_price_recipe[Retail Price]&lt;&gt;0)*($C274=Table_dim_price_recipe[Subcategory]), 0))*$B274,"")</f>
        <v/>
      </c>
      <c r="L274" s="39" t="str" cm="1">
        <f t="array" ref="L274">IF($A274&lt;&gt;"", $A274, LOOKUP(2, 1/((A$7:INDEX(A:A, ROW()))&lt;&gt;""), A$7:INDEX(A:A, ROW())))</f>
        <v>RIDGES HIPS &amp; VALLEYS</v>
      </c>
      <c r="M274" s="14"/>
    </row>
    <row r="275" spans="1:13">
      <c r="A275" s="260" t="s">
        <v>41</v>
      </c>
      <c r="B275" s="261"/>
      <c r="C275" s="261"/>
      <c r="D275" s="261"/>
      <c r="E275" s="261"/>
      <c r="F275" s="261"/>
      <c r="G275" s="262" t="str" cm="1">
        <f t="array" ref="G275">IFERROR(INDEX(Table_dim_price_recipe[Retail Price], MATCH(1, ("Calculator"&lt;&gt;Table_dim_price_recipe[Type.display])*($L275=Table_dim_price_recipe[Category])*($D275=Table_dim_price_recipe[Item Description]) * (G$6=Table_dim_price_recipe[Type])*(Table_dim_price_recipe[Retail Price]&lt;&gt;0)*($C275=Table_dim_price_recipe[Subcategory]), 0))*$B275,"")</f>
        <v/>
      </c>
      <c r="H275" s="262" t="str" cm="1">
        <f t="array" ref="H275">IFERROR(INDEX(Table_dim_price_recipe[Retail Price], MATCH(1, ("Calculator"&lt;&gt;Table_dim_price_recipe[Type.display])*($L275=Table_dim_price_recipe[Category])*($D275=Table_dim_price_recipe[Item Description]) * (H$6=Table_dim_price_recipe[Type])*(Table_dim_price_recipe[Retail Price]&lt;&gt;0)*($C275=Table_dim_price_recipe[Subcategory]), 0))*$B275,"")</f>
        <v/>
      </c>
      <c r="I275" s="262" t="str" cm="1">
        <f t="array" ref="I275">IFERROR(INDEX(Table_dim_price_recipe[Retail Price], MATCH(1, ("Calculator"&lt;&gt;Table_dim_price_recipe[Type.display])*($L275=Table_dim_price_recipe[Category])*($D275=Table_dim_price_recipe[Item Description]) * (I$6=Table_dim_price_recipe[Type])*(Table_dim_price_recipe[Retail Price]&lt;&gt;0)*($C275=Table_dim_price_recipe[Subcategory]), 0))*$B275,"")</f>
        <v/>
      </c>
      <c r="J275" s="262" t="str" cm="1">
        <f t="array" ref="J275">IFERROR(INDEX(Table_dim_price_recipe[Retail Price], MATCH(1, ("Calculator"&lt;&gt;Table_dim_price_recipe[Type.display])*($L275=Table_dim_price_recipe[Category])*($D275=Table_dim_price_recipe[Item Description]) * (J$6=Table_dim_price_recipe[Type])*(Table_dim_price_recipe[Retail Price]&lt;&gt;0)*($C275=Table_dim_price_recipe[Subcategory]), 0))*$B275,"")</f>
        <v/>
      </c>
      <c r="K275" s="262" t="str" cm="1">
        <f t="array" ref="K275">IFERROR(INDEX(Table_dim_price_recipe[Retail Price], MATCH(1, ("Calculator"&lt;&gt;Table_dim_price_recipe[Type.display])*($L275=Table_dim_price_recipe[Category])*($D275=Table_dim_price_recipe[Item Description]) * (K$6=Table_dim_price_recipe[Type])*(Table_dim_price_recipe[Retail Price]&lt;&gt;0)*($C275=Table_dim_price_recipe[Subcategory]), 0))*$B275,"")</f>
        <v/>
      </c>
      <c r="L275" s="262" t="str" cm="1">
        <f t="array" ref="L275">IF($A275&lt;&gt;"", $A275, LOOKUP(2, 1/((A$7:INDEX(A:A, ROW()))&lt;&gt;""), A$7:INDEX(A:A, ROW())))</f>
        <v>BATTENS &amp; ENDFILLS</v>
      </c>
      <c r="M275" s="14"/>
    </row>
    <row r="276" spans="1:13">
      <c r="A276" s="263"/>
      <c r="B276" s="263"/>
      <c r="C276" s="263" t="s">
        <v>915</v>
      </c>
      <c r="D276" s="263" t="s">
        <v>925</v>
      </c>
      <c r="E276" s="263"/>
      <c r="F276" s="263"/>
      <c r="G276" s="39" t="str" cm="1">
        <f t="array" ref="G276">IFERROR(INDEX(Table_dim_price_recipe[Retail Price], MATCH(1, ("Calculator"&lt;&gt;Table_dim_price_recipe[Type.display])*($L276=Table_dim_price_recipe[Category])*($D276=Table_dim_price_recipe[Item Description]) * (G$6=Table_dim_price_recipe[Type])*(Table_dim_price_recipe[Retail Price]&lt;&gt;0)*($C276=Table_dim_price_recipe[Subcategory]), 0))*$B276,"")</f>
        <v/>
      </c>
      <c r="H276" s="39" cm="1">
        <f t="array" ref="H276">IFERROR(INDEX(Table_dim_price_recipe[Retail Price], MATCH(1, ("Calculator"&lt;&gt;Table_dim_price_recipe[Type.display])*($L276=Table_dim_price_recipe[Category])*($D276=Table_dim_price_recipe[Item Description]) * (H$6=Table_dim_price_recipe[Type])*(Table_dim_price_recipe[Retail Price]&lt;&gt;0)*($C276=Table_dim_price_recipe[Subcategory]), 0))*$B276,"")</f>
        <v>0</v>
      </c>
      <c r="I276" s="39" t="str" cm="1">
        <f t="array" ref="I276">IFERROR(INDEX(Table_dim_price_recipe[Retail Price], MATCH(1, ("Calculator"&lt;&gt;Table_dim_price_recipe[Type.display])*($L276=Table_dim_price_recipe[Category])*($D276=Table_dim_price_recipe[Item Description]) * (I$6=Table_dim_price_recipe[Type])*(Table_dim_price_recipe[Retail Price]&lt;&gt;0)*($C276=Table_dim_price_recipe[Subcategory]), 0))*$B276,"")</f>
        <v/>
      </c>
      <c r="J276" s="39" t="str" cm="1">
        <f t="array" ref="J276">IFERROR(INDEX(Table_dim_price_recipe[Retail Price], MATCH(1, ("Calculator"&lt;&gt;Table_dim_price_recipe[Type.display])*($L276=Table_dim_price_recipe[Category])*($D276=Table_dim_price_recipe[Item Description]) * (J$6=Table_dim_price_recipe[Type])*(Table_dim_price_recipe[Retail Price]&lt;&gt;0)*($C276=Table_dim_price_recipe[Subcategory]), 0))*$B276,"")</f>
        <v/>
      </c>
      <c r="K276" s="39" t="str" cm="1">
        <f t="array" ref="K276">IFERROR(INDEX(Table_dim_price_recipe[Retail Price], MATCH(1, ("Calculator"&lt;&gt;Table_dim_price_recipe[Type.display])*($L276=Table_dim_price_recipe[Category])*($D276=Table_dim_price_recipe[Item Description]) * (K$6=Table_dim_price_recipe[Type])*(Table_dim_price_recipe[Retail Price]&lt;&gt;0)*($C276=Table_dim_price_recipe[Subcategory]), 0))*$B276,"")</f>
        <v/>
      </c>
      <c r="L276" s="39" t="str" cm="1">
        <f t="array" ref="L276">IF($A276&lt;&gt;"", $A276, LOOKUP(2, 1/((A$7:INDEX(A:A, ROW()))&lt;&gt;""), A$7:INDEX(A:A, ROW())))</f>
        <v>BATTENS &amp; ENDFILLS</v>
      </c>
      <c r="M276" s="14"/>
    </row>
    <row r="277" spans="1:13">
      <c r="A277" s="263"/>
      <c r="B277" s="263"/>
      <c r="C277" s="263" t="s">
        <v>915</v>
      </c>
      <c r="D277" s="263"/>
      <c r="E277" s="263"/>
      <c r="F277" s="263"/>
      <c r="G277" s="39" t="str" cm="1">
        <f t="array" ref="G277">IFERROR(INDEX(Table_dim_price_recipe[Retail Price], MATCH(1, ("Calculator"&lt;&gt;Table_dim_price_recipe[Type.display])*($L277=Table_dim_price_recipe[Category])*($D277=Table_dim_price_recipe[Item Description]) * (G$6=Table_dim_price_recipe[Type])*(Table_dim_price_recipe[Retail Price]&lt;&gt;0)*($C277=Table_dim_price_recipe[Subcategory]), 0))*$B277,"")</f>
        <v/>
      </c>
      <c r="H277" s="39" t="str" cm="1">
        <f t="array" ref="H277">IFERROR(INDEX(Table_dim_price_recipe[Retail Price], MATCH(1, ("Calculator"&lt;&gt;Table_dim_price_recipe[Type.display])*($L277=Table_dim_price_recipe[Category])*($D277=Table_dim_price_recipe[Item Description]) * (H$6=Table_dim_price_recipe[Type])*(Table_dim_price_recipe[Retail Price]&lt;&gt;0)*($C277=Table_dim_price_recipe[Subcategory]), 0))*$B277,"")</f>
        <v/>
      </c>
      <c r="I277" s="39" t="str" cm="1">
        <f t="array" ref="I277">IFERROR(INDEX(Table_dim_price_recipe[Retail Price], MATCH(1, ("Calculator"&lt;&gt;Table_dim_price_recipe[Type.display])*($L277=Table_dim_price_recipe[Category])*($D277=Table_dim_price_recipe[Item Description]) * (I$6=Table_dim_price_recipe[Type])*(Table_dim_price_recipe[Retail Price]&lt;&gt;0)*($C277=Table_dim_price_recipe[Subcategory]), 0))*$B277,"")</f>
        <v/>
      </c>
      <c r="J277" s="39" t="str" cm="1">
        <f t="array" ref="J277">IFERROR(INDEX(Table_dim_price_recipe[Retail Price], MATCH(1, ("Calculator"&lt;&gt;Table_dim_price_recipe[Type.display])*($L277=Table_dim_price_recipe[Category])*($D277=Table_dim_price_recipe[Item Description]) * (J$6=Table_dim_price_recipe[Type])*(Table_dim_price_recipe[Retail Price]&lt;&gt;0)*($C277=Table_dim_price_recipe[Subcategory]), 0))*$B277,"")</f>
        <v/>
      </c>
      <c r="K277" s="39" t="str" cm="1">
        <f t="array" ref="K277">IFERROR(INDEX(Table_dim_price_recipe[Retail Price], MATCH(1, ("Calculator"&lt;&gt;Table_dim_price_recipe[Type.display])*($L277=Table_dim_price_recipe[Category])*($D277=Table_dim_price_recipe[Item Description]) * (K$6=Table_dim_price_recipe[Type])*(Table_dim_price_recipe[Retail Price]&lt;&gt;0)*($C277=Table_dim_price_recipe[Subcategory]), 0))*$B277,"")</f>
        <v/>
      </c>
      <c r="L277" s="39" t="str" cm="1">
        <f t="array" ref="L277">IF($A277&lt;&gt;"", $A277, LOOKUP(2, 1/((A$7:INDEX(A:A, ROW()))&lt;&gt;""), A$7:INDEX(A:A, ROW())))</f>
        <v>BATTENS &amp; ENDFILLS</v>
      </c>
      <c r="M277" s="14"/>
    </row>
    <row r="278" spans="1:13">
      <c r="A278" s="263"/>
      <c r="B278" s="263"/>
      <c r="C278" s="263" t="s">
        <v>915</v>
      </c>
      <c r="D278" s="263"/>
      <c r="E278" s="263"/>
      <c r="F278" s="263"/>
      <c r="G278" s="39" t="str" cm="1">
        <f t="array" ref="G278">IFERROR(INDEX(Table_dim_price_recipe[Retail Price], MATCH(1, ("Calculator"&lt;&gt;Table_dim_price_recipe[Type.display])*($L278=Table_dim_price_recipe[Category])*($D278=Table_dim_price_recipe[Item Description]) * (G$6=Table_dim_price_recipe[Type])*(Table_dim_price_recipe[Retail Price]&lt;&gt;0)*($C278=Table_dim_price_recipe[Subcategory]), 0))*$B278,"")</f>
        <v/>
      </c>
      <c r="H278" s="39" t="str" cm="1">
        <f t="array" ref="H278">IFERROR(INDEX(Table_dim_price_recipe[Retail Price], MATCH(1, ("Calculator"&lt;&gt;Table_dim_price_recipe[Type.display])*($L278=Table_dim_price_recipe[Category])*($D278=Table_dim_price_recipe[Item Description]) * (H$6=Table_dim_price_recipe[Type])*(Table_dim_price_recipe[Retail Price]&lt;&gt;0)*($C278=Table_dim_price_recipe[Subcategory]), 0))*$B278,"")</f>
        <v/>
      </c>
      <c r="I278" s="39" t="str" cm="1">
        <f t="array" ref="I278">IFERROR(INDEX(Table_dim_price_recipe[Retail Price], MATCH(1, ("Calculator"&lt;&gt;Table_dim_price_recipe[Type.display])*($L278=Table_dim_price_recipe[Category])*($D278=Table_dim_price_recipe[Item Description]) * (I$6=Table_dim_price_recipe[Type])*(Table_dim_price_recipe[Retail Price]&lt;&gt;0)*($C278=Table_dim_price_recipe[Subcategory]), 0))*$B278,"")</f>
        <v/>
      </c>
      <c r="J278" s="39" t="str" cm="1">
        <f t="array" ref="J278">IFERROR(INDEX(Table_dim_price_recipe[Retail Price], MATCH(1, ("Calculator"&lt;&gt;Table_dim_price_recipe[Type.display])*($L278=Table_dim_price_recipe[Category])*($D278=Table_dim_price_recipe[Item Description]) * (J$6=Table_dim_price_recipe[Type])*(Table_dim_price_recipe[Retail Price]&lt;&gt;0)*($C278=Table_dim_price_recipe[Subcategory]), 0))*$B278,"")</f>
        <v/>
      </c>
      <c r="K278" s="39" t="str" cm="1">
        <f t="array" ref="K278">IFERROR(INDEX(Table_dim_price_recipe[Retail Price], MATCH(1, ("Calculator"&lt;&gt;Table_dim_price_recipe[Type.display])*($L278=Table_dim_price_recipe[Category])*($D278=Table_dim_price_recipe[Item Description]) * (K$6=Table_dim_price_recipe[Type])*(Table_dim_price_recipe[Retail Price]&lt;&gt;0)*($C278=Table_dim_price_recipe[Subcategory]), 0))*$B278,"")</f>
        <v/>
      </c>
      <c r="L278" s="39" t="str" cm="1">
        <f t="array" ref="L278">IF($A278&lt;&gt;"", $A278, LOOKUP(2, 1/((A$7:INDEX(A:A, ROW()))&lt;&gt;""), A$7:INDEX(A:A, ROW())))</f>
        <v>BATTENS &amp; ENDFILLS</v>
      </c>
      <c r="M278" s="14"/>
    </row>
    <row r="279" spans="1:13">
      <c r="A279" s="263"/>
      <c r="B279" s="263"/>
      <c r="C279" s="263" t="s">
        <v>944</v>
      </c>
      <c r="D279" s="263" t="s">
        <v>947</v>
      </c>
      <c r="E279" s="263"/>
      <c r="F279" s="263"/>
      <c r="G279" s="39" t="str" cm="1">
        <f t="array" ref="G279">IFERROR(INDEX(Table_dim_price_recipe[Retail Price], MATCH(1, ("Calculator"&lt;&gt;Table_dim_price_recipe[Type.display])*($L279=Table_dim_price_recipe[Category])*($D279=Table_dim_price_recipe[Item Description]) * (G$6=Table_dim_price_recipe[Type])*(Table_dim_price_recipe[Retail Price]&lt;&gt;0)*($C279=Table_dim_price_recipe[Subcategory]), 0))*$B279,"")</f>
        <v/>
      </c>
      <c r="H279" s="39" cm="1">
        <f t="array" ref="H279">IFERROR(INDEX(Table_dim_price_recipe[Retail Price], MATCH(1, ("Calculator"&lt;&gt;Table_dim_price_recipe[Type.display])*($L279=Table_dim_price_recipe[Category])*($D279=Table_dim_price_recipe[Item Description]) * (H$6=Table_dim_price_recipe[Type])*(Table_dim_price_recipe[Retail Price]&lt;&gt;0)*($C279=Table_dim_price_recipe[Subcategory]), 0))*$B279,"")</f>
        <v>0</v>
      </c>
      <c r="I279" s="39" t="str" cm="1">
        <f t="array" ref="I279">IFERROR(INDEX(Table_dim_price_recipe[Retail Price], MATCH(1, ("Calculator"&lt;&gt;Table_dim_price_recipe[Type.display])*($L279=Table_dim_price_recipe[Category])*($D279=Table_dim_price_recipe[Item Description]) * (I$6=Table_dim_price_recipe[Type])*(Table_dim_price_recipe[Retail Price]&lt;&gt;0)*($C279=Table_dim_price_recipe[Subcategory]), 0))*$B279,"")</f>
        <v/>
      </c>
      <c r="J279" s="39" t="str" cm="1">
        <f t="array" ref="J279">IFERROR(INDEX(Table_dim_price_recipe[Retail Price], MATCH(1, ("Calculator"&lt;&gt;Table_dim_price_recipe[Type.display])*($L279=Table_dim_price_recipe[Category])*($D279=Table_dim_price_recipe[Item Description]) * (J$6=Table_dim_price_recipe[Type])*(Table_dim_price_recipe[Retail Price]&lt;&gt;0)*($C279=Table_dim_price_recipe[Subcategory]), 0))*$B279,"")</f>
        <v/>
      </c>
      <c r="K279" s="39" t="str" cm="1">
        <f t="array" ref="K279">IFERROR(INDEX(Table_dim_price_recipe[Retail Price], MATCH(1, ("Calculator"&lt;&gt;Table_dim_price_recipe[Type.display])*($L279=Table_dim_price_recipe[Category])*($D279=Table_dim_price_recipe[Item Description]) * (K$6=Table_dim_price_recipe[Type])*(Table_dim_price_recipe[Retail Price]&lt;&gt;0)*($C279=Table_dim_price_recipe[Subcategory]), 0))*$B279,"")</f>
        <v/>
      </c>
      <c r="L279" s="39" t="str" cm="1">
        <f t="array" ref="L279">IF($A279&lt;&gt;"", $A279, LOOKUP(2, 1/((A$7:INDEX(A:A, ROW()))&lt;&gt;""), A$7:INDEX(A:A, ROW())))</f>
        <v>BATTENS &amp; ENDFILLS</v>
      </c>
      <c r="M279" s="14"/>
    </row>
    <row r="280" spans="1:13">
      <c r="A280" s="263"/>
      <c r="B280" s="263"/>
      <c r="C280" s="263" t="s">
        <v>944</v>
      </c>
      <c r="D280" s="263" t="s">
        <v>945</v>
      </c>
      <c r="E280" s="263"/>
      <c r="F280" s="263"/>
      <c r="G280" s="39" t="str" cm="1">
        <f t="array" ref="G280">IFERROR(INDEX(Table_dim_price_recipe[Retail Price], MATCH(1, ("Calculator"&lt;&gt;Table_dim_price_recipe[Type.display])*($L280=Table_dim_price_recipe[Category])*($D280=Table_dim_price_recipe[Item Description]) * (G$6=Table_dim_price_recipe[Type])*(Table_dim_price_recipe[Retail Price]&lt;&gt;0)*($C280=Table_dim_price_recipe[Subcategory]), 0))*$B280,"")</f>
        <v/>
      </c>
      <c r="H280" s="39" cm="1">
        <f t="array" ref="H280">IFERROR(INDEX(Table_dim_price_recipe[Retail Price], MATCH(1, ("Calculator"&lt;&gt;Table_dim_price_recipe[Type.display])*($L280=Table_dim_price_recipe[Category])*($D280=Table_dim_price_recipe[Item Description]) * (H$6=Table_dim_price_recipe[Type])*(Table_dim_price_recipe[Retail Price]&lt;&gt;0)*($C280=Table_dim_price_recipe[Subcategory]), 0))*$B280,"")</f>
        <v>0</v>
      </c>
      <c r="I280" s="39" t="str" cm="1">
        <f t="array" ref="I280">IFERROR(INDEX(Table_dim_price_recipe[Retail Price], MATCH(1, ("Calculator"&lt;&gt;Table_dim_price_recipe[Type.display])*($L280=Table_dim_price_recipe[Category])*($D280=Table_dim_price_recipe[Item Description]) * (I$6=Table_dim_price_recipe[Type])*(Table_dim_price_recipe[Retail Price]&lt;&gt;0)*($C280=Table_dim_price_recipe[Subcategory]), 0))*$B280,"")</f>
        <v/>
      </c>
      <c r="J280" s="39" t="str" cm="1">
        <f t="array" ref="J280">IFERROR(INDEX(Table_dim_price_recipe[Retail Price], MATCH(1, ("Calculator"&lt;&gt;Table_dim_price_recipe[Type.display])*($L280=Table_dim_price_recipe[Category])*($D280=Table_dim_price_recipe[Item Description]) * (J$6=Table_dim_price_recipe[Type])*(Table_dim_price_recipe[Retail Price]&lt;&gt;0)*($C280=Table_dim_price_recipe[Subcategory]), 0))*$B280,"")</f>
        <v/>
      </c>
      <c r="K280" s="39" t="str" cm="1">
        <f t="array" ref="K280">IFERROR(INDEX(Table_dim_price_recipe[Retail Price], MATCH(1, ("Calculator"&lt;&gt;Table_dim_price_recipe[Type.display])*($L280=Table_dim_price_recipe[Category])*($D280=Table_dim_price_recipe[Item Description]) * (K$6=Table_dim_price_recipe[Type])*(Table_dim_price_recipe[Retail Price]&lt;&gt;0)*($C280=Table_dim_price_recipe[Subcategory]), 0))*$B280,"")</f>
        <v/>
      </c>
      <c r="L280" s="39" t="str" cm="1">
        <f t="array" ref="L280">IF($A280&lt;&gt;"", $A280, LOOKUP(2, 1/((A$7:INDEX(A:A, ROW()))&lt;&gt;""), A$7:INDEX(A:A, ROW())))</f>
        <v>BATTENS &amp; ENDFILLS</v>
      </c>
      <c r="M280" s="14"/>
    </row>
    <row r="281" spans="1:13">
      <c r="A281" s="263"/>
      <c r="B281" s="263"/>
      <c r="C281" s="263" t="s">
        <v>944</v>
      </c>
      <c r="D281" s="263" t="s">
        <v>946</v>
      </c>
      <c r="E281" s="263"/>
      <c r="F281" s="263"/>
      <c r="G281" s="39" t="str" cm="1">
        <f t="array" ref="G281">IFERROR(INDEX(Table_dim_price_recipe[Retail Price], MATCH(1, ("Calculator"&lt;&gt;Table_dim_price_recipe[Type.display])*($L281=Table_dim_price_recipe[Category])*($D281=Table_dim_price_recipe[Item Description]) * (G$6=Table_dim_price_recipe[Type])*(Table_dim_price_recipe[Retail Price]&lt;&gt;0)*($C281=Table_dim_price_recipe[Subcategory]), 0))*$B281,"")</f>
        <v/>
      </c>
      <c r="H281" s="39" cm="1">
        <f t="array" ref="H281">IFERROR(INDEX(Table_dim_price_recipe[Retail Price], MATCH(1, ("Calculator"&lt;&gt;Table_dim_price_recipe[Type.display])*($L281=Table_dim_price_recipe[Category])*($D281=Table_dim_price_recipe[Item Description]) * (H$6=Table_dim_price_recipe[Type])*(Table_dim_price_recipe[Retail Price]&lt;&gt;0)*($C281=Table_dim_price_recipe[Subcategory]), 0))*$B281,"")</f>
        <v>0</v>
      </c>
      <c r="I281" s="39" t="str" cm="1">
        <f t="array" ref="I281">IFERROR(INDEX(Table_dim_price_recipe[Retail Price], MATCH(1, ("Calculator"&lt;&gt;Table_dim_price_recipe[Type.display])*($L281=Table_dim_price_recipe[Category])*($D281=Table_dim_price_recipe[Item Description]) * (I$6=Table_dim_price_recipe[Type])*(Table_dim_price_recipe[Retail Price]&lt;&gt;0)*($C281=Table_dim_price_recipe[Subcategory]), 0))*$B281,"")</f>
        <v/>
      </c>
      <c r="J281" s="39" t="str" cm="1">
        <f t="array" ref="J281">IFERROR(INDEX(Table_dim_price_recipe[Retail Price], MATCH(1, ("Calculator"&lt;&gt;Table_dim_price_recipe[Type.display])*($L281=Table_dim_price_recipe[Category])*($D281=Table_dim_price_recipe[Item Description]) * (J$6=Table_dim_price_recipe[Type])*(Table_dim_price_recipe[Retail Price]&lt;&gt;0)*($C281=Table_dim_price_recipe[Subcategory]), 0))*$B281,"")</f>
        <v/>
      </c>
      <c r="K281" s="39" t="str" cm="1">
        <f t="array" ref="K281">IFERROR(INDEX(Table_dim_price_recipe[Retail Price], MATCH(1, ("Calculator"&lt;&gt;Table_dim_price_recipe[Type.display])*($L281=Table_dim_price_recipe[Category])*($D281=Table_dim_price_recipe[Item Description]) * (K$6=Table_dim_price_recipe[Type])*(Table_dim_price_recipe[Retail Price]&lt;&gt;0)*($C281=Table_dim_price_recipe[Subcategory]), 0))*$B281,"")</f>
        <v/>
      </c>
      <c r="L281" s="39" t="str" cm="1">
        <f t="array" ref="L281">IF($A281&lt;&gt;"", $A281, LOOKUP(2, 1/((A$7:INDEX(A:A, ROW()))&lt;&gt;""), A$7:INDEX(A:A, ROW())))</f>
        <v>BATTENS &amp; ENDFILLS</v>
      </c>
      <c r="M281" s="14"/>
    </row>
    <row r="282" spans="1:13">
      <c r="A282" s="263"/>
      <c r="B282" s="263"/>
      <c r="C282" s="263" t="s">
        <v>944</v>
      </c>
      <c r="D282" s="263"/>
      <c r="E282" s="263"/>
      <c r="F282" s="263"/>
      <c r="G282" s="39" t="str" cm="1">
        <f t="array" ref="G282">IFERROR(INDEX(Table_dim_price_recipe[Retail Price], MATCH(1, ("Calculator"&lt;&gt;Table_dim_price_recipe[Type.display])*($L282=Table_dim_price_recipe[Category])*($D282=Table_dim_price_recipe[Item Description]) * (G$6=Table_dim_price_recipe[Type])*(Table_dim_price_recipe[Retail Price]&lt;&gt;0)*($C282=Table_dim_price_recipe[Subcategory]), 0))*$B282,"")</f>
        <v/>
      </c>
      <c r="H282" s="39" t="str" cm="1">
        <f t="array" ref="H282">IFERROR(INDEX(Table_dim_price_recipe[Retail Price], MATCH(1, ("Calculator"&lt;&gt;Table_dim_price_recipe[Type.display])*($L282=Table_dim_price_recipe[Category])*($D282=Table_dim_price_recipe[Item Description]) * (H$6=Table_dim_price_recipe[Type])*(Table_dim_price_recipe[Retail Price]&lt;&gt;0)*($C282=Table_dim_price_recipe[Subcategory]), 0))*$B282,"")</f>
        <v/>
      </c>
      <c r="I282" s="39" t="str" cm="1">
        <f t="array" ref="I282">IFERROR(INDEX(Table_dim_price_recipe[Retail Price], MATCH(1, ("Calculator"&lt;&gt;Table_dim_price_recipe[Type.display])*($L282=Table_dim_price_recipe[Category])*($D282=Table_dim_price_recipe[Item Description]) * (I$6=Table_dim_price_recipe[Type])*(Table_dim_price_recipe[Retail Price]&lt;&gt;0)*($C282=Table_dim_price_recipe[Subcategory]), 0))*$B282,"")</f>
        <v/>
      </c>
      <c r="J282" s="39" t="str" cm="1">
        <f t="array" ref="J282">IFERROR(INDEX(Table_dim_price_recipe[Retail Price], MATCH(1, ("Calculator"&lt;&gt;Table_dim_price_recipe[Type.display])*($L282=Table_dim_price_recipe[Category])*($D282=Table_dim_price_recipe[Item Description]) * (J$6=Table_dim_price_recipe[Type])*(Table_dim_price_recipe[Retail Price]&lt;&gt;0)*($C282=Table_dim_price_recipe[Subcategory]), 0))*$B282,"")</f>
        <v/>
      </c>
      <c r="K282" s="39" t="str" cm="1">
        <f t="array" ref="K282">IFERROR(INDEX(Table_dim_price_recipe[Retail Price], MATCH(1, ("Calculator"&lt;&gt;Table_dim_price_recipe[Type.display])*($L282=Table_dim_price_recipe[Category])*($D282=Table_dim_price_recipe[Item Description]) * (K$6=Table_dim_price_recipe[Type])*(Table_dim_price_recipe[Retail Price]&lt;&gt;0)*($C282=Table_dim_price_recipe[Subcategory]), 0))*$B282,"")</f>
        <v/>
      </c>
      <c r="L282" s="39" t="str" cm="1">
        <f t="array" ref="L282">IF($A282&lt;&gt;"", $A282, LOOKUP(2, 1/((A$7:INDEX(A:A, ROW()))&lt;&gt;""), A$7:INDEX(A:A, ROW())))</f>
        <v>BATTENS &amp; ENDFILLS</v>
      </c>
      <c r="M282" s="14"/>
    </row>
    <row r="283" spans="1:13">
      <c r="A283" s="263"/>
      <c r="B283" s="263"/>
      <c r="C283" s="263" t="s">
        <v>944</v>
      </c>
      <c r="D283" s="263"/>
      <c r="E283" s="263"/>
      <c r="F283" s="263"/>
      <c r="G283" s="39" t="str" cm="1">
        <f t="array" ref="G283">IFERROR(INDEX(Table_dim_price_recipe[Retail Price], MATCH(1, ("Calculator"&lt;&gt;Table_dim_price_recipe[Type.display])*($L283=Table_dim_price_recipe[Category])*($D283=Table_dim_price_recipe[Item Description]) * (G$6=Table_dim_price_recipe[Type])*(Table_dim_price_recipe[Retail Price]&lt;&gt;0)*($C283=Table_dim_price_recipe[Subcategory]), 0))*$B283,"")</f>
        <v/>
      </c>
      <c r="H283" s="39" t="str" cm="1">
        <f t="array" ref="H283">IFERROR(INDEX(Table_dim_price_recipe[Retail Price], MATCH(1, ("Calculator"&lt;&gt;Table_dim_price_recipe[Type.display])*($L283=Table_dim_price_recipe[Category])*($D283=Table_dim_price_recipe[Item Description]) * (H$6=Table_dim_price_recipe[Type])*(Table_dim_price_recipe[Retail Price]&lt;&gt;0)*($C283=Table_dim_price_recipe[Subcategory]), 0))*$B283,"")</f>
        <v/>
      </c>
      <c r="I283" s="39" t="str" cm="1">
        <f t="array" ref="I283">IFERROR(INDEX(Table_dim_price_recipe[Retail Price], MATCH(1, ("Calculator"&lt;&gt;Table_dim_price_recipe[Type.display])*($L283=Table_dim_price_recipe[Category])*($D283=Table_dim_price_recipe[Item Description]) * (I$6=Table_dim_price_recipe[Type])*(Table_dim_price_recipe[Retail Price]&lt;&gt;0)*($C283=Table_dim_price_recipe[Subcategory]), 0))*$B283,"")</f>
        <v/>
      </c>
      <c r="J283" s="39" t="str" cm="1">
        <f t="array" ref="J283">IFERROR(INDEX(Table_dim_price_recipe[Retail Price], MATCH(1, ("Calculator"&lt;&gt;Table_dim_price_recipe[Type.display])*($L283=Table_dim_price_recipe[Category])*($D283=Table_dim_price_recipe[Item Description]) * (J$6=Table_dim_price_recipe[Type])*(Table_dim_price_recipe[Retail Price]&lt;&gt;0)*($C283=Table_dim_price_recipe[Subcategory]), 0))*$B283,"")</f>
        <v/>
      </c>
      <c r="K283" s="39" t="str" cm="1">
        <f t="array" ref="K283">IFERROR(INDEX(Table_dim_price_recipe[Retail Price], MATCH(1, ("Calculator"&lt;&gt;Table_dim_price_recipe[Type.display])*($L283=Table_dim_price_recipe[Category])*($D283=Table_dim_price_recipe[Item Description]) * (K$6=Table_dim_price_recipe[Type])*(Table_dim_price_recipe[Retail Price]&lt;&gt;0)*($C283=Table_dim_price_recipe[Subcategory]), 0))*$B283,"")</f>
        <v/>
      </c>
      <c r="L283" s="39" t="str" cm="1">
        <f t="array" ref="L283">IF($A283&lt;&gt;"", $A283, LOOKUP(2, 1/((A$7:INDEX(A:A, ROW()))&lt;&gt;""), A$7:INDEX(A:A, ROW())))</f>
        <v>BATTENS &amp; ENDFILLS</v>
      </c>
      <c r="M283" s="14"/>
    </row>
    <row r="284" spans="1:13">
      <c r="A284" s="260" t="s">
        <v>42</v>
      </c>
      <c r="B284" s="261"/>
      <c r="C284" s="261"/>
      <c r="D284" s="261"/>
      <c r="E284" s="261"/>
      <c r="F284" s="261"/>
      <c r="G284" s="262" t="str" cm="1">
        <f t="array" ref="G284">IFERROR(INDEX(Table_dim_price_recipe[Retail Price], MATCH(1, ("Calculator"&lt;&gt;Table_dim_price_recipe[Type.display])*($L284=Table_dim_price_recipe[Category])*($D284=Table_dim_price_recipe[Item Description]) * (G$6=Table_dim_price_recipe[Type])*(Table_dim_price_recipe[Retail Price]&lt;&gt;0)*($C284=Table_dim_price_recipe[Subcategory]), 0))*$B284,"")</f>
        <v/>
      </c>
      <c r="H284" s="262" t="str" cm="1">
        <f t="array" ref="H284">IFERROR(INDEX(Table_dim_price_recipe[Retail Price], MATCH(1, ("Calculator"&lt;&gt;Table_dim_price_recipe[Type.display])*($L284=Table_dim_price_recipe[Category])*($D284=Table_dim_price_recipe[Item Description]) * (H$6=Table_dim_price_recipe[Type])*(Table_dim_price_recipe[Retail Price]&lt;&gt;0)*($C284=Table_dim_price_recipe[Subcategory]), 0))*$B284,"")</f>
        <v/>
      </c>
      <c r="I284" s="262" t="str" cm="1">
        <f t="array" ref="I284">IFERROR(INDEX(Table_dim_price_recipe[Retail Price], MATCH(1, ("Calculator"&lt;&gt;Table_dim_price_recipe[Type.display])*($L284=Table_dim_price_recipe[Category])*($D284=Table_dim_price_recipe[Item Description]) * (I$6=Table_dim_price_recipe[Type])*(Table_dim_price_recipe[Retail Price]&lt;&gt;0)*($C284=Table_dim_price_recipe[Subcategory]), 0))*$B284,"")</f>
        <v/>
      </c>
      <c r="J284" s="262" t="str" cm="1">
        <f t="array" ref="J284">IFERROR(INDEX(Table_dim_price_recipe[Retail Price], MATCH(1, ("Calculator"&lt;&gt;Table_dim_price_recipe[Type.display])*($L284=Table_dim_price_recipe[Category])*($D284=Table_dim_price_recipe[Item Description]) * (J$6=Table_dim_price_recipe[Type])*(Table_dim_price_recipe[Retail Price]&lt;&gt;0)*($C284=Table_dim_price_recipe[Subcategory]), 0))*$B284,"")</f>
        <v/>
      </c>
      <c r="K284" s="262" t="str" cm="1">
        <f t="array" ref="K284">IFERROR(INDEX(Table_dim_price_recipe[Retail Price], MATCH(1, ("Calculator"&lt;&gt;Table_dim_price_recipe[Type.display])*($L284=Table_dim_price_recipe[Category])*($D284=Table_dim_price_recipe[Item Description]) * (K$6=Table_dim_price_recipe[Type])*(Table_dim_price_recipe[Retail Price]&lt;&gt;0)*($C284=Table_dim_price_recipe[Subcategory]), 0))*$B284,"")</f>
        <v/>
      </c>
      <c r="L284" s="262" t="str" cm="1">
        <f t="array" ref="L284">IF($A284&lt;&gt;"", $A284, LOOKUP(2, 1/((A$7:INDEX(A:A, ROW()))&lt;&gt;""), A$7:INDEX(A:A, ROW())))</f>
        <v>HERITAGE GABLE END FRET WORK</v>
      </c>
      <c r="M284" s="14"/>
    </row>
    <row r="285" spans="1:13">
      <c r="A285" s="263"/>
      <c r="B285" s="263"/>
      <c r="C285" s="263" t="s">
        <v>915</v>
      </c>
      <c r="D285" s="263" t="s">
        <v>928</v>
      </c>
      <c r="E285" s="263"/>
      <c r="F285" s="263"/>
      <c r="G285" s="39" t="str" cm="1">
        <f t="array" ref="G285">IFERROR(INDEX(Table_dim_price_recipe[Retail Price], MATCH(1, ("Calculator"&lt;&gt;Table_dim_price_recipe[Type.display])*($L285=Table_dim_price_recipe[Category])*($D285=Table_dim_price_recipe[Item Description]) * (G$6=Table_dim_price_recipe[Type])*(Table_dim_price_recipe[Retail Price]&lt;&gt;0)*($C285=Table_dim_price_recipe[Subcategory]), 0))*$B285,"")</f>
        <v/>
      </c>
      <c r="H285" s="39" cm="1">
        <f t="array" ref="H285">IFERROR(INDEX(Table_dim_price_recipe[Retail Price], MATCH(1, ("Calculator"&lt;&gt;Table_dim_price_recipe[Type.display])*($L285=Table_dim_price_recipe[Category])*($D285=Table_dim_price_recipe[Item Description]) * (H$6=Table_dim_price_recipe[Type])*(Table_dim_price_recipe[Retail Price]&lt;&gt;0)*($C285=Table_dim_price_recipe[Subcategory]), 0))*$B285,"")</f>
        <v>0</v>
      </c>
      <c r="I285" s="39" t="str" cm="1">
        <f t="array" ref="I285">IFERROR(INDEX(Table_dim_price_recipe[Retail Price], MATCH(1, ("Calculator"&lt;&gt;Table_dim_price_recipe[Type.display])*($L285=Table_dim_price_recipe[Category])*($D285=Table_dim_price_recipe[Item Description]) * (I$6=Table_dim_price_recipe[Type])*(Table_dim_price_recipe[Retail Price]&lt;&gt;0)*($C285=Table_dim_price_recipe[Subcategory]), 0))*$B285,"")</f>
        <v/>
      </c>
      <c r="J285" s="39" t="str" cm="1">
        <f t="array" ref="J285">IFERROR(INDEX(Table_dim_price_recipe[Retail Price], MATCH(1, ("Calculator"&lt;&gt;Table_dim_price_recipe[Type.display])*($L285=Table_dim_price_recipe[Category])*($D285=Table_dim_price_recipe[Item Description]) * (J$6=Table_dim_price_recipe[Type])*(Table_dim_price_recipe[Retail Price]&lt;&gt;0)*($C285=Table_dim_price_recipe[Subcategory]), 0))*$B285,"")</f>
        <v/>
      </c>
      <c r="K285" s="39" t="str" cm="1">
        <f t="array" ref="K285">IFERROR(INDEX(Table_dim_price_recipe[Retail Price], MATCH(1, ("Calculator"&lt;&gt;Table_dim_price_recipe[Type.display])*($L285=Table_dim_price_recipe[Category])*($D285=Table_dim_price_recipe[Item Description]) * (K$6=Table_dim_price_recipe[Type])*(Table_dim_price_recipe[Retail Price]&lt;&gt;0)*($C285=Table_dim_price_recipe[Subcategory]), 0))*$B285,"")</f>
        <v/>
      </c>
      <c r="L285" s="39" t="str" cm="1">
        <f t="array" ref="L285">IF($A285&lt;&gt;"", $A285, LOOKUP(2, 1/((A$7:INDEX(A:A, ROW()))&lt;&gt;""), A$7:INDEX(A:A, ROW())))</f>
        <v>HERITAGE GABLE END FRET WORK</v>
      </c>
      <c r="M285" s="14"/>
    </row>
    <row r="286" spans="1:13">
      <c r="A286" s="263"/>
      <c r="B286" s="263"/>
      <c r="C286" s="263" t="s">
        <v>915</v>
      </c>
      <c r="D286" s="263" t="s">
        <v>929</v>
      </c>
      <c r="E286" s="263"/>
      <c r="F286" s="263"/>
      <c r="G286" s="39" t="str" cm="1">
        <f t="array" ref="G286">IFERROR(INDEX(Table_dim_price_recipe[Retail Price], MATCH(1, ("Calculator"&lt;&gt;Table_dim_price_recipe[Type.display])*($L286=Table_dim_price_recipe[Category])*($D286=Table_dim_price_recipe[Item Description]) * (G$6=Table_dim_price_recipe[Type])*(Table_dim_price_recipe[Retail Price]&lt;&gt;0)*($C286=Table_dim_price_recipe[Subcategory]), 0))*$B286,"")</f>
        <v/>
      </c>
      <c r="H286" s="39" cm="1">
        <f t="array" ref="H286">IFERROR(INDEX(Table_dim_price_recipe[Retail Price], MATCH(1, ("Calculator"&lt;&gt;Table_dim_price_recipe[Type.display])*($L286=Table_dim_price_recipe[Category])*($D286=Table_dim_price_recipe[Item Description]) * (H$6=Table_dim_price_recipe[Type])*(Table_dim_price_recipe[Retail Price]&lt;&gt;0)*($C286=Table_dim_price_recipe[Subcategory]), 0))*$B286,"")</f>
        <v>0</v>
      </c>
      <c r="I286" s="39" t="str" cm="1">
        <f t="array" ref="I286">IFERROR(INDEX(Table_dim_price_recipe[Retail Price], MATCH(1, ("Calculator"&lt;&gt;Table_dim_price_recipe[Type.display])*($L286=Table_dim_price_recipe[Category])*($D286=Table_dim_price_recipe[Item Description]) * (I$6=Table_dim_price_recipe[Type])*(Table_dim_price_recipe[Retail Price]&lt;&gt;0)*($C286=Table_dim_price_recipe[Subcategory]), 0))*$B286,"")</f>
        <v/>
      </c>
      <c r="J286" s="39" t="str" cm="1">
        <f t="array" ref="J286">IFERROR(INDEX(Table_dim_price_recipe[Retail Price], MATCH(1, ("Calculator"&lt;&gt;Table_dim_price_recipe[Type.display])*($L286=Table_dim_price_recipe[Category])*($D286=Table_dim_price_recipe[Item Description]) * (J$6=Table_dim_price_recipe[Type])*(Table_dim_price_recipe[Retail Price]&lt;&gt;0)*($C286=Table_dim_price_recipe[Subcategory]), 0))*$B286,"")</f>
        <v/>
      </c>
      <c r="K286" s="39" t="str" cm="1">
        <f t="array" ref="K286">IFERROR(INDEX(Table_dim_price_recipe[Retail Price], MATCH(1, ("Calculator"&lt;&gt;Table_dim_price_recipe[Type.display])*($L286=Table_dim_price_recipe[Category])*($D286=Table_dim_price_recipe[Item Description]) * (K$6=Table_dim_price_recipe[Type])*(Table_dim_price_recipe[Retail Price]&lt;&gt;0)*($C286=Table_dim_price_recipe[Subcategory]), 0))*$B286,"")</f>
        <v/>
      </c>
      <c r="L286" s="39" t="str" cm="1">
        <f t="array" ref="L286">IF($A286&lt;&gt;"", $A286, LOOKUP(2, 1/((A$7:INDEX(A:A, ROW()))&lt;&gt;""), A$7:INDEX(A:A, ROW())))</f>
        <v>HERITAGE GABLE END FRET WORK</v>
      </c>
      <c r="M286" s="14"/>
    </row>
    <row r="287" spans="1:13">
      <c r="A287" s="263"/>
      <c r="B287" s="263"/>
      <c r="C287" s="263" t="s">
        <v>915</v>
      </c>
      <c r="D287" s="263"/>
      <c r="E287" s="263"/>
      <c r="F287" s="263"/>
      <c r="G287" s="39" t="str" cm="1">
        <f t="array" ref="G287">IFERROR(INDEX(Table_dim_price_recipe[Retail Price], MATCH(1, ("Calculator"&lt;&gt;Table_dim_price_recipe[Type.display])*($L287=Table_dim_price_recipe[Category])*($D287=Table_dim_price_recipe[Item Description]) * (G$6=Table_dim_price_recipe[Type])*(Table_dim_price_recipe[Retail Price]&lt;&gt;0)*($C287=Table_dim_price_recipe[Subcategory]), 0))*$B287,"")</f>
        <v/>
      </c>
      <c r="H287" s="39" t="str" cm="1">
        <f t="array" ref="H287">IFERROR(INDEX(Table_dim_price_recipe[Retail Price], MATCH(1, ("Calculator"&lt;&gt;Table_dim_price_recipe[Type.display])*($L287=Table_dim_price_recipe[Category])*($D287=Table_dim_price_recipe[Item Description]) * (H$6=Table_dim_price_recipe[Type])*(Table_dim_price_recipe[Retail Price]&lt;&gt;0)*($C287=Table_dim_price_recipe[Subcategory]), 0))*$B287,"")</f>
        <v/>
      </c>
      <c r="I287" s="39" t="str" cm="1">
        <f t="array" ref="I287">IFERROR(INDEX(Table_dim_price_recipe[Retail Price], MATCH(1, ("Calculator"&lt;&gt;Table_dim_price_recipe[Type.display])*($L287=Table_dim_price_recipe[Category])*($D287=Table_dim_price_recipe[Item Description]) * (I$6=Table_dim_price_recipe[Type])*(Table_dim_price_recipe[Retail Price]&lt;&gt;0)*($C287=Table_dim_price_recipe[Subcategory]), 0))*$B287,"")</f>
        <v/>
      </c>
      <c r="J287" s="39" t="str" cm="1">
        <f t="array" ref="J287">IFERROR(INDEX(Table_dim_price_recipe[Retail Price], MATCH(1, ("Calculator"&lt;&gt;Table_dim_price_recipe[Type.display])*($L287=Table_dim_price_recipe[Category])*($D287=Table_dim_price_recipe[Item Description]) * (J$6=Table_dim_price_recipe[Type])*(Table_dim_price_recipe[Retail Price]&lt;&gt;0)*($C287=Table_dim_price_recipe[Subcategory]), 0))*$B287,"")</f>
        <v/>
      </c>
      <c r="K287" s="39" t="str" cm="1">
        <f t="array" ref="K287">IFERROR(INDEX(Table_dim_price_recipe[Retail Price], MATCH(1, ("Calculator"&lt;&gt;Table_dim_price_recipe[Type.display])*($L287=Table_dim_price_recipe[Category])*($D287=Table_dim_price_recipe[Item Description]) * (K$6=Table_dim_price_recipe[Type])*(Table_dim_price_recipe[Retail Price]&lt;&gt;0)*($C287=Table_dim_price_recipe[Subcategory]), 0))*$B287,"")</f>
        <v/>
      </c>
      <c r="L287" s="39" t="str" cm="1">
        <f t="array" ref="L287">IF($A287&lt;&gt;"", $A287, LOOKUP(2, 1/((A$7:INDEX(A:A, ROW()))&lt;&gt;""), A$7:INDEX(A:A, ROW())))</f>
        <v>HERITAGE GABLE END FRET WORK</v>
      </c>
      <c r="M287" s="14"/>
    </row>
    <row r="288" spans="1:13">
      <c r="A288" s="263"/>
      <c r="B288" s="263"/>
      <c r="C288" s="263" t="s">
        <v>915</v>
      </c>
      <c r="D288" s="263"/>
      <c r="E288" s="263"/>
      <c r="F288" s="263"/>
      <c r="G288" s="39" t="str" cm="1">
        <f t="array" ref="G288">IFERROR(INDEX(Table_dim_price_recipe[Retail Price], MATCH(1, ("Calculator"&lt;&gt;Table_dim_price_recipe[Type.display])*($L288=Table_dim_price_recipe[Category])*($D288=Table_dim_price_recipe[Item Description]) * (G$6=Table_dim_price_recipe[Type])*(Table_dim_price_recipe[Retail Price]&lt;&gt;0)*($C288=Table_dim_price_recipe[Subcategory]), 0))*$B288,"")</f>
        <v/>
      </c>
      <c r="H288" s="39" t="str" cm="1">
        <f t="array" ref="H288">IFERROR(INDEX(Table_dim_price_recipe[Retail Price], MATCH(1, ("Calculator"&lt;&gt;Table_dim_price_recipe[Type.display])*($L288=Table_dim_price_recipe[Category])*($D288=Table_dim_price_recipe[Item Description]) * (H$6=Table_dim_price_recipe[Type])*(Table_dim_price_recipe[Retail Price]&lt;&gt;0)*($C288=Table_dim_price_recipe[Subcategory]), 0))*$B288,"")</f>
        <v/>
      </c>
      <c r="I288" s="39" t="str" cm="1">
        <f t="array" ref="I288">IFERROR(INDEX(Table_dim_price_recipe[Retail Price], MATCH(1, ("Calculator"&lt;&gt;Table_dim_price_recipe[Type.display])*($L288=Table_dim_price_recipe[Category])*($D288=Table_dim_price_recipe[Item Description]) * (I$6=Table_dim_price_recipe[Type])*(Table_dim_price_recipe[Retail Price]&lt;&gt;0)*($C288=Table_dim_price_recipe[Subcategory]), 0))*$B288,"")</f>
        <v/>
      </c>
      <c r="J288" s="39" t="str" cm="1">
        <f t="array" ref="J288">IFERROR(INDEX(Table_dim_price_recipe[Retail Price], MATCH(1, ("Calculator"&lt;&gt;Table_dim_price_recipe[Type.display])*($L288=Table_dim_price_recipe[Category])*($D288=Table_dim_price_recipe[Item Description]) * (J$6=Table_dim_price_recipe[Type])*(Table_dim_price_recipe[Retail Price]&lt;&gt;0)*($C288=Table_dim_price_recipe[Subcategory]), 0))*$B288,"")</f>
        <v/>
      </c>
      <c r="K288" s="39" t="str" cm="1">
        <f t="array" ref="K288">IFERROR(INDEX(Table_dim_price_recipe[Retail Price], MATCH(1, ("Calculator"&lt;&gt;Table_dim_price_recipe[Type.display])*($L288=Table_dim_price_recipe[Category])*($D288=Table_dim_price_recipe[Item Description]) * (K$6=Table_dim_price_recipe[Type])*(Table_dim_price_recipe[Retail Price]&lt;&gt;0)*($C288=Table_dim_price_recipe[Subcategory]), 0))*$B288,"")</f>
        <v/>
      </c>
      <c r="L288" s="39" t="str" cm="1">
        <f t="array" ref="L288">IF($A288&lt;&gt;"", $A288, LOOKUP(2, 1/((A$7:INDEX(A:A, ROW()))&lt;&gt;""), A$7:INDEX(A:A, ROW())))</f>
        <v>HERITAGE GABLE END FRET WORK</v>
      </c>
      <c r="M288" s="14"/>
    </row>
    <row r="289" spans="1:13">
      <c r="A289" s="260" t="s">
        <v>43</v>
      </c>
      <c r="B289" s="261"/>
      <c r="C289" s="261"/>
      <c r="D289" s="261"/>
      <c r="E289" s="261"/>
      <c r="F289" s="261"/>
      <c r="G289" s="262" t="str" cm="1">
        <f t="array" ref="G289">IFERROR(INDEX(Table_dim_price_recipe[Retail Price], MATCH(1, ("Calculator"&lt;&gt;Table_dim_price_recipe[Type.display])*($L289=Table_dim_price_recipe[Category])*($D289=Table_dim_price_recipe[Item Description]) * (G$6=Table_dim_price_recipe[Type])*(Table_dim_price_recipe[Retail Price]&lt;&gt;0)*($C289=Table_dim_price_recipe[Subcategory]), 0))*$B289,"")</f>
        <v/>
      </c>
      <c r="H289" s="262" t="str" cm="1">
        <f t="array" ref="H289">IFERROR(INDEX(Table_dim_price_recipe[Retail Price], MATCH(1, ("Calculator"&lt;&gt;Table_dim_price_recipe[Type.display])*($L289=Table_dim_price_recipe[Category])*($D289=Table_dim_price_recipe[Item Description]) * (H$6=Table_dim_price_recipe[Type])*(Table_dim_price_recipe[Retail Price]&lt;&gt;0)*($C289=Table_dim_price_recipe[Subcategory]), 0))*$B289,"")</f>
        <v/>
      </c>
      <c r="I289" s="262" t="str" cm="1">
        <f t="array" ref="I289">IFERROR(INDEX(Table_dim_price_recipe[Retail Price], MATCH(1, ("Calculator"&lt;&gt;Table_dim_price_recipe[Type.display])*($L289=Table_dim_price_recipe[Category])*($D289=Table_dim_price_recipe[Item Description]) * (I$6=Table_dim_price_recipe[Type])*(Table_dim_price_recipe[Retail Price]&lt;&gt;0)*($C289=Table_dim_price_recipe[Subcategory]), 0))*$B289,"")</f>
        <v/>
      </c>
      <c r="J289" s="262" t="str" cm="1">
        <f t="array" ref="J289">IFERROR(INDEX(Table_dim_price_recipe[Retail Price], MATCH(1, ("Calculator"&lt;&gt;Table_dim_price_recipe[Type.display])*($L289=Table_dim_price_recipe[Category])*($D289=Table_dim_price_recipe[Item Description]) * (J$6=Table_dim_price_recipe[Type])*(Table_dim_price_recipe[Retail Price]&lt;&gt;0)*($C289=Table_dim_price_recipe[Subcategory]), 0))*$B289,"")</f>
        <v/>
      </c>
      <c r="K289" s="262" t="str" cm="1">
        <f t="array" ref="K289">IFERROR(INDEX(Table_dim_price_recipe[Retail Price], MATCH(1, ("Calculator"&lt;&gt;Table_dim_price_recipe[Type.display])*($L289=Table_dim_price_recipe[Category])*($D289=Table_dim_price_recipe[Item Description]) * (K$6=Table_dim_price_recipe[Type])*(Table_dim_price_recipe[Retail Price]&lt;&gt;0)*($C289=Table_dim_price_recipe[Subcategory]), 0))*$B289,"")</f>
        <v/>
      </c>
      <c r="L289" s="262" t="str" cm="1">
        <f t="array" ref="L289">IF($A289&lt;&gt;"", $A289, LOOKUP(2, 1/((A$7:INDEX(A:A, ROW()))&lt;&gt;""), A$7:INDEX(A:A, ROW())))</f>
        <v>VENTS</v>
      </c>
      <c r="M289" s="14"/>
    </row>
    <row r="290" spans="1:13">
      <c r="A290" s="263"/>
      <c r="B290" s="263"/>
      <c r="C290" s="263" t="s">
        <v>695</v>
      </c>
      <c r="D290" s="263" t="s">
        <v>1153</v>
      </c>
      <c r="E290" s="263"/>
      <c r="F290" s="263"/>
      <c r="G290" s="39" cm="1">
        <f t="array" ref="G290">IFERROR(INDEX(Table_dim_price_recipe[Retail Price], MATCH(1, ("Calculator"&lt;&gt;Table_dim_price_recipe[Type.display])*($L290=Table_dim_price_recipe[Category])*($D290=Table_dim_price_recipe[Item Description]) * (G$6=Table_dim_price_recipe[Type])*(Table_dim_price_recipe[Retail Price]&lt;&gt;0)*($C290=Table_dim_price_recipe[Subcategory]), 0))*$B290,"")</f>
        <v>0</v>
      </c>
      <c r="H290" s="39" t="str" cm="1">
        <f t="array" ref="H290">IFERROR(INDEX(Table_dim_price_recipe[Retail Price], MATCH(1, ("Calculator"&lt;&gt;Table_dim_price_recipe[Type.display])*($L290=Table_dim_price_recipe[Category])*($D290=Table_dim_price_recipe[Item Description]) * (H$6=Table_dim_price_recipe[Type])*(Table_dim_price_recipe[Retail Price]&lt;&gt;0)*($C290=Table_dim_price_recipe[Subcategory]), 0))*$B290,"")</f>
        <v/>
      </c>
      <c r="I290" s="39" t="str" cm="1">
        <f t="array" ref="I290">IFERROR(INDEX(Table_dim_price_recipe[Retail Price], MATCH(1, ("Calculator"&lt;&gt;Table_dim_price_recipe[Type.display])*($L290=Table_dim_price_recipe[Category])*($D290=Table_dim_price_recipe[Item Description]) * (I$6=Table_dim_price_recipe[Type])*(Table_dim_price_recipe[Retail Price]&lt;&gt;0)*($C290=Table_dim_price_recipe[Subcategory]), 0))*$B290,"")</f>
        <v/>
      </c>
      <c r="J290" s="39" t="str" cm="1">
        <f t="array" ref="J290">IFERROR(INDEX(Table_dim_price_recipe[Retail Price], MATCH(1, ("Calculator"&lt;&gt;Table_dim_price_recipe[Type.display])*($L290=Table_dim_price_recipe[Category])*($D290=Table_dim_price_recipe[Item Description]) * (J$6=Table_dim_price_recipe[Type])*(Table_dim_price_recipe[Retail Price]&lt;&gt;0)*($C290=Table_dim_price_recipe[Subcategory]), 0))*$B290,"")</f>
        <v/>
      </c>
      <c r="K290" s="39" t="str" cm="1">
        <f t="array" ref="K290">IFERROR(INDEX(Table_dim_price_recipe[Retail Price], MATCH(1, ("Calculator"&lt;&gt;Table_dim_price_recipe[Type.display])*($L290=Table_dim_price_recipe[Category])*($D290=Table_dim_price_recipe[Item Description]) * (K$6=Table_dim_price_recipe[Type])*(Table_dim_price_recipe[Retail Price]&lt;&gt;0)*($C290=Table_dim_price_recipe[Subcategory]), 0))*$B290,"")</f>
        <v/>
      </c>
      <c r="L290" s="39" t="str" cm="1">
        <f t="array" ref="L290">IF($A290&lt;&gt;"", $A290, LOOKUP(2, 1/((A$7:INDEX(A:A, ROW()))&lt;&gt;""), A$7:INDEX(A:A, ROW())))</f>
        <v>VENTS</v>
      </c>
      <c r="M290" s="14"/>
    </row>
    <row r="291" spans="1:13">
      <c r="A291" s="263"/>
      <c r="B291" s="263"/>
      <c r="C291" s="263" t="s">
        <v>695</v>
      </c>
      <c r="D291" s="263" t="s">
        <v>1155</v>
      </c>
      <c r="E291" s="263"/>
      <c r="F291" s="263"/>
      <c r="G291" s="39" cm="1">
        <f t="array" ref="G291">IFERROR(INDEX(Table_dim_price_recipe[Retail Price], MATCH(1, ("Calculator"&lt;&gt;Table_dim_price_recipe[Type.display])*($L291=Table_dim_price_recipe[Category])*($D291=Table_dim_price_recipe[Item Description]) * (G$6=Table_dim_price_recipe[Type])*(Table_dim_price_recipe[Retail Price]&lt;&gt;0)*($C291=Table_dim_price_recipe[Subcategory]), 0))*$B291,"")</f>
        <v>0</v>
      </c>
      <c r="H291" s="39" t="str" cm="1">
        <f t="array" ref="H291">IFERROR(INDEX(Table_dim_price_recipe[Retail Price], MATCH(1, ("Calculator"&lt;&gt;Table_dim_price_recipe[Type.display])*($L291=Table_dim_price_recipe[Category])*($D291=Table_dim_price_recipe[Item Description]) * (H$6=Table_dim_price_recipe[Type])*(Table_dim_price_recipe[Retail Price]&lt;&gt;0)*($C291=Table_dim_price_recipe[Subcategory]), 0))*$B291,"")</f>
        <v/>
      </c>
      <c r="I291" s="39" t="str" cm="1">
        <f t="array" ref="I291">IFERROR(INDEX(Table_dim_price_recipe[Retail Price], MATCH(1, ("Calculator"&lt;&gt;Table_dim_price_recipe[Type.display])*($L291=Table_dim_price_recipe[Category])*($D291=Table_dim_price_recipe[Item Description]) * (I$6=Table_dim_price_recipe[Type])*(Table_dim_price_recipe[Retail Price]&lt;&gt;0)*($C291=Table_dim_price_recipe[Subcategory]), 0))*$B291,"")</f>
        <v/>
      </c>
      <c r="J291" s="39" t="str" cm="1">
        <f t="array" ref="J291">IFERROR(INDEX(Table_dim_price_recipe[Retail Price], MATCH(1, ("Calculator"&lt;&gt;Table_dim_price_recipe[Type.display])*($L291=Table_dim_price_recipe[Category])*($D291=Table_dim_price_recipe[Item Description]) * (J$6=Table_dim_price_recipe[Type])*(Table_dim_price_recipe[Retail Price]&lt;&gt;0)*($C291=Table_dim_price_recipe[Subcategory]), 0))*$B291,"")</f>
        <v/>
      </c>
      <c r="K291" s="39" t="str" cm="1">
        <f t="array" ref="K291">IFERROR(INDEX(Table_dim_price_recipe[Retail Price], MATCH(1, ("Calculator"&lt;&gt;Table_dim_price_recipe[Type.display])*($L291=Table_dim_price_recipe[Category])*($D291=Table_dim_price_recipe[Item Description]) * (K$6=Table_dim_price_recipe[Type])*(Table_dim_price_recipe[Retail Price]&lt;&gt;0)*($C291=Table_dim_price_recipe[Subcategory]), 0))*$B291,"")</f>
        <v/>
      </c>
      <c r="L291" s="39" t="str" cm="1">
        <f t="array" ref="L291">IF($A291&lt;&gt;"", $A291, LOOKUP(2, 1/((A$7:INDEX(A:A, ROW()))&lt;&gt;""), A$7:INDEX(A:A, ROW())))</f>
        <v>VENTS</v>
      </c>
      <c r="M291" s="14"/>
    </row>
    <row r="292" spans="1:13">
      <c r="A292" s="263"/>
      <c r="B292" s="263"/>
      <c r="C292" s="263" t="s">
        <v>695</v>
      </c>
      <c r="D292" s="263" t="s">
        <v>1154</v>
      </c>
      <c r="E292" s="263"/>
      <c r="F292" s="263"/>
      <c r="G292" s="39" cm="1">
        <f t="array" ref="G292">IFERROR(INDEX(Table_dim_price_recipe[Retail Price], MATCH(1, ("Calculator"&lt;&gt;Table_dim_price_recipe[Type.display])*($L292=Table_dim_price_recipe[Category])*($D292=Table_dim_price_recipe[Item Description]) * (G$6=Table_dim_price_recipe[Type])*(Table_dim_price_recipe[Retail Price]&lt;&gt;0)*($C292=Table_dim_price_recipe[Subcategory]), 0))*$B292,"")</f>
        <v>0</v>
      </c>
      <c r="H292" s="39" t="str" cm="1">
        <f t="array" ref="H292">IFERROR(INDEX(Table_dim_price_recipe[Retail Price], MATCH(1, ("Calculator"&lt;&gt;Table_dim_price_recipe[Type.display])*($L292=Table_dim_price_recipe[Category])*($D292=Table_dim_price_recipe[Item Description]) * (H$6=Table_dim_price_recipe[Type])*(Table_dim_price_recipe[Retail Price]&lt;&gt;0)*($C292=Table_dim_price_recipe[Subcategory]), 0))*$B292,"")</f>
        <v/>
      </c>
      <c r="I292" s="39" t="str" cm="1">
        <f t="array" ref="I292">IFERROR(INDEX(Table_dim_price_recipe[Retail Price], MATCH(1, ("Calculator"&lt;&gt;Table_dim_price_recipe[Type.display])*($L292=Table_dim_price_recipe[Category])*($D292=Table_dim_price_recipe[Item Description]) * (I$6=Table_dim_price_recipe[Type])*(Table_dim_price_recipe[Retail Price]&lt;&gt;0)*($C292=Table_dim_price_recipe[Subcategory]), 0))*$B292,"")</f>
        <v/>
      </c>
      <c r="J292" s="39" t="str" cm="1">
        <f t="array" ref="J292">IFERROR(INDEX(Table_dim_price_recipe[Retail Price], MATCH(1, ("Calculator"&lt;&gt;Table_dim_price_recipe[Type.display])*($L292=Table_dim_price_recipe[Category])*($D292=Table_dim_price_recipe[Item Description]) * (J$6=Table_dim_price_recipe[Type])*(Table_dim_price_recipe[Retail Price]&lt;&gt;0)*($C292=Table_dim_price_recipe[Subcategory]), 0))*$B292,"")</f>
        <v/>
      </c>
      <c r="K292" s="39" t="str" cm="1">
        <f t="array" ref="K292">IFERROR(INDEX(Table_dim_price_recipe[Retail Price], MATCH(1, ("Calculator"&lt;&gt;Table_dim_price_recipe[Type.display])*($L292=Table_dim_price_recipe[Category])*($D292=Table_dim_price_recipe[Item Description]) * (K$6=Table_dim_price_recipe[Type])*(Table_dim_price_recipe[Retail Price]&lt;&gt;0)*($C292=Table_dim_price_recipe[Subcategory]), 0))*$B292,"")</f>
        <v/>
      </c>
      <c r="L292" s="39" t="str" cm="1">
        <f t="array" ref="L292">IF($A292&lt;&gt;"", $A292, LOOKUP(2, 1/((A$7:INDEX(A:A, ROW()))&lt;&gt;""), A$7:INDEX(A:A, ROW())))</f>
        <v>VENTS</v>
      </c>
      <c r="M292" s="14"/>
    </row>
    <row r="293" spans="1:13">
      <c r="A293" s="263"/>
      <c r="B293" s="263"/>
      <c r="C293" s="263" t="s">
        <v>695</v>
      </c>
      <c r="D293" s="263" t="s">
        <v>700</v>
      </c>
      <c r="E293" s="263"/>
      <c r="F293" s="263"/>
      <c r="G293" s="39" cm="1">
        <f t="array" ref="G293">IFERROR(INDEX(Table_dim_price_recipe[Retail Price], MATCH(1, ("Calculator"&lt;&gt;Table_dim_price_recipe[Type.display])*($L293=Table_dim_price_recipe[Category])*($D293=Table_dim_price_recipe[Item Description]) * (G$6=Table_dim_price_recipe[Type])*(Table_dim_price_recipe[Retail Price]&lt;&gt;0)*($C293=Table_dim_price_recipe[Subcategory]), 0))*$B293,"")</f>
        <v>0</v>
      </c>
      <c r="H293" s="39" t="str" cm="1">
        <f t="array" ref="H293">IFERROR(INDEX(Table_dim_price_recipe[Retail Price], MATCH(1, ("Calculator"&lt;&gt;Table_dim_price_recipe[Type.display])*($L293=Table_dim_price_recipe[Category])*($D293=Table_dim_price_recipe[Item Description]) * (H$6=Table_dim_price_recipe[Type])*(Table_dim_price_recipe[Retail Price]&lt;&gt;0)*($C293=Table_dim_price_recipe[Subcategory]), 0))*$B293,"")</f>
        <v/>
      </c>
      <c r="I293" s="39" t="str" cm="1">
        <f t="array" ref="I293">IFERROR(INDEX(Table_dim_price_recipe[Retail Price], MATCH(1, ("Calculator"&lt;&gt;Table_dim_price_recipe[Type.display])*($L293=Table_dim_price_recipe[Category])*($D293=Table_dim_price_recipe[Item Description]) * (I$6=Table_dim_price_recipe[Type])*(Table_dim_price_recipe[Retail Price]&lt;&gt;0)*($C293=Table_dim_price_recipe[Subcategory]), 0))*$B293,"")</f>
        <v/>
      </c>
      <c r="J293" s="39" t="str" cm="1">
        <f t="array" ref="J293">IFERROR(INDEX(Table_dim_price_recipe[Retail Price], MATCH(1, ("Calculator"&lt;&gt;Table_dim_price_recipe[Type.display])*($L293=Table_dim_price_recipe[Category])*($D293=Table_dim_price_recipe[Item Description]) * (J$6=Table_dim_price_recipe[Type])*(Table_dim_price_recipe[Retail Price]&lt;&gt;0)*($C293=Table_dim_price_recipe[Subcategory]), 0))*$B293,"")</f>
        <v/>
      </c>
      <c r="K293" s="39" t="str" cm="1">
        <f t="array" ref="K293">IFERROR(INDEX(Table_dim_price_recipe[Retail Price], MATCH(1, ("Calculator"&lt;&gt;Table_dim_price_recipe[Type.display])*($L293=Table_dim_price_recipe[Category])*($D293=Table_dim_price_recipe[Item Description]) * (K$6=Table_dim_price_recipe[Type])*(Table_dim_price_recipe[Retail Price]&lt;&gt;0)*($C293=Table_dim_price_recipe[Subcategory]), 0))*$B293,"")</f>
        <v/>
      </c>
      <c r="L293" s="39" t="str" cm="1">
        <f t="array" ref="L293">IF($A293&lt;&gt;"", $A293, LOOKUP(2, 1/((A$7:INDEX(A:A, ROW()))&lt;&gt;""), A$7:INDEX(A:A, ROW())))</f>
        <v>VENTS</v>
      </c>
      <c r="M293" s="14"/>
    </row>
    <row r="294" spans="1:13">
      <c r="A294" s="263"/>
      <c r="B294" s="263"/>
      <c r="C294" s="263" t="s">
        <v>695</v>
      </c>
      <c r="D294" s="263" t="s">
        <v>699</v>
      </c>
      <c r="E294" s="263"/>
      <c r="F294" s="263"/>
      <c r="G294" s="39" cm="1">
        <f t="array" ref="G294">IFERROR(INDEX(Table_dim_price_recipe[Retail Price], MATCH(1, ("Calculator"&lt;&gt;Table_dim_price_recipe[Type.display])*($L294=Table_dim_price_recipe[Category])*($D294=Table_dim_price_recipe[Item Description]) * (G$6=Table_dim_price_recipe[Type])*(Table_dim_price_recipe[Retail Price]&lt;&gt;0)*($C294=Table_dim_price_recipe[Subcategory]), 0))*$B294,"")</f>
        <v>0</v>
      </c>
      <c r="H294" s="39" t="str" cm="1">
        <f t="array" ref="H294">IFERROR(INDEX(Table_dim_price_recipe[Retail Price], MATCH(1, ("Calculator"&lt;&gt;Table_dim_price_recipe[Type.display])*($L294=Table_dim_price_recipe[Category])*($D294=Table_dim_price_recipe[Item Description]) * (H$6=Table_dim_price_recipe[Type])*(Table_dim_price_recipe[Retail Price]&lt;&gt;0)*($C294=Table_dim_price_recipe[Subcategory]), 0))*$B294,"")</f>
        <v/>
      </c>
      <c r="I294" s="39" t="str" cm="1">
        <f t="array" ref="I294">IFERROR(INDEX(Table_dim_price_recipe[Retail Price], MATCH(1, ("Calculator"&lt;&gt;Table_dim_price_recipe[Type.display])*($L294=Table_dim_price_recipe[Category])*($D294=Table_dim_price_recipe[Item Description]) * (I$6=Table_dim_price_recipe[Type])*(Table_dim_price_recipe[Retail Price]&lt;&gt;0)*($C294=Table_dim_price_recipe[Subcategory]), 0))*$B294,"")</f>
        <v/>
      </c>
      <c r="J294" s="39" t="str" cm="1">
        <f t="array" ref="J294">IFERROR(INDEX(Table_dim_price_recipe[Retail Price], MATCH(1, ("Calculator"&lt;&gt;Table_dim_price_recipe[Type.display])*($L294=Table_dim_price_recipe[Category])*($D294=Table_dim_price_recipe[Item Description]) * (J$6=Table_dim_price_recipe[Type])*(Table_dim_price_recipe[Retail Price]&lt;&gt;0)*($C294=Table_dim_price_recipe[Subcategory]), 0))*$B294,"")</f>
        <v/>
      </c>
      <c r="K294" s="39" t="str" cm="1">
        <f t="array" ref="K294">IFERROR(INDEX(Table_dim_price_recipe[Retail Price], MATCH(1, ("Calculator"&lt;&gt;Table_dim_price_recipe[Type.display])*($L294=Table_dim_price_recipe[Category])*($D294=Table_dim_price_recipe[Item Description]) * (K$6=Table_dim_price_recipe[Type])*(Table_dim_price_recipe[Retail Price]&lt;&gt;0)*($C294=Table_dim_price_recipe[Subcategory]), 0))*$B294,"")</f>
        <v/>
      </c>
      <c r="L294" s="39" t="str" cm="1">
        <f t="array" ref="L294">IF($A294&lt;&gt;"", $A294, LOOKUP(2, 1/((A$7:INDEX(A:A, ROW()))&lt;&gt;""), A$7:INDEX(A:A, ROW())))</f>
        <v>VENTS</v>
      </c>
      <c r="M294" s="14"/>
    </row>
    <row r="295" spans="1:13">
      <c r="A295" s="263"/>
      <c r="B295" s="263"/>
      <c r="C295" s="263" t="s">
        <v>695</v>
      </c>
      <c r="D295" s="263"/>
      <c r="E295" s="263"/>
      <c r="F295" s="263"/>
      <c r="G295" s="39" t="str" cm="1">
        <f t="array" ref="G295">IFERROR(INDEX(Table_dim_price_recipe[Retail Price], MATCH(1, ("Calculator"&lt;&gt;Table_dim_price_recipe[Type.display])*($L295=Table_dim_price_recipe[Category])*($D295=Table_dim_price_recipe[Item Description]) * (G$6=Table_dim_price_recipe[Type])*(Table_dim_price_recipe[Retail Price]&lt;&gt;0)*($C295=Table_dim_price_recipe[Subcategory]), 0))*$B295,"")</f>
        <v/>
      </c>
      <c r="H295" s="39" t="str" cm="1">
        <f t="array" ref="H295">IFERROR(INDEX(Table_dim_price_recipe[Retail Price], MATCH(1, ("Calculator"&lt;&gt;Table_dim_price_recipe[Type.display])*($L295=Table_dim_price_recipe[Category])*($D295=Table_dim_price_recipe[Item Description]) * (H$6=Table_dim_price_recipe[Type])*(Table_dim_price_recipe[Retail Price]&lt;&gt;0)*($C295=Table_dim_price_recipe[Subcategory]), 0))*$B295,"")</f>
        <v/>
      </c>
      <c r="I295" s="39" t="str" cm="1">
        <f t="array" ref="I295">IFERROR(INDEX(Table_dim_price_recipe[Retail Price], MATCH(1, ("Calculator"&lt;&gt;Table_dim_price_recipe[Type.display])*($L295=Table_dim_price_recipe[Category])*($D295=Table_dim_price_recipe[Item Description]) * (I$6=Table_dim_price_recipe[Type])*(Table_dim_price_recipe[Retail Price]&lt;&gt;0)*($C295=Table_dim_price_recipe[Subcategory]), 0))*$B295,"")</f>
        <v/>
      </c>
      <c r="J295" s="39" t="str" cm="1">
        <f t="array" ref="J295">IFERROR(INDEX(Table_dim_price_recipe[Retail Price], MATCH(1, ("Calculator"&lt;&gt;Table_dim_price_recipe[Type.display])*($L295=Table_dim_price_recipe[Category])*($D295=Table_dim_price_recipe[Item Description]) * (J$6=Table_dim_price_recipe[Type])*(Table_dim_price_recipe[Retail Price]&lt;&gt;0)*($C295=Table_dim_price_recipe[Subcategory]), 0))*$B295,"")</f>
        <v/>
      </c>
      <c r="K295" s="39" t="str" cm="1">
        <f t="array" ref="K295">IFERROR(INDEX(Table_dim_price_recipe[Retail Price], MATCH(1, ("Calculator"&lt;&gt;Table_dim_price_recipe[Type.display])*($L295=Table_dim_price_recipe[Category])*($D295=Table_dim_price_recipe[Item Description]) * (K$6=Table_dim_price_recipe[Type])*(Table_dim_price_recipe[Retail Price]&lt;&gt;0)*($C295=Table_dim_price_recipe[Subcategory]), 0))*$B295,"")</f>
        <v/>
      </c>
      <c r="L295" s="39" t="str" cm="1">
        <f t="array" ref="L295">IF($A295&lt;&gt;"", $A295, LOOKUP(2, 1/((A$7:INDEX(A:A, ROW()))&lt;&gt;""), A$7:INDEX(A:A, ROW())))</f>
        <v>VENTS</v>
      </c>
      <c r="M295" s="14"/>
    </row>
    <row r="296" spans="1:13">
      <c r="A296" s="263"/>
      <c r="B296" s="263"/>
      <c r="C296" s="263" t="s">
        <v>695</v>
      </c>
      <c r="D296" s="263"/>
      <c r="E296" s="263"/>
      <c r="F296" s="263"/>
      <c r="G296" s="39" t="str" cm="1">
        <f t="array" ref="G296">IFERROR(INDEX(Table_dim_price_recipe[Retail Price], MATCH(1, ("Calculator"&lt;&gt;Table_dim_price_recipe[Type.display])*($L296=Table_dim_price_recipe[Category])*($D296=Table_dim_price_recipe[Item Description]) * (G$6=Table_dim_price_recipe[Type])*(Table_dim_price_recipe[Retail Price]&lt;&gt;0)*($C296=Table_dim_price_recipe[Subcategory]), 0))*$B296,"")</f>
        <v/>
      </c>
      <c r="H296" s="39" t="str" cm="1">
        <f t="array" ref="H296">IFERROR(INDEX(Table_dim_price_recipe[Retail Price], MATCH(1, ("Calculator"&lt;&gt;Table_dim_price_recipe[Type.display])*($L296=Table_dim_price_recipe[Category])*($D296=Table_dim_price_recipe[Item Description]) * (H$6=Table_dim_price_recipe[Type])*(Table_dim_price_recipe[Retail Price]&lt;&gt;0)*($C296=Table_dim_price_recipe[Subcategory]), 0))*$B296,"")</f>
        <v/>
      </c>
      <c r="I296" s="39" t="str" cm="1">
        <f t="array" ref="I296">IFERROR(INDEX(Table_dim_price_recipe[Retail Price], MATCH(1, ("Calculator"&lt;&gt;Table_dim_price_recipe[Type.display])*($L296=Table_dim_price_recipe[Category])*($D296=Table_dim_price_recipe[Item Description]) * (I$6=Table_dim_price_recipe[Type])*(Table_dim_price_recipe[Retail Price]&lt;&gt;0)*($C296=Table_dim_price_recipe[Subcategory]), 0))*$B296,"")</f>
        <v/>
      </c>
      <c r="J296" s="39" t="str" cm="1">
        <f t="array" ref="J296">IFERROR(INDEX(Table_dim_price_recipe[Retail Price], MATCH(1, ("Calculator"&lt;&gt;Table_dim_price_recipe[Type.display])*($L296=Table_dim_price_recipe[Category])*($D296=Table_dim_price_recipe[Item Description]) * (J$6=Table_dim_price_recipe[Type])*(Table_dim_price_recipe[Retail Price]&lt;&gt;0)*($C296=Table_dim_price_recipe[Subcategory]), 0))*$B296,"")</f>
        <v/>
      </c>
      <c r="K296" s="39" t="str" cm="1">
        <f t="array" ref="K296">IFERROR(INDEX(Table_dim_price_recipe[Retail Price], MATCH(1, ("Calculator"&lt;&gt;Table_dim_price_recipe[Type.display])*($L296=Table_dim_price_recipe[Category])*($D296=Table_dim_price_recipe[Item Description]) * (K$6=Table_dim_price_recipe[Type])*(Table_dim_price_recipe[Retail Price]&lt;&gt;0)*($C296=Table_dim_price_recipe[Subcategory]), 0))*$B296,"")</f>
        <v/>
      </c>
      <c r="L296" s="39" t="str" cm="1">
        <f t="array" ref="L296">IF($A296&lt;&gt;"", $A296, LOOKUP(2, 1/((A$7:INDEX(A:A, ROW()))&lt;&gt;""), A$7:INDEX(A:A, ROW())))</f>
        <v>VENTS</v>
      </c>
      <c r="M296" s="14"/>
    </row>
    <row r="297" spans="1:13">
      <c r="A297" s="260" t="s">
        <v>44</v>
      </c>
      <c r="B297" s="261"/>
      <c r="C297" s="261"/>
      <c r="D297" s="261"/>
      <c r="E297" s="261"/>
      <c r="F297" s="261"/>
      <c r="G297" s="262" t="str" cm="1">
        <f t="array" ref="G297">IFERROR(INDEX(Table_dim_price_recipe[Retail Price], MATCH(1, ("Calculator"&lt;&gt;Table_dim_price_recipe[Type.display])*($L297=Table_dim_price_recipe[Category])*($D297=Table_dim_price_recipe[Item Description]) * (G$6=Table_dim_price_recipe[Type])*(Table_dim_price_recipe[Retail Price]&lt;&gt;0)*($C297=Table_dim_price_recipe[Subcategory]), 0))*$B297,"")</f>
        <v/>
      </c>
      <c r="H297" s="262" t="str" cm="1">
        <f t="array" ref="H297">IFERROR(INDEX(Table_dim_price_recipe[Retail Price], MATCH(1, ("Calculator"&lt;&gt;Table_dim_price_recipe[Type.display])*($L297=Table_dim_price_recipe[Category])*($D297=Table_dim_price_recipe[Item Description]) * (H$6=Table_dim_price_recipe[Type])*(Table_dim_price_recipe[Retail Price]&lt;&gt;0)*($C297=Table_dim_price_recipe[Subcategory]), 0))*$B297,"")</f>
        <v/>
      </c>
      <c r="I297" s="262" t="str" cm="1">
        <f t="array" ref="I297">IFERROR(INDEX(Table_dim_price_recipe[Retail Price], MATCH(1, ("Calculator"&lt;&gt;Table_dim_price_recipe[Type.display])*($L297=Table_dim_price_recipe[Category])*($D297=Table_dim_price_recipe[Item Description]) * (I$6=Table_dim_price_recipe[Type])*(Table_dim_price_recipe[Retail Price]&lt;&gt;0)*($C297=Table_dim_price_recipe[Subcategory]), 0))*$B297,"")</f>
        <v/>
      </c>
      <c r="J297" s="262" t="str" cm="1">
        <f t="array" ref="J297">IFERROR(INDEX(Table_dim_price_recipe[Retail Price], MATCH(1, ("Calculator"&lt;&gt;Table_dim_price_recipe[Type.display])*($L297=Table_dim_price_recipe[Category])*($D297=Table_dim_price_recipe[Item Description]) * (J$6=Table_dim_price_recipe[Type])*(Table_dim_price_recipe[Retail Price]&lt;&gt;0)*($C297=Table_dim_price_recipe[Subcategory]), 0))*$B297,"")</f>
        <v/>
      </c>
      <c r="K297" s="262" t="str" cm="1">
        <f t="array" ref="K297">IFERROR(INDEX(Table_dim_price_recipe[Retail Price], MATCH(1, ("Calculator"&lt;&gt;Table_dim_price_recipe[Type.display])*($L297=Table_dim_price_recipe[Category])*($D297=Table_dim_price_recipe[Item Description]) * (K$6=Table_dim_price_recipe[Type])*(Table_dim_price_recipe[Retail Price]&lt;&gt;0)*($C297=Table_dim_price_recipe[Subcategory]), 0))*$B297,"")</f>
        <v/>
      </c>
      <c r="L297" s="262" t="str" cm="1">
        <f t="array" ref="L297">IF($A297&lt;&gt;"", $A297, LOOKUP(2, 1/((A$7:INDEX(A:A, ROW()))&lt;&gt;""), A$7:INDEX(A:A, ROW())))</f>
        <v>FINIALS</v>
      </c>
      <c r="M297" s="14"/>
    </row>
    <row r="298" spans="1:13">
      <c r="A298" s="263"/>
      <c r="B298" s="263"/>
      <c r="C298" s="263" t="s">
        <v>936</v>
      </c>
      <c r="D298" s="263" t="s">
        <v>939</v>
      </c>
      <c r="E298" s="263"/>
      <c r="F298" s="263"/>
      <c r="G298" s="39" t="str" cm="1">
        <f t="array" ref="G298">IFERROR(INDEX(Table_dim_price_recipe[Retail Price], MATCH(1, ("Calculator"&lt;&gt;Table_dim_price_recipe[Type.display])*($L298=Table_dim_price_recipe[Category])*($D298=Table_dim_price_recipe[Item Description]) * (G$6=Table_dim_price_recipe[Type])*(Table_dim_price_recipe[Retail Price]&lt;&gt;0)*($C298=Table_dim_price_recipe[Subcategory]), 0))*$B298,"")</f>
        <v/>
      </c>
      <c r="H298" s="39" cm="1">
        <f t="array" ref="H298">IFERROR(INDEX(Table_dim_price_recipe[Retail Price], MATCH(1, ("Calculator"&lt;&gt;Table_dim_price_recipe[Type.display])*($L298=Table_dim_price_recipe[Category])*($D298=Table_dim_price_recipe[Item Description]) * (H$6=Table_dim_price_recipe[Type])*(Table_dim_price_recipe[Retail Price]&lt;&gt;0)*($C298=Table_dim_price_recipe[Subcategory]), 0))*$B298,"")</f>
        <v>0</v>
      </c>
      <c r="I298" s="39" t="str" cm="1">
        <f t="array" ref="I298">IFERROR(INDEX(Table_dim_price_recipe[Retail Price], MATCH(1, ("Calculator"&lt;&gt;Table_dim_price_recipe[Type.display])*($L298=Table_dim_price_recipe[Category])*($D298=Table_dim_price_recipe[Item Description]) * (I$6=Table_dim_price_recipe[Type])*(Table_dim_price_recipe[Retail Price]&lt;&gt;0)*($C298=Table_dim_price_recipe[Subcategory]), 0))*$B298,"")</f>
        <v/>
      </c>
      <c r="J298" s="39" t="str" cm="1">
        <f t="array" ref="J298">IFERROR(INDEX(Table_dim_price_recipe[Retail Price], MATCH(1, ("Calculator"&lt;&gt;Table_dim_price_recipe[Type.display])*($L298=Table_dim_price_recipe[Category])*($D298=Table_dim_price_recipe[Item Description]) * (J$6=Table_dim_price_recipe[Type])*(Table_dim_price_recipe[Retail Price]&lt;&gt;0)*($C298=Table_dim_price_recipe[Subcategory]), 0))*$B298,"")</f>
        <v/>
      </c>
      <c r="K298" s="39" t="str" cm="1">
        <f t="array" ref="K298">IFERROR(INDEX(Table_dim_price_recipe[Retail Price], MATCH(1, ("Calculator"&lt;&gt;Table_dim_price_recipe[Type.display])*($L298=Table_dim_price_recipe[Category])*($D298=Table_dim_price_recipe[Item Description]) * (K$6=Table_dim_price_recipe[Type])*(Table_dim_price_recipe[Retail Price]&lt;&gt;0)*($C298=Table_dim_price_recipe[Subcategory]), 0))*$B298,"")</f>
        <v/>
      </c>
      <c r="L298" s="39" t="str" cm="1">
        <f t="array" ref="L298">IF($A298&lt;&gt;"", $A298, LOOKUP(2, 1/((A$7:INDEX(A:A, ROW()))&lt;&gt;""), A$7:INDEX(A:A, ROW())))</f>
        <v>FINIALS</v>
      </c>
      <c r="M298" s="14"/>
    </row>
    <row r="299" spans="1:13">
      <c r="A299" s="263"/>
      <c r="B299" s="263"/>
      <c r="C299" s="263" t="s">
        <v>936</v>
      </c>
      <c r="D299" s="263" t="s">
        <v>939</v>
      </c>
      <c r="E299" s="263"/>
      <c r="F299" s="263"/>
      <c r="G299" s="39" t="str" cm="1">
        <f t="array" ref="G299">IFERROR(INDEX(Table_dim_price_recipe[Retail Price], MATCH(1, ("Calculator"&lt;&gt;Table_dim_price_recipe[Type.display])*($L299=Table_dim_price_recipe[Category])*($D299=Table_dim_price_recipe[Item Description]) * (G$6=Table_dim_price_recipe[Type])*(Table_dim_price_recipe[Retail Price]&lt;&gt;0)*($C299=Table_dim_price_recipe[Subcategory]), 0))*$B299,"")</f>
        <v/>
      </c>
      <c r="H299" s="39" cm="1">
        <f t="array" ref="H299">IFERROR(INDEX(Table_dim_price_recipe[Retail Price], MATCH(1, ("Calculator"&lt;&gt;Table_dim_price_recipe[Type.display])*($L299=Table_dim_price_recipe[Category])*($D299=Table_dim_price_recipe[Item Description]) * (H$6=Table_dim_price_recipe[Type])*(Table_dim_price_recipe[Retail Price]&lt;&gt;0)*($C299=Table_dim_price_recipe[Subcategory]), 0))*$B299,"")</f>
        <v>0</v>
      </c>
      <c r="I299" s="39" t="str" cm="1">
        <f t="array" ref="I299">IFERROR(INDEX(Table_dim_price_recipe[Retail Price], MATCH(1, ("Calculator"&lt;&gt;Table_dim_price_recipe[Type.display])*($L299=Table_dim_price_recipe[Category])*($D299=Table_dim_price_recipe[Item Description]) * (I$6=Table_dim_price_recipe[Type])*(Table_dim_price_recipe[Retail Price]&lt;&gt;0)*($C299=Table_dim_price_recipe[Subcategory]), 0))*$B299,"")</f>
        <v/>
      </c>
      <c r="J299" s="39" t="str" cm="1">
        <f t="array" ref="J299">IFERROR(INDEX(Table_dim_price_recipe[Retail Price], MATCH(1, ("Calculator"&lt;&gt;Table_dim_price_recipe[Type.display])*($L299=Table_dim_price_recipe[Category])*($D299=Table_dim_price_recipe[Item Description]) * (J$6=Table_dim_price_recipe[Type])*(Table_dim_price_recipe[Retail Price]&lt;&gt;0)*($C299=Table_dim_price_recipe[Subcategory]), 0))*$B299,"")</f>
        <v/>
      </c>
      <c r="K299" s="39" t="str" cm="1">
        <f t="array" ref="K299">IFERROR(INDEX(Table_dim_price_recipe[Retail Price], MATCH(1, ("Calculator"&lt;&gt;Table_dim_price_recipe[Type.display])*($L299=Table_dim_price_recipe[Category])*($D299=Table_dim_price_recipe[Item Description]) * (K$6=Table_dim_price_recipe[Type])*(Table_dim_price_recipe[Retail Price]&lt;&gt;0)*($C299=Table_dim_price_recipe[Subcategory]), 0))*$B299,"")</f>
        <v/>
      </c>
      <c r="L299" s="39" t="str" cm="1">
        <f t="array" ref="L299">IF($A299&lt;&gt;"", $A299, LOOKUP(2, 1/((A$7:INDEX(A:A, ROW()))&lt;&gt;""), A$7:INDEX(A:A, ROW())))</f>
        <v>FINIALS</v>
      </c>
      <c r="M299" s="14"/>
    </row>
    <row r="300" spans="1:13">
      <c r="A300" s="263"/>
      <c r="B300" s="263"/>
      <c r="C300" s="263" t="s">
        <v>936</v>
      </c>
      <c r="D300" s="263" t="s">
        <v>943</v>
      </c>
      <c r="E300" s="263"/>
      <c r="F300" s="263"/>
      <c r="G300" s="39" t="str" cm="1">
        <f t="array" ref="G300">IFERROR(INDEX(Table_dim_price_recipe[Retail Price], MATCH(1, ("Calculator"&lt;&gt;Table_dim_price_recipe[Type.display])*($L300=Table_dim_price_recipe[Category])*($D300=Table_dim_price_recipe[Item Description]) * (G$6=Table_dim_price_recipe[Type])*(Table_dim_price_recipe[Retail Price]&lt;&gt;0)*($C300=Table_dim_price_recipe[Subcategory]), 0))*$B300,"")</f>
        <v/>
      </c>
      <c r="H300" s="39" cm="1">
        <f t="array" ref="H300">IFERROR(INDEX(Table_dim_price_recipe[Retail Price], MATCH(1, ("Calculator"&lt;&gt;Table_dim_price_recipe[Type.display])*($L300=Table_dim_price_recipe[Category])*($D300=Table_dim_price_recipe[Item Description]) * (H$6=Table_dim_price_recipe[Type])*(Table_dim_price_recipe[Retail Price]&lt;&gt;0)*($C300=Table_dim_price_recipe[Subcategory]), 0))*$B300,"")</f>
        <v>0</v>
      </c>
      <c r="I300" s="39" t="str" cm="1">
        <f t="array" ref="I300">IFERROR(INDEX(Table_dim_price_recipe[Retail Price], MATCH(1, ("Calculator"&lt;&gt;Table_dim_price_recipe[Type.display])*($L300=Table_dim_price_recipe[Category])*($D300=Table_dim_price_recipe[Item Description]) * (I$6=Table_dim_price_recipe[Type])*(Table_dim_price_recipe[Retail Price]&lt;&gt;0)*($C300=Table_dim_price_recipe[Subcategory]), 0))*$B300,"")</f>
        <v/>
      </c>
      <c r="J300" s="39" t="str" cm="1">
        <f t="array" ref="J300">IFERROR(INDEX(Table_dim_price_recipe[Retail Price], MATCH(1, ("Calculator"&lt;&gt;Table_dim_price_recipe[Type.display])*($L300=Table_dim_price_recipe[Category])*($D300=Table_dim_price_recipe[Item Description]) * (J$6=Table_dim_price_recipe[Type])*(Table_dim_price_recipe[Retail Price]&lt;&gt;0)*($C300=Table_dim_price_recipe[Subcategory]), 0))*$B300,"")</f>
        <v/>
      </c>
      <c r="K300" s="39" t="str" cm="1">
        <f t="array" ref="K300">IFERROR(INDEX(Table_dim_price_recipe[Retail Price], MATCH(1, ("Calculator"&lt;&gt;Table_dim_price_recipe[Type.display])*($L300=Table_dim_price_recipe[Category])*($D300=Table_dim_price_recipe[Item Description]) * (K$6=Table_dim_price_recipe[Type])*(Table_dim_price_recipe[Retail Price]&lt;&gt;0)*($C300=Table_dim_price_recipe[Subcategory]), 0))*$B300,"")</f>
        <v/>
      </c>
      <c r="L300" s="39" t="str" cm="1">
        <f t="array" ref="L300">IF($A300&lt;&gt;"", $A300, LOOKUP(2, 1/((A$7:INDEX(A:A, ROW()))&lt;&gt;""), A$7:INDEX(A:A, ROW())))</f>
        <v>FINIALS</v>
      </c>
      <c r="M300" s="14"/>
    </row>
    <row r="301" spans="1:13">
      <c r="A301" s="263"/>
      <c r="B301" s="263"/>
      <c r="C301" s="263" t="s">
        <v>936</v>
      </c>
      <c r="D301" s="263" t="s">
        <v>943</v>
      </c>
      <c r="E301" s="263"/>
      <c r="F301" s="263"/>
      <c r="G301" s="39" t="str" cm="1">
        <f t="array" ref="G301">IFERROR(INDEX(Table_dim_price_recipe[Retail Price], MATCH(1, ("Calculator"&lt;&gt;Table_dim_price_recipe[Type.display])*($L301=Table_dim_price_recipe[Category])*($D301=Table_dim_price_recipe[Item Description]) * (G$6=Table_dim_price_recipe[Type])*(Table_dim_price_recipe[Retail Price]&lt;&gt;0)*($C301=Table_dim_price_recipe[Subcategory]), 0))*$B301,"")</f>
        <v/>
      </c>
      <c r="H301" s="39" cm="1">
        <f t="array" ref="H301">IFERROR(INDEX(Table_dim_price_recipe[Retail Price], MATCH(1, ("Calculator"&lt;&gt;Table_dim_price_recipe[Type.display])*($L301=Table_dim_price_recipe[Category])*($D301=Table_dim_price_recipe[Item Description]) * (H$6=Table_dim_price_recipe[Type])*(Table_dim_price_recipe[Retail Price]&lt;&gt;0)*($C301=Table_dim_price_recipe[Subcategory]), 0))*$B301,"")</f>
        <v>0</v>
      </c>
      <c r="I301" s="39" t="str" cm="1">
        <f t="array" ref="I301">IFERROR(INDEX(Table_dim_price_recipe[Retail Price], MATCH(1, ("Calculator"&lt;&gt;Table_dim_price_recipe[Type.display])*($L301=Table_dim_price_recipe[Category])*($D301=Table_dim_price_recipe[Item Description]) * (I$6=Table_dim_price_recipe[Type])*(Table_dim_price_recipe[Retail Price]&lt;&gt;0)*($C301=Table_dim_price_recipe[Subcategory]), 0))*$B301,"")</f>
        <v/>
      </c>
      <c r="J301" s="39" t="str" cm="1">
        <f t="array" ref="J301">IFERROR(INDEX(Table_dim_price_recipe[Retail Price], MATCH(1, ("Calculator"&lt;&gt;Table_dim_price_recipe[Type.display])*($L301=Table_dim_price_recipe[Category])*($D301=Table_dim_price_recipe[Item Description]) * (J$6=Table_dim_price_recipe[Type])*(Table_dim_price_recipe[Retail Price]&lt;&gt;0)*($C301=Table_dim_price_recipe[Subcategory]), 0))*$B301,"")</f>
        <v/>
      </c>
      <c r="K301" s="39" t="str" cm="1">
        <f t="array" ref="K301">IFERROR(INDEX(Table_dim_price_recipe[Retail Price], MATCH(1, ("Calculator"&lt;&gt;Table_dim_price_recipe[Type.display])*($L301=Table_dim_price_recipe[Category])*($D301=Table_dim_price_recipe[Item Description]) * (K$6=Table_dim_price_recipe[Type])*(Table_dim_price_recipe[Retail Price]&lt;&gt;0)*($C301=Table_dim_price_recipe[Subcategory]), 0))*$B301,"")</f>
        <v/>
      </c>
      <c r="L301" s="39" t="str" cm="1">
        <f t="array" ref="L301">IF($A301&lt;&gt;"", $A301, LOOKUP(2, 1/((A$7:INDEX(A:A, ROW()))&lt;&gt;""), A$7:INDEX(A:A, ROW())))</f>
        <v>FINIALS</v>
      </c>
      <c r="M301" s="14"/>
    </row>
    <row r="302" spans="1:13">
      <c r="A302" s="263"/>
      <c r="B302" s="263"/>
      <c r="C302" s="263" t="s">
        <v>936</v>
      </c>
      <c r="D302" s="263" t="s">
        <v>942</v>
      </c>
      <c r="E302" s="263"/>
      <c r="F302" s="263"/>
      <c r="G302" s="39" t="str" cm="1">
        <f t="array" ref="G302">IFERROR(INDEX(Table_dim_price_recipe[Retail Price], MATCH(1, ("Calculator"&lt;&gt;Table_dim_price_recipe[Type.display])*($L302=Table_dim_price_recipe[Category])*($D302=Table_dim_price_recipe[Item Description]) * (G$6=Table_dim_price_recipe[Type])*(Table_dim_price_recipe[Retail Price]&lt;&gt;0)*($C302=Table_dim_price_recipe[Subcategory]), 0))*$B302,"")</f>
        <v/>
      </c>
      <c r="H302" s="39" cm="1">
        <f t="array" ref="H302">IFERROR(INDEX(Table_dim_price_recipe[Retail Price], MATCH(1, ("Calculator"&lt;&gt;Table_dim_price_recipe[Type.display])*($L302=Table_dim_price_recipe[Category])*($D302=Table_dim_price_recipe[Item Description]) * (H$6=Table_dim_price_recipe[Type])*(Table_dim_price_recipe[Retail Price]&lt;&gt;0)*($C302=Table_dim_price_recipe[Subcategory]), 0))*$B302,"")</f>
        <v>0</v>
      </c>
      <c r="I302" s="39" t="str" cm="1">
        <f t="array" ref="I302">IFERROR(INDEX(Table_dim_price_recipe[Retail Price], MATCH(1, ("Calculator"&lt;&gt;Table_dim_price_recipe[Type.display])*($L302=Table_dim_price_recipe[Category])*($D302=Table_dim_price_recipe[Item Description]) * (I$6=Table_dim_price_recipe[Type])*(Table_dim_price_recipe[Retail Price]&lt;&gt;0)*($C302=Table_dim_price_recipe[Subcategory]), 0))*$B302,"")</f>
        <v/>
      </c>
      <c r="J302" s="39" t="str" cm="1">
        <f t="array" ref="J302">IFERROR(INDEX(Table_dim_price_recipe[Retail Price], MATCH(1, ("Calculator"&lt;&gt;Table_dim_price_recipe[Type.display])*($L302=Table_dim_price_recipe[Category])*($D302=Table_dim_price_recipe[Item Description]) * (J$6=Table_dim_price_recipe[Type])*(Table_dim_price_recipe[Retail Price]&lt;&gt;0)*($C302=Table_dim_price_recipe[Subcategory]), 0))*$B302,"")</f>
        <v/>
      </c>
      <c r="K302" s="39" t="str" cm="1">
        <f t="array" ref="K302">IFERROR(INDEX(Table_dim_price_recipe[Retail Price], MATCH(1, ("Calculator"&lt;&gt;Table_dim_price_recipe[Type.display])*($L302=Table_dim_price_recipe[Category])*($D302=Table_dim_price_recipe[Item Description]) * (K$6=Table_dim_price_recipe[Type])*(Table_dim_price_recipe[Retail Price]&lt;&gt;0)*($C302=Table_dim_price_recipe[Subcategory]), 0))*$B302,"")</f>
        <v/>
      </c>
      <c r="L302" s="39" t="str" cm="1">
        <f t="array" ref="L302">IF($A302&lt;&gt;"", $A302, LOOKUP(2, 1/((A$7:INDEX(A:A, ROW()))&lt;&gt;""), A$7:INDEX(A:A, ROW())))</f>
        <v>FINIALS</v>
      </c>
      <c r="M302" s="14"/>
    </row>
    <row r="303" spans="1:13">
      <c r="A303" s="263"/>
      <c r="B303" s="263"/>
      <c r="C303" s="263" t="s">
        <v>936</v>
      </c>
      <c r="D303" s="263" t="s">
        <v>942</v>
      </c>
      <c r="E303" s="263"/>
      <c r="F303" s="263"/>
      <c r="G303" s="39" t="str" cm="1">
        <f t="array" ref="G303">IFERROR(INDEX(Table_dim_price_recipe[Retail Price], MATCH(1, ("Calculator"&lt;&gt;Table_dim_price_recipe[Type.display])*($L303=Table_dim_price_recipe[Category])*($D303=Table_dim_price_recipe[Item Description]) * (G$6=Table_dim_price_recipe[Type])*(Table_dim_price_recipe[Retail Price]&lt;&gt;0)*($C303=Table_dim_price_recipe[Subcategory]), 0))*$B303,"")</f>
        <v/>
      </c>
      <c r="H303" s="39" cm="1">
        <f t="array" ref="H303">IFERROR(INDEX(Table_dim_price_recipe[Retail Price], MATCH(1, ("Calculator"&lt;&gt;Table_dim_price_recipe[Type.display])*($L303=Table_dim_price_recipe[Category])*($D303=Table_dim_price_recipe[Item Description]) * (H$6=Table_dim_price_recipe[Type])*(Table_dim_price_recipe[Retail Price]&lt;&gt;0)*($C303=Table_dim_price_recipe[Subcategory]), 0))*$B303,"")</f>
        <v>0</v>
      </c>
      <c r="I303" s="39" t="str" cm="1">
        <f t="array" ref="I303">IFERROR(INDEX(Table_dim_price_recipe[Retail Price], MATCH(1, ("Calculator"&lt;&gt;Table_dim_price_recipe[Type.display])*($L303=Table_dim_price_recipe[Category])*($D303=Table_dim_price_recipe[Item Description]) * (I$6=Table_dim_price_recipe[Type])*(Table_dim_price_recipe[Retail Price]&lt;&gt;0)*($C303=Table_dim_price_recipe[Subcategory]), 0))*$B303,"")</f>
        <v/>
      </c>
      <c r="J303" s="39" t="str" cm="1">
        <f t="array" ref="J303">IFERROR(INDEX(Table_dim_price_recipe[Retail Price], MATCH(1, ("Calculator"&lt;&gt;Table_dim_price_recipe[Type.display])*($L303=Table_dim_price_recipe[Category])*($D303=Table_dim_price_recipe[Item Description]) * (J$6=Table_dim_price_recipe[Type])*(Table_dim_price_recipe[Retail Price]&lt;&gt;0)*($C303=Table_dim_price_recipe[Subcategory]), 0))*$B303,"")</f>
        <v/>
      </c>
      <c r="K303" s="39" t="str" cm="1">
        <f t="array" ref="K303">IFERROR(INDEX(Table_dim_price_recipe[Retail Price], MATCH(1, ("Calculator"&lt;&gt;Table_dim_price_recipe[Type.display])*($L303=Table_dim_price_recipe[Category])*($D303=Table_dim_price_recipe[Item Description]) * (K$6=Table_dim_price_recipe[Type])*(Table_dim_price_recipe[Retail Price]&lt;&gt;0)*($C303=Table_dim_price_recipe[Subcategory]), 0))*$B303,"")</f>
        <v/>
      </c>
      <c r="L303" s="39" t="str" cm="1">
        <f t="array" ref="L303">IF($A303&lt;&gt;"", $A303, LOOKUP(2, 1/((A$7:INDEX(A:A, ROW()))&lt;&gt;""), A$7:INDEX(A:A, ROW())))</f>
        <v>FINIALS</v>
      </c>
      <c r="M303" s="14"/>
    </row>
    <row r="304" spans="1:13">
      <c r="A304" s="263"/>
      <c r="B304" s="263"/>
      <c r="C304" s="263" t="s">
        <v>936</v>
      </c>
      <c r="D304" s="263" t="s">
        <v>941</v>
      </c>
      <c r="E304" s="263"/>
      <c r="F304" s="263"/>
      <c r="G304" s="39" t="str" cm="1">
        <f t="array" ref="G304">IFERROR(INDEX(Table_dim_price_recipe[Retail Price], MATCH(1, ("Calculator"&lt;&gt;Table_dim_price_recipe[Type.display])*($L304=Table_dim_price_recipe[Category])*($D304=Table_dim_price_recipe[Item Description]) * (G$6=Table_dim_price_recipe[Type])*(Table_dim_price_recipe[Retail Price]&lt;&gt;0)*($C304=Table_dim_price_recipe[Subcategory]), 0))*$B304,"")</f>
        <v/>
      </c>
      <c r="H304" s="39" cm="1">
        <f t="array" ref="H304">IFERROR(INDEX(Table_dim_price_recipe[Retail Price], MATCH(1, ("Calculator"&lt;&gt;Table_dim_price_recipe[Type.display])*($L304=Table_dim_price_recipe[Category])*($D304=Table_dim_price_recipe[Item Description]) * (H$6=Table_dim_price_recipe[Type])*(Table_dim_price_recipe[Retail Price]&lt;&gt;0)*($C304=Table_dim_price_recipe[Subcategory]), 0))*$B304,"")</f>
        <v>0</v>
      </c>
      <c r="I304" s="39" t="str" cm="1">
        <f t="array" ref="I304">IFERROR(INDEX(Table_dim_price_recipe[Retail Price], MATCH(1, ("Calculator"&lt;&gt;Table_dim_price_recipe[Type.display])*($L304=Table_dim_price_recipe[Category])*($D304=Table_dim_price_recipe[Item Description]) * (I$6=Table_dim_price_recipe[Type])*(Table_dim_price_recipe[Retail Price]&lt;&gt;0)*($C304=Table_dim_price_recipe[Subcategory]), 0))*$B304,"")</f>
        <v/>
      </c>
      <c r="J304" s="39" t="str" cm="1">
        <f t="array" ref="J304">IFERROR(INDEX(Table_dim_price_recipe[Retail Price], MATCH(1, ("Calculator"&lt;&gt;Table_dim_price_recipe[Type.display])*($L304=Table_dim_price_recipe[Category])*($D304=Table_dim_price_recipe[Item Description]) * (J$6=Table_dim_price_recipe[Type])*(Table_dim_price_recipe[Retail Price]&lt;&gt;0)*($C304=Table_dim_price_recipe[Subcategory]), 0))*$B304,"")</f>
        <v/>
      </c>
      <c r="K304" s="39" t="str" cm="1">
        <f t="array" ref="K304">IFERROR(INDEX(Table_dim_price_recipe[Retail Price], MATCH(1, ("Calculator"&lt;&gt;Table_dim_price_recipe[Type.display])*($L304=Table_dim_price_recipe[Category])*($D304=Table_dim_price_recipe[Item Description]) * (K$6=Table_dim_price_recipe[Type])*(Table_dim_price_recipe[Retail Price]&lt;&gt;0)*($C304=Table_dim_price_recipe[Subcategory]), 0))*$B304,"")</f>
        <v/>
      </c>
      <c r="L304" s="39" t="str" cm="1">
        <f t="array" ref="L304">IF($A304&lt;&gt;"", $A304, LOOKUP(2, 1/((A$7:INDEX(A:A, ROW()))&lt;&gt;""), A$7:INDEX(A:A, ROW())))</f>
        <v>FINIALS</v>
      </c>
      <c r="M304" s="14"/>
    </row>
    <row r="305" spans="1:13">
      <c r="A305" s="263"/>
      <c r="B305" s="263"/>
      <c r="C305" s="263" t="s">
        <v>936</v>
      </c>
      <c r="D305" s="263" t="s">
        <v>941</v>
      </c>
      <c r="E305" s="263"/>
      <c r="F305" s="263"/>
      <c r="G305" s="39" t="str" cm="1">
        <f t="array" ref="G305">IFERROR(INDEX(Table_dim_price_recipe[Retail Price], MATCH(1, ("Calculator"&lt;&gt;Table_dim_price_recipe[Type.display])*($L305=Table_dim_price_recipe[Category])*($D305=Table_dim_price_recipe[Item Description]) * (G$6=Table_dim_price_recipe[Type])*(Table_dim_price_recipe[Retail Price]&lt;&gt;0)*($C305=Table_dim_price_recipe[Subcategory]), 0))*$B305,"")</f>
        <v/>
      </c>
      <c r="H305" s="39" cm="1">
        <f t="array" ref="H305">IFERROR(INDEX(Table_dim_price_recipe[Retail Price], MATCH(1, ("Calculator"&lt;&gt;Table_dim_price_recipe[Type.display])*($L305=Table_dim_price_recipe[Category])*($D305=Table_dim_price_recipe[Item Description]) * (H$6=Table_dim_price_recipe[Type])*(Table_dim_price_recipe[Retail Price]&lt;&gt;0)*($C305=Table_dim_price_recipe[Subcategory]), 0))*$B305,"")</f>
        <v>0</v>
      </c>
      <c r="I305" s="39" t="str" cm="1">
        <f t="array" ref="I305">IFERROR(INDEX(Table_dim_price_recipe[Retail Price], MATCH(1, ("Calculator"&lt;&gt;Table_dim_price_recipe[Type.display])*($L305=Table_dim_price_recipe[Category])*($D305=Table_dim_price_recipe[Item Description]) * (I$6=Table_dim_price_recipe[Type])*(Table_dim_price_recipe[Retail Price]&lt;&gt;0)*($C305=Table_dim_price_recipe[Subcategory]), 0))*$B305,"")</f>
        <v/>
      </c>
      <c r="J305" s="39" t="str" cm="1">
        <f t="array" ref="J305">IFERROR(INDEX(Table_dim_price_recipe[Retail Price], MATCH(1, ("Calculator"&lt;&gt;Table_dim_price_recipe[Type.display])*($L305=Table_dim_price_recipe[Category])*($D305=Table_dim_price_recipe[Item Description]) * (J$6=Table_dim_price_recipe[Type])*(Table_dim_price_recipe[Retail Price]&lt;&gt;0)*($C305=Table_dim_price_recipe[Subcategory]), 0))*$B305,"")</f>
        <v/>
      </c>
      <c r="K305" s="39" t="str" cm="1">
        <f t="array" ref="K305">IFERROR(INDEX(Table_dim_price_recipe[Retail Price], MATCH(1, ("Calculator"&lt;&gt;Table_dim_price_recipe[Type.display])*($L305=Table_dim_price_recipe[Category])*($D305=Table_dim_price_recipe[Item Description]) * (K$6=Table_dim_price_recipe[Type])*(Table_dim_price_recipe[Retail Price]&lt;&gt;0)*($C305=Table_dim_price_recipe[Subcategory]), 0))*$B305,"")</f>
        <v/>
      </c>
      <c r="L305" s="39" t="str" cm="1">
        <f t="array" ref="L305">IF($A305&lt;&gt;"", $A305, LOOKUP(2, 1/((A$7:INDEX(A:A, ROW()))&lt;&gt;""), A$7:INDEX(A:A, ROW())))</f>
        <v>FINIALS</v>
      </c>
      <c r="M305" s="14"/>
    </row>
    <row r="306" spans="1:13">
      <c r="A306" s="263"/>
      <c r="B306" s="263"/>
      <c r="C306" s="263" t="s">
        <v>936</v>
      </c>
      <c r="D306" s="263" t="s">
        <v>938</v>
      </c>
      <c r="E306" s="263"/>
      <c r="F306" s="263"/>
      <c r="G306" s="39" t="str" cm="1">
        <f t="array" ref="G306">IFERROR(INDEX(Table_dim_price_recipe[Retail Price], MATCH(1, ("Calculator"&lt;&gt;Table_dim_price_recipe[Type.display])*($L306=Table_dim_price_recipe[Category])*($D306=Table_dim_price_recipe[Item Description]) * (G$6=Table_dim_price_recipe[Type])*(Table_dim_price_recipe[Retail Price]&lt;&gt;0)*($C306=Table_dim_price_recipe[Subcategory]), 0))*$B306,"")</f>
        <v/>
      </c>
      <c r="H306" s="39" cm="1">
        <f t="array" ref="H306">IFERROR(INDEX(Table_dim_price_recipe[Retail Price], MATCH(1, ("Calculator"&lt;&gt;Table_dim_price_recipe[Type.display])*($L306=Table_dim_price_recipe[Category])*($D306=Table_dim_price_recipe[Item Description]) * (H$6=Table_dim_price_recipe[Type])*(Table_dim_price_recipe[Retail Price]&lt;&gt;0)*($C306=Table_dim_price_recipe[Subcategory]), 0))*$B306,"")</f>
        <v>0</v>
      </c>
      <c r="I306" s="39" t="str" cm="1">
        <f t="array" ref="I306">IFERROR(INDEX(Table_dim_price_recipe[Retail Price], MATCH(1, ("Calculator"&lt;&gt;Table_dim_price_recipe[Type.display])*($L306=Table_dim_price_recipe[Category])*($D306=Table_dim_price_recipe[Item Description]) * (I$6=Table_dim_price_recipe[Type])*(Table_dim_price_recipe[Retail Price]&lt;&gt;0)*($C306=Table_dim_price_recipe[Subcategory]), 0))*$B306,"")</f>
        <v/>
      </c>
      <c r="J306" s="39" t="str" cm="1">
        <f t="array" ref="J306">IFERROR(INDEX(Table_dim_price_recipe[Retail Price], MATCH(1, ("Calculator"&lt;&gt;Table_dim_price_recipe[Type.display])*($L306=Table_dim_price_recipe[Category])*($D306=Table_dim_price_recipe[Item Description]) * (J$6=Table_dim_price_recipe[Type])*(Table_dim_price_recipe[Retail Price]&lt;&gt;0)*($C306=Table_dim_price_recipe[Subcategory]), 0))*$B306,"")</f>
        <v/>
      </c>
      <c r="K306" s="39" t="str" cm="1">
        <f t="array" ref="K306">IFERROR(INDEX(Table_dim_price_recipe[Retail Price], MATCH(1, ("Calculator"&lt;&gt;Table_dim_price_recipe[Type.display])*($L306=Table_dim_price_recipe[Category])*($D306=Table_dim_price_recipe[Item Description]) * (K$6=Table_dim_price_recipe[Type])*(Table_dim_price_recipe[Retail Price]&lt;&gt;0)*($C306=Table_dim_price_recipe[Subcategory]), 0))*$B306,"")</f>
        <v/>
      </c>
      <c r="L306" s="39" t="str" cm="1">
        <f t="array" ref="L306">IF($A306&lt;&gt;"", $A306, LOOKUP(2, 1/((A$7:INDEX(A:A, ROW()))&lt;&gt;""), A$7:INDEX(A:A, ROW())))</f>
        <v>FINIALS</v>
      </c>
      <c r="M306" s="14"/>
    </row>
    <row r="307" spans="1:13">
      <c r="A307" s="263"/>
      <c r="B307" s="263"/>
      <c r="C307" s="263" t="s">
        <v>936</v>
      </c>
      <c r="D307" s="263" t="s">
        <v>938</v>
      </c>
      <c r="E307" s="263"/>
      <c r="F307" s="263"/>
      <c r="G307" s="39" t="str" cm="1">
        <f t="array" ref="G307">IFERROR(INDEX(Table_dim_price_recipe[Retail Price], MATCH(1, ("Calculator"&lt;&gt;Table_dim_price_recipe[Type.display])*($L307=Table_dim_price_recipe[Category])*($D307=Table_dim_price_recipe[Item Description]) * (G$6=Table_dim_price_recipe[Type])*(Table_dim_price_recipe[Retail Price]&lt;&gt;0)*($C307=Table_dim_price_recipe[Subcategory]), 0))*$B307,"")</f>
        <v/>
      </c>
      <c r="H307" s="39" cm="1">
        <f t="array" ref="H307">IFERROR(INDEX(Table_dim_price_recipe[Retail Price], MATCH(1, ("Calculator"&lt;&gt;Table_dim_price_recipe[Type.display])*($L307=Table_dim_price_recipe[Category])*($D307=Table_dim_price_recipe[Item Description]) * (H$6=Table_dim_price_recipe[Type])*(Table_dim_price_recipe[Retail Price]&lt;&gt;0)*($C307=Table_dim_price_recipe[Subcategory]), 0))*$B307,"")</f>
        <v>0</v>
      </c>
      <c r="I307" s="39" t="str" cm="1">
        <f t="array" ref="I307">IFERROR(INDEX(Table_dim_price_recipe[Retail Price], MATCH(1, ("Calculator"&lt;&gt;Table_dim_price_recipe[Type.display])*($L307=Table_dim_price_recipe[Category])*($D307=Table_dim_price_recipe[Item Description]) * (I$6=Table_dim_price_recipe[Type])*(Table_dim_price_recipe[Retail Price]&lt;&gt;0)*($C307=Table_dim_price_recipe[Subcategory]), 0))*$B307,"")</f>
        <v/>
      </c>
      <c r="J307" s="39" t="str" cm="1">
        <f t="array" ref="J307">IFERROR(INDEX(Table_dim_price_recipe[Retail Price], MATCH(1, ("Calculator"&lt;&gt;Table_dim_price_recipe[Type.display])*($L307=Table_dim_price_recipe[Category])*($D307=Table_dim_price_recipe[Item Description]) * (J$6=Table_dim_price_recipe[Type])*(Table_dim_price_recipe[Retail Price]&lt;&gt;0)*($C307=Table_dim_price_recipe[Subcategory]), 0))*$B307,"")</f>
        <v/>
      </c>
      <c r="K307" s="39" t="str" cm="1">
        <f t="array" ref="K307">IFERROR(INDEX(Table_dim_price_recipe[Retail Price], MATCH(1, ("Calculator"&lt;&gt;Table_dim_price_recipe[Type.display])*($L307=Table_dim_price_recipe[Category])*($D307=Table_dim_price_recipe[Item Description]) * (K$6=Table_dim_price_recipe[Type])*(Table_dim_price_recipe[Retail Price]&lt;&gt;0)*($C307=Table_dim_price_recipe[Subcategory]), 0))*$B307,"")</f>
        <v/>
      </c>
      <c r="L307" s="39" t="str" cm="1">
        <f t="array" ref="L307">IF($A307&lt;&gt;"", $A307, LOOKUP(2, 1/((A$7:INDEX(A:A, ROW()))&lt;&gt;""), A$7:INDEX(A:A, ROW())))</f>
        <v>FINIALS</v>
      </c>
      <c r="M307" s="14"/>
    </row>
    <row r="308" spans="1:13">
      <c r="A308" s="263"/>
      <c r="B308" s="263"/>
      <c r="C308" s="263" t="s">
        <v>936</v>
      </c>
      <c r="D308" s="263" t="s">
        <v>937</v>
      </c>
      <c r="E308" s="263"/>
      <c r="F308" s="263"/>
      <c r="G308" s="39" t="str" cm="1">
        <f t="array" ref="G308">IFERROR(INDEX(Table_dim_price_recipe[Retail Price], MATCH(1, ("Calculator"&lt;&gt;Table_dim_price_recipe[Type.display])*($L308=Table_dim_price_recipe[Category])*($D308=Table_dim_price_recipe[Item Description]) * (G$6=Table_dim_price_recipe[Type])*(Table_dim_price_recipe[Retail Price]&lt;&gt;0)*($C308=Table_dim_price_recipe[Subcategory]), 0))*$B308,"")</f>
        <v/>
      </c>
      <c r="H308" s="39" t="str" cm="1">
        <f t="array" ref="H308">IFERROR(INDEX(Table_dim_price_recipe[Retail Price], MATCH(1, ("Calculator"&lt;&gt;Table_dim_price_recipe[Type.display])*($L308=Table_dim_price_recipe[Category])*($D308=Table_dim_price_recipe[Item Description]) * (H$6=Table_dim_price_recipe[Type])*(Table_dim_price_recipe[Retail Price]&lt;&gt;0)*($C308=Table_dim_price_recipe[Subcategory]), 0))*$B308,"")</f>
        <v/>
      </c>
      <c r="I308" s="39" t="str" cm="1">
        <f t="array" ref="I308">IFERROR(INDEX(Table_dim_price_recipe[Retail Price], MATCH(1, ("Calculator"&lt;&gt;Table_dim_price_recipe[Type.display])*($L308=Table_dim_price_recipe[Category])*($D308=Table_dim_price_recipe[Item Description]) * (I$6=Table_dim_price_recipe[Type])*(Table_dim_price_recipe[Retail Price]&lt;&gt;0)*($C308=Table_dim_price_recipe[Subcategory]), 0))*$B308,"")</f>
        <v/>
      </c>
      <c r="J308" s="39" t="str" cm="1">
        <f t="array" ref="J308">IFERROR(INDEX(Table_dim_price_recipe[Retail Price], MATCH(1, ("Calculator"&lt;&gt;Table_dim_price_recipe[Type.display])*($L308=Table_dim_price_recipe[Category])*($D308=Table_dim_price_recipe[Item Description]) * (J$6=Table_dim_price_recipe[Type])*(Table_dim_price_recipe[Retail Price]&lt;&gt;0)*($C308=Table_dim_price_recipe[Subcategory]), 0))*$B308,"")</f>
        <v/>
      </c>
      <c r="K308" s="39" t="str" cm="1">
        <f t="array" ref="K308">IFERROR(INDEX(Table_dim_price_recipe[Retail Price], MATCH(1, ("Calculator"&lt;&gt;Table_dim_price_recipe[Type.display])*($L308=Table_dim_price_recipe[Category])*($D308=Table_dim_price_recipe[Item Description]) * (K$6=Table_dim_price_recipe[Type])*(Table_dim_price_recipe[Retail Price]&lt;&gt;0)*($C308=Table_dim_price_recipe[Subcategory]), 0))*$B308,"")</f>
        <v/>
      </c>
      <c r="L308" s="39" t="str" cm="1">
        <f t="array" ref="L308">IF($A308&lt;&gt;"", $A308, LOOKUP(2, 1/((A$7:INDEX(A:A, ROW()))&lt;&gt;""), A$7:INDEX(A:A, ROW())))</f>
        <v>FINIALS</v>
      </c>
      <c r="M308" s="14"/>
    </row>
    <row r="309" spans="1:13">
      <c r="A309" s="263"/>
      <c r="B309" s="263"/>
      <c r="C309" s="263" t="s">
        <v>936</v>
      </c>
      <c r="D309" s="263" t="s">
        <v>937</v>
      </c>
      <c r="E309" s="263"/>
      <c r="F309" s="263"/>
      <c r="G309" s="39" t="str" cm="1">
        <f t="array" ref="G309">IFERROR(INDEX(Table_dim_price_recipe[Retail Price], MATCH(1, ("Calculator"&lt;&gt;Table_dim_price_recipe[Type.display])*($L309=Table_dim_price_recipe[Category])*($D309=Table_dim_price_recipe[Item Description]) * (G$6=Table_dim_price_recipe[Type])*(Table_dim_price_recipe[Retail Price]&lt;&gt;0)*($C309=Table_dim_price_recipe[Subcategory]), 0))*$B309,"")</f>
        <v/>
      </c>
      <c r="H309" s="39" t="str" cm="1">
        <f t="array" ref="H309">IFERROR(INDEX(Table_dim_price_recipe[Retail Price], MATCH(1, ("Calculator"&lt;&gt;Table_dim_price_recipe[Type.display])*($L309=Table_dim_price_recipe[Category])*($D309=Table_dim_price_recipe[Item Description]) * (H$6=Table_dim_price_recipe[Type])*(Table_dim_price_recipe[Retail Price]&lt;&gt;0)*($C309=Table_dim_price_recipe[Subcategory]), 0))*$B309,"")</f>
        <v/>
      </c>
      <c r="I309" s="39" t="str" cm="1">
        <f t="array" ref="I309">IFERROR(INDEX(Table_dim_price_recipe[Retail Price], MATCH(1, ("Calculator"&lt;&gt;Table_dim_price_recipe[Type.display])*($L309=Table_dim_price_recipe[Category])*($D309=Table_dim_price_recipe[Item Description]) * (I$6=Table_dim_price_recipe[Type])*(Table_dim_price_recipe[Retail Price]&lt;&gt;0)*($C309=Table_dim_price_recipe[Subcategory]), 0))*$B309,"")</f>
        <v/>
      </c>
      <c r="J309" s="39" t="str" cm="1">
        <f t="array" ref="J309">IFERROR(INDEX(Table_dim_price_recipe[Retail Price], MATCH(1, ("Calculator"&lt;&gt;Table_dim_price_recipe[Type.display])*($L309=Table_dim_price_recipe[Category])*($D309=Table_dim_price_recipe[Item Description]) * (J$6=Table_dim_price_recipe[Type])*(Table_dim_price_recipe[Retail Price]&lt;&gt;0)*($C309=Table_dim_price_recipe[Subcategory]), 0))*$B309,"")</f>
        <v/>
      </c>
      <c r="K309" s="39" t="str" cm="1">
        <f t="array" ref="K309">IFERROR(INDEX(Table_dim_price_recipe[Retail Price], MATCH(1, ("Calculator"&lt;&gt;Table_dim_price_recipe[Type.display])*($L309=Table_dim_price_recipe[Category])*($D309=Table_dim_price_recipe[Item Description]) * (K$6=Table_dim_price_recipe[Type])*(Table_dim_price_recipe[Retail Price]&lt;&gt;0)*($C309=Table_dim_price_recipe[Subcategory]), 0))*$B309,"")</f>
        <v/>
      </c>
      <c r="L309" s="39" t="str" cm="1">
        <f t="array" ref="L309">IF($A309&lt;&gt;"", $A309, LOOKUP(2, 1/((A$7:INDEX(A:A, ROW()))&lt;&gt;""), A$7:INDEX(A:A, ROW())))</f>
        <v>FINIALS</v>
      </c>
      <c r="M309" s="14"/>
    </row>
    <row r="310" spans="1:13">
      <c r="A310" s="263"/>
      <c r="B310" s="263"/>
      <c r="C310" s="263" t="s">
        <v>936</v>
      </c>
      <c r="D310" s="263" t="s">
        <v>940</v>
      </c>
      <c r="E310" s="263"/>
      <c r="F310" s="263"/>
      <c r="G310" s="39" t="str" cm="1">
        <f t="array" ref="G310">IFERROR(INDEX(Table_dim_price_recipe[Retail Price], MATCH(1, ("Calculator"&lt;&gt;Table_dim_price_recipe[Type.display])*($L310=Table_dim_price_recipe[Category])*($D310=Table_dim_price_recipe[Item Description]) * (G$6=Table_dim_price_recipe[Type])*(Table_dim_price_recipe[Retail Price]&lt;&gt;0)*($C310=Table_dim_price_recipe[Subcategory]), 0))*$B310,"")</f>
        <v/>
      </c>
      <c r="H310" s="39" cm="1">
        <f t="array" ref="H310">IFERROR(INDEX(Table_dim_price_recipe[Retail Price], MATCH(1, ("Calculator"&lt;&gt;Table_dim_price_recipe[Type.display])*($L310=Table_dim_price_recipe[Category])*($D310=Table_dim_price_recipe[Item Description]) * (H$6=Table_dim_price_recipe[Type])*(Table_dim_price_recipe[Retail Price]&lt;&gt;0)*($C310=Table_dim_price_recipe[Subcategory]), 0))*$B310,"")</f>
        <v>0</v>
      </c>
      <c r="I310" s="39" t="str" cm="1">
        <f t="array" ref="I310">IFERROR(INDEX(Table_dim_price_recipe[Retail Price], MATCH(1, ("Calculator"&lt;&gt;Table_dim_price_recipe[Type.display])*($L310=Table_dim_price_recipe[Category])*($D310=Table_dim_price_recipe[Item Description]) * (I$6=Table_dim_price_recipe[Type])*(Table_dim_price_recipe[Retail Price]&lt;&gt;0)*($C310=Table_dim_price_recipe[Subcategory]), 0))*$B310,"")</f>
        <v/>
      </c>
      <c r="J310" s="39" t="str" cm="1">
        <f t="array" ref="J310">IFERROR(INDEX(Table_dim_price_recipe[Retail Price], MATCH(1, ("Calculator"&lt;&gt;Table_dim_price_recipe[Type.display])*($L310=Table_dim_price_recipe[Category])*($D310=Table_dim_price_recipe[Item Description]) * (J$6=Table_dim_price_recipe[Type])*(Table_dim_price_recipe[Retail Price]&lt;&gt;0)*($C310=Table_dim_price_recipe[Subcategory]), 0))*$B310,"")</f>
        <v/>
      </c>
      <c r="K310" s="39" t="str" cm="1">
        <f t="array" ref="K310">IFERROR(INDEX(Table_dim_price_recipe[Retail Price], MATCH(1, ("Calculator"&lt;&gt;Table_dim_price_recipe[Type.display])*($L310=Table_dim_price_recipe[Category])*($D310=Table_dim_price_recipe[Item Description]) * (K$6=Table_dim_price_recipe[Type])*(Table_dim_price_recipe[Retail Price]&lt;&gt;0)*($C310=Table_dim_price_recipe[Subcategory]), 0))*$B310,"")</f>
        <v/>
      </c>
      <c r="L310" s="39" t="str" cm="1">
        <f t="array" ref="L310">IF($A310&lt;&gt;"", $A310, LOOKUP(2, 1/((A$7:INDEX(A:A, ROW()))&lt;&gt;""), A$7:INDEX(A:A, ROW())))</f>
        <v>FINIALS</v>
      </c>
      <c r="M310" s="14"/>
    </row>
    <row r="311" spans="1:13">
      <c r="A311" s="263"/>
      <c r="B311" s="263"/>
      <c r="C311" s="263" t="s">
        <v>936</v>
      </c>
      <c r="D311" s="263" t="s">
        <v>940</v>
      </c>
      <c r="E311" s="263"/>
      <c r="F311" s="263"/>
      <c r="G311" s="39" t="str" cm="1">
        <f t="array" ref="G311">IFERROR(INDEX(Table_dim_price_recipe[Retail Price], MATCH(1, ("Calculator"&lt;&gt;Table_dim_price_recipe[Type.display])*($L311=Table_dim_price_recipe[Category])*($D311=Table_dim_price_recipe[Item Description]) * (G$6=Table_dim_price_recipe[Type])*(Table_dim_price_recipe[Retail Price]&lt;&gt;0)*($C311=Table_dim_price_recipe[Subcategory]), 0))*$B311,"")</f>
        <v/>
      </c>
      <c r="H311" s="39" cm="1">
        <f t="array" ref="H311">IFERROR(INDEX(Table_dim_price_recipe[Retail Price], MATCH(1, ("Calculator"&lt;&gt;Table_dim_price_recipe[Type.display])*($L311=Table_dim_price_recipe[Category])*($D311=Table_dim_price_recipe[Item Description]) * (H$6=Table_dim_price_recipe[Type])*(Table_dim_price_recipe[Retail Price]&lt;&gt;0)*($C311=Table_dim_price_recipe[Subcategory]), 0))*$B311,"")</f>
        <v>0</v>
      </c>
      <c r="I311" s="39" t="str" cm="1">
        <f t="array" ref="I311">IFERROR(INDEX(Table_dim_price_recipe[Retail Price], MATCH(1, ("Calculator"&lt;&gt;Table_dim_price_recipe[Type.display])*($L311=Table_dim_price_recipe[Category])*($D311=Table_dim_price_recipe[Item Description]) * (I$6=Table_dim_price_recipe[Type])*(Table_dim_price_recipe[Retail Price]&lt;&gt;0)*($C311=Table_dim_price_recipe[Subcategory]), 0))*$B311,"")</f>
        <v/>
      </c>
      <c r="J311" s="39" t="str" cm="1">
        <f t="array" ref="J311">IFERROR(INDEX(Table_dim_price_recipe[Retail Price], MATCH(1, ("Calculator"&lt;&gt;Table_dim_price_recipe[Type.display])*($L311=Table_dim_price_recipe[Category])*($D311=Table_dim_price_recipe[Item Description]) * (J$6=Table_dim_price_recipe[Type])*(Table_dim_price_recipe[Retail Price]&lt;&gt;0)*($C311=Table_dim_price_recipe[Subcategory]), 0))*$B311,"")</f>
        <v/>
      </c>
      <c r="K311" s="39" t="str" cm="1">
        <f t="array" ref="K311">IFERROR(INDEX(Table_dim_price_recipe[Retail Price], MATCH(1, ("Calculator"&lt;&gt;Table_dim_price_recipe[Type.display])*($L311=Table_dim_price_recipe[Category])*($D311=Table_dim_price_recipe[Item Description]) * (K$6=Table_dim_price_recipe[Type])*(Table_dim_price_recipe[Retail Price]&lt;&gt;0)*($C311=Table_dim_price_recipe[Subcategory]), 0))*$B311,"")</f>
        <v/>
      </c>
      <c r="L311" s="39" t="str" cm="1">
        <f t="array" ref="L311">IF($A311&lt;&gt;"", $A311, LOOKUP(2, 1/((A$7:INDEX(A:A, ROW()))&lt;&gt;""), A$7:INDEX(A:A, ROW())))</f>
        <v>FINIALS</v>
      </c>
      <c r="M311" s="14"/>
    </row>
    <row r="312" spans="1:13">
      <c r="A312" s="263"/>
      <c r="B312" s="263"/>
      <c r="C312" s="263" t="s">
        <v>936</v>
      </c>
      <c r="D312" s="263"/>
      <c r="E312" s="263"/>
      <c r="F312" s="263"/>
      <c r="G312" s="39" t="str" cm="1">
        <f t="array" ref="G312">IFERROR(INDEX(Table_dim_price_recipe[Retail Price], MATCH(1, ("Calculator"&lt;&gt;Table_dim_price_recipe[Type.display])*($L312=Table_dim_price_recipe[Category])*($D312=Table_dim_price_recipe[Item Description]) * (G$6=Table_dim_price_recipe[Type])*(Table_dim_price_recipe[Retail Price]&lt;&gt;0)*($C312=Table_dim_price_recipe[Subcategory]), 0))*$B312,"")</f>
        <v/>
      </c>
      <c r="H312" s="39" cm="1">
        <f t="array" ref="H312">IFERROR(INDEX(Table_dim_price_recipe[Retail Price], MATCH(1, ("Calculator"&lt;&gt;Table_dim_price_recipe[Type.display])*($L312=Table_dim_price_recipe[Category])*($D312=Table_dim_price_recipe[Item Description]) * (H$6=Table_dim_price_recipe[Type])*(Table_dim_price_recipe[Retail Price]&lt;&gt;0)*($C312=Table_dim_price_recipe[Subcategory]), 0))*$B312,"")</f>
        <v>0</v>
      </c>
      <c r="I312" s="39" t="str" cm="1">
        <f t="array" ref="I312">IFERROR(INDEX(Table_dim_price_recipe[Retail Price], MATCH(1, ("Calculator"&lt;&gt;Table_dim_price_recipe[Type.display])*($L312=Table_dim_price_recipe[Category])*($D312=Table_dim_price_recipe[Item Description]) * (I$6=Table_dim_price_recipe[Type])*(Table_dim_price_recipe[Retail Price]&lt;&gt;0)*($C312=Table_dim_price_recipe[Subcategory]), 0))*$B312,"")</f>
        <v/>
      </c>
      <c r="J312" s="39" t="str" cm="1">
        <f t="array" ref="J312">IFERROR(INDEX(Table_dim_price_recipe[Retail Price], MATCH(1, ("Calculator"&lt;&gt;Table_dim_price_recipe[Type.display])*($L312=Table_dim_price_recipe[Category])*($D312=Table_dim_price_recipe[Item Description]) * (J$6=Table_dim_price_recipe[Type])*(Table_dim_price_recipe[Retail Price]&lt;&gt;0)*($C312=Table_dim_price_recipe[Subcategory]), 0))*$B312,"")</f>
        <v/>
      </c>
      <c r="K312" s="39" t="str" cm="1">
        <f t="array" ref="K312">IFERROR(INDEX(Table_dim_price_recipe[Retail Price], MATCH(1, ("Calculator"&lt;&gt;Table_dim_price_recipe[Type.display])*($L312=Table_dim_price_recipe[Category])*($D312=Table_dim_price_recipe[Item Description]) * (K$6=Table_dim_price_recipe[Type])*(Table_dim_price_recipe[Retail Price]&lt;&gt;0)*($C312=Table_dim_price_recipe[Subcategory]), 0))*$B312,"")</f>
        <v/>
      </c>
      <c r="L312" s="39" t="str" cm="1">
        <f t="array" ref="L312">IF($A312&lt;&gt;"", $A312, LOOKUP(2, 1/((A$7:INDEX(A:A, ROW()))&lt;&gt;""), A$7:INDEX(A:A, ROW())))</f>
        <v>FINIALS</v>
      </c>
      <c r="M312" s="14"/>
    </row>
    <row r="313" spans="1:13">
      <c r="A313" s="263"/>
      <c r="B313" s="263"/>
      <c r="C313" s="263" t="s">
        <v>936</v>
      </c>
      <c r="D313" s="263"/>
      <c r="E313" s="263"/>
      <c r="F313" s="263"/>
      <c r="G313" s="39" t="str" cm="1">
        <f t="array" ref="G313">IFERROR(INDEX(Table_dim_price_recipe[Retail Price], MATCH(1, ("Calculator"&lt;&gt;Table_dim_price_recipe[Type.display])*($L313=Table_dim_price_recipe[Category])*($D313=Table_dim_price_recipe[Item Description]) * (G$6=Table_dim_price_recipe[Type])*(Table_dim_price_recipe[Retail Price]&lt;&gt;0)*($C313=Table_dim_price_recipe[Subcategory]), 0))*$B313,"")</f>
        <v/>
      </c>
      <c r="H313" s="39" cm="1">
        <f t="array" ref="H313">IFERROR(INDEX(Table_dim_price_recipe[Retail Price], MATCH(1, ("Calculator"&lt;&gt;Table_dim_price_recipe[Type.display])*($L313=Table_dim_price_recipe[Category])*($D313=Table_dim_price_recipe[Item Description]) * (H$6=Table_dim_price_recipe[Type])*(Table_dim_price_recipe[Retail Price]&lt;&gt;0)*($C313=Table_dim_price_recipe[Subcategory]), 0))*$B313,"")</f>
        <v>0</v>
      </c>
      <c r="I313" s="39" t="str" cm="1">
        <f t="array" ref="I313">IFERROR(INDEX(Table_dim_price_recipe[Retail Price], MATCH(1, ("Calculator"&lt;&gt;Table_dim_price_recipe[Type.display])*($L313=Table_dim_price_recipe[Category])*($D313=Table_dim_price_recipe[Item Description]) * (I$6=Table_dim_price_recipe[Type])*(Table_dim_price_recipe[Retail Price]&lt;&gt;0)*($C313=Table_dim_price_recipe[Subcategory]), 0))*$B313,"")</f>
        <v/>
      </c>
      <c r="J313" s="39" t="str" cm="1">
        <f t="array" ref="J313">IFERROR(INDEX(Table_dim_price_recipe[Retail Price], MATCH(1, ("Calculator"&lt;&gt;Table_dim_price_recipe[Type.display])*($L313=Table_dim_price_recipe[Category])*($D313=Table_dim_price_recipe[Item Description]) * (J$6=Table_dim_price_recipe[Type])*(Table_dim_price_recipe[Retail Price]&lt;&gt;0)*($C313=Table_dim_price_recipe[Subcategory]), 0))*$B313,"")</f>
        <v/>
      </c>
      <c r="K313" s="39" t="str" cm="1">
        <f t="array" ref="K313">IFERROR(INDEX(Table_dim_price_recipe[Retail Price], MATCH(1, ("Calculator"&lt;&gt;Table_dim_price_recipe[Type.display])*($L313=Table_dim_price_recipe[Category])*($D313=Table_dim_price_recipe[Item Description]) * (K$6=Table_dim_price_recipe[Type])*(Table_dim_price_recipe[Retail Price]&lt;&gt;0)*($C313=Table_dim_price_recipe[Subcategory]), 0))*$B313,"")</f>
        <v/>
      </c>
      <c r="L313" s="39" t="str" cm="1">
        <f t="array" ref="L313">IF($A313&lt;&gt;"", $A313, LOOKUP(2, 1/((A$7:INDEX(A:A, ROW()))&lt;&gt;""), A$7:INDEX(A:A, ROW())))</f>
        <v>FINIALS</v>
      </c>
      <c r="M313" s="14"/>
    </row>
    <row r="314" spans="1:13">
      <c r="A314" s="260" t="s">
        <v>45</v>
      </c>
      <c r="B314" s="261"/>
      <c r="C314" s="261"/>
      <c r="D314" s="261"/>
      <c r="E314" s="261"/>
      <c r="F314" s="261"/>
      <c r="G314" s="262" t="str" cm="1">
        <f t="array" ref="G314">IFERROR(INDEX(Table_dim_price_recipe[Retail Price], MATCH(1, ("Calculator"&lt;&gt;Table_dim_price_recipe[Type.display])*($L314=Table_dim_price_recipe[Category])*($D314=Table_dim_price_recipe[Item Description]) * (G$6=Table_dim_price_recipe[Type])*(Table_dim_price_recipe[Retail Price]&lt;&gt;0)*($C314=Table_dim_price_recipe[Subcategory]), 0))*$B314,"")</f>
        <v/>
      </c>
      <c r="H314" s="262" t="str" cm="1">
        <f t="array" ref="H314">IFERROR(INDEX(Table_dim_price_recipe[Retail Price], MATCH(1, ("Calculator"&lt;&gt;Table_dim_price_recipe[Type.display])*($L314=Table_dim_price_recipe[Category])*($D314=Table_dim_price_recipe[Item Description]) * (H$6=Table_dim_price_recipe[Type])*(Table_dim_price_recipe[Retail Price]&lt;&gt;0)*($C314=Table_dim_price_recipe[Subcategory]), 0))*$B314,"")</f>
        <v/>
      </c>
      <c r="I314" s="262" t="str" cm="1">
        <f t="array" ref="I314">IFERROR(INDEX(Table_dim_price_recipe[Retail Price], MATCH(1, ("Calculator"&lt;&gt;Table_dim_price_recipe[Type.display])*($L314=Table_dim_price_recipe[Category])*($D314=Table_dim_price_recipe[Item Description]) * (I$6=Table_dim_price_recipe[Type])*(Table_dim_price_recipe[Retail Price]&lt;&gt;0)*($C314=Table_dim_price_recipe[Subcategory]), 0))*$B314,"")</f>
        <v/>
      </c>
      <c r="J314" s="262" t="str" cm="1">
        <f t="array" ref="J314">IFERROR(INDEX(Table_dim_price_recipe[Retail Price], MATCH(1, ("Calculator"&lt;&gt;Table_dim_price_recipe[Type.display])*($L314=Table_dim_price_recipe[Category])*($D314=Table_dim_price_recipe[Item Description]) * (J$6=Table_dim_price_recipe[Type])*(Table_dim_price_recipe[Retail Price]&lt;&gt;0)*($C314=Table_dim_price_recipe[Subcategory]), 0))*$B314,"")</f>
        <v/>
      </c>
      <c r="K314" s="262" t="str" cm="1">
        <f t="array" ref="K314">IFERROR(INDEX(Table_dim_price_recipe[Retail Price], MATCH(1, ("Calculator"&lt;&gt;Table_dim_price_recipe[Type.display])*($L314=Table_dim_price_recipe[Category])*($D314=Table_dim_price_recipe[Item Description]) * (K$6=Table_dim_price_recipe[Type])*(Table_dim_price_recipe[Retail Price]&lt;&gt;0)*($C314=Table_dim_price_recipe[Subcategory]), 0))*$B314,"")</f>
        <v/>
      </c>
      <c r="L314" s="262" t="str" cm="1">
        <f t="array" ref="L314">IF($A314&lt;&gt;"", $A314, LOOKUP(2, 1/((A$7:INDEX(A:A, ROW()))&lt;&gt;""), A$7:INDEX(A:A, ROW())))</f>
        <v>AC / SHEETING HOUSE END</v>
      </c>
      <c r="M314" s="14"/>
    </row>
    <row r="315" spans="1:13">
      <c r="A315" s="263"/>
      <c r="B315" s="263"/>
      <c r="C315" s="263" t="s">
        <v>396</v>
      </c>
      <c r="D315" s="263" t="s">
        <v>397</v>
      </c>
      <c r="E315" s="263"/>
      <c r="F315" s="263"/>
      <c r="G315" s="39" t="str" cm="1">
        <f t="array" ref="G315">IFERROR(INDEX(Table_dim_price_recipe[Retail Price], MATCH(1, ("Calculator"&lt;&gt;Table_dim_price_recipe[Type.display])*($L315=Table_dim_price_recipe[Category])*($D315=Table_dim_price_recipe[Item Description]) * (G$6=Table_dim_price_recipe[Type])*(Table_dim_price_recipe[Retail Price]&lt;&gt;0)*($C315=Table_dim_price_recipe[Subcategory]), 0))*$B315,"")</f>
        <v/>
      </c>
      <c r="H315" s="39" t="str" cm="1">
        <f t="array" ref="H315">IFERROR(INDEX(Table_dim_price_recipe[Retail Price], MATCH(1, ("Calculator"&lt;&gt;Table_dim_price_recipe[Type.display])*($L315=Table_dim_price_recipe[Category])*($D315=Table_dim_price_recipe[Item Description]) * (H$6=Table_dim_price_recipe[Type])*(Table_dim_price_recipe[Retail Price]&lt;&gt;0)*($C315=Table_dim_price_recipe[Subcategory]), 0))*$B315,"")</f>
        <v/>
      </c>
      <c r="I315" s="39" t="str" cm="1">
        <f t="array" ref="I315">IFERROR(INDEX(Table_dim_price_recipe[Retail Price], MATCH(1, ("Calculator"&lt;&gt;Table_dim_price_recipe[Type.display])*($L315=Table_dim_price_recipe[Category])*($D315=Table_dim_price_recipe[Item Description]) * (I$6=Table_dim_price_recipe[Type])*(Table_dim_price_recipe[Retail Price]&lt;&gt;0)*($C315=Table_dim_price_recipe[Subcategory]), 0))*$B315,"")</f>
        <v/>
      </c>
      <c r="J315" s="39" t="str" cm="1">
        <f t="array" ref="J315">IFERROR(INDEX(Table_dim_price_recipe[Retail Price], MATCH(1, ("Calculator"&lt;&gt;Table_dim_price_recipe[Type.display])*($L315=Table_dim_price_recipe[Category])*($D315=Table_dim_price_recipe[Item Description]) * (J$6=Table_dim_price_recipe[Type])*(Table_dim_price_recipe[Retail Price]&lt;&gt;0)*($C315=Table_dim_price_recipe[Subcategory]), 0))*$B315,"")</f>
        <v/>
      </c>
      <c r="K315" s="39" t="str" cm="1">
        <f t="array" ref="K315">IFERROR(INDEX(Table_dim_price_recipe[Retail Price], MATCH(1, ("Calculator"&lt;&gt;Table_dim_price_recipe[Type.display])*($L315=Table_dim_price_recipe[Category])*($D315=Table_dim_price_recipe[Item Description]) * (K$6=Table_dim_price_recipe[Type])*(Table_dim_price_recipe[Retail Price]&lt;&gt;0)*($C315=Table_dim_price_recipe[Subcategory]), 0))*$B315,"")</f>
        <v/>
      </c>
      <c r="L315" s="39" t="str" cm="1">
        <f t="array" ref="L315">IF($A315&lt;&gt;"", $A315, LOOKUP(2, 1/((A$7:INDEX(A:A, ROW()))&lt;&gt;""), A$7:INDEX(A:A, ROW())))</f>
        <v>AC / SHEETING HOUSE END</v>
      </c>
      <c r="M315" s="14"/>
    </row>
    <row r="316" spans="1:13">
      <c r="A316" s="263"/>
      <c r="B316" s="263"/>
      <c r="C316" s="263" t="s">
        <v>396</v>
      </c>
      <c r="D316" s="263"/>
      <c r="E316" s="263"/>
      <c r="F316" s="263"/>
      <c r="G316" s="39" t="str" cm="1">
        <f t="array" ref="G316">IFERROR(INDEX(Table_dim_price_recipe[Retail Price], MATCH(1, ("Calculator"&lt;&gt;Table_dim_price_recipe[Type.display])*($L316=Table_dim_price_recipe[Category])*($D316=Table_dim_price_recipe[Item Description]) * (G$6=Table_dim_price_recipe[Type])*(Table_dim_price_recipe[Retail Price]&lt;&gt;0)*($C316=Table_dim_price_recipe[Subcategory]), 0))*$B316,"")</f>
        <v/>
      </c>
      <c r="H316" s="39" t="str" cm="1">
        <f t="array" ref="H316">IFERROR(INDEX(Table_dim_price_recipe[Retail Price], MATCH(1, ("Calculator"&lt;&gt;Table_dim_price_recipe[Type.display])*($L316=Table_dim_price_recipe[Category])*($D316=Table_dim_price_recipe[Item Description]) * (H$6=Table_dim_price_recipe[Type])*(Table_dim_price_recipe[Retail Price]&lt;&gt;0)*($C316=Table_dim_price_recipe[Subcategory]), 0))*$B316,"")</f>
        <v/>
      </c>
      <c r="I316" s="39" t="str" cm="1">
        <f t="array" ref="I316">IFERROR(INDEX(Table_dim_price_recipe[Retail Price], MATCH(1, ("Calculator"&lt;&gt;Table_dim_price_recipe[Type.display])*($L316=Table_dim_price_recipe[Category])*($D316=Table_dim_price_recipe[Item Description]) * (I$6=Table_dim_price_recipe[Type])*(Table_dim_price_recipe[Retail Price]&lt;&gt;0)*($C316=Table_dim_price_recipe[Subcategory]), 0))*$B316,"")</f>
        <v/>
      </c>
      <c r="J316" s="39" t="str" cm="1">
        <f t="array" ref="J316">IFERROR(INDEX(Table_dim_price_recipe[Retail Price], MATCH(1, ("Calculator"&lt;&gt;Table_dim_price_recipe[Type.display])*($L316=Table_dim_price_recipe[Category])*($D316=Table_dim_price_recipe[Item Description]) * (J$6=Table_dim_price_recipe[Type])*(Table_dim_price_recipe[Retail Price]&lt;&gt;0)*($C316=Table_dim_price_recipe[Subcategory]), 0))*$B316,"")</f>
        <v/>
      </c>
      <c r="K316" s="39" t="str" cm="1">
        <f t="array" ref="K316">IFERROR(INDEX(Table_dim_price_recipe[Retail Price], MATCH(1, ("Calculator"&lt;&gt;Table_dim_price_recipe[Type.display])*($L316=Table_dim_price_recipe[Category])*($D316=Table_dim_price_recipe[Item Description]) * (K$6=Table_dim_price_recipe[Type])*(Table_dim_price_recipe[Retail Price]&lt;&gt;0)*($C316=Table_dim_price_recipe[Subcategory]), 0))*$B316,"")</f>
        <v/>
      </c>
      <c r="L316" s="39" t="str" cm="1">
        <f t="array" ref="L316">IF($A316&lt;&gt;"", $A316, LOOKUP(2, 1/((A$7:INDEX(A:A, ROW()))&lt;&gt;""), A$7:INDEX(A:A, ROW())))</f>
        <v>AC / SHEETING HOUSE END</v>
      </c>
      <c r="M316" s="14"/>
    </row>
    <row r="317" spans="1:13">
      <c r="A317" s="263"/>
      <c r="B317" s="263"/>
      <c r="C317" s="263" t="s">
        <v>396</v>
      </c>
      <c r="D317" s="263"/>
      <c r="E317" s="263"/>
      <c r="F317" s="263"/>
      <c r="G317" s="39" t="str" cm="1">
        <f t="array" ref="G317">IFERROR(INDEX(Table_dim_price_recipe[Retail Price], MATCH(1, ("Calculator"&lt;&gt;Table_dim_price_recipe[Type.display])*($L317=Table_dim_price_recipe[Category])*($D317=Table_dim_price_recipe[Item Description]) * (G$6=Table_dim_price_recipe[Type])*(Table_dim_price_recipe[Retail Price]&lt;&gt;0)*($C317=Table_dim_price_recipe[Subcategory]), 0))*$B317,"")</f>
        <v/>
      </c>
      <c r="H317" s="39" t="str" cm="1">
        <f t="array" ref="H317">IFERROR(INDEX(Table_dim_price_recipe[Retail Price], MATCH(1, ("Calculator"&lt;&gt;Table_dim_price_recipe[Type.display])*($L317=Table_dim_price_recipe[Category])*($D317=Table_dim_price_recipe[Item Description]) * (H$6=Table_dim_price_recipe[Type])*(Table_dim_price_recipe[Retail Price]&lt;&gt;0)*($C317=Table_dim_price_recipe[Subcategory]), 0))*$B317,"")</f>
        <v/>
      </c>
      <c r="I317" s="39" t="str" cm="1">
        <f t="array" ref="I317">IFERROR(INDEX(Table_dim_price_recipe[Retail Price], MATCH(1, ("Calculator"&lt;&gt;Table_dim_price_recipe[Type.display])*($L317=Table_dim_price_recipe[Category])*($D317=Table_dim_price_recipe[Item Description]) * (I$6=Table_dim_price_recipe[Type])*(Table_dim_price_recipe[Retail Price]&lt;&gt;0)*($C317=Table_dim_price_recipe[Subcategory]), 0))*$B317,"")</f>
        <v/>
      </c>
      <c r="J317" s="39" t="str" cm="1">
        <f t="array" ref="J317">IFERROR(INDEX(Table_dim_price_recipe[Retail Price], MATCH(1, ("Calculator"&lt;&gt;Table_dim_price_recipe[Type.display])*($L317=Table_dim_price_recipe[Category])*($D317=Table_dim_price_recipe[Item Description]) * (J$6=Table_dim_price_recipe[Type])*(Table_dim_price_recipe[Retail Price]&lt;&gt;0)*($C317=Table_dim_price_recipe[Subcategory]), 0))*$B317,"")</f>
        <v/>
      </c>
      <c r="K317" s="39" t="str" cm="1">
        <f t="array" ref="K317">IFERROR(INDEX(Table_dim_price_recipe[Retail Price], MATCH(1, ("Calculator"&lt;&gt;Table_dim_price_recipe[Type.display])*($L317=Table_dim_price_recipe[Category])*($D317=Table_dim_price_recipe[Item Description]) * (K$6=Table_dim_price_recipe[Type])*(Table_dim_price_recipe[Retail Price]&lt;&gt;0)*($C317=Table_dim_price_recipe[Subcategory]), 0))*$B317,"")</f>
        <v/>
      </c>
      <c r="L317" s="39" t="str" cm="1">
        <f t="array" ref="L317">IF($A317&lt;&gt;"", $A317, LOOKUP(2, 1/((A$7:INDEX(A:A, ROW()))&lt;&gt;""), A$7:INDEX(A:A, ROW())))</f>
        <v>AC / SHEETING HOUSE END</v>
      </c>
      <c r="M317" s="14"/>
    </row>
    <row r="318" spans="1:13">
      <c r="A318" s="263"/>
      <c r="B318" s="263"/>
      <c r="C318" s="263" t="s">
        <v>406</v>
      </c>
      <c r="D318" s="263" t="s">
        <v>407</v>
      </c>
      <c r="E318" s="263" t="s">
        <v>1306</v>
      </c>
      <c r="F318" s="263"/>
      <c r="G318" s="39" cm="1">
        <f t="array" ref="G318">IFERROR(INDEX(Table_dim_price_recipe[Retail Price], MATCH(1, ("Calculator"&lt;&gt;Table_dim_price_recipe[Type.display])*($L318=Table_dim_price_recipe[Category])*($D318=Table_dim_price_recipe[Item Description]) * (G$6=Table_dim_price_recipe[Type])*(Table_dim_price_recipe[Retail Price]&lt;&gt;0)*($C318=Table_dim_price_recipe[Subcategory]), 0))*$B318,"")</f>
        <v>0</v>
      </c>
      <c r="H318" s="39" t="str" cm="1">
        <f t="array" ref="H318">IFERROR(INDEX(Table_dim_price_recipe[Retail Price], MATCH(1, ("Calculator"&lt;&gt;Table_dim_price_recipe[Type.display])*($L318=Table_dim_price_recipe[Category])*($D318=Table_dim_price_recipe[Item Description]) * (H$6=Table_dim_price_recipe[Type])*(Table_dim_price_recipe[Retail Price]&lt;&gt;0)*($C318=Table_dim_price_recipe[Subcategory]), 0))*$B318,"")</f>
        <v/>
      </c>
      <c r="I318" s="39" t="str" cm="1">
        <f t="array" ref="I318">IFERROR(INDEX(Table_dim_price_recipe[Retail Price], MATCH(1, ("Calculator"&lt;&gt;Table_dim_price_recipe[Type.display])*($L318=Table_dim_price_recipe[Category])*($D318=Table_dim_price_recipe[Item Description]) * (I$6=Table_dim_price_recipe[Type])*(Table_dim_price_recipe[Retail Price]&lt;&gt;0)*($C318=Table_dim_price_recipe[Subcategory]), 0))*$B318,"")</f>
        <v/>
      </c>
      <c r="J318" s="39" t="str" cm="1">
        <f t="array" ref="J318">IFERROR(INDEX(Table_dim_price_recipe[Retail Price], MATCH(1, ("Calculator"&lt;&gt;Table_dim_price_recipe[Type.display])*($L318=Table_dim_price_recipe[Category])*($D318=Table_dim_price_recipe[Item Description]) * (J$6=Table_dim_price_recipe[Type])*(Table_dim_price_recipe[Retail Price]&lt;&gt;0)*($C318=Table_dim_price_recipe[Subcategory]), 0))*$B318,"")</f>
        <v/>
      </c>
      <c r="K318" s="39" t="str" cm="1">
        <f t="array" ref="K318">IFERROR(INDEX(Table_dim_price_recipe[Retail Price], MATCH(1, ("Calculator"&lt;&gt;Table_dim_price_recipe[Type.display])*($L318=Table_dim_price_recipe[Category])*($D318=Table_dim_price_recipe[Item Description]) * (K$6=Table_dim_price_recipe[Type])*(Table_dim_price_recipe[Retail Price]&lt;&gt;0)*($C318=Table_dim_price_recipe[Subcategory]), 0))*$B318,"")</f>
        <v/>
      </c>
      <c r="L318" s="39" t="str" cm="1">
        <f t="array" ref="L318">IF($A318&lt;&gt;"", $A318, LOOKUP(2, 1/((A$7:INDEX(A:A, ROW()))&lt;&gt;""), A$7:INDEX(A:A, ROW())))</f>
        <v>AC / SHEETING HOUSE END</v>
      </c>
      <c r="M318" s="14"/>
    </row>
    <row r="319" spans="1:13" ht="13.5" customHeight="1">
      <c r="A319" s="263"/>
      <c r="B319" s="263"/>
      <c r="C319" s="263" t="s">
        <v>406</v>
      </c>
      <c r="D319" s="263" t="s">
        <v>408</v>
      </c>
      <c r="E319" s="263" t="s">
        <v>1306</v>
      </c>
      <c r="F319" s="263"/>
      <c r="G319" s="39" cm="1">
        <f t="array" ref="G319">IFERROR(INDEX(Table_dim_price_recipe[Retail Price], MATCH(1, ("Calculator"&lt;&gt;Table_dim_price_recipe[Type.display])*($L319=Table_dim_price_recipe[Category])*($D319=Table_dim_price_recipe[Item Description]) * (G$6=Table_dim_price_recipe[Type])*(Table_dim_price_recipe[Retail Price]&lt;&gt;0)*($C319=Table_dim_price_recipe[Subcategory]), 0))*$B319,"")</f>
        <v>0</v>
      </c>
      <c r="H319" s="39" t="str" cm="1">
        <f t="array" ref="H319">IFERROR(INDEX(Table_dim_price_recipe[Retail Price], MATCH(1, ("Calculator"&lt;&gt;Table_dim_price_recipe[Type.display])*($L319=Table_dim_price_recipe[Category])*($D319=Table_dim_price_recipe[Item Description]) * (H$6=Table_dim_price_recipe[Type])*(Table_dim_price_recipe[Retail Price]&lt;&gt;0)*($C319=Table_dim_price_recipe[Subcategory]), 0))*$B319,"")</f>
        <v/>
      </c>
      <c r="I319" s="39" t="str" cm="1">
        <f t="array" ref="I319">IFERROR(INDEX(Table_dim_price_recipe[Retail Price], MATCH(1, ("Calculator"&lt;&gt;Table_dim_price_recipe[Type.display])*($L319=Table_dim_price_recipe[Category])*($D319=Table_dim_price_recipe[Item Description]) * (I$6=Table_dim_price_recipe[Type])*(Table_dim_price_recipe[Retail Price]&lt;&gt;0)*($C319=Table_dim_price_recipe[Subcategory]), 0))*$B319,"")</f>
        <v/>
      </c>
      <c r="J319" s="39" t="str" cm="1">
        <f t="array" ref="J319">IFERROR(INDEX(Table_dim_price_recipe[Retail Price], MATCH(1, ("Calculator"&lt;&gt;Table_dim_price_recipe[Type.display])*($L319=Table_dim_price_recipe[Category])*($D319=Table_dim_price_recipe[Item Description]) * (J$6=Table_dim_price_recipe[Type])*(Table_dim_price_recipe[Retail Price]&lt;&gt;0)*($C319=Table_dim_price_recipe[Subcategory]), 0))*$B319,"")</f>
        <v/>
      </c>
      <c r="K319" s="39" t="str" cm="1">
        <f t="array" ref="K319">IFERROR(INDEX(Table_dim_price_recipe[Retail Price], MATCH(1, ("Calculator"&lt;&gt;Table_dim_price_recipe[Type.display])*($L319=Table_dim_price_recipe[Category])*($D319=Table_dim_price_recipe[Item Description]) * (K$6=Table_dim_price_recipe[Type])*(Table_dim_price_recipe[Retail Price]&lt;&gt;0)*($C319=Table_dim_price_recipe[Subcategory]), 0))*$B319,"")</f>
        <v/>
      </c>
      <c r="L319" s="39" t="str" cm="1">
        <f t="array" ref="L319">IF($A319&lt;&gt;"", $A319, LOOKUP(2, 1/((A$7:INDEX(A:A, ROW()))&lt;&gt;""), A$7:INDEX(A:A, ROW())))</f>
        <v>AC / SHEETING HOUSE END</v>
      </c>
      <c r="M319" s="14"/>
    </row>
    <row r="320" spans="1:13" ht="13.5" customHeight="1">
      <c r="A320" s="263"/>
      <c r="B320" s="263"/>
      <c r="C320" s="263" t="s">
        <v>406</v>
      </c>
      <c r="D320" s="263" t="s">
        <v>96</v>
      </c>
      <c r="E320" s="263" t="s">
        <v>1306</v>
      </c>
      <c r="F320" s="263"/>
      <c r="G320" s="39" cm="1">
        <f t="array" ref="G320">IFERROR(INDEX(Table_dim_price_recipe[Retail Price], MATCH(1, ("Calculator"&lt;&gt;Table_dim_price_recipe[Type.display])*($L320=Table_dim_price_recipe[Category])*($D320=Table_dim_price_recipe[Item Description]) * (G$6=Table_dim_price_recipe[Type])*(Table_dim_price_recipe[Retail Price]&lt;&gt;0)*($C320=Table_dim_price_recipe[Subcategory]), 0))*$B320,"")</f>
        <v>0</v>
      </c>
      <c r="H320" s="39" t="str" cm="1">
        <f t="array" ref="H320">IFERROR(INDEX(Table_dim_price_recipe[Retail Price], MATCH(1, ("Calculator"&lt;&gt;Table_dim_price_recipe[Type.display])*($L320=Table_dim_price_recipe[Category])*($D320=Table_dim_price_recipe[Item Description]) * (H$6=Table_dim_price_recipe[Type])*(Table_dim_price_recipe[Retail Price]&lt;&gt;0)*($C320=Table_dim_price_recipe[Subcategory]), 0))*$B320,"")</f>
        <v/>
      </c>
      <c r="I320" s="39" t="str" cm="1">
        <f t="array" ref="I320">IFERROR(INDEX(Table_dim_price_recipe[Retail Price], MATCH(1, ("Calculator"&lt;&gt;Table_dim_price_recipe[Type.display])*($L320=Table_dim_price_recipe[Category])*($D320=Table_dim_price_recipe[Item Description]) * (I$6=Table_dim_price_recipe[Type])*(Table_dim_price_recipe[Retail Price]&lt;&gt;0)*($C320=Table_dim_price_recipe[Subcategory]), 0))*$B320,"")</f>
        <v/>
      </c>
      <c r="J320" s="39" t="str" cm="1">
        <f t="array" ref="J320">IFERROR(INDEX(Table_dim_price_recipe[Retail Price], MATCH(1, ("Calculator"&lt;&gt;Table_dim_price_recipe[Type.display])*($L320=Table_dim_price_recipe[Category])*($D320=Table_dim_price_recipe[Item Description]) * (J$6=Table_dim_price_recipe[Type])*(Table_dim_price_recipe[Retail Price]&lt;&gt;0)*($C320=Table_dim_price_recipe[Subcategory]), 0))*$B320,"")</f>
        <v/>
      </c>
      <c r="K320" s="39" t="str" cm="1">
        <f t="array" ref="K320">IFERROR(INDEX(Table_dim_price_recipe[Retail Price], MATCH(1, ("Calculator"&lt;&gt;Table_dim_price_recipe[Type.display])*($L320=Table_dim_price_recipe[Category])*($D320=Table_dim_price_recipe[Item Description]) * (K$6=Table_dim_price_recipe[Type])*(Table_dim_price_recipe[Retail Price]&lt;&gt;0)*($C320=Table_dim_price_recipe[Subcategory]), 0))*$B320,"")</f>
        <v/>
      </c>
      <c r="L320" s="39" t="str" cm="1">
        <f t="array" ref="L320">IF($A320&lt;&gt;"", $A320, LOOKUP(2, 1/((A$7:INDEX(A:A, ROW()))&lt;&gt;""), A$7:INDEX(A:A, ROW())))</f>
        <v>AC / SHEETING HOUSE END</v>
      </c>
      <c r="M320" s="14"/>
    </row>
    <row r="321" spans="1:13">
      <c r="A321" s="263"/>
      <c r="B321" s="263"/>
      <c r="C321" s="263" t="s">
        <v>406</v>
      </c>
      <c r="D321" s="263" t="s">
        <v>97</v>
      </c>
      <c r="E321" s="263" t="s">
        <v>1306</v>
      </c>
      <c r="F321" s="263"/>
      <c r="G321" s="39" cm="1">
        <f t="array" ref="G321">IFERROR(INDEX(Table_dim_price_recipe[Retail Price], MATCH(1, ("Calculator"&lt;&gt;Table_dim_price_recipe[Type.display])*($L321=Table_dim_price_recipe[Category])*($D321=Table_dim_price_recipe[Item Description]) * (G$6=Table_dim_price_recipe[Type])*(Table_dim_price_recipe[Retail Price]&lt;&gt;0)*($C321=Table_dim_price_recipe[Subcategory]), 0))*$B321,"")</f>
        <v>0</v>
      </c>
      <c r="H321" s="39" t="str" cm="1">
        <f t="array" ref="H321">IFERROR(INDEX(Table_dim_price_recipe[Retail Price], MATCH(1, ("Calculator"&lt;&gt;Table_dim_price_recipe[Type.display])*($L321=Table_dim_price_recipe[Category])*($D321=Table_dim_price_recipe[Item Description]) * (H$6=Table_dim_price_recipe[Type])*(Table_dim_price_recipe[Retail Price]&lt;&gt;0)*($C321=Table_dim_price_recipe[Subcategory]), 0))*$B321,"")</f>
        <v/>
      </c>
      <c r="I321" s="39" t="str" cm="1">
        <f t="array" ref="I321">IFERROR(INDEX(Table_dim_price_recipe[Retail Price], MATCH(1, ("Calculator"&lt;&gt;Table_dim_price_recipe[Type.display])*($L321=Table_dim_price_recipe[Category])*($D321=Table_dim_price_recipe[Item Description]) * (I$6=Table_dim_price_recipe[Type])*(Table_dim_price_recipe[Retail Price]&lt;&gt;0)*($C321=Table_dim_price_recipe[Subcategory]), 0))*$B321,"")</f>
        <v/>
      </c>
      <c r="J321" s="39" t="str" cm="1">
        <f t="array" ref="J321">IFERROR(INDEX(Table_dim_price_recipe[Retail Price], MATCH(1, ("Calculator"&lt;&gt;Table_dim_price_recipe[Type.display])*($L321=Table_dim_price_recipe[Category])*($D321=Table_dim_price_recipe[Item Description]) * (J$6=Table_dim_price_recipe[Type])*(Table_dim_price_recipe[Retail Price]&lt;&gt;0)*($C321=Table_dim_price_recipe[Subcategory]), 0))*$B321,"")</f>
        <v/>
      </c>
      <c r="K321" s="39" t="str" cm="1">
        <f t="array" ref="K321">IFERROR(INDEX(Table_dim_price_recipe[Retail Price], MATCH(1, ("Calculator"&lt;&gt;Table_dim_price_recipe[Type.display])*($L321=Table_dim_price_recipe[Category])*($D321=Table_dim_price_recipe[Item Description]) * (K$6=Table_dim_price_recipe[Type])*(Table_dim_price_recipe[Retail Price]&lt;&gt;0)*($C321=Table_dim_price_recipe[Subcategory]), 0))*$B321,"")</f>
        <v/>
      </c>
      <c r="L321" s="39" t="str" cm="1">
        <f t="array" ref="L321">IF($A321&lt;&gt;"", $A321, LOOKUP(2, 1/((A$7:INDEX(A:A, ROW()))&lt;&gt;""), A$7:INDEX(A:A, ROW())))</f>
        <v>AC / SHEETING HOUSE END</v>
      </c>
      <c r="M321" s="14"/>
    </row>
    <row r="322" spans="1:13">
      <c r="A322" s="263"/>
      <c r="B322" s="263"/>
      <c r="C322" s="263" t="s">
        <v>406</v>
      </c>
      <c r="D322" s="263"/>
      <c r="E322" s="263"/>
      <c r="F322" s="263"/>
      <c r="G322" s="39" t="str" cm="1">
        <f t="array" ref="G322">IFERROR(INDEX(Table_dim_price_recipe[Retail Price], MATCH(1, ("Calculator"&lt;&gt;Table_dim_price_recipe[Type.display])*($L322=Table_dim_price_recipe[Category])*($D322=Table_dim_price_recipe[Item Description]) * (G$6=Table_dim_price_recipe[Type])*(Table_dim_price_recipe[Retail Price]&lt;&gt;0)*($C322=Table_dim_price_recipe[Subcategory]), 0))*$B322,"")</f>
        <v/>
      </c>
      <c r="H322" s="39" t="str" cm="1">
        <f t="array" ref="H322">IFERROR(INDEX(Table_dim_price_recipe[Retail Price], MATCH(1, ("Calculator"&lt;&gt;Table_dim_price_recipe[Type.display])*($L322=Table_dim_price_recipe[Category])*($D322=Table_dim_price_recipe[Item Description]) * (H$6=Table_dim_price_recipe[Type])*(Table_dim_price_recipe[Retail Price]&lt;&gt;0)*($C322=Table_dim_price_recipe[Subcategory]), 0))*$B322,"")</f>
        <v/>
      </c>
      <c r="I322" s="39" t="str" cm="1">
        <f t="array" ref="I322">IFERROR(INDEX(Table_dim_price_recipe[Retail Price], MATCH(1, ("Calculator"&lt;&gt;Table_dim_price_recipe[Type.display])*($L322=Table_dim_price_recipe[Category])*($D322=Table_dim_price_recipe[Item Description]) * (I$6=Table_dim_price_recipe[Type])*(Table_dim_price_recipe[Retail Price]&lt;&gt;0)*($C322=Table_dim_price_recipe[Subcategory]), 0))*$B322,"")</f>
        <v/>
      </c>
      <c r="J322" s="39" t="str" cm="1">
        <f t="array" ref="J322">IFERROR(INDEX(Table_dim_price_recipe[Retail Price], MATCH(1, ("Calculator"&lt;&gt;Table_dim_price_recipe[Type.display])*($L322=Table_dim_price_recipe[Category])*($D322=Table_dim_price_recipe[Item Description]) * (J$6=Table_dim_price_recipe[Type])*(Table_dim_price_recipe[Retail Price]&lt;&gt;0)*($C322=Table_dim_price_recipe[Subcategory]), 0))*$B322,"")</f>
        <v/>
      </c>
      <c r="K322" s="39" t="str" cm="1">
        <f t="array" ref="K322">IFERROR(INDEX(Table_dim_price_recipe[Retail Price], MATCH(1, ("Calculator"&lt;&gt;Table_dim_price_recipe[Type.display])*($L322=Table_dim_price_recipe[Category])*($D322=Table_dim_price_recipe[Item Description]) * (K$6=Table_dim_price_recipe[Type])*(Table_dim_price_recipe[Retail Price]&lt;&gt;0)*($C322=Table_dim_price_recipe[Subcategory]), 0))*$B322,"")</f>
        <v/>
      </c>
      <c r="L322" s="39" t="str" cm="1">
        <f t="array" ref="L322">IF($A322&lt;&gt;"", $A322, LOOKUP(2, 1/((A$7:INDEX(A:A, ROW()))&lt;&gt;""), A$7:INDEX(A:A, ROW())))</f>
        <v>AC / SHEETING HOUSE END</v>
      </c>
      <c r="M322" s="14"/>
    </row>
    <row r="323" spans="1:13">
      <c r="A323" s="263"/>
      <c r="B323" s="263"/>
      <c r="C323" s="263" t="s">
        <v>406</v>
      </c>
      <c r="D323" s="263"/>
      <c r="E323" s="263"/>
      <c r="F323" s="263"/>
      <c r="G323" s="39" t="str" cm="1">
        <f t="array" ref="G323">IFERROR(INDEX(Table_dim_price_recipe[Retail Price], MATCH(1, ("Calculator"&lt;&gt;Table_dim_price_recipe[Type.display])*($L323=Table_dim_price_recipe[Category])*($D323=Table_dim_price_recipe[Item Description]) * (G$6=Table_dim_price_recipe[Type])*(Table_dim_price_recipe[Retail Price]&lt;&gt;0)*($C323=Table_dim_price_recipe[Subcategory]), 0))*$B323,"")</f>
        <v/>
      </c>
      <c r="H323" s="39" t="str" cm="1">
        <f t="array" ref="H323">IFERROR(INDEX(Table_dim_price_recipe[Retail Price], MATCH(1, ("Calculator"&lt;&gt;Table_dim_price_recipe[Type.display])*($L323=Table_dim_price_recipe[Category])*($D323=Table_dim_price_recipe[Item Description]) * (H$6=Table_dim_price_recipe[Type])*(Table_dim_price_recipe[Retail Price]&lt;&gt;0)*($C323=Table_dim_price_recipe[Subcategory]), 0))*$B323,"")</f>
        <v/>
      </c>
      <c r="I323" s="39" t="str" cm="1">
        <f t="array" ref="I323">IFERROR(INDEX(Table_dim_price_recipe[Retail Price], MATCH(1, ("Calculator"&lt;&gt;Table_dim_price_recipe[Type.display])*($L323=Table_dim_price_recipe[Category])*($D323=Table_dim_price_recipe[Item Description]) * (I$6=Table_dim_price_recipe[Type])*(Table_dim_price_recipe[Retail Price]&lt;&gt;0)*($C323=Table_dim_price_recipe[Subcategory]), 0))*$B323,"")</f>
        <v/>
      </c>
      <c r="J323" s="39" t="str" cm="1">
        <f t="array" ref="J323">IFERROR(INDEX(Table_dim_price_recipe[Retail Price], MATCH(1, ("Calculator"&lt;&gt;Table_dim_price_recipe[Type.display])*($L323=Table_dim_price_recipe[Category])*($D323=Table_dim_price_recipe[Item Description]) * (J$6=Table_dim_price_recipe[Type])*(Table_dim_price_recipe[Retail Price]&lt;&gt;0)*($C323=Table_dim_price_recipe[Subcategory]), 0))*$B323,"")</f>
        <v/>
      </c>
      <c r="K323" s="39" t="str" cm="1">
        <f t="array" ref="K323">IFERROR(INDEX(Table_dim_price_recipe[Retail Price], MATCH(1, ("Calculator"&lt;&gt;Table_dim_price_recipe[Type.display])*($L323=Table_dim_price_recipe[Category])*($D323=Table_dim_price_recipe[Item Description]) * (K$6=Table_dim_price_recipe[Type])*(Table_dim_price_recipe[Retail Price]&lt;&gt;0)*($C323=Table_dim_price_recipe[Subcategory]), 0))*$B323,"")</f>
        <v/>
      </c>
      <c r="L323" s="39" t="str" cm="1">
        <f t="array" ref="L323">IF($A323&lt;&gt;"", $A323, LOOKUP(2, 1/((A$7:INDEX(A:A, ROW()))&lt;&gt;""), A$7:INDEX(A:A, ROW())))</f>
        <v>AC / SHEETING HOUSE END</v>
      </c>
      <c r="M323" s="14"/>
    </row>
    <row r="324" spans="1:13">
      <c r="A324" s="260" t="s">
        <v>379</v>
      </c>
      <c r="B324" s="261"/>
      <c r="C324" s="261"/>
      <c r="D324" s="261"/>
      <c r="E324" s="261"/>
      <c r="F324" s="261"/>
      <c r="G324" s="262" t="str" cm="1">
        <f t="array" ref="G324">IFERROR(INDEX(Table_dim_price_recipe[Retail Price], MATCH(1, ("Calculator"&lt;&gt;Table_dim_price_recipe[Type.display])*($L324=Table_dim_price_recipe[Category])*($D324=Table_dim_price_recipe[Item Description]) * (G$6=Table_dim_price_recipe[Type])*(Table_dim_price_recipe[Retail Price]&lt;&gt;0)*($C324=Table_dim_price_recipe[Subcategory]), 0))*$B324,"")</f>
        <v/>
      </c>
      <c r="H324" s="262" t="str" cm="1">
        <f t="array" ref="H324">IFERROR(INDEX(Table_dim_price_recipe[Retail Price], MATCH(1, ("Calculator"&lt;&gt;Table_dim_price_recipe[Type.display])*($L324=Table_dim_price_recipe[Category])*($D324=Table_dim_price_recipe[Item Description]) * (H$6=Table_dim_price_recipe[Type])*(Table_dim_price_recipe[Retail Price]&lt;&gt;0)*($C324=Table_dim_price_recipe[Subcategory]), 0))*$B324,"")</f>
        <v/>
      </c>
      <c r="I324" s="262" t="str" cm="1">
        <f t="array" ref="I324">IFERROR(INDEX(Table_dim_price_recipe[Retail Price], MATCH(1, ("Calculator"&lt;&gt;Table_dim_price_recipe[Type.display])*($L324=Table_dim_price_recipe[Category])*($D324=Table_dim_price_recipe[Item Description]) * (I$6=Table_dim_price_recipe[Type])*(Table_dim_price_recipe[Retail Price]&lt;&gt;0)*($C324=Table_dim_price_recipe[Subcategory]), 0))*$B324,"")</f>
        <v/>
      </c>
      <c r="J324" s="262" t="str" cm="1">
        <f t="array" ref="J324">IFERROR(INDEX(Table_dim_price_recipe[Retail Price], MATCH(1, ("Calculator"&lt;&gt;Table_dim_price_recipe[Type.display])*($L324=Table_dim_price_recipe[Category])*($D324=Table_dim_price_recipe[Item Description]) * (J$6=Table_dim_price_recipe[Type])*(Table_dim_price_recipe[Retail Price]&lt;&gt;0)*($C324=Table_dim_price_recipe[Subcategory]), 0))*$B324,"")</f>
        <v/>
      </c>
      <c r="K324" s="262" t="str" cm="1">
        <f t="array" ref="K324">IFERROR(INDEX(Table_dim_price_recipe[Retail Price], MATCH(1, ("Calculator"&lt;&gt;Table_dim_price_recipe[Type.display])*($L324=Table_dim_price_recipe[Category])*($D324=Table_dim_price_recipe[Item Description]) * (K$6=Table_dim_price_recipe[Type])*(Table_dim_price_recipe[Retail Price]&lt;&gt;0)*($C324=Table_dim_price_recipe[Subcategory]), 0))*$B324,"")</f>
        <v/>
      </c>
      <c r="L324" s="262" t="str" cm="1">
        <f t="array" ref="L324">IF($A324&lt;&gt;"", $A324, LOOKUP(2, 1/((A$7:INDEX(A:A, ROW()))&lt;&gt;""), A$7:INDEX(A:A, ROW())))</f>
        <v>AC / SHEETING</v>
      </c>
      <c r="M324" s="14"/>
    </row>
    <row r="325" spans="1:13">
      <c r="A325" s="263"/>
      <c r="B325" s="263"/>
      <c r="C325" s="263" t="s">
        <v>380</v>
      </c>
      <c r="D325" s="263" t="s">
        <v>395</v>
      </c>
      <c r="E325" s="263"/>
      <c r="F325" s="263"/>
      <c r="G325" s="39" cm="1">
        <f t="array" ref="G325">IFERROR(INDEX(Table_dim_price_recipe[Retail Price], MATCH(1, ("Calculator"&lt;&gt;Table_dim_price_recipe[Type.display])*($L325=Table_dim_price_recipe[Category])*($D325=Table_dim_price_recipe[Item Description]) * (G$6=Table_dim_price_recipe[Type])*(Table_dim_price_recipe[Retail Price]&lt;&gt;0)*($C325=Table_dim_price_recipe[Subcategory]), 0))*$B325,"")</f>
        <v>0</v>
      </c>
      <c r="H325" s="39" t="str" cm="1">
        <f t="array" ref="H325">IFERROR(INDEX(Table_dim_price_recipe[Retail Price], MATCH(1, ("Calculator"&lt;&gt;Table_dim_price_recipe[Type.display])*($L325=Table_dim_price_recipe[Category])*($D325=Table_dim_price_recipe[Item Description]) * (H$6=Table_dim_price_recipe[Type])*(Table_dim_price_recipe[Retail Price]&lt;&gt;0)*($C325=Table_dim_price_recipe[Subcategory]), 0))*$B325,"")</f>
        <v/>
      </c>
      <c r="I325" s="39" t="str" cm="1">
        <f t="array" ref="I325">IFERROR(INDEX(Table_dim_price_recipe[Retail Price], MATCH(1, ("Calculator"&lt;&gt;Table_dim_price_recipe[Type.display])*($L325=Table_dim_price_recipe[Category])*($D325=Table_dim_price_recipe[Item Description]) * (I$6=Table_dim_price_recipe[Type])*(Table_dim_price_recipe[Retail Price]&lt;&gt;0)*($C325=Table_dim_price_recipe[Subcategory]), 0))*$B325,"")</f>
        <v/>
      </c>
      <c r="J325" s="39" t="str" cm="1">
        <f t="array" ref="J325">IFERROR(INDEX(Table_dim_price_recipe[Retail Price], MATCH(1, ("Calculator"&lt;&gt;Table_dim_price_recipe[Type.display])*($L325=Table_dim_price_recipe[Category])*($D325=Table_dim_price_recipe[Item Description]) * (J$6=Table_dim_price_recipe[Type])*(Table_dim_price_recipe[Retail Price]&lt;&gt;0)*($C325=Table_dim_price_recipe[Subcategory]), 0))*$B325,"")</f>
        <v/>
      </c>
      <c r="K325" s="39" t="str" cm="1">
        <f t="array" ref="K325">IFERROR(INDEX(Table_dim_price_recipe[Retail Price], MATCH(1, ("Calculator"&lt;&gt;Table_dim_price_recipe[Type.display])*($L325=Table_dim_price_recipe[Category])*($D325=Table_dim_price_recipe[Item Description]) * (K$6=Table_dim_price_recipe[Type])*(Table_dim_price_recipe[Retail Price]&lt;&gt;0)*($C325=Table_dim_price_recipe[Subcategory]), 0))*$B325,"")</f>
        <v/>
      </c>
      <c r="L325" s="39" t="str" cm="1">
        <f t="array" ref="L325">IF($A325&lt;&gt;"", $A325, LOOKUP(2, 1/((A$7:INDEX(A:A, ROW()))&lt;&gt;""), A$7:INDEX(A:A, ROW())))</f>
        <v>AC / SHEETING</v>
      </c>
      <c r="M325" s="14"/>
    </row>
    <row r="326" spans="1:13">
      <c r="A326" s="263"/>
      <c r="B326" s="263"/>
      <c r="C326" s="263" t="s">
        <v>380</v>
      </c>
      <c r="D326" s="263" t="s">
        <v>394</v>
      </c>
      <c r="E326" s="263"/>
      <c r="F326" s="263"/>
      <c r="G326" s="39" cm="1">
        <f t="array" ref="G326">IFERROR(INDEX(Table_dim_price_recipe[Retail Price], MATCH(1, ("Calculator"&lt;&gt;Table_dim_price_recipe[Type.display])*($L326=Table_dim_price_recipe[Category])*($D326=Table_dim_price_recipe[Item Description]) * (G$6=Table_dim_price_recipe[Type])*(Table_dim_price_recipe[Retail Price]&lt;&gt;0)*($C326=Table_dim_price_recipe[Subcategory]), 0))*$B326,"")</f>
        <v>0</v>
      </c>
      <c r="H326" s="39" t="str" cm="1">
        <f t="array" ref="H326">IFERROR(INDEX(Table_dim_price_recipe[Retail Price], MATCH(1, ("Calculator"&lt;&gt;Table_dim_price_recipe[Type.display])*($L326=Table_dim_price_recipe[Category])*($D326=Table_dim_price_recipe[Item Description]) * (H$6=Table_dim_price_recipe[Type])*(Table_dim_price_recipe[Retail Price]&lt;&gt;0)*($C326=Table_dim_price_recipe[Subcategory]), 0))*$B326,"")</f>
        <v/>
      </c>
      <c r="I326" s="39" t="str" cm="1">
        <f t="array" ref="I326">IFERROR(INDEX(Table_dim_price_recipe[Retail Price], MATCH(1, ("Calculator"&lt;&gt;Table_dim_price_recipe[Type.display])*($L326=Table_dim_price_recipe[Category])*($D326=Table_dim_price_recipe[Item Description]) * (I$6=Table_dim_price_recipe[Type])*(Table_dim_price_recipe[Retail Price]&lt;&gt;0)*($C326=Table_dim_price_recipe[Subcategory]), 0))*$B326,"")</f>
        <v/>
      </c>
      <c r="J326" s="39" t="str" cm="1">
        <f t="array" ref="J326">IFERROR(INDEX(Table_dim_price_recipe[Retail Price], MATCH(1, ("Calculator"&lt;&gt;Table_dim_price_recipe[Type.display])*($L326=Table_dim_price_recipe[Category])*($D326=Table_dim_price_recipe[Item Description]) * (J$6=Table_dim_price_recipe[Type])*(Table_dim_price_recipe[Retail Price]&lt;&gt;0)*($C326=Table_dim_price_recipe[Subcategory]), 0))*$B326,"")</f>
        <v/>
      </c>
      <c r="K326" s="39" t="str" cm="1">
        <f t="array" ref="K326">IFERROR(INDEX(Table_dim_price_recipe[Retail Price], MATCH(1, ("Calculator"&lt;&gt;Table_dim_price_recipe[Type.display])*($L326=Table_dim_price_recipe[Category])*($D326=Table_dim_price_recipe[Item Description]) * (K$6=Table_dim_price_recipe[Type])*(Table_dim_price_recipe[Retail Price]&lt;&gt;0)*($C326=Table_dim_price_recipe[Subcategory]), 0))*$B326,"")</f>
        <v/>
      </c>
      <c r="L326" s="39" t="str" cm="1">
        <f t="array" ref="L326">IF($A326&lt;&gt;"", $A326, LOOKUP(2, 1/((A$7:INDEX(A:A, ROW()))&lt;&gt;""), A$7:INDEX(A:A, ROW())))</f>
        <v>AC / SHEETING</v>
      </c>
      <c r="M326" s="14"/>
    </row>
    <row r="327" spans="1:13">
      <c r="A327" s="263"/>
      <c r="B327" s="263"/>
      <c r="C327" s="263" t="s">
        <v>380</v>
      </c>
      <c r="D327" s="263" t="s">
        <v>393</v>
      </c>
      <c r="E327" s="263"/>
      <c r="F327" s="263"/>
      <c r="G327" s="39" cm="1">
        <f t="array" ref="G327">IFERROR(INDEX(Table_dim_price_recipe[Retail Price], MATCH(1, ("Calculator"&lt;&gt;Table_dim_price_recipe[Type.display])*($L327=Table_dim_price_recipe[Category])*($D327=Table_dim_price_recipe[Item Description]) * (G$6=Table_dim_price_recipe[Type])*(Table_dim_price_recipe[Retail Price]&lt;&gt;0)*($C327=Table_dim_price_recipe[Subcategory]), 0))*$B327,"")</f>
        <v>0</v>
      </c>
      <c r="H327" s="39" t="str" cm="1">
        <f t="array" ref="H327">IFERROR(INDEX(Table_dim_price_recipe[Retail Price], MATCH(1, ("Calculator"&lt;&gt;Table_dim_price_recipe[Type.display])*($L327=Table_dim_price_recipe[Category])*($D327=Table_dim_price_recipe[Item Description]) * (H$6=Table_dim_price_recipe[Type])*(Table_dim_price_recipe[Retail Price]&lt;&gt;0)*($C327=Table_dim_price_recipe[Subcategory]), 0))*$B327,"")</f>
        <v/>
      </c>
      <c r="I327" s="39" t="str" cm="1">
        <f t="array" ref="I327">IFERROR(INDEX(Table_dim_price_recipe[Retail Price], MATCH(1, ("Calculator"&lt;&gt;Table_dim_price_recipe[Type.display])*($L327=Table_dim_price_recipe[Category])*($D327=Table_dim_price_recipe[Item Description]) * (I$6=Table_dim_price_recipe[Type])*(Table_dim_price_recipe[Retail Price]&lt;&gt;0)*($C327=Table_dim_price_recipe[Subcategory]), 0))*$B327,"")</f>
        <v/>
      </c>
      <c r="J327" s="39" t="str" cm="1">
        <f t="array" ref="J327">IFERROR(INDEX(Table_dim_price_recipe[Retail Price], MATCH(1, ("Calculator"&lt;&gt;Table_dim_price_recipe[Type.display])*($L327=Table_dim_price_recipe[Category])*($D327=Table_dim_price_recipe[Item Description]) * (J$6=Table_dim_price_recipe[Type])*(Table_dim_price_recipe[Retail Price]&lt;&gt;0)*($C327=Table_dim_price_recipe[Subcategory]), 0))*$B327,"")</f>
        <v/>
      </c>
      <c r="K327" s="39" t="str" cm="1">
        <f t="array" ref="K327">IFERROR(INDEX(Table_dim_price_recipe[Retail Price], MATCH(1, ("Calculator"&lt;&gt;Table_dim_price_recipe[Type.display])*($L327=Table_dim_price_recipe[Category])*($D327=Table_dim_price_recipe[Item Description]) * (K$6=Table_dim_price_recipe[Type])*(Table_dim_price_recipe[Retail Price]&lt;&gt;0)*($C327=Table_dim_price_recipe[Subcategory]), 0))*$B327,"")</f>
        <v/>
      </c>
      <c r="L327" s="39" t="str" cm="1">
        <f t="array" ref="L327">IF($A327&lt;&gt;"", $A327, LOOKUP(2, 1/((A$7:INDEX(A:A, ROW()))&lt;&gt;""), A$7:INDEX(A:A, ROW())))</f>
        <v>AC / SHEETING</v>
      </c>
      <c r="M327" s="14"/>
    </row>
    <row r="328" spans="1:13">
      <c r="A328" s="263"/>
      <c r="B328" s="263"/>
      <c r="C328" s="263" t="s">
        <v>380</v>
      </c>
      <c r="D328" s="263" t="s">
        <v>382</v>
      </c>
      <c r="E328" s="263"/>
      <c r="F328" s="263"/>
      <c r="G328" s="39" cm="1">
        <f t="array" ref="G328">IFERROR(INDEX(Table_dim_price_recipe[Retail Price], MATCH(1, ("Calculator"&lt;&gt;Table_dim_price_recipe[Type.display])*($L328=Table_dim_price_recipe[Category])*($D328=Table_dim_price_recipe[Item Description]) * (G$6=Table_dim_price_recipe[Type])*(Table_dim_price_recipe[Retail Price]&lt;&gt;0)*($C328=Table_dim_price_recipe[Subcategory]), 0))*$B328,"")</f>
        <v>0</v>
      </c>
      <c r="H328" s="39" t="str" cm="1">
        <f t="array" ref="H328">IFERROR(INDEX(Table_dim_price_recipe[Retail Price], MATCH(1, ("Calculator"&lt;&gt;Table_dim_price_recipe[Type.display])*($L328=Table_dim_price_recipe[Category])*($D328=Table_dim_price_recipe[Item Description]) * (H$6=Table_dim_price_recipe[Type])*(Table_dim_price_recipe[Retail Price]&lt;&gt;0)*($C328=Table_dim_price_recipe[Subcategory]), 0))*$B328,"")</f>
        <v/>
      </c>
      <c r="I328" s="39" t="str" cm="1">
        <f t="array" ref="I328">IFERROR(INDEX(Table_dim_price_recipe[Retail Price], MATCH(1, ("Calculator"&lt;&gt;Table_dim_price_recipe[Type.display])*($L328=Table_dim_price_recipe[Category])*($D328=Table_dim_price_recipe[Item Description]) * (I$6=Table_dim_price_recipe[Type])*(Table_dim_price_recipe[Retail Price]&lt;&gt;0)*($C328=Table_dim_price_recipe[Subcategory]), 0))*$B328,"")</f>
        <v/>
      </c>
      <c r="J328" s="39" t="str" cm="1">
        <f t="array" ref="J328">IFERROR(INDEX(Table_dim_price_recipe[Retail Price], MATCH(1, ("Calculator"&lt;&gt;Table_dim_price_recipe[Type.display])*($L328=Table_dim_price_recipe[Category])*($D328=Table_dim_price_recipe[Item Description]) * (J$6=Table_dim_price_recipe[Type])*(Table_dim_price_recipe[Retail Price]&lt;&gt;0)*($C328=Table_dim_price_recipe[Subcategory]), 0))*$B328,"")</f>
        <v/>
      </c>
      <c r="K328" s="39" t="str" cm="1">
        <f t="array" ref="K328">IFERROR(INDEX(Table_dim_price_recipe[Retail Price], MATCH(1, ("Calculator"&lt;&gt;Table_dim_price_recipe[Type.display])*($L328=Table_dim_price_recipe[Category])*($D328=Table_dim_price_recipe[Item Description]) * (K$6=Table_dim_price_recipe[Type])*(Table_dim_price_recipe[Retail Price]&lt;&gt;0)*($C328=Table_dim_price_recipe[Subcategory]), 0))*$B328,"")</f>
        <v/>
      </c>
      <c r="L328" s="39" t="str" cm="1">
        <f t="array" ref="L328">IF($A328&lt;&gt;"", $A328, LOOKUP(2, 1/((A$7:INDEX(A:A, ROW()))&lt;&gt;""), A$7:INDEX(A:A, ROW())))</f>
        <v>AC / SHEETING</v>
      </c>
      <c r="M328" s="14"/>
    </row>
    <row r="329" spans="1:13">
      <c r="A329" s="263"/>
      <c r="B329" s="263"/>
      <c r="C329" s="263" t="s">
        <v>380</v>
      </c>
      <c r="D329" s="263" t="s">
        <v>381</v>
      </c>
      <c r="E329" s="263"/>
      <c r="F329" s="263"/>
      <c r="G329" s="39" cm="1">
        <f t="array" ref="G329">IFERROR(INDEX(Table_dim_price_recipe[Retail Price], MATCH(1, ("Calculator"&lt;&gt;Table_dim_price_recipe[Type.display])*($L329=Table_dim_price_recipe[Category])*($D329=Table_dim_price_recipe[Item Description]) * (G$6=Table_dim_price_recipe[Type])*(Table_dim_price_recipe[Retail Price]&lt;&gt;0)*($C329=Table_dim_price_recipe[Subcategory]), 0))*$B329,"")</f>
        <v>0</v>
      </c>
      <c r="H329" s="39" t="str" cm="1">
        <f t="array" ref="H329">IFERROR(INDEX(Table_dim_price_recipe[Retail Price], MATCH(1, ("Calculator"&lt;&gt;Table_dim_price_recipe[Type.display])*($L329=Table_dim_price_recipe[Category])*($D329=Table_dim_price_recipe[Item Description]) * (H$6=Table_dim_price_recipe[Type])*(Table_dim_price_recipe[Retail Price]&lt;&gt;0)*($C329=Table_dim_price_recipe[Subcategory]), 0))*$B329,"")</f>
        <v/>
      </c>
      <c r="I329" s="39" t="str" cm="1">
        <f t="array" ref="I329">IFERROR(INDEX(Table_dim_price_recipe[Retail Price], MATCH(1, ("Calculator"&lt;&gt;Table_dim_price_recipe[Type.display])*($L329=Table_dim_price_recipe[Category])*($D329=Table_dim_price_recipe[Item Description]) * (I$6=Table_dim_price_recipe[Type])*(Table_dim_price_recipe[Retail Price]&lt;&gt;0)*($C329=Table_dim_price_recipe[Subcategory]), 0))*$B329,"")</f>
        <v/>
      </c>
      <c r="J329" s="39" t="str" cm="1">
        <f t="array" ref="J329">IFERROR(INDEX(Table_dim_price_recipe[Retail Price], MATCH(1, ("Calculator"&lt;&gt;Table_dim_price_recipe[Type.display])*($L329=Table_dim_price_recipe[Category])*($D329=Table_dim_price_recipe[Item Description]) * (J$6=Table_dim_price_recipe[Type])*(Table_dim_price_recipe[Retail Price]&lt;&gt;0)*($C329=Table_dim_price_recipe[Subcategory]), 0))*$B329,"")</f>
        <v/>
      </c>
      <c r="K329" s="39" t="str" cm="1">
        <f t="array" ref="K329">IFERROR(INDEX(Table_dim_price_recipe[Retail Price], MATCH(1, ("Calculator"&lt;&gt;Table_dim_price_recipe[Type.display])*($L329=Table_dim_price_recipe[Category])*($D329=Table_dim_price_recipe[Item Description]) * (K$6=Table_dim_price_recipe[Type])*(Table_dim_price_recipe[Retail Price]&lt;&gt;0)*($C329=Table_dim_price_recipe[Subcategory]), 0))*$B329,"")</f>
        <v/>
      </c>
      <c r="L329" s="39" t="str" cm="1">
        <f t="array" ref="L329">IF($A329&lt;&gt;"", $A329, LOOKUP(2, 1/((A$7:INDEX(A:A, ROW()))&lt;&gt;""), A$7:INDEX(A:A, ROW())))</f>
        <v>AC / SHEETING</v>
      </c>
      <c r="M329" s="14"/>
    </row>
    <row r="330" spans="1:13">
      <c r="A330" s="263"/>
      <c r="B330" s="263"/>
      <c r="C330" s="263" t="s">
        <v>380</v>
      </c>
      <c r="D330" s="263" t="s">
        <v>383</v>
      </c>
      <c r="E330" s="263"/>
      <c r="F330" s="263"/>
      <c r="G330" s="39" cm="1">
        <f t="array" ref="G330">IFERROR(INDEX(Table_dim_price_recipe[Retail Price], MATCH(1, ("Calculator"&lt;&gt;Table_dim_price_recipe[Type.display])*($L330=Table_dim_price_recipe[Category])*($D330=Table_dim_price_recipe[Item Description]) * (G$6=Table_dim_price_recipe[Type])*(Table_dim_price_recipe[Retail Price]&lt;&gt;0)*($C330=Table_dim_price_recipe[Subcategory]), 0))*$B330,"")</f>
        <v>0</v>
      </c>
      <c r="H330" s="39" t="str" cm="1">
        <f t="array" ref="H330">IFERROR(INDEX(Table_dim_price_recipe[Retail Price], MATCH(1, ("Calculator"&lt;&gt;Table_dim_price_recipe[Type.display])*($L330=Table_dim_price_recipe[Category])*($D330=Table_dim_price_recipe[Item Description]) * (H$6=Table_dim_price_recipe[Type])*(Table_dim_price_recipe[Retail Price]&lt;&gt;0)*($C330=Table_dim_price_recipe[Subcategory]), 0))*$B330,"")</f>
        <v/>
      </c>
      <c r="I330" s="39" t="str" cm="1">
        <f t="array" ref="I330">IFERROR(INDEX(Table_dim_price_recipe[Retail Price], MATCH(1, ("Calculator"&lt;&gt;Table_dim_price_recipe[Type.display])*($L330=Table_dim_price_recipe[Category])*($D330=Table_dim_price_recipe[Item Description]) * (I$6=Table_dim_price_recipe[Type])*(Table_dim_price_recipe[Retail Price]&lt;&gt;0)*($C330=Table_dim_price_recipe[Subcategory]), 0))*$B330,"")</f>
        <v/>
      </c>
      <c r="J330" s="39" t="str" cm="1">
        <f t="array" ref="J330">IFERROR(INDEX(Table_dim_price_recipe[Retail Price], MATCH(1, ("Calculator"&lt;&gt;Table_dim_price_recipe[Type.display])*($L330=Table_dim_price_recipe[Category])*($D330=Table_dim_price_recipe[Item Description]) * (J$6=Table_dim_price_recipe[Type])*(Table_dim_price_recipe[Retail Price]&lt;&gt;0)*($C330=Table_dim_price_recipe[Subcategory]), 0))*$B330,"")</f>
        <v/>
      </c>
      <c r="K330" s="39" t="str" cm="1">
        <f t="array" ref="K330">IFERROR(INDEX(Table_dim_price_recipe[Retail Price], MATCH(1, ("Calculator"&lt;&gt;Table_dim_price_recipe[Type.display])*($L330=Table_dim_price_recipe[Category])*($D330=Table_dim_price_recipe[Item Description]) * (K$6=Table_dim_price_recipe[Type])*(Table_dim_price_recipe[Retail Price]&lt;&gt;0)*($C330=Table_dim_price_recipe[Subcategory]), 0))*$B330,"")</f>
        <v/>
      </c>
      <c r="L330" s="39" t="str" cm="1">
        <f t="array" ref="L330">IF($A330&lt;&gt;"", $A330, LOOKUP(2, 1/((A$7:INDEX(A:A, ROW()))&lt;&gt;""), A$7:INDEX(A:A, ROW())))</f>
        <v>AC / SHEETING</v>
      </c>
      <c r="M330" s="14"/>
    </row>
    <row r="331" spans="1:13">
      <c r="A331" s="263"/>
      <c r="B331" s="263"/>
      <c r="C331" s="263" t="s">
        <v>380</v>
      </c>
      <c r="D331" s="263" t="s">
        <v>387</v>
      </c>
      <c r="E331" s="263"/>
      <c r="F331" s="263"/>
      <c r="G331" s="39" cm="1">
        <f t="array" ref="G331">IFERROR(INDEX(Table_dim_price_recipe[Retail Price], MATCH(1, ("Calculator"&lt;&gt;Table_dim_price_recipe[Type.display])*($L331=Table_dim_price_recipe[Category])*($D331=Table_dim_price_recipe[Item Description]) * (G$6=Table_dim_price_recipe[Type])*(Table_dim_price_recipe[Retail Price]&lt;&gt;0)*($C331=Table_dim_price_recipe[Subcategory]), 0))*$B331,"")</f>
        <v>0</v>
      </c>
      <c r="H331" s="39" t="str" cm="1">
        <f t="array" ref="H331">IFERROR(INDEX(Table_dim_price_recipe[Retail Price], MATCH(1, ("Calculator"&lt;&gt;Table_dim_price_recipe[Type.display])*($L331=Table_dim_price_recipe[Category])*($D331=Table_dim_price_recipe[Item Description]) * (H$6=Table_dim_price_recipe[Type])*(Table_dim_price_recipe[Retail Price]&lt;&gt;0)*($C331=Table_dim_price_recipe[Subcategory]), 0))*$B331,"")</f>
        <v/>
      </c>
      <c r="I331" s="39" t="str" cm="1">
        <f t="array" ref="I331">IFERROR(INDEX(Table_dim_price_recipe[Retail Price], MATCH(1, ("Calculator"&lt;&gt;Table_dim_price_recipe[Type.display])*($L331=Table_dim_price_recipe[Category])*($D331=Table_dim_price_recipe[Item Description]) * (I$6=Table_dim_price_recipe[Type])*(Table_dim_price_recipe[Retail Price]&lt;&gt;0)*($C331=Table_dim_price_recipe[Subcategory]), 0))*$B331,"")</f>
        <v/>
      </c>
      <c r="J331" s="39" t="str" cm="1">
        <f t="array" ref="J331">IFERROR(INDEX(Table_dim_price_recipe[Retail Price], MATCH(1, ("Calculator"&lt;&gt;Table_dim_price_recipe[Type.display])*($L331=Table_dim_price_recipe[Category])*($D331=Table_dim_price_recipe[Item Description]) * (J$6=Table_dim_price_recipe[Type])*(Table_dim_price_recipe[Retail Price]&lt;&gt;0)*($C331=Table_dim_price_recipe[Subcategory]), 0))*$B331,"")</f>
        <v/>
      </c>
      <c r="K331" s="39" t="str" cm="1">
        <f t="array" ref="K331">IFERROR(INDEX(Table_dim_price_recipe[Retail Price], MATCH(1, ("Calculator"&lt;&gt;Table_dim_price_recipe[Type.display])*($L331=Table_dim_price_recipe[Category])*($D331=Table_dim_price_recipe[Item Description]) * (K$6=Table_dim_price_recipe[Type])*(Table_dim_price_recipe[Retail Price]&lt;&gt;0)*($C331=Table_dim_price_recipe[Subcategory]), 0))*$B331,"")</f>
        <v/>
      </c>
      <c r="L331" s="39" t="str" cm="1">
        <f t="array" ref="L331">IF($A331&lt;&gt;"", $A331, LOOKUP(2, 1/((A$7:INDEX(A:A, ROW()))&lt;&gt;""), A$7:INDEX(A:A, ROW())))</f>
        <v>AC / SHEETING</v>
      </c>
      <c r="M331" s="14"/>
    </row>
    <row r="332" spans="1:13">
      <c r="A332" s="263"/>
      <c r="B332" s="263"/>
      <c r="C332" s="263" t="s">
        <v>380</v>
      </c>
      <c r="D332" s="263" t="s">
        <v>384</v>
      </c>
      <c r="E332" s="263"/>
      <c r="F332" s="263"/>
      <c r="G332" s="39" cm="1">
        <f t="array" ref="G332">IFERROR(INDEX(Table_dim_price_recipe[Retail Price], MATCH(1, ("Calculator"&lt;&gt;Table_dim_price_recipe[Type.display])*($L332=Table_dim_price_recipe[Category])*($D332=Table_dim_price_recipe[Item Description]) * (G$6=Table_dim_price_recipe[Type])*(Table_dim_price_recipe[Retail Price]&lt;&gt;0)*($C332=Table_dim_price_recipe[Subcategory]), 0))*$B332,"")</f>
        <v>0</v>
      </c>
      <c r="H332" s="39" t="str" cm="1">
        <f t="array" ref="H332">IFERROR(INDEX(Table_dim_price_recipe[Retail Price], MATCH(1, ("Calculator"&lt;&gt;Table_dim_price_recipe[Type.display])*($L332=Table_dim_price_recipe[Category])*($D332=Table_dim_price_recipe[Item Description]) * (H$6=Table_dim_price_recipe[Type])*(Table_dim_price_recipe[Retail Price]&lt;&gt;0)*($C332=Table_dim_price_recipe[Subcategory]), 0))*$B332,"")</f>
        <v/>
      </c>
      <c r="I332" s="39" t="str" cm="1">
        <f t="array" ref="I332">IFERROR(INDEX(Table_dim_price_recipe[Retail Price], MATCH(1, ("Calculator"&lt;&gt;Table_dim_price_recipe[Type.display])*($L332=Table_dim_price_recipe[Category])*($D332=Table_dim_price_recipe[Item Description]) * (I$6=Table_dim_price_recipe[Type])*(Table_dim_price_recipe[Retail Price]&lt;&gt;0)*($C332=Table_dim_price_recipe[Subcategory]), 0))*$B332,"")</f>
        <v/>
      </c>
      <c r="J332" s="39" t="str" cm="1">
        <f t="array" ref="J332">IFERROR(INDEX(Table_dim_price_recipe[Retail Price], MATCH(1, ("Calculator"&lt;&gt;Table_dim_price_recipe[Type.display])*($L332=Table_dim_price_recipe[Category])*($D332=Table_dim_price_recipe[Item Description]) * (J$6=Table_dim_price_recipe[Type])*(Table_dim_price_recipe[Retail Price]&lt;&gt;0)*($C332=Table_dim_price_recipe[Subcategory]), 0))*$B332,"")</f>
        <v/>
      </c>
      <c r="K332" s="39" t="str" cm="1">
        <f t="array" ref="K332">IFERROR(INDEX(Table_dim_price_recipe[Retail Price], MATCH(1, ("Calculator"&lt;&gt;Table_dim_price_recipe[Type.display])*($L332=Table_dim_price_recipe[Category])*($D332=Table_dim_price_recipe[Item Description]) * (K$6=Table_dim_price_recipe[Type])*(Table_dim_price_recipe[Retail Price]&lt;&gt;0)*($C332=Table_dim_price_recipe[Subcategory]), 0))*$B332,"")</f>
        <v/>
      </c>
      <c r="L332" s="39" t="str" cm="1">
        <f t="array" ref="L332">IF($A332&lt;&gt;"", $A332, LOOKUP(2, 1/((A$7:INDEX(A:A, ROW()))&lt;&gt;""), A$7:INDEX(A:A, ROW())))</f>
        <v>AC / SHEETING</v>
      </c>
      <c r="M332" s="14"/>
    </row>
    <row r="333" spans="1:13">
      <c r="A333" s="263"/>
      <c r="B333" s="263"/>
      <c r="C333" s="263" t="s">
        <v>380</v>
      </c>
      <c r="D333" s="263" t="s">
        <v>385</v>
      </c>
      <c r="E333" s="263"/>
      <c r="F333" s="263"/>
      <c r="G333" s="39" cm="1">
        <f t="array" ref="G333">IFERROR(INDEX(Table_dim_price_recipe[Retail Price], MATCH(1, ("Calculator"&lt;&gt;Table_dim_price_recipe[Type.display])*($L333=Table_dim_price_recipe[Category])*($D333=Table_dim_price_recipe[Item Description]) * (G$6=Table_dim_price_recipe[Type])*(Table_dim_price_recipe[Retail Price]&lt;&gt;0)*($C333=Table_dim_price_recipe[Subcategory]), 0))*$B333,"")</f>
        <v>0</v>
      </c>
      <c r="H333" s="39" t="str" cm="1">
        <f t="array" ref="H333">IFERROR(INDEX(Table_dim_price_recipe[Retail Price], MATCH(1, ("Calculator"&lt;&gt;Table_dim_price_recipe[Type.display])*($L333=Table_dim_price_recipe[Category])*($D333=Table_dim_price_recipe[Item Description]) * (H$6=Table_dim_price_recipe[Type])*(Table_dim_price_recipe[Retail Price]&lt;&gt;0)*($C333=Table_dim_price_recipe[Subcategory]), 0))*$B333,"")</f>
        <v/>
      </c>
      <c r="I333" s="39" t="str" cm="1">
        <f t="array" ref="I333">IFERROR(INDEX(Table_dim_price_recipe[Retail Price], MATCH(1, ("Calculator"&lt;&gt;Table_dim_price_recipe[Type.display])*($L333=Table_dim_price_recipe[Category])*($D333=Table_dim_price_recipe[Item Description]) * (I$6=Table_dim_price_recipe[Type])*(Table_dim_price_recipe[Retail Price]&lt;&gt;0)*($C333=Table_dim_price_recipe[Subcategory]), 0))*$B333,"")</f>
        <v/>
      </c>
      <c r="J333" s="39" t="str" cm="1">
        <f t="array" ref="J333">IFERROR(INDEX(Table_dim_price_recipe[Retail Price], MATCH(1, ("Calculator"&lt;&gt;Table_dim_price_recipe[Type.display])*($L333=Table_dim_price_recipe[Category])*($D333=Table_dim_price_recipe[Item Description]) * (J$6=Table_dim_price_recipe[Type])*(Table_dim_price_recipe[Retail Price]&lt;&gt;0)*($C333=Table_dim_price_recipe[Subcategory]), 0))*$B333,"")</f>
        <v/>
      </c>
      <c r="K333" s="39" t="str" cm="1">
        <f t="array" ref="K333">IFERROR(INDEX(Table_dim_price_recipe[Retail Price], MATCH(1, ("Calculator"&lt;&gt;Table_dim_price_recipe[Type.display])*($L333=Table_dim_price_recipe[Category])*($D333=Table_dim_price_recipe[Item Description]) * (K$6=Table_dim_price_recipe[Type])*(Table_dim_price_recipe[Retail Price]&lt;&gt;0)*($C333=Table_dim_price_recipe[Subcategory]), 0))*$B333,"")</f>
        <v/>
      </c>
      <c r="L333" s="39" t="str" cm="1">
        <f t="array" ref="L333">IF($A333&lt;&gt;"", $A333, LOOKUP(2, 1/((A$7:INDEX(A:A, ROW()))&lt;&gt;""), A$7:INDEX(A:A, ROW())))</f>
        <v>AC / SHEETING</v>
      </c>
      <c r="M333" s="14"/>
    </row>
    <row r="334" spans="1:13">
      <c r="A334" s="263"/>
      <c r="B334" s="263"/>
      <c r="C334" s="263" t="s">
        <v>380</v>
      </c>
      <c r="D334" s="263" t="s">
        <v>386</v>
      </c>
      <c r="E334" s="263"/>
      <c r="F334" s="263"/>
      <c r="G334" s="39" cm="1">
        <f t="array" ref="G334">IFERROR(INDEX(Table_dim_price_recipe[Retail Price], MATCH(1, ("Calculator"&lt;&gt;Table_dim_price_recipe[Type.display])*($L334=Table_dim_price_recipe[Category])*($D334=Table_dim_price_recipe[Item Description]) * (G$6=Table_dim_price_recipe[Type])*(Table_dim_price_recipe[Retail Price]&lt;&gt;0)*($C334=Table_dim_price_recipe[Subcategory]), 0))*$B334,"")</f>
        <v>0</v>
      </c>
      <c r="H334" s="39" t="str" cm="1">
        <f t="array" ref="H334">IFERROR(INDEX(Table_dim_price_recipe[Retail Price], MATCH(1, ("Calculator"&lt;&gt;Table_dim_price_recipe[Type.display])*($L334=Table_dim_price_recipe[Category])*($D334=Table_dim_price_recipe[Item Description]) * (H$6=Table_dim_price_recipe[Type])*(Table_dim_price_recipe[Retail Price]&lt;&gt;0)*($C334=Table_dim_price_recipe[Subcategory]), 0))*$B334,"")</f>
        <v/>
      </c>
      <c r="I334" s="39" t="str" cm="1">
        <f t="array" ref="I334">IFERROR(INDEX(Table_dim_price_recipe[Retail Price], MATCH(1, ("Calculator"&lt;&gt;Table_dim_price_recipe[Type.display])*($L334=Table_dim_price_recipe[Category])*($D334=Table_dim_price_recipe[Item Description]) * (I$6=Table_dim_price_recipe[Type])*(Table_dim_price_recipe[Retail Price]&lt;&gt;0)*($C334=Table_dim_price_recipe[Subcategory]), 0))*$B334,"")</f>
        <v/>
      </c>
      <c r="J334" s="39" t="str" cm="1">
        <f t="array" ref="J334">IFERROR(INDEX(Table_dim_price_recipe[Retail Price], MATCH(1, ("Calculator"&lt;&gt;Table_dim_price_recipe[Type.display])*($L334=Table_dim_price_recipe[Category])*($D334=Table_dim_price_recipe[Item Description]) * (J$6=Table_dim_price_recipe[Type])*(Table_dim_price_recipe[Retail Price]&lt;&gt;0)*($C334=Table_dim_price_recipe[Subcategory]), 0))*$B334,"")</f>
        <v/>
      </c>
      <c r="K334" s="39" t="str" cm="1">
        <f t="array" ref="K334">IFERROR(INDEX(Table_dim_price_recipe[Retail Price], MATCH(1, ("Calculator"&lt;&gt;Table_dim_price_recipe[Type.display])*($L334=Table_dim_price_recipe[Category])*($D334=Table_dim_price_recipe[Item Description]) * (K$6=Table_dim_price_recipe[Type])*(Table_dim_price_recipe[Retail Price]&lt;&gt;0)*($C334=Table_dim_price_recipe[Subcategory]), 0))*$B334,"")</f>
        <v/>
      </c>
      <c r="L334" s="39" t="str" cm="1">
        <f t="array" ref="L334">IF($A334&lt;&gt;"", $A334, LOOKUP(2, 1/((A$7:INDEX(A:A, ROW()))&lt;&gt;""), A$7:INDEX(A:A, ROW())))</f>
        <v>AC / SHEETING</v>
      </c>
      <c r="M334" s="14"/>
    </row>
    <row r="335" spans="1:13">
      <c r="A335" s="263"/>
      <c r="B335" s="263"/>
      <c r="C335" s="263" t="s">
        <v>380</v>
      </c>
      <c r="D335" s="263" t="s">
        <v>389</v>
      </c>
      <c r="E335" s="263"/>
      <c r="F335" s="263"/>
      <c r="G335" s="39" cm="1">
        <f t="array" ref="G335">IFERROR(INDEX(Table_dim_price_recipe[Retail Price], MATCH(1, ("Calculator"&lt;&gt;Table_dim_price_recipe[Type.display])*($L335=Table_dim_price_recipe[Category])*($D335=Table_dim_price_recipe[Item Description]) * (G$6=Table_dim_price_recipe[Type])*(Table_dim_price_recipe[Retail Price]&lt;&gt;0)*($C335=Table_dim_price_recipe[Subcategory]), 0))*$B335,"")</f>
        <v>0</v>
      </c>
      <c r="H335" s="39" t="str" cm="1">
        <f t="array" ref="H335">IFERROR(INDEX(Table_dim_price_recipe[Retail Price], MATCH(1, ("Calculator"&lt;&gt;Table_dim_price_recipe[Type.display])*($L335=Table_dim_price_recipe[Category])*($D335=Table_dim_price_recipe[Item Description]) * (H$6=Table_dim_price_recipe[Type])*(Table_dim_price_recipe[Retail Price]&lt;&gt;0)*($C335=Table_dim_price_recipe[Subcategory]), 0))*$B335,"")</f>
        <v/>
      </c>
      <c r="I335" s="39" t="str" cm="1">
        <f t="array" ref="I335">IFERROR(INDEX(Table_dim_price_recipe[Retail Price], MATCH(1, ("Calculator"&lt;&gt;Table_dim_price_recipe[Type.display])*($L335=Table_dim_price_recipe[Category])*($D335=Table_dim_price_recipe[Item Description]) * (I$6=Table_dim_price_recipe[Type])*(Table_dim_price_recipe[Retail Price]&lt;&gt;0)*($C335=Table_dim_price_recipe[Subcategory]), 0))*$B335,"")</f>
        <v/>
      </c>
      <c r="J335" s="39" t="str" cm="1">
        <f t="array" ref="J335">IFERROR(INDEX(Table_dim_price_recipe[Retail Price], MATCH(1, ("Calculator"&lt;&gt;Table_dim_price_recipe[Type.display])*($L335=Table_dim_price_recipe[Category])*($D335=Table_dim_price_recipe[Item Description]) * (J$6=Table_dim_price_recipe[Type])*(Table_dim_price_recipe[Retail Price]&lt;&gt;0)*($C335=Table_dim_price_recipe[Subcategory]), 0))*$B335,"")</f>
        <v/>
      </c>
      <c r="K335" s="39" t="str" cm="1">
        <f t="array" ref="K335">IFERROR(INDEX(Table_dim_price_recipe[Retail Price], MATCH(1, ("Calculator"&lt;&gt;Table_dim_price_recipe[Type.display])*($L335=Table_dim_price_recipe[Category])*($D335=Table_dim_price_recipe[Item Description]) * (K$6=Table_dim_price_recipe[Type])*(Table_dim_price_recipe[Retail Price]&lt;&gt;0)*($C335=Table_dim_price_recipe[Subcategory]), 0))*$B335,"")</f>
        <v/>
      </c>
      <c r="L335" s="39" t="str" cm="1">
        <f t="array" ref="L335">IF($A335&lt;&gt;"", $A335, LOOKUP(2, 1/((A$7:INDEX(A:A, ROW()))&lt;&gt;""), A$7:INDEX(A:A, ROW())))</f>
        <v>AC / SHEETING</v>
      </c>
      <c r="M335" s="14"/>
    </row>
    <row r="336" spans="1:13">
      <c r="A336" s="263"/>
      <c r="B336" s="263"/>
      <c r="C336" s="263" t="s">
        <v>380</v>
      </c>
      <c r="D336" s="263" t="s">
        <v>388</v>
      </c>
      <c r="E336" s="263"/>
      <c r="F336" s="263"/>
      <c r="G336" s="39" cm="1">
        <f t="array" ref="G336">IFERROR(INDEX(Table_dim_price_recipe[Retail Price], MATCH(1, ("Calculator"&lt;&gt;Table_dim_price_recipe[Type.display])*($L336=Table_dim_price_recipe[Category])*($D336=Table_dim_price_recipe[Item Description]) * (G$6=Table_dim_price_recipe[Type])*(Table_dim_price_recipe[Retail Price]&lt;&gt;0)*($C336=Table_dim_price_recipe[Subcategory]), 0))*$B336,"")</f>
        <v>0</v>
      </c>
      <c r="H336" s="39" t="str" cm="1">
        <f t="array" ref="H336">IFERROR(INDEX(Table_dim_price_recipe[Retail Price], MATCH(1, ("Calculator"&lt;&gt;Table_dim_price_recipe[Type.display])*($L336=Table_dim_price_recipe[Category])*($D336=Table_dim_price_recipe[Item Description]) * (H$6=Table_dim_price_recipe[Type])*(Table_dim_price_recipe[Retail Price]&lt;&gt;0)*($C336=Table_dim_price_recipe[Subcategory]), 0))*$B336,"")</f>
        <v/>
      </c>
      <c r="I336" s="39" t="str" cm="1">
        <f t="array" ref="I336">IFERROR(INDEX(Table_dim_price_recipe[Retail Price], MATCH(1, ("Calculator"&lt;&gt;Table_dim_price_recipe[Type.display])*($L336=Table_dim_price_recipe[Category])*($D336=Table_dim_price_recipe[Item Description]) * (I$6=Table_dim_price_recipe[Type])*(Table_dim_price_recipe[Retail Price]&lt;&gt;0)*($C336=Table_dim_price_recipe[Subcategory]), 0))*$B336,"")</f>
        <v/>
      </c>
      <c r="J336" s="39" t="str" cm="1">
        <f t="array" ref="J336">IFERROR(INDEX(Table_dim_price_recipe[Retail Price], MATCH(1, ("Calculator"&lt;&gt;Table_dim_price_recipe[Type.display])*($L336=Table_dim_price_recipe[Category])*($D336=Table_dim_price_recipe[Item Description]) * (J$6=Table_dim_price_recipe[Type])*(Table_dim_price_recipe[Retail Price]&lt;&gt;0)*($C336=Table_dim_price_recipe[Subcategory]), 0))*$B336,"")</f>
        <v/>
      </c>
      <c r="K336" s="39" t="str" cm="1">
        <f t="array" ref="K336">IFERROR(INDEX(Table_dim_price_recipe[Retail Price], MATCH(1, ("Calculator"&lt;&gt;Table_dim_price_recipe[Type.display])*($L336=Table_dim_price_recipe[Category])*($D336=Table_dim_price_recipe[Item Description]) * (K$6=Table_dim_price_recipe[Type])*(Table_dim_price_recipe[Retail Price]&lt;&gt;0)*($C336=Table_dim_price_recipe[Subcategory]), 0))*$B336,"")</f>
        <v/>
      </c>
      <c r="L336" s="39" t="str" cm="1">
        <f t="array" ref="L336">IF($A336&lt;&gt;"", $A336, LOOKUP(2, 1/((A$7:INDEX(A:A, ROW()))&lt;&gt;""), A$7:INDEX(A:A, ROW())))</f>
        <v>AC / SHEETING</v>
      </c>
      <c r="M336" s="14"/>
    </row>
    <row r="337" spans="1:13">
      <c r="A337" s="263"/>
      <c r="B337" s="263"/>
      <c r="C337" s="263" t="s">
        <v>380</v>
      </c>
      <c r="D337" s="263" t="s">
        <v>391</v>
      </c>
      <c r="E337" s="263"/>
      <c r="F337" s="263"/>
      <c r="G337" s="39" cm="1">
        <f t="array" ref="G337">IFERROR(INDEX(Table_dim_price_recipe[Retail Price], MATCH(1, ("Calculator"&lt;&gt;Table_dim_price_recipe[Type.display])*($L337=Table_dim_price_recipe[Category])*($D337=Table_dim_price_recipe[Item Description]) * (G$6=Table_dim_price_recipe[Type])*(Table_dim_price_recipe[Retail Price]&lt;&gt;0)*($C337=Table_dim_price_recipe[Subcategory]), 0))*$B337,"")</f>
        <v>0</v>
      </c>
      <c r="H337" s="39" t="str" cm="1">
        <f t="array" ref="H337">IFERROR(INDEX(Table_dim_price_recipe[Retail Price], MATCH(1, ("Calculator"&lt;&gt;Table_dim_price_recipe[Type.display])*($L337=Table_dim_price_recipe[Category])*($D337=Table_dim_price_recipe[Item Description]) * (H$6=Table_dim_price_recipe[Type])*(Table_dim_price_recipe[Retail Price]&lt;&gt;0)*($C337=Table_dim_price_recipe[Subcategory]), 0))*$B337,"")</f>
        <v/>
      </c>
      <c r="I337" s="39" t="str" cm="1">
        <f t="array" ref="I337">IFERROR(INDEX(Table_dim_price_recipe[Retail Price], MATCH(1, ("Calculator"&lt;&gt;Table_dim_price_recipe[Type.display])*($L337=Table_dim_price_recipe[Category])*($D337=Table_dim_price_recipe[Item Description]) * (I$6=Table_dim_price_recipe[Type])*(Table_dim_price_recipe[Retail Price]&lt;&gt;0)*($C337=Table_dim_price_recipe[Subcategory]), 0))*$B337,"")</f>
        <v/>
      </c>
      <c r="J337" s="39" t="str" cm="1">
        <f t="array" ref="J337">IFERROR(INDEX(Table_dim_price_recipe[Retail Price], MATCH(1, ("Calculator"&lt;&gt;Table_dim_price_recipe[Type.display])*($L337=Table_dim_price_recipe[Category])*($D337=Table_dim_price_recipe[Item Description]) * (J$6=Table_dim_price_recipe[Type])*(Table_dim_price_recipe[Retail Price]&lt;&gt;0)*($C337=Table_dim_price_recipe[Subcategory]), 0))*$B337,"")</f>
        <v/>
      </c>
      <c r="K337" s="39" t="str" cm="1">
        <f t="array" ref="K337">IFERROR(INDEX(Table_dim_price_recipe[Retail Price], MATCH(1, ("Calculator"&lt;&gt;Table_dim_price_recipe[Type.display])*($L337=Table_dim_price_recipe[Category])*($D337=Table_dim_price_recipe[Item Description]) * (K$6=Table_dim_price_recipe[Type])*(Table_dim_price_recipe[Retail Price]&lt;&gt;0)*($C337=Table_dim_price_recipe[Subcategory]), 0))*$B337,"")</f>
        <v/>
      </c>
      <c r="L337" s="39" t="str" cm="1">
        <f t="array" ref="L337">IF($A337&lt;&gt;"", $A337, LOOKUP(2, 1/((A$7:INDEX(A:A, ROW()))&lt;&gt;""), A$7:INDEX(A:A, ROW())))</f>
        <v>AC / SHEETING</v>
      </c>
      <c r="M337" s="14"/>
    </row>
    <row r="338" spans="1:13">
      <c r="A338" s="263"/>
      <c r="B338" s="263"/>
      <c r="C338" s="263" t="s">
        <v>380</v>
      </c>
      <c r="D338" s="263" t="s">
        <v>390</v>
      </c>
      <c r="E338" s="263"/>
      <c r="F338" s="263"/>
      <c r="G338" s="39" cm="1">
        <f t="array" ref="G338">IFERROR(INDEX(Table_dim_price_recipe[Retail Price], MATCH(1, ("Calculator"&lt;&gt;Table_dim_price_recipe[Type.display])*($L338=Table_dim_price_recipe[Category])*($D338=Table_dim_price_recipe[Item Description]) * (G$6=Table_dim_price_recipe[Type])*(Table_dim_price_recipe[Retail Price]&lt;&gt;0)*($C338=Table_dim_price_recipe[Subcategory]), 0))*$B338,"")</f>
        <v>0</v>
      </c>
      <c r="H338" s="39" t="str" cm="1">
        <f t="array" ref="H338">IFERROR(INDEX(Table_dim_price_recipe[Retail Price], MATCH(1, ("Calculator"&lt;&gt;Table_dim_price_recipe[Type.display])*($L338=Table_dim_price_recipe[Category])*($D338=Table_dim_price_recipe[Item Description]) * (H$6=Table_dim_price_recipe[Type])*(Table_dim_price_recipe[Retail Price]&lt;&gt;0)*($C338=Table_dim_price_recipe[Subcategory]), 0))*$B338,"")</f>
        <v/>
      </c>
      <c r="I338" s="39" t="str" cm="1">
        <f t="array" ref="I338">IFERROR(INDEX(Table_dim_price_recipe[Retail Price], MATCH(1, ("Calculator"&lt;&gt;Table_dim_price_recipe[Type.display])*($L338=Table_dim_price_recipe[Category])*($D338=Table_dim_price_recipe[Item Description]) * (I$6=Table_dim_price_recipe[Type])*(Table_dim_price_recipe[Retail Price]&lt;&gt;0)*($C338=Table_dim_price_recipe[Subcategory]), 0))*$B338,"")</f>
        <v/>
      </c>
      <c r="J338" s="39" t="str" cm="1">
        <f t="array" ref="J338">IFERROR(INDEX(Table_dim_price_recipe[Retail Price], MATCH(1, ("Calculator"&lt;&gt;Table_dim_price_recipe[Type.display])*($L338=Table_dim_price_recipe[Category])*($D338=Table_dim_price_recipe[Item Description]) * (J$6=Table_dim_price_recipe[Type])*(Table_dim_price_recipe[Retail Price]&lt;&gt;0)*($C338=Table_dim_price_recipe[Subcategory]), 0))*$B338,"")</f>
        <v/>
      </c>
      <c r="K338" s="39" t="str" cm="1">
        <f t="array" ref="K338">IFERROR(INDEX(Table_dim_price_recipe[Retail Price], MATCH(1, ("Calculator"&lt;&gt;Table_dim_price_recipe[Type.display])*($L338=Table_dim_price_recipe[Category])*($D338=Table_dim_price_recipe[Item Description]) * (K$6=Table_dim_price_recipe[Type])*(Table_dim_price_recipe[Retail Price]&lt;&gt;0)*($C338=Table_dim_price_recipe[Subcategory]), 0))*$B338,"")</f>
        <v/>
      </c>
      <c r="L338" s="39" t="str" cm="1">
        <f t="array" ref="L338">IF($A338&lt;&gt;"", $A338, LOOKUP(2, 1/((A$7:INDEX(A:A, ROW()))&lt;&gt;""), A$7:INDEX(A:A, ROW())))</f>
        <v>AC / SHEETING</v>
      </c>
      <c r="M338" s="14"/>
    </row>
    <row r="339" spans="1:13">
      <c r="A339" s="263"/>
      <c r="B339" s="263"/>
      <c r="C339" s="263" t="s">
        <v>380</v>
      </c>
      <c r="D339" s="263" t="s">
        <v>392</v>
      </c>
      <c r="E339" s="263"/>
      <c r="F339" s="263"/>
      <c r="G339" s="39" cm="1">
        <f t="array" ref="G339">IFERROR(INDEX(Table_dim_price_recipe[Retail Price], MATCH(1, ("Calculator"&lt;&gt;Table_dim_price_recipe[Type.display])*($L339=Table_dim_price_recipe[Category])*($D339=Table_dim_price_recipe[Item Description]) * (G$6=Table_dim_price_recipe[Type])*(Table_dim_price_recipe[Retail Price]&lt;&gt;0)*($C339=Table_dim_price_recipe[Subcategory]), 0))*$B339,"")</f>
        <v>0</v>
      </c>
      <c r="H339" s="39" t="str" cm="1">
        <f t="array" ref="H339">IFERROR(INDEX(Table_dim_price_recipe[Retail Price], MATCH(1, ("Calculator"&lt;&gt;Table_dim_price_recipe[Type.display])*($L339=Table_dim_price_recipe[Category])*($D339=Table_dim_price_recipe[Item Description]) * (H$6=Table_dim_price_recipe[Type])*(Table_dim_price_recipe[Retail Price]&lt;&gt;0)*($C339=Table_dim_price_recipe[Subcategory]), 0))*$B339,"")</f>
        <v/>
      </c>
      <c r="I339" s="39" t="str" cm="1">
        <f t="array" ref="I339">IFERROR(INDEX(Table_dim_price_recipe[Retail Price], MATCH(1, ("Calculator"&lt;&gt;Table_dim_price_recipe[Type.display])*($L339=Table_dim_price_recipe[Category])*($D339=Table_dim_price_recipe[Item Description]) * (I$6=Table_dim_price_recipe[Type])*(Table_dim_price_recipe[Retail Price]&lt;&gt;0)*($C339=Table_dim_price_recipe[Subcategory]), 0))*$B339,"")</f>
        <v/>
      </c>
      <c r="J339" s="39" t="str" cm="1">
        <f t="array" ref="J339">IFERROR(INDEX(Table_dim_price_recipe[Retail Price], MATCH(1, ("Calculator"&lt;&gt;Table_dim_price_recipe[Type.display])*($L339=Table_dim_price_recipe[Category])*($D339=Table_dim_price_recipe[Item Description]) * (J$6=Table_dim_price_recipe[Type])*(Table_dim_price_recipe[Retail Price]&lt;&gt;0)*($C339=Table_dim_price_recipe[Subcategory]), 0))*$B339,"")</f>
        <v/>
      </c>
      <c r="K339" s="39" t="str" cm="1">
        <f t="array" ref="K339">IFERROR(INDEX(Table_dim_price_recipe[Retail Price], MATCH(1, ("Calculator"&lt;&gt;Table_dim_price_recipe[Type.display])*($L339=Table_dim_price_recipe[Category])*($D339=Table_dim_price_recipe[Item Description]) * (K$6=Table_dim_price_recipe[Type])*(Table_dim_price_recipe[Retail Price]&lt;&gt;0)*($C339=Table_dim_price_recipe[Subcategory]), 0))*$B339,"")</f>
        <v/>
      </c>
      <c r="L339" s="39" t="str" cm="1">
        <f t="array" ref="L339">IF($A339&lt;&gt;"", $A339, LOOKUP(2, 1/((A$7:INDEX(A:A, ROW()))&lt;&gt;""), A$7:INDEX(A:A, ROW())))</f>
        <v>AC / SHEETING</v>
      </c>
      <c r="M339" s="14"/>
    </row>
    <row r="340" spans="1:13">
      <c r="A340" s="263"/>
      <c r="B340" s="263"/>
      <c r="C340" s="263" t="s">
        <v>380</v>
      </c>
      <c r="D340" s="263"/>
      <c r="E340" s="263"/>
      <c r="F340" s="263"/>
      <c r="G340" s="39" t="str" cm="1">
        <f t="array" ref="G340">IFERROR(INDEX(Table_dim_price_recipe[Retail Price], MATCH(1, ("Calculator"&lt;&gt;Table_dim_price_recipe[Type.display])*($L340=Table_dim_price_recipe[Category])*($D340=Table_dim_price_recipe[Item Description]) * (G$6=Table_dim_price_recipe[Type])*(Table_dim_price_recipe[Retail Price]&lt;&gt;0)*($C340=Table_dim_price_recipe[Subcategory]), 0))*$B340,"")</f>
        <v/>
      </c>
      <c r="H340" s="39" t="str" cm="1">
        <f t="array" ref="H340">IFERROR(INDEX(Table_dim_price_recipe[Retail Price], MATCH(1, ("Calculator"&lt;&gt;Table_dim_price_recipe[Type.display])*($L340=Table_dim_price_recipe[Category])*($D340=Table_dim_price_recipe[Item Description]) * (H$6=Table_dim_price_recipe[Type])*(Table_dim_price_recipe[Retail Price]&lt;&gt;0)*($C340=Table_dim_price_recipe[Subcategory]), 0))*$B340,"")</f>
        <v/>
      </c>
      <c r="I340" s="39" t="str" cm="1">
        <f t="array" ref="I340">IFERROR(INDEX(Table_dim_price_recipe[Retail Price], MATCH(1, ("Calculator"&lt;&gt;Table_dim_price_recipe[Type.display])*($L340=Table_dim_price_recipe[Category])*($D340=Table_dim_price_recipe[Item Description]) * (I$6=Table_dim_price_recipe[Type])*(Table_dim_price_recipe[Retail Price]&lt;&gt;0)*($C340=Table_dim_price_recipe[Subcategory]), 0))*$B340,"")</f>
        <v/>
      </c>
      <c r="J340" s="39" t="str" cm="1">
        <f t="array" ref="J340">IFERROR(INDEX(Table_dim_price_recipe[Retail Price], MATCH(1, ("Calculator"&lt;&gt;Table_dim_price_recipe[Type.display])*($L340=Table_dim_price_recipe[Category])*($D340=Table_dim_price_recipe[Item Description]) * (J$6=Table_dim_price_recipe[Type])*(Table_dim_price_recipe[Retail Price]&lt;&gt;0)*($C340=Table_dim_price_recipe[Subcategory]), 0))*$B340,"")</f>
        <v/>
      </c>
      <c r="K340" s="39" t="str" cm="1">
        <f t="array" ref="K340">IFERROR(INDEX(Table_dim_price_recipe[Retail Price], MATCH(1, ("Calculator"&lt;&gt;Table_dim_price_recipe[Type.display])*($L340=Table_dim_price_recipe[Category])*($D340=Table_dim_price_recipe[Item Description]) * (K$6=Table_dim_price_recipe[Type])*(Table_dim_price_recipe[Retail Price]&lt;&gt;0)*($C340=Table_dim_price_recipe[Subcategory]), 0))*$B340,"")</f>
        <v/>
      </c>
      <c r="L340" s="39" t="str" cm="1">
        <f t="array" ref="L340">IF($A340&lt;&gt;"", $A340, LOOKUP(2, 1/((A$7:INDEX(A:A, ROW()))&lt;&gt;""), A$7:INDEX(A:A, ROW())))</f>
        <v>AC / SHEETING</v>
      </c>
      <c r="M340" s="14"/>
    </row>
    <row r="341" spans="1:13">
      <c r="A341" s="263"/>
      <c r="B341" s="263"/>
      <c r="C341" s="263" t="s">
        <v>380</v>
      </c>
      <c r="D341" s="263"/>
      <c r="E341" s="263"/>
      <c r="F341" s="263"/>
      <c r="G341" s="39" t="str" cm="1">
        <f t="array" ref="G341">IFERROR(INDEX(Table_dim_price_recipe[Retail Price], MATCH(1, ("Calculator"&lt;&gt;Table_dim_price_recipe[Type.display])*($L341=Table_dim_price_recipe[Category])*($D341=Table_dim_price_recipe[Item Description]) * (G$6=Table_dim_price_recipe[Type])*(Table_dim_price_recipe[Retail Price]&lt;&gt;0)*($C341=Table_dim_price_recipe[Subcategory]), 0))*$B341,"")</f>
        <v/>
      </c>
      <c r="H341" s="39" t="str" cm="1">
        <f t="array" ref="H341">IFERROR(INDEX(Table_dim_price_recipe[Retail Price], MATCH(1, ("Calculator"&lt;&gt;Table_dim_price_recipe[Type.display])*($L341=Table_dim_price_recipe[Category])*($D341=Table_dim_price_recipe[Item Description]) * (H$6=Table_dim_price_recipe[Type])*(Table_dim_price_recipe[Retail Price]&lt;&gt;0)*($C341=Table_dim_price_recipe[Subcategory]), 0))*$B341,"")</f>
        <v/>
      </c>
      <c r="I341" s="39" t="str" cm="1">
        <f t="array" ref="I341">IFERROR(INDEX(Table_dim_price_recipe[Retail Price], MATCH(1, ("Calculator"&lt;&gt;Table_dim_price_recipe[Type.display])*($L341=Table_dim_price_recipe[Category])*($D341=Table_dim_price_recipe[Item Description]) * (I$6=Table_dim_price_recipe[Type])*(Table_dim_price_recipe[Retail Price]&lt;&gt;0)*($C341=Table_dim_price_recipe[Subcategory]), 0))*$B341,"")</f>
        <v/>
      </c>
      <c r="J341" s="39" t="str" cm="1">
        <f t="array" ref="J341">IFERROR(INDEX(Table_dim_price_recipe[Retail Price], MATCH(1, ("Calculator"&lt;&gt;Table_dim_price_recipe[Type.display])*($L341=Table_dim_price_recipe[Category])*($D341=Table_dim_price_recipe[Item Description]) * (J$6=Table_dim_price_recipe[Type])*(Table_dim_price_recipe[Retail Price]&lt;&gt;0)*($C341=Table_dim_price_recipe[Subcategory]), 0))*$B341,"")</f>
        <v/>
      </c>
      <c r="K341" s="39" t="str" cm="1">
        <f t="array" ref="K341">IFERROR(INDEX(Table_dim_price_recipe[Retail Price], MATCH(1, ("Calculator"&lt;&gt;Table_dim_price_recipe[Type.display])*($L341=Table_dim_price_recipe[Category])*($D341=Table_dim_price_recipe[Item Description]) * (K$6=Table_dim_price_recipe[Type])*(Table_dim_price_recipe[Retail Price]&lt;&gt;0)*($C341=Table_dim_price_recipe[Subcategory]), 0))*$B341,"")</f>
        <v/>
      </c>
      <c r="L341" s="39" t="str" cm="1">
        <f t="array" ref="L341">IF($A341&lt;&gt;"", $A341, LOOKUP(2, 1/((A$7:INDEX(A:A, ROW()))&lt;&gt;""), A$7:INDEX(A:A, ROW())))</f>
        <v>AC / SHEETING</v>
      </c>
      <c r="M341" s="14"/>
    </row>
    <row r="342" spans="1:13">
      <c r="A342" s="260" t="s">
        <v>559</v>
      </c>
      <c r="B342" s="261"/>
      <c r="C342" s="261"/>
      <c r="D342" s="261"/>
      <c r="E342" s="261"/>
      <c r="F342" s="261"/>
      <c r="G342" s="262" t="str" cm="1">
        <f t="array" ref="G342">IFERROR(INDEX(Table_dim_price_recipe[Retail Price], MATCH(1, ("Calculator"&lt;&gt;Table_dim_price_recipe[Type.display])*($L342=Table_dim_price_recipe[Category])*($D342=Table_dim_price_recipe[Item Description]) * (G$6=Table_dim_price_recipe[Type])*(Table_dim_price_recipe[Retail Price]&lt;&gt;0)*($C342=Table_dim_price_recipe[Subcategory]), 0))*$B342,"")</f>
        <v/>
      </c>
      <c r="H342" s="262" t="str" cm="1">
        <f t="array" ref="H342">IFERROR(INDEX(Table_dim_price_recipe[Retail Price], MATCH(1, ("Calculator"&lt;&gt;Table_dim_price_recipe[Type.display])*($L342=Table_dim_price_recipe[Category])*($D342=Table_dim_price_recipe[Item Description]) * (H$6=Table_dim_price_recipe[Type])*(Table_dim_price_recipe[Retail Price]&lt;&gt;0)*($C342=Table_dim_price_recipe[Subcategory]), 0))*$B342,"")</f>
        <v/>
      </c>
      <c r="I342" s="262" t="str" cm="1">
        <f t="array" ref="I342">IFERROR(INDEX(Table_dim_price_recipe[Retail Price], MATCH(1, ("Calculator"&lt;&gt;Table_dim_price_recipe[Type.display])*($L342=Table_dim_price_recipe[Category])*($D342=Table_dim_price_recipe[Item Description]) * (I$6=Table_dim_price_recipe[Type])*(Table_dim_price_recipe[Retail Price]&lt;&gt;0)*($C342=Table_dim_price_recipe[Subcategory]), 0))*$B342,"")</f>
        <v/>
      </c>
      <c r="J342" s="262" t="str" cm="1">
        <f t="array" ref="J342">IFERROR(INDEX(Table_dim_price_recipe[Retail Price], MATCH(1, ("Calculator"&lt;&gt;Table_dim_price_recipe[Type.display])*($L342=Table_dim_price_recipe[Category])*($D342=Table_dim_price_recipe[Item Description]) * (J$6=Table_dim_price_recipe[Type])*(Table_dim_price_recipe[Retail Price]&lt;&gt;0)*($C342=Table_dim_price_recipe[Subcategory]), 0))*$B342,"")</f>
        <v/>
      </c>
      <c r="K342" s="262" t="str" cm="1">
        <f t="array" ref="K342">IFERROR(INDEX(Table_dim_price_recipe[Retail Price], MATCH(1, ("Calculator"&lt;&gt;Table_dim_price_recipe[Type.display])*($L342=Table_dim_price_recipe[Category])*($D342=Table_dim_price_recipe[Item Description]) * (K$6=Table_dim_price_recipe[Type])*(Table_dim_price_recipe[Retail Price]&lt;&gt;0)*($C342=Table_dim_price_recipe[Subcategory]), 0))*$B342,"")</f>
        <v/>
      </c>
      <c r="L342" s="262" t="str" cm="1">
        <f t="array" ref="L342">IF($A342&lt;&gt;"", $A342, LOOKUP(2, 1/((A$7:INDEX(A:A, ROW()))&lt;&gt;""), A$7:INDEX(A:A, ROW())))</f>
        <v>SPOUTING</v>
      </c>
      <c r="M342" s="14"/>
    </row>
    <row r="343" spans="1:13">
      <c r="A343" s="263"/>
      <c r="B343" s="263"/>
      <c r="C343" s="263" t="s">
        <v>910</v>
      </c>
      <c r="D343" s="263" t="s">
        <v>912</v>
      </c>
      <c r="E343" s="263"/>
      <c r="F343" s="263"/>
      <c r="G343" s="39" t="str" cm="1">
        <f t="array" ref="G343">IFERROR(INDEX(Table_dim_price_recipe[Retail Price], MATCH(1, ("Calculator"&lt;&gt;Table_dim_price_recipe[Type.display])*($L343=Table_dim_price_recipe[Category])*($D343=Table_dim_price_recipe[Item Description]) * (G$6=Table_dim_price_recipe[Type])*(Table_dim_price_recipe[Retail Price]&lt;&gt;0)*($C343=Table_dim_price_recipe[Subcategory]), 0))*$B343,"")</f>
        <v/>
      </c>
      <c r="H343" s="39" cm="1">
        <f t="array" ref="H343">IFERROR(INDEX(Table_dim_price_recipe[Retail Price], MATCH(1, ("Calculator"&lt;&gt;Table_dim_price_recipe[Type.display])*($L343=Table_dim_price_recipe[Category])*($D343=Table_dim_price_recipe[Item Description]) * (H$6=Table_dim_price_recipe[Type])*(Table_dim_price_recipe[Retail Price]&lt;&gt;0)*($C343=Table_dim_price_recipe[Subcategory]), 0))*$B343,"")</f>
        <v>0</v>
      </c>
      <c r="I343" s="39" t="str" cm="1">
        <f t="array" ref="I343">IFERROR(INDEX(Table_dim_price_recipe[Retail Price], MATCH(1, ("Calculator"&lt;&gt;Table_dim_price_recipe[Type.display])*($L343=Table_dim_price_recipe[Category])*($D343=Table_dim_price_recipe[Item Description]) * (I$6=Table_dim_price_recipe[Type])*(Table_dim_price_recipe[Retail Price]&lt;&gt;0)*($C343=Table_dim_price_recipe[Subcategory]), 0))*$B343,"")</f>
        <v/>
      </c>
      <c r="J343" s="39" t="str" cm="1">
        <f t="array" ref="J343">IFERROR(INDEX(Table_dim_price_recipe[Retail Price], MATCH(1, ("Calculator"&lt;&gt;Table_dim_price_recipe[Type.display])*($L343=Table_dim_price_recipe[Category])*($D343=Table_dim_price_recipe[Item Description]) * (J$6=Table_dim_price_recipe[Type])*(Table_dim_price_recipe[Retail Price]&lt;&gt;0)*($C343=Table_dim_price_recipe[Subcategory]), 0))*$B343,"")</f>
        <v/>
      </c>
      <c r="K343" s="39" t="str" cm="1">
        <f t="array" ref="K343">IFERROR(INDEX(Table_dim_price_recipe[Retail Price], MATCH(1, ("Calculator"&lt;&gt;Table_dim_price_recipe[Type.display])*($L343=Table_dim_price_recipe[Category])*($D343=Table_dim_price_recipe[Item Description]) * (K$6=Table_dim_price_recipe[Type])*(Table_dim_price_recipe[Retail Price]&lt;&gt;0)*($C343=Table_dim_price_recipe[Subcategory]), 0))*$B343,"")</f>
        <v/>
      </c>
      <c r="L343" s="39" t="str" cm="1">
        <f t="array" ref="L343">IF($A343&lt;&gt;"", $A343, LOOKUP(2, 1/((A$7:INDEX(A:A, ROW()))&lt;&gt;""), A$7:INDEX(A:A, ROW())))</f>
        <v>SPOUTING</v>
      </c>
      <c r="M343" s="14"/>
    </row>
    <row r="344" spans="1:13">
      <c r="A344" s="263"/>
      <c r="B344" s="263"/>
      <c r="C344" s="263" t="s">
        <v>910</v>
      </c>
      <c r="D344" s="263" t="s">
        <v>913</v>
      </c>
      <c r="E344" s="263"/>
      <c r="F344" s="263"/>
      <c r="G344" s="39" t="str" cm="1">
        <f t="array" ref="G344">IFERROR(INDEX(Table_dim_price_recipe[Retail Price], MATCH(1, ("Calculator"&lt;&gt;Table_dim_price_recipe[Type.display])*($L344=Table_dim_price_recipe[Category])*($D344=Table_dim_price_recipe[Item Description]) * (G$6=Table_dim_price_recipe[Type])*(Table_dim_price_recipe[Retail Price]&lt;&gt;0)*($C344=Table_dim_price_recipe[Subcategory]), 0))*$B344,"")</f>
        <v/>
      </c>
      <c r="H344" s="39" cm="1">
        <f t="array" ref="H344">IFERROR(INDEX(Table_dim_price_recipe[Retail Price], MATCH(1, ("Calculator"&lt;&gt;Table_dim_price_recipe[Type.display])*($L344=Table_dim_price_recipe[Category])*($D344=Table_dim_price_recipe[Item Description]) * (H$6=Table_dim_price_recipe[Type])*(Table_dim_price_recipe[Retail Price]&lt;&gt;0)*($C344=Table_dim_price_recipe[Subcategory]), 0))*$B344,"")</f>
        <v>0</v>
      </c>
      <c r="I344" s="39" t="str" cm="1">
        <f t="array" ref="I344">IFERROR(INDEX(Table_dim_price_recipe[Retail Price], MATCH(1, ("Calculator"&lt;&gt;Table_dim_price_recipe[Type.display])*($L344=Table_dim_price_recipe[Category])*($D344=Table_dim_price_recipe[Item Description]) * (I$6=Table_dim_price_recipe[Type])*(Table_dim_price_recipe[Retail Price]&lt;&gt;0)*($C344=Table_dim_price_recipe[Subcategory]), 0))*$B344,"")</f>
        <v/>
      </c>
      <c r="J344" s="39" t="str" cm="1">
        <f t="array" ref="J344">IFERROR(INDEX(Table_dim_price_recipe[Retail Price], MATCH(1, ("Calculator"&lt;&gt;Table_dim_price_recipe[Type.display])*($L344=Table_dim_price_recipe[Category])*($D344=Table_dim_price_recipe[Item Description]) * (J$6=Table_dim_price_recipe[Type])*(Table_dim_price_recipe[Retail Price]&lt;&gt;0)*($C344=Table_dim_price_recipe[Subcategory]), 0))*$B344,"")</f>
        <v/>
      </c>
      <c r="K344" s="39" t="str" cm="1">
        <f t="array" ref="K344">IFERROR(INDEX(Table_dim_price_recipe[Retail Price], MATCH(1, ("Calculator"&lt;&gt;Table_dim_price_recipe[Type.display])*($L344=Table_dim_price_recipe[Category])*($D344=Table_dim_price_recipe[Item Description]) * (K$6=Table_dim_price_recipe[Type])*(Table_dim_price_recipe[Retail Price]&lt;&gt;0)*($C344=Table_dim_price_recipe[Subcategory]), 0))*$B344,"")</f>
        <v/>
      </c>
      <c r="L344" s="39" t="str" cm="1">
        <f t="array" ref="L344">IF($A344&lt;&gt;"", $A344, LOOKUP(2, 1/((A$7:INDEX(A:A, ROW()))&lt;&gt;""), A$7:INDEX(A:A, ROW())))</f>
        <v>SPOUTING</v>
      </c>
      <c r="M344" s="14"/>
    </row>
    <row r="345" spans="1:13">
      <c r="A345" s="263"/>
      <c r="B345" s="263"/>
      <c r="C345" s="263" t="s">
        <v>910</v>
      </c>
      <c r="D345" s="263" t="s">
        <v>914</v>
      </c>
      <c r="E345" s="263"/>
      <c r="F345" s="263"/>
      <c r="G345" s="39" t="str" cm="1">
        <f t="array" ref="G345">IFERROR(INDEX(Table_dim_price_recipe[Retail Price], MATCH(1, ("Calculator"&lt;&gt;Table_dim_price_recipe[Type.display])*($L345=Table_dim_price_recipe[Category])*($D345=Table_dim_price_recipe[Item Description]) * (G$6=Table_dim_price_recipe[Type])*(Table_dim_price_recipe[Retail Price]&lt;&gt;0)*($C345=Table_dim_price_recipe[Subcategory]), 0))*$B345,"")</f>
        <v/>
      </c>
      <c r="H345" s="39" cm="1">
        <f t="array" ref="H345">IFERROR(INDEX(Table_dim_price_recipe[Retail Price], MATCH(1, ("Calculator"&lt;&gt;Table_dim_price_recipe[Type.display])*($L345=Table_dim_price_recipe[Category])*($D345=Table_dim_price_recipe[Item Description]) * (H$6=Table_dim_price_recipe[Type])*(Table_dim_price_recipe[Retail Price]&lt;&gt;0)*($C345=Table_dim_price_recipe[Subcategory]), 0))*$B345,"")</f>
        <v>0</v>
      </c>
      <c r="I345" s="39" t="str" cm="1">
        <f t="array" ref="I345">IFERROR(INDEX(Table_dim_price_recipe[Retail Price], MATCH(1, ("Calculator"&lt;&gt;Table_dim_price_recipe[Type.display])*($L345=Table_dim_price_recipe[Category])*($D345=Table_dim_price_recipe[Item Description]) * (I$6=Table_dim_price_recipe[Type])*(Table_dim_price_recipe[Retail Price]&lt;&gt;0)*($C345=Table_dim_price_recipe[Subcategory]), 0))*$B345,"")</f>
        <v/>
      </c>
      <c r="J345" s="39" t="str" cm="1">
        <f t="array" ref="J345">IFERROR(INDEX(Table_dim_price_recipe[Retail Price], MATCH(1, ("Calculator"&lt;&gt;Table_dim_price_recipe[Type.display])*($L345=Table_dim_price_recipe[Category])*($D345=Table_dim_price_recipe[Item Description]) * (J$6=Table_dim_price_recipe[Type])*(Table_dim_price_recipe[Retail Price]&lt;&gt;0)*($C345=Table_dim_price_recipe[Subcategory]), 0))*$B345,"")</f>
        <v/>
      </c>
      <c r="K345" s="39" t="str" cm="1">
        <f t="array" ref="K345">IFERROR(INDEX(Table_dim_price_recipe[Retail Price], MATCH(1, ("Calculator"&lt;&gt;Table_dim_price_recipe[Type.display])*($L345=Table_dim_price_recipe[Category])*($D345=Table_dim_price_recipe[Item Description]) * (K$6=Table_dim_price_recipe[Type])*(Table_dim_price_recipe[Retail Price]&lt;&gt;0)*($C345=Table_dim_price_recipe[Subcategory]), 0))*$B345,"")</f>
        <v/>
      </c>
      <c r="L345" s="39" t="str" cm="1">
        <f t="array" ref="L345">IF($A345&lt;&gt;"", $A345, LOOKUP(2, 1/((A$7:INDEX(A:A, ROW()))&lt;&gt;""), A$7:INDEX(A:A, ROW())))</f>
        <v>SPOUTING</v>
      </c>
      <c r="M345" s="14"/>
    </row>
    <row r="346" spans="1:13">
      <c r="A346" s="263"/>
      <c r="B346" s="263"/>
      <c r="C346" s="263" t="s">
        <v>910</v>
      </c>
      <c r="D346" s="263"/>
      <c r="E346" s="263"/>
      <c r="F346" s="263"/>
      <c r="G346" s="39" t="str" cm="1">
        <f t="array" ref="G346">IFERROR(INDEX(Table_dim_price_recipe[Retail Price], MATCH(1, ("Calculator"&lt;&gt;Table_dim_price_recipe[Type.display])*($L346=Table_dim_price_recipe[Category])*($D346=Table_dim_price_recipe[Item Description]) * (G$6=Table_dim_price_recipe[Type])*(Table_dim_price_recipe[Retail Price]&lt;&gt;0)*($C346=Table_dim_price_recipe[Subcategory]), 0))*$B346,"")</f>
        <v/>
      </c>
      <c r="H346" s="39" t="str" cm="1">
        <f t="array" ref="H346">IFERROR(INDEX(Table_dim_price_recipe[Retail Price], MATCH(1, ("Calculator"&lt;&gt;Table_dim_price_recipe[Type.display])*($L346=Table_dim_price_recipe[Category])*($D346=Table_dim_price_recipe[Item Description]) * (H$6=Table_dim_price_recipe[Type])*(Table_dim_price_recipe[Retail Price]&lt;&gt;0)*($C346=Table_dim_price_recipe[Subcategory]), 0))*$B346,"")</f>
        <v/>
      </c>
      <c r="I346" s="39" t="str" cm="1">
        <f t="array" ref="I346">IFERROR(INDEX(Table_dim_price_recipe[Retail Price], MATCH(1, ("Calculator"&lt;&gt;Table_dim_price_recipe[Type.display])*($L346=Table_dim_price_recipe[Category])*($D346=Table_dim_price_recipe[Item Description]) * (I$6=Table_dim_price_recipe[Type])*(Table_dim_price_recipe[Retail Price]&lt;&gt;0)*($C346=Table_dim_price_recipe[Subcategory]), 0))*$B346,"")</f>
        <v/>
      </c>
      <c r="J346" s="39" t="str" cm="1">
        <f t="array" ref="J346">IFERROR(INDEX(Table_dim_price_recipe[Retail Price], MATCH(1, ("Calculator"&lt;&gt;Table_dim_price_recipe[Type.display])*($L346=Table_dim_price_recipe[Category])*($D346=Table_dim_price_recipe[Item Description]) * (J$6=Table_dim_price_recipe[Type])*(Table_dim_price_recipe[Retail Price]&lt;&gt;0)*($C346=Table_dim_price_recipe[Subcategory]), 0))*$B346,"")</f>
        <v/>
      </c>
      <c r="K346" s="39" t="str" cm="1">
        <f t="array" ref="K346">IFERROR(INDEX(Table_dim_price_recipe[Retail Price], MATCH(1, ("Calculator"&lt;&gt;Table_dim_price_recipe[Type.display])*($L346=Table_dim_price_recipe[Category])*($D346=Table_dim_price_recipe[Item Description]) * (K$6=Table_dim_price_recipe[Type])*(Table_dim_price_recipe[Retail Price]&lt;&gt;0)*($C346=Table_dim_price_recipe[Subcategory]), 0))*$B346,"")</f>
        <v/>
      </c>
      <c r="L346" s="39" t="str" cm="1">
        <f t="array" ref="L346">IF($A346&lt;&gt;"", $A346, LOOKUP(2, 1/((A$7:INDEX(A:A, ROW()))&lt;&gt;""), A$7:INDEX(A:A, ROW())))</f>
        <v>SPOUTING</v>
      </c>
      <c r="M346" s="14"/>
    </row>
    <row r="347" spans="1:13">
      <c r="A347" s="263"/>
      <c r="B347" s="263"/>
      <c r="C347" s="263" t="s">
        <v>910</v>
      </c>
      <c r="D347" s="263"/>
      <c r="E347" s="263"/>
      <c r="F347" s="263"/>
      <c r="G347" s="39" t="str" cm="1">
        <f t="array" ref="G347">IFERROR(INDEX(Table_dim_price_recipe[Retail Price], MATCH(1, ("Calculator"&lt;&gt;Table_dim_price_recipe[Type.display])*($L347=Table_dim_price_recipe[Category])*($D347=Table_dim_price_recipe[Item Description]) * (G$6=Table_dim_price_recipe[Type])*(Table_dim_price_recipe[Retail Price]&lt;&gt;0)*($C347=Table_dim_price_recipe[Subcategory]), 0))*$B347,"")</f>
        <v/>
      </c>
      <c r="H347" s="39" t="str" cm="1">
        <f t="array" ref="H347">IFERROR(INDEX(Table_dim_price_recipe[Retail Price], MATCH(1, ("Calculator"&lt;&gt;Table_dim_price_recipe[Type.display])*($L347=Table_dim_price_recipe[Category])*($D347=Table_dim_price_recipe[Item Description]) * (H$6=Table_dim_price_recipe[Type])*(Table_dim_price_recipe[Retail Price]&lt;&gt;0)*($C347=Table_dim_price_recipe[Subcategory]), 0))*$B347,"")</f>
        <v/>
      </c>
      <c r="I347" s="39" t="str" cm="1">
        <f t="array" ref="I347">IFERROR(INDEX(Table_dim_price_recipe[Retail Price], MATCH(1, ("Calculator"&lt;&gt;Table_dim_price_recipe[Type.display])*($L347=Table_dim_price_recipe[Category])*($D347=Table_dim_price_recipe[Item Description]) * (I$6=Table_dim_price_recipe[Type])*(Table_dim_price_recipe[Retail Price]&lt;&gt;0)*($C347=Table_dim_price_recipe[Subcategory]), 0))*$B347,"")</f>
        <v/>
      </c>
      <c r="J347" s="39" t="str" cm="1">
        <f t="array" ref="J347">IFERROR(INDEX(Table_dim_price_recipe[Retail Price], MATCH(1, ("Calculator"&lt;&gt;Table_dim_price_recipe[Type.display])*($L347=Table_dim_price_recipe[Category])*($D347=Table_dim_price_recipe[Item Description]) * (J$6=Table_dim_price_recipe[Type])*(Table_dim_price_recipe[Retail Price]&lt;&gt;0)*($C347=Table_dim_price_recipe[Subcategory]), 0))*$B347,"")</f>
        <v/>
      </c>
      <c r="K347" s="39" t="str" cm="1">
        <f t="array" ref="K347">IFERROR(INDEX(Table_dim_price_recipe[Retail Price], MATCH(1, ("Calculator"&lt;&gt;Table_dim_price_recipe[Type.display])*($L347=Table_dim_price_recipe[Category])*($D347=Table_dim_price_recipe[Item Description]) * (K$6=Table_dim_price_recipe[Type])*(Table_dim_price_recipe[Retail Price]&lt;&gt;0)*($C347=Table_dim_price_recipe[Subcategory]), 0))*$B347,"")</f>
        <v/>
      </c>
      <c r="L347" s="39" t="str" cm="1">
        <f t="array" ref="L347">IF($A347&lt;&gt;"", $A347, LOOKUP(2, 1/((A$7:INDEX(A:A, ROW()))&lt;&gt;""), A$7:INDEX(A:A, ROW())))</f>
        <v>SPOUTING</v>
      </c>
      <c r="M347" s="14"/>
    </row>
    <row r="348" spans="1:13">
      <c r="A348" s="263"/>
      <c r="B348" s="263"/>
      <c r="C348" s="263" t="s">
        <v>569</v>
      </c>
      <c r="D348" s="263" t="s">
        <v>572</v>
      </c>
      <c r="E348" s="263"/>
      <c r="F348" s="263"/>
      <c r="G348" s="39" cm="1">
        <f t="array" ref="G348">IFERROR(INDEX(Table_dim_price_recipe[Retail Price], MATCH(1, ("Calculator"&lt;&gt;Table_dim_price_recipe[Type.display])*($L348=Table_dim_price_recipe[Category])*($D348=Table_dim_price_recipe[Item Description]) * (G$6=Table_dim_price_recipe[Type])*(Table_dim_price_recipe[Retail Price]&lt;&gt;0)*($C348=Table_dim_price_recipe[Subcategory]), 0))*$B348,"")</f>
        <v>0</v>
      </c>
      <c r="H348" s="39" t="str" cm="1">
        <f t="array" ref="H348">IFERROR(INDEX(Table_dim_price_recipe[Retail Price], MATCH(1, ("Calculator"&lt;&gt;Table_dim_price_recipe[Type.display])*($L348=Table_dim_price_recipe[Category])*($D348=Table_dim_price_recipe[Item Description]) * (H$6=Table_dim_price_recipe[Type])*(Table_dim_price_recipe[Retail Price]&lt;&gt;0)*($C348=Table_dim_price_recipe[Subcategory]), 0))*$B348,"")</f>
        <v/>
      </c>
      <c r="I348" s="39" t="str" cm="1">
        <f t="array" ref="I348">IFERROR(INDEX(Table_dim_price_recipe[Retail Price], MATCH(1, ("Calculator"&lt;&gt;Table_dim_price_recipe[Type.display])*($L348=Table_dim_price_recipe[Category])*($D348=Table_dim_price_recipe[Item Description]) * (I$6=Table_dim_price_recipe[Type])*(Table_dim_price_recipe[Retail Price]&lt;&gt;0)*($C348=Table_dim_price_recipe[Subcategory]), 0))*$B348,"")</f>
        <v/>
      </c>
      <c r="J348" s="39" t="str" cm="1">
        <f t="array" ref="J348">IFERROR(INDEX(Table_dim_price_recipe[Retail Price], MATCH(1, ("Calculator"&lt;&gt;Table_dim_price_recipe[Type.display])*($L348=Table_dim_price_recipe[Category])*($D348=Table_dim_price_recipe[Item Description]) * (J$6=Table_dim_price_recipe[Type])*(Table_dim_price_recipe[Retail Price]&lt;&gt;0)*($C348=Table_dim_price_recipe[Subcategory]), 0))*$B348,"")</f>
        <v/>
      </c>
      <c r="K348" s="39" t="str" cm="1">
        <f t="array" ref="K348">IFERROR(INDEX(Table_dim_price_recipe[Retail Price], MATCH(1, ("Calculator"&lt;&gt;Table_dim_price_recipe[Type.display])*($L348=Table_dim_price_recipe[Category])*($D348=Table_dim_price_recipe[Item Description]) * (K$6=Table_dim_price_recipe[Type])*(Table_dim_price_recipe[Retail Price]&lt;&gt;0)*($C348=Table_dim_price_recipe[Subcategory]), 0))*$B348,"")</f>
        <v/>
      </c>
      <c r="L348" s="39" t="str" cm="1">
        <f t="array" ref="L348">IF($A348&lt;&gt;"", $A348, LOOKUP(2, 1/((A$7:INDEX(A:A, ROW()))&lt;&gt;""), A$7:INDEX(A:A, ROW())))</f>
        <v>SPOUTING</v>
      </c>
      <c r="M348" s="14"/>
    </row>
    <row r="349" spans="1:13">
      <c r="A349" s="263"/>
      <c r="B349" s="263"/>
      <c r="C349" s="263" t="s">
        <v>569</v>
      </c>
      <c r="D349" s="263" t="s">
        <v>570</v>
      </c>
      <c r="E349" s="263"/>
      <c r="F349" s="263"/>
      <c r="G349" s="39" cm="1">
        <f t="array" ref="G349">IFERROR(INDEX(Table_dim_price_recipe[Retail Price], MATCH(1, ("Calculator"&lt;&gt;Table_dim_price_recipe[Type.display])*($L349=Table_dim_price_recipe[Category])*($D349=Table_dim_price_recipe[Item Description]) * (G$6=Table_dim_price_recipe[Type])*(Table_dim_price_recipe[Retail Price]&lt;&gt;0)*($C349=Table_dim_price_recipe[Subcategory]), 0))*$B349,"")</f>
        <v>0</v>
      </c>
      <c r="H349" s="39" t="str" cm="1">
        <f t="array" ref="H349">IFERROR(INDEX(Table_dim_price_recipe[Retail Price], MATCH(1, ("Calculator"&lt;&gt;Table_dim_price_recipe[Type.display])*($L349=Table_dim_price_recipe[Category])*($D349=Table_dim_price_recipe[Item Description]) * (H$6=Table_dim_price_recipe[Type])*(Table_dim_price_recipe[Retail Price]&lt;&gt;0)*($C349=Table_dim_price_recipe[Subcategory]), 0))*$B349,"")</f>
        <v/>
      </c>
      <c r="I349" s="39" t="str" cm="1">
        <f t="array" ref="I349">IFERROR(INDEX(Table_dim_price_recipe[Retail Price], MATCH(1, ("Calculator"&lt;&gt;Table_dim_price_recipe[Type.display])*($L349=Table_dim_price_recipe[Category])*($D349=Table_dim_price_recipe[Item Description]) * (I$6=Table_dim_price_recipe[Type])*(Table_dim_price_recipe[Retail Price]&lt;&gt;0)*($C349=Table_dim_price_recipe[Subcategory]), 0))*$B349,"")</f>
        <v/>
      </c>
      <c r="J349" s="39" t="str" cm="1">
        <f t="array" ref="J349">IFERROR(INDEX(Table_dim_price_recipe[Retail Price], MATCH(1, ("Calculator"&lt;&gt;Table_dim_price_recipe[Type.display])*($L349=Table_dim_price_recipe[Category])*($D349=Table_dim_price_recipe[Item Description]) * (J$6=Table_dim_price_recipe[Type])*(Table_dim_price_recipe[Retail Price]&lt;&gt;0)*($C349=Table_dim_price_recipe[Subcategory]), 0))*$B349,"")</f>
        <v/>
      </c>
      <c r="K349" s="39" t="str" cm="1">
        <f t="array" ref="K349">IFERROR(INDEX(Table_dim_price_recipe[Retail Price], MATCH(1, ("Calculator"&lt;&gt;Table_dim_price_recipe[Type.display])*($L349=Table_dim_price_recipe[Category])*($D349=Table_dim_price_recipe[Item Description]) * (K$6=Table_dim_price_recipe[Type])*(Table_dim_price_recipe[Retail Price]&lt;&gt;0)*($C349=Table_dim_price_recipe[Subcategory]), 0))*$B349,"")</f>
        <v/>
      </c>
      <c r="L349" s="39" t="str" cm="1">
        <f t="array" ref="L349">IF($A349&lt;&gt;"", $A349, LOOKUP(2, 1/((A$7:INDEX(A:A, ROW()))&lt;&gt;""), A$7:INDEX(A:A, ROW())))</f>
        <v>SPOUTING</v>
      </c>
      <c r="M349" s="14"/>
    </row>
    <row r="350" spans="1:13">
      <c r="A350" s="263"/>
      <c r="B350" s="263"/>
      <c r="C350" s="263" t="s">
        <v>569</v>
      </c>
      <c r="D350" s="263" t="s">
        <v>571</v>
      </c>
      <c r="E350" s="263"/>
      <c r="F350" s="263"/>
      <c r="G350" s="39" cm="1">
        <f t="array" ref="G350">IFERROR(INDEX(Table_dim_price_recipe[Retail Price], MATCH(1, ("Calculator"&lt;&gt;Table_dim_price_recipe[Type.display])*($L350=Table_dim_price_recipe[Category])*($D350=Table_dim_price_recipe[Item Description]) * (G$6=Table_dim_price_recipe[Type])*(Table_dim_price_recipe[Retail Price]&lt;&gt;0)*($C350=Table_dim_price_recipe[Subcategory]), 0))*$B350,"")</f>
        <v>0</v>
      </c>
      <c r="H350" s="39" t="str" cm="1">
        <f t="array" ref="H350">IFERROR(INDEX(Table_dim_price_recipe[Retail Price], MATCH(1, ("Calculator"&lt;&gt;Table_dim_price_recipe[Type.display])*($L350=Table_dim_price_recipe[Category])*($D350=Table_dim_price_recipe[Item Description]) * (H$6=Table_dim_price_recipe[Type])*(Table_dim_price_recipe[Retail Price]&lt;&gt;0)*($C350=Table_dim_price_recipe[Subcategory]), 0))*$B350,"")</f>
        <v/>
      </c>
      <c r="I350" s="39" t="str" cm="1">
        <f t="array" ref="I350">IFERROR(INDEX(Table_dim_price_recipe[Retail Price], MATCH(1, ("Calculator"&lt;&gt;Table_dim_price_recipe[Type.display])*($L350=Table_dim_price_recipe[Category])*($D350=Table_dim_price_recipe[Item Description]) * (I$6=Table_dim_price_recipe[Type])*(Table_dim_price_recipe[Retail Price]&lt;&gt;0)*($C350=Table_dim_price_recipe[Subcategory]), 0))*$B350,"")</f>
        <v/>
      </c>
      <c r="J350" s="39" t="str" cm="1">
        <f t="array" ref="J350">IFERROR(INDEX(Table_dim_price_recipe[Retail Price], MATCH(1, ("Calculator"&lt;&gt;Table_dim_price_recipe[Type.display])*($L350=Table_dim_price_recipe[Category])*($D350=Table_dim_price_recipe[Item Description]) * (J$6=Table_dim_price_recipe[Type])*(Table_dim_price_recipe[Retail Price]&lt;&gt;0)*($C350=Table_dim_price_recipe[Subcategory]), 0))*$B350,"")</f>
        <v/>
      </c>
      <c r="K350" s="39" t="str" cm="1">
        <f t="array" ref="K350">IFERROR(INDEX(Table_dim_price_recipe[Retail Price], MATCH(1, ("Calculator"&lt;&gt;Table_dim_price_recipe[Type.display])*($L350=Table_dim_price_recipe[Category])*($D350=Table_dim_price_recipe[Item Description]) * (K$6=Table_dim_price_recipe[Type])*(Table_dim_price_recipe[Retail Price]&lt;&gt;0)*($C350=Table_dim_price_recipe[Subcategory]), 0))*$B350,"")</f>
        <v/>
      </c>
      <c r="L350" s="39" t="str" cm="1">
        <f t="array" ref="L350">IF($A350&lt;&gt;"", $A350, LOOKUP(2, 1/((A$7:INDEX(A:A, ROW()))&lt;&gt;""), A$7:INDEX(A:A, ROW())))</f>
        <v>SPOUTING</v>
      </c>
      <c r="M350" s="14"/>
    </row>
    <row r="351" spans="1:13">
      <c r="A351" s="263"/>
      <c r="B351" s="263"/>
      <c r="C351" s="263" t="s">
        <v>569</v>
      </c>
      <c r="D351" s="263"/>
      <c r="E351" s="263"/>
      <c r="F351" s="263"/>
      <c r="G351" s="39" t="str" cm="1">
        <f t="array" ref="G351">IFERROR(INDEX(Table_dim_price_recipe[Retail Price], MATCH(1, ("Calculator"&lt;&gt;Table_dim_price_recipe[Type.display])*($L351=Table_dim_price_recipe[Category])*($D351=Table_dim_price_recipe[Item Description]) * (G$6=Table_dim_price_recipe[Type])*(Table_dim_price_recipe[Retail Price]&lt;&gt;0)*($C351=Table_dim_price_recipe[Subcategory]), 0))*$B351,"")</f>
        <v/>
      </c>
      <c r="H351" s="39" t="str" cm="1">
        <f t="array" ref="H351">IFERROR(INDEX(Table_dim_price_recipe[Retail Price], MATCH(1, ("Calculator"&lt;&gt;Table_dim_price_recipe[Type.display])*($L351=Table_dim_price_recipe[Category])*($D351=Table_dim_price_recipe[Item Description]) * (H$6=Table_dim_price_recipe[Type])*(Table_dim_price_recipe[Retail Price]&lt;&gt;0)*($C351=Table_dim_price_recipe[Subcategory]), 0))*$B351,"")</f>
        <v/>
      </c>
      <c r="I351" s="39" t="str" cm="1">
        <f t="array" ref="I351">IFERROR(INDEX(Table_dim_price_recipe[Retail Price], MATCH(1, ("Calculator"&lt;&gt;Table_dim_price_recipe[Type.display])*($L351=Table_dim_price_recipe[Category])*($D351=Table_dim_price_recipe[Item Description]) * (I$6=Table_dim_price_recipe[Type])*(Table_dim_price_recipe[Retail Price]&lt;&gt;0)*($C351=Table_dim_price_recipe[Subcategory]), 0))*$B351,"")</f>
        <v/>
      </c>
      <c r="J351" s="39" t="str" cm="1">
        <f t="array" ref="J351">IFERROR(INDEX(Table_dim_price_recipe[Retail Price], MATCH(1, ("Calculator"&lt;&gt;Table_dim_price_recipe[Type.display])*($L351=Table_dim_price_recipe[Category])*($D351=Table_dim_price_recipe[Item Description]) * (J$6=Table_dim_price_recipe[Type])*(Table_dim_price_recipe[Retail Price]&lt;&gt;0)*($C351=Table_dim_price_recipe[Subcategory]), 0))*$B351,"")</f>
        <v/>
      </c>
      <c r="K351" s="39" t="str" cm="1">
        <f t="array" ref="K351">IFERROR(INDEX(Table_dim_price_recipe[Retail Price], MATCH(1, ("Calculator"&lt;&gt;Table_dim_price_recipe[Type.display])*($L351=Table_dim_price_recipe[Category])*($D351=Table_dim_price_recipe[Item Description]) * (K$6=Table_dim_price_recipe[Type])*(Table_dim_price_recipe[Retail Price]&lt;&gt;0)*($C351=Table_dim_price_recipe[Subcategory]), 0))*$B351,"")</f>
        <v/>
      </c>
      <c r="L351" s="39" t="str" cm="1">
        <f t="array" ref="L351">IF($A351&lt;&gt;"", $A351, LOOKUP(2, 1/((A$7:INDEX(A:A, ROW()))&lt;&gt;""), A$7:INDEX(A:A, ROW())))</f>
        <v>SPOUTING</v>
      </c>
      <c r="M351" s="14"/>
    </row>
    <row r="352" spans="1:13">
      <c r="A352" s="263"/>
      <c r="B352" s="263"/>
      <c r="C352" s="263" t="s">
        <v>569</v>
      </c>
      <c r="D352" s="263"/>
      <c r="E352" s="263"/>
      <c r="F352" s="263"/>
      <c r="G352" s="39" t="str" cm="1">
        <f t="array" ref="G352">IFERROR(INDEX(Table_dim_price_recipe[Retail Price], MATCH(1, ("Calculator"&lt;&gt;Table_dim_price_recipe[Type.display])*($L352=Table_dim_price_recipe[Category])*($D352=Table_dim_price_recipe[Item Description]) * (G$6=Table_dim_price_recipe[Type])*(Table_dim_price_recipe[Retail Price]&lt;&gt;0)*($C352=Table_dim_price_recipe[Subcategory]), 0))*$B352,"")</f>
        <v/>
      </c>
      <c r="H352" s="39" t="str" cm="1">
        <f t="array" ref="H352">IFERROR(INDEX(Table_dim_price_recipe[Retail Price], MATCH(1, ("Calculator"&lt;&gt;Table_dim_price_recipe[Type.display])*($L352=Table_dim_price_recipe[Category])*($D352=Table_dim_price_recipe[Item Description]) * (H$6=Table_dim_price_recipe[Type])*(Table_dim_price_recipe[Retail Price]&lt;&gt;0)*($C352=Table_dim_price_recipe[Subcategory]), 0))*$B352,"")</f>
        <v/>
      </c>
      <c r="I352" s="39" t="str" cm="1">
        <f t="array" ref="I352">IFERROR(INDEX(Table_dim_price_recipe[Retail Price], MATCH(1, ("Calculator"&lt;&gt;Table_dim_price_recipe[Type.display])*($L352=Table_dim_price_recipe[Category])*($D352=Table_dim_price_recipe[Item Description]) * (I$6=Table_dim_price_recipe[Type])*(Table_dim_price_recipe[Retail Price]&lt;&gt;0)*($C352=Table_dim_price_recipe[Subcategory]), 0))*$B352,"")</f>
        <v/>
      </c>
      <c r="J352" s="39" t="str" cm="1">
        <f t="array" ref="J352">IFERROR(INDEX(Table_dim_price_recipe[Retail Price], MATCH(1, ("Calculator"&lt;&gt;Table_dim_price_recipe[Type.display])*($L352=Table_dim_price_recipe[Category])*($D352=Table_dim_price_recipe[Item Description]) * (J$6=Table_dim_price_recipe[Type])*(Table_dim_price_recipe[Retail Price]&lt;&gt;0)*($C352=Table_dim_price_recipe[Subcategory]), 0))*$B352,"")</f>
        <v/>
      </c>
      <c r="K352" s="39" t="str" cm="1">
        <f t="array" ref="K352">IFERROR(INDEX(Table_dim_price_recipe[Retail Price], MATCH(1, ("Calculator"&lt;&gt;Table_dim_price_recipe[Type.display])*($L352=Table_dim_price_recipe[Category])*($D352=Table_dim_price_recipe[Item Description]) * (K$6=Table_dim_price_recipe[Type])*(Table_dim_price_recipe[Retail Price]&lt;&gt;0)*($C352=Table_dim_price_recipe[Subcategory]), 0))*$B352,"")</f>
        <v/>
      </c>
      <c r="L352" s="39" t="str" cm="1">
        <f t="array" ref="L352">IF($A352&lt;&gt;"", $A352, LOOKUP(2, 1/((A$7:INDEX(A:A, ROW()))&lt;&gt;""), A$7:INDEX(A:A, ROW())))</f>
        <v>SPOUTING</v>
      </c>
      <c r="M352" s="14"/>
    </row>
    <row r="353" spans="1:13">
      <c r="A353" s="263"/>
      <c r="B353" s="263"/>
      <c r="C353" s="263" t="s">
        <v>573</v>
      </c>
      <c r="D353" s="263" t="s">
        <v>567</v>
      </c>
      <c r="E353" s="263"/>
      <c r="F353" s="263"/>
      <c r="G353" s="39" cm="1">
        <f t="array" ref="G353">IFERROR(INDEX(Table_dim_price_recipe[Retail Price], MATCH(1, ("Calculator"&lt;&gt;Table_dim_price_recipe[Type.display])*($L353=Table_dim_price_recipe[Category])*($D353=Table_dim_price_recipe[Item Description]) * (G$6=Table_dim_price_recipe[Type])*(Table_dim_price_recipe[Retail Price]&lt;&gt;0)*($C353=Table_dim_price_recipe[Subcategory]), 0))*$B353,"")</f>
        <v>0</v>
      </c>
      <c r="H353" s="39" t="str" cm="1">
        <f t="array" ref="H353">IFERROR(INDEX(Table_dim_price_recipe[Retail Price], MATCH(1, ("Calculator"&lt;&gt;Table_dim_price_recipe[Type.display])*($L353=Table_dim_price_recipe[Category])*($D353=Table_dim_price_recipe[Item Description]) * (H$6=Table_dim_price_recipe[Type])*(Table_dim_price_recipe[Retail Price]&lt;&gt;0)*($C353=Table_dim_price_recipe[Subcategory]), 0))*$B353,"")</f>
        <v/>
      </c>
      <c r="I353" s="39" t="str" cm="1">
        <f t="array" ref="I353">IFERROR(INDEX(Table_dim_price_recipe[Retail Price], MATCH(1, ("Calculator"&lt;&gt;Table_dim_price_recipe[Type.display])*($L353=Table_dim_price_recipe[Category])*($D353=Table_dim_price_recipe[Item Description]) * (I$6=Table_dim_price_recipe[Type])*(Table_dim_price_recipe[Retail Price]&lt;&gt;0)*($C353=Table_dim_price_recipe[Subcategory]), 0))*$B353,"")</f>
        <v/>
      </c>
      <c r="J353" s="39" t="str" cm="1">
        <f t="array" ref="J353">IFERROR(INDEX(Table_dim_price_recipe[Retail Price], MATCH(1, ("Calculator"&lt;&gt;Table_dim_price_recipe[Type.display])*($L353=Table_dim_price_recipe[Category])*($D353=Table_dim_price_recipe[Item Description]) * (J$6=Table_dim_price_recipe[Type])*(Table_dim_price_recipe[Retail Price]&lt;&gt;0)*($C353=Table_dim_price_recipe[Subcategory]), 0))*$B353,"")</f>
        <v/>
      </c>
      <c r="K353" s="39" t="str" cm="1">
        <f t="array" ref="K353">IFERROR(INDEX(Table_dim_price_recipe[Retail Price], MATCH(1, ("Calculator"&lt;&gt;Table_dim_price_recipe[Type.display])*($L353=Table_dim_price_recipe[Category])*($D353=Table_dim_price_recipe[Item Description]) * (K$6=Table_dim_price_recipe[Type])*(Table_dim_price_recipe[Retail Price]&lt;&gt;0)*($C353=Table_dim_price_recipe[Subcategory]), 0))*$B353,"")</f>
        <v/>
      </c>
      <c r="L353" s="39" t="str" cm="1">
        <f t="array" ref="L353">IF($A353&lt;&gt;"", $A353, LOOKUP(2, 1/((A$7:INDEX(A:A, ROW()))&lt;&gt;""), A$7:INDEX(A:A, ROW())))</f>
        <v>SPOUTING</v>
      </c>
      <c r="M353" s="14"/>
    </row>
    <row r="354" spans="1:13">
      <c r="A354" s="263"/>
      <c r="B354" s="263"/>
      <c r="C354" s="263" t="s">
        <v>573</v>
      </c>
      <c r="D354" s="263" t="s">
        <v>575</v>
      </c>
      <c r="E354" s="263"/>
      <c r="F354" s="263"/>
      <c r="G354" s="39" cm="1">
        <f t="array" ref="G354">IFERROR(INDEX(Table_dim_price_recipe[Retail Price], MATCH(1, ("Calculator"&lt;&gt;Table_dim_price_recipe[Type.display])*($L354=Table_dim_price_recipe[Category])*($D354=Table_dim_price_recipe[Item Description]) * (G$6=Table_dim_price_recipe[Type])*(Table_dim_price_recipe[Retail Price]&lt;&gt;0)*($C354=Table_dim_price_recipe[Subcategory]), 0))*$B354,"")</f>
        <v>0</v>
      </c>
      <c r="H354" s="39" t="str" cm="1">
        <f t="array" ref="H354">IFERROR(INDEX(Table_dim_price_recipe[Retail Price], MATCH(1, ("Calculator"&lt;&gt;Table_dim_price_recipe[Type.display])*($L354=Table_dim_price_recipe[Category])*($D354=Table_dim_price_recipe[Item Description]) * (H$6=Table_dim_price_recipe[Type])*(Table_dim_price_recipe[Retail Price]&lt;&gt;0)*($C354=Table_dim_price_recipe[Subcategory]), 0))*$B354,"")</f>
        <v/>
      </c>
      <c r="I354" s="39" t="str" cm="1">
        <f t="array" ref="I354">IFERROR(INDEX(Table_dim_price_recipe[Retail Price], MATCH(1, ("Calculator"&lt;&gt;Table_dim_price_recipe[Type.display])*($L354=Table_dim_price_recipe[Category])*($D354=Table_dim_price_recipe[Item Description]) * (I$6=Table_dim_price_recipe[Type])*(Table_dim_price_recipe[Retail Price]&lt;&gt;0)*($C354=Table_dim_price_recipe[Subcategory]), 0))*$B354,"")</f>
        <v/>
      </c>
      <c r="J354" s="39" t="str" cm="1">
        <f t="array" ref="J354">IFERROR(INDEX(Table_dim_price_recipe[Retail Price], MATCH(1, ("Calculator"&lt;&gt;Table_dim_price_recipe[Type.display])*($L354=Table_dim_price_recipe[Category])*($D354=Table_dim_price_recipe[Item Description]) * (J$6=Table_dim_price_recipe[Type])*(Table_dim_price_recipe[Retail Price]&lt;&gt;0)*($C354=Table_dim_price_recipe[Subcategory]), 0))*$B354,"")</f>
        <v/>
      </c>
      <c r="K354" s="39" t="str" cm="1">
        <f t="array" ref="K354">IFERROR(INDEX(Table_dim_price_recipe[Retail Price], MATCH(1, ("Calculator"&lt;&gt;Table_dim_price_recipe[Type.display])*($L354=Table_dim_price_recipe[Category])*($D354=Table_dim_price_recipe[Item Description]) * (K$6=Table_dim_price_recipe[Type])*(Table_dim_price_recipe[Retail Price]&lt;&gt;0)*($C354=Table_dim_price_recipe[Subcategory]), 0))*$B354,"")</f>
        <v/>
      </c>
      <c r="L354" s="39" t="str" cm="1">
        <f t="array" ref="L354">IF($A354&lt;&gt;"", $A354, LOOKUP(2, 1/((A$7:INDEX(A:A, ROW()))&lt;&gt;""), A$7:INDEX(A:A, ROW())))</f>
        <v>SPOUTING</v>
      </c>
      <c r="M354" s="14"/>
    </row>
    <row r="355" spans="1:13">
      <c r="A355" s="263"/>
      <c r="B355" s="263"/>
      <c r="C355" s="263" t="s">
        <v>573</v>
      </c>
      <c r="D355" s="263" t="s">
        <v>574</v>
      </c>
      <c r="E355" s="263"/>
      <c r="F355" s="263"/>
      <c r="G355" s="39" cm="1">
        <f t="array" ref="G355">IFERROR(INDEX(Table_dim_price_recipe[Retail Price], MATCH(1, ("Calculator"&lt;&gt;Table_dim_price_recipe[Type.display])*($L355=Table_dim_price_recipe[Category])*($D355=Table_dim_price_recipe[Item Description]) * (G$6=Table_dim_price_recipe[Type])*(Table_dim_price_recipe[Retail Price]&lt;&gt;0)*($C355=Table_dim_price_recipe[Subcategory]), 0))*$B355,"")</f>
        <v>0</v>
      </c>
      <c r="H355" s="39" t="str" cm="1">
        <f t="array" ref="H355">IFERROR(INDEX(Table_dim_price_recipe[Retail Price], MATCH(1, ("Calculator"&lt;&gt;Table_dim_price_recipe[Type.display])*($L355=Table_dim_price_recipe[Category])*($D355=Table_dim_price_recipe[Item Description]) * (H$6=Table_dim_price_recipe[Type])*(Table_dim_price_recipe[Retail Price]&lt;&gt;0)*($C355=Table_dim_price_recipe[Subcategory]), 0))*$B355,"")</f>
        <v/>
      </c>
      <c r="I355" s="39" t="str" cm="1">
        <f t="array" ref="I355">IFERROR(INDEX(Table_dim_price_recipe[Retail Price], MATCH(1, ("Calculator"&lt;&gt;Table_dim_price_recipe[Type.display])*($L355=Table_dim_price_recipe[Category])*($D355=Table_dim_price_recipe[Item Description]) * (I$6=Table_dim_price_recipe[Type])*(Table_dim_price_recipe[Retail Price]&lt;&gt;0)*($C355=Table_dim_price_recipe[Subcategory]), 0))*$B355,"")</f>
        <v/>
      </c>
      <c r="J355" s="39" t="str" cm="1">
        <f t="array" ref="J355">IFERROR(INDEX(Table_dim_price_recipe[Retail Price], MATCH(1, ("Calculator"&lt;&gt;Table_dim_price_recipe[Type.display])*($L355=Table_dim_price_recipe[Category])*($D355=Table_dim_price_recipe[Item Description]) * (J$6=Table_dim_price_recipe[Type])*(Table_dim_price_recipe[Retail Price]&lt;&gt;0)*($C355=Table_dim_price_recipe[Subcategory]), 0))*$B355,"")</f>
        <v/>
      </c>
      <c r="K355" s="39" t="str" cm="1">
        <f t="array" ref="K355">IFERROR(INDEX(Table_dim_price_recipe[Retail Price], MATCH(1, ("Calculator"&lt;&gt;Table_dim_price_recipe[Type.display])*($L355=Table_dim_price_recipe[Category])*($D355=Table_dim_price_recipe[Item Description]) * (K$6=Table_dim_price_recipe[Type])*(Table_dim_price_recipe[Retail Price]&lt;&gt;0)*($C355=Table_dim_price_recipe[Subcategory]), 0))*$B355,"")</f>
        <v/>
      </c>
      <c r="L355" s="39" t="str" cm="1">
        <f t="array" ref="L355">IF($A355&lt;&gt;"", $A355, LOOKUP(2, 1/((A$7:INDEX(A:A, ROW()))&lt;&gt;""), A$7:INDEX(A:A, ROW())))</f>
        <v>SPOUTING</v>
      </c>
      <c r="M355" s="14"/>
    </row>
    <row r="356" spans="1:13">
      <c r="A356" s="263"/>
      <c r="B356" s="263"/>
      <c r="C356" s="263" t="s">
        <v>573</v>
      </c>
      <c r="D356" s="263"/>
      <c r="E356" s="263"/>
      <c r="F356" s="263"/>
      <c r="G356" s="39" t="str" cm="1">
        <f t="array" ref="G356">IFERROR(INDEX(Table_dim_price_recipe[Retail Price], MATCH(1, ("Calculator"&lt;&gt;Table_dim_price_recipe[Type.display])*($L356=Table_dim_price_recipe[Category])*($D356=Table_dim_price_recipe[Item Description]) * (G$6=Table_dim_price_recipe[Type])*(Table_dim_price_recipe[Retail Price]&lt;&gt;0)*($C356=Table_dim_price_recipe[Subcategory]), 0))*$B356,"")</f>
        <v/>
      </c>
      <c r="H356" s="39" t="str" cm="1">
        <f t="array" ref="H356">IFERROR(INDEX(Table_dim_price_recipe[Retail Price], MATCH(1, ("Calculator"&lt;&gt;Table_dim_price_recipe[Type.display])*($L356=Table_dim_price_recipe[Category])*($D356=Table_dim_price_recipe[Item Description]) * (H$6=Table_dim_price_recipe[Type])*(Table_dim_price_recipe[Retail Price]&lt;&gt;0)*($C356=Table_dim_price_recipe[Subcategory]), 0))*$B356,"")</f>
        <v/>
      </c>
      <c r="I356" s="39" t="str" cm="1">
        <f t="array" ref="I356">IFERROR(INDEX(Table_dim_price_recipe[Retail Price], MATCH(1, ("Calculator"&lt;&gt;Table_dim_price_recipe[Type.display])*($L356=Table_dim_price_recipe[Category])*($D356=Table_dim_price_recipe[Item Description]) * (I$6=Table_dim_price_recipe[Type])*(Table_dim_price_recipe[Retail Price]&lt;&gt;0)*($C356=Table_dim_price_recipe[Subcategory]), 0))*$B356,"")</f>
        <v/>
      </c>
      <c r="J356" s="39" t="str" cm="1">
        <f t="array" ref="J356">IFERROR(INDEX(Table_dim_price_recipe[Retail Price], MATCH(1, ("Calculator"&lt;&gt;Table_dim_price_recipe[Type.display])*($L356=Table_dim_price_recipe[Category])*($D356=Table_dim_price_recipe[Item Description]) * (J$6=Table_dim_price_recipe[Type])*(Table_dim_price_recipe[Retail Price]&lt;&gt;0)*($C356=Table_dim_price_recipe[Subcategory]), 0))*$B356,"")</f>
        <v/>
      </c>
      <c r="K356" s="39" t="str" cm="1">
        <f t="array" ref="K356">IFERROR(INDEX(Table_dim_price_recipe[Retail Price], MATCH(1, ("Calculator"&lt;&gt;Table_dim_price_recipe[Type.display])*($L356=Table_dim_price_recipe[Category])*($D356=Table_dim_price_recipe[Item Description]) * (K$6=Table_dim_price_recipe[Type])*(Table_dim_price_recipe[Retail Price]&lt;&gt;0)*($C356=Table_dim_price_recipe[Subcategory]), 0))*$B356,"")</f>
        <v/>
      </c>
      <c r="L356" s="39" t="str" cm="1">
        <f t="array" ref="L356">IF($A356&lt;&gt;"", $A356, LOOKUP(2, 1/((A$7:INDEX(A:A, ROW()))&lt;&gt;""), A$7:INDEX(A:A, ROW())))</f>
        <v>SPOUTING</v>
      </c>
      <c r="M356" s="14"/>
    </row>
    <row r="357" spans="1:13">
      <c r="A357" s="263"/>
      <c r="B357" s="263"/>
      <c r="C357" s="263" t="s">
        <v>573</v>
      </c>
      <c r="D357" s="263"/>
      <c r="E357" s="263"/>
      <c r="F357" s="263"/>
      <c r="G357" s="39" t="str" cm="1">
        <f t="array" ref="G357">IFERROR(INDEX(Table_dim_price_recipe[Retail Price], MATCH(1, ("Calculator"&lt;&gt;Table_dim_price_recipe[Type.display])*($L357=Table_dim_price_recipe[Category])*($D357=Table_dim_price_recipe[Item Description]) * (G$6=Table_dim_price_recipe[Type])*(Table_dim_price_recipe[Retail Price]&lt;&gt;0)*($C357=Table_dim_price_recipe[Subcategory]), 0))*$B357,"")</f>
        <v/>
      </c>
      <c r="H357" s="39" t="str" cm="1">
        <f t="array" ref="H357">IFERROR(INDEX(Table_dim_price_recipe[Retail Price], MATCH(1, ("Calculator"&lt;&gt;Table_dim_price_recipe[Type.display])*($L357=Table_dim_price_recipe[Category])*($D357=Table_dim_price_recipe[Item Description]) * (H$6=Table_dim_price_recipe[Type])*(Table_dim_price_recipe[Retail Price]&lt;&gt;0)*($C357=Table_dim_price_recipe[Subcategory]), 0))*$B357,"")</f>
        <v/>
      </c>
      <c r="I357" s="39" t="str" cm="1">
        <f t="array" ref="I357">IFERROR(INDEX(Table_dim_price_recipe[Retail Price], MATCH(1, ("Calculator"&lt;&gt;Table_dim_price_recipe[Type.display])*($L357=Table_dim_price_recipe[Category])*($D357=Table_dim_price_recipe[Item Description]) * (I$6=Table_dim_price_recipe[Type])*(Table_dim_price_recipe[Retail Price]&lt;&gt;0)*($C357=Table_dim_price_recipe[Subcategory]), 0))*$B357,"")</f>
        <v/>
      </c>
      <c r="J357" s="39" t="str" cm="1">
        <f t="array" ref="J357">IFERROR(INDEX(Table_dim_price_recipe[Retail Price], MATCH(1, ("Calculator"&lt;&gt;Table_dim_price_recipe[Type.display])*($L357=Table_dim_price_recipe[Category])*($D357=Table_dim_price_recipe[Item Description]) * (J$6=Table_dim_price_recipe[Type])*(Table_dim_price_recipe[Retail Price]&lt;&gt;0)*($C357=Table_dim_price_recipe[Subcategory]), 0))*$B357,"")</f>
        <v/>
      </c>
      <c r="K357" s="39" t="str" cm="1">
        <f t="array" ref="K357">IFERROR(INDEX(Table_dim_price_recipe[Retail Price], MATCH(1, ("Calculator"&lt;&gt;Table_dim_price_recipe[Type.display])*($L357=Table_dim_price_recipe[Category])*($D357=Table_dim_price_recipe[Item Description]) * (K$6=Table_dim_price_recipe[Type])*(Table_dim_price_recipe[Retail Price]&lt;&gt;0)*($C357=Table_dim_price_recipe[Subcategory]), 0))*$B357,"")</f>
        <v/>
      </c>
      <c r="L357" s="39" t="str" cm="1">
        <f t="array" ref="L357">IF($A357&lt;&gt;"", $A357, LOOKUP(2, 1/((A$7:INDEX(A:A, ROW()))&lt;&gt;""), A$7:INDEX(A:A, ROW())))</f>
        <v>SPOUTING</v>
      </c>
      <c r="M357" s="14"/>
    </row>
    <row r="358" spans="1:13">
      <c r="A358" s="263"/>
      <c r="B358" s="263"/>
      <c r="C358" s="263" t="s">
        <v>48</v>
      </c>
      <c r="D358" s="263" t="s">
        <v>576</v>
      </c>
      <c r="E358" s="263"/>
      <c r="F358" s="263"/>
      <c r="G358" s="39" cm="1">
        <f t="array" ref="G358">IFERROR(INDEX(Table_dim_price_recipe[Retail Price], MATCH(1, ("Calculator"&lt;&gt;Table_dim_price_recipe[Type.display])*($L358=Table_dim_price_recipe[Category])*($D358=Table_dim_price_recipe[Item Description]) * (G$6=Table_dim_price_recipe[Type])*(Table_dim_price_recipe[Retail Price]&lt;&gt;0)*($C358=Table_dim_price_recipe[Subcategory]), 0))*$B358,"")</f>
        <v>0</v>
      </c>
      <c r="H358" s="39" t="str" cm="1">
        <f t="array" ref="H358">IFERROR(INDEX(Table_dim_price_recipe[Retail Price], MATCH(1, ("Calculator"&lt;&gt;Table_dim_price_recipe[Type.display])*($L358=Table_dim_price_recipe[Category])*($D358=Table_dim_price_recipe[Item Description]) * (H$6=Table_dim_price_recipe[Type])*(Table_dim_price_recipe[Retail Price]&lt;&gt;0)*($C358=Table_dim_price_recipe[Subcategory]), 0))*$B358,"")</f>
        <v/>
      </c>
      <c r="I358" s="39" t="str" cm="1">
        <f t="array" ref="I358">IFERROR(INDEX(Table_dim_price_recipe[Retail Price], MATCH(1, ("Calculator"&lt;&gt;Table_dim_price_recipe[Type.display])*($L358=Table_dim_price_recipe[Category])*($D358=Table_dim_price_recipe[Item Description]) * (I$6=Table_dim_price_recipe[Type])*(Table_dim_price_recipe[Retail Price]&lt;&gt;0)*($C358=Table_dim_price_recipe[Subcategory]), 0))*$B358,"")</f>
        <v/>
      </c>
      <c r="J358" s="39" t="str" cm="1">
        <f t="array" ref="J358">IFERROR(INDEX(Table_dim_price_recipe[Retail Price], MATCH(1, ("Calculator"&lt;&gt;Table_dim_price_recipe[Type.display])*($L358=Table_dim_price_recipe[Category])*($D358=Table_dim_price_recipe[Item Description]) * (J$6=Table_dim_price_recipe[Type])*(Table_dim_price_recipe[Retail Price]&lt;&gt;0)*($C358=Table_dim_price_recipe[Subcategory]), 0))*$B358,"")</f>
        <v/>
      </c>
      <c r="K358" s="39" t="str" cm="1">
        <f t="array" ref="K358">IFERROR(INDEX(Table_dim_price_recipe[Retail Price], MATCH(1, ("Calculator"&lt;&gt;Table_dim_price_recipe[Type.display])*($L358=Table_dim_price_recipe[Category])*($D358=Table_dim_price_recipe[Item Description]) * (K$6=Table_dim_price_recipe[Type])*(Table_dim_price_recipe[Retail Price]&lt;&gt;0)*($C358=Table_dim_price_recipe[Subcategory]), 0))*$B358,"")</f>
        <v/>
      </c>
      <c r="L358" s="39" t="str" cm="1">
        <f t="array" ref="L358">IF($A358&lt;&gt;"", $A358, LOOKUP(2, 1/((A$7:INDEX(A:A, ROW()))&lt;&gt;""), A$7:INDEX(A:A, ROW())))</f>
        <v>SPOUTING</v>
      </c>
      <c r="M358" s="14"/>
    </row>
    <row r="359" spans="1:13">
      <c r="A359" s="263"/>
      <c r="B359" s="263"/>
      <c r="C359" s="263" t="s">
        <v>48</v>
      </c>
      <c r="D359" s="263" t="s">
        <v>577</v>
      </c>
      <c r="E359" s="263"/>
      <c r="F359" s="263"/>
      <c r="G359" s="39" cm="1">
        <f t="array" ref="G359">IFERROR(INDEX(Table_dim_price_recipe[Retail Price], MATCH(1, ("Calculator"&lt;&gt;Table_dim_price_recipe[Type.display])*($L359=Table_dim_price_recipe[Category])*($D359=Table_dim_price_recipe[Item Description]) * (G$6=Table_dim_price_recipe[Type])*(Table_dim_price_recipe[Retail Price]&lt;&gt;0)*($C359=Table_dim_price_recipe[Subcategory]), 0))*$B359,"")</f>
        <v>0</v>
      </c>
      <c r="H359" s="39" t="str" cm="1">
        <f t="array" ref="H359">IFERROR(INDEX(Table_dim_price_recipe[Retail Price], MATCH(1, ("Calculator"&lt;&gt;Table_dim_price_recipe[Type.display])*($L359=Table_dim_price_recipe[Category])*($D359=Table_dim_price_recipe[Item Description]) * (H$6=Table_dim_price_recipe[Type])*(Table_dim_price_recipe[Retail Price]&lt;&gt;0)*($C359=Table_dim_price_recipe[Subcategory]), 0))*$B359,"")</f>
        <v/>
      </c>
      <c r="I359" s="39" t="str" cm="1">
        <f t="array" ref="I359">IFERROR(INDEX(Table_dim_price_recipe[Retail Price], MATCH(1, ("Calculator"&lt;&gt;Table_dim_price_recipe[Type.display])*($L359=Table_dim_price_recipe[Category])*($D359=Table_dim_price_recipe[Item Description]) * (I$6=Table_dim_price_recipe[Type])*(Table_dim_price_recipe[Retail Price]&lt;&gt;0)*($C359=Table_dim_price_recipe[Subcategory]), 0))*$B359,"")</f>
        <v/>
      </c>
      <c r="J359" s="39" t="str" cm="1">
        <f t="array" ref="J359">IFERROR(INDEX(Table_dim_price_recipe[Retail Price], MATCH(1, ("Calculator"&lt;&gt;Table_dim_price_recipe[Type.display])*($L359=Table_dim_price_recipe[Category])*($D359=Table_dim_price_recipe[Item Description]) * (J$6=Table_dim_price_recipe[Type])*(Table_dim_price_recipe[Retail Price]&lt;&gt;0)*($C359=Table_dim_price_recipe[Subcategory]), 0))*$B359,"")</f>
        <v/>
      </c>
      <c r="K359" s="39" t="str" cm="1">
        <f t="array" ref="K359">IFERROR(INDEX(Table_dim_price_recipe[Retail Price], MATCH(1, ("Calculator"&lt;&gt;Table_dim_price_recipe[Type.display])*($L359=Table_dim_price_recipe[Category])*($D359=Table_dim_price_recipe[Item Description]) * (K$6=Table_dim_price_recipe[Type])*(Table_dim_price_recipe[Retail Price]&lt;&gt;0)*($C359=Table_dim_price_recipe[Subcategory]), 0))*$B359,"")</f>
        <v/>
      </c>
      <c r="L359" s="39" t="str" cm="1">
        <f t="array" ref="L359">IF($A359&lt;&gt;"", $A359, LOOKUP(2, 1/((A$7:INDEX(A:A, ROW()))&lt;&gt;""), A$7:INDEX(A:A, ROW())))</f>
        <v>SPOUTING</v>
      </c>
      <c r="M359" s="14"/>
    </row>
    <row r="360" spans="1:13">
      <c r="A360" s="263"/>
      <c r="B360" s="263"/>
      <c r="C360" s="263" t="s">
        <v>48</v>
      </c>
      <c r="D360" s="263"/>
      <c r="E360" s="263"/>
      <c r="F360" s="263"/>
      <c r="G360" s="39" t="str" cm="1">
        <f t="array" ref="G360">IFERROR(INDEX(Table_dim_price_recipe[Retail Price], MATCH(1, ("Calculator"&lt;&gt;Table_dim_price_recipe[Type.display])*($L360=Table_dim_price_recipe[Category])*($D360=Table_dim_price_recipe[Item Description]) * (G$6=Table_dim_price_recipe[Type])*(Table_dim_price_recipe[Retail Price]&lt;&gt;0)*($C360=Table_dim_price_recipe[Subcategory]), 0))*$B360,"")</f>
        <v/>
      </c>
      <c r="H360" s="39" t="str" cm="1">
        <f t="array" ref="H360">IFERROR(INDEX(Table_dim_price_recipe[Retail Price], MATCH(1, ("Calculator"&lt;&gt;Table_dim_price_recipe[Type.display])*($L360=Table_dim_price_recipe[Category])*($D360=Table_dim_price_recipe[Item Description]) * (H$6=Table_dim_price_recipe[Type])*(Table_dim_price_recipe[Retail Price]&lt;&gt;0)*($C360=Table_dim_price_recipe[Subcategory]), 0))*$B360,"")</f>
        <v/>
      </c>
      <c r="I360" s="39" t="str" cm="1">
        <f t="array" ref="I360">IFERROR(INDEX(Table_dim_price_recipe[Retail Price], MATCH(1, ("Calculator"&lt;&gt;Table_dim_price_recipe[Type.display])*($L360=Table_dim_price_recipe[Category])*($D360=Table_dim_price_recipe[Item Description]) * (I$6=Table_dim_price_recipe[Type])*(Table_dim_price_recipe[Retail Price]&lt;&gt;0)*($C360=Table_dim_price_recipe[Subcategory]), 0))*$B360,"")</f>
        <v/>
      </c>
      <c r="J360" s="39" t="str" cm="1">
        <f t="array" ref="J360">IFERROR(INDEX(Table_dim_price_recipe[Retail Price], MATCH(1, ("Calculator"&lt;&gt;Table_dim_price_recipe[Type.display])*($L360=Table_dim_price_recipe[Category])*($D360=Table_dim_price_recipe[Item Description]) * (J$6=Table_dim_price_recipe[Type])*(Table_dim_price_recipe[Retail Price]&lt;&gt;0)*($C360=Table_dim_price_recipe[Subcategory]), 0))*$B360,"")</f>
        <v/>
      </c>
      <c r="K360" s="39" t="str" cm="1">
        <f t="array" ref="K360">IFERROR(INDEX(Table_dim_price_recipe[Retail Price], MATCH(1, ("Calculator"&lt;&gt;Table_dim_price_recipe[Type.display])*($L360=Table_dim_price_recipe[Category])*($D360=Table_dim_price_recipe[Item Description]) * (K$6=Table_dim_price_recipe[Type])*(Table_dim_price_recipe[Retail Price]&lt;&gt;0)*($C360=Table_dim_price_recipe[Subcategory]), 0))*$B360,"")</f>
        <v/>
      </c>
      <c r="L360" s="39" t="str" cm="1">
        <f t="array" ref="L360">IF($A360&lt;&gt;"", $A360, LOOKUP(2, 1/((A$7:INDEX(A:A, ROW()))&lt;&gt;""), A$7:INDEX(A:A, ROW())))</f>
        <v>SPOUTING</v>
      </c>
      <c r="M360" s="14"/>
    </row>
    <row r="361" spans="1:13">
      <c r="A361" s="263"/>
      <c r="B361" s="263"/>
      <c r="C361" s="263" t="s">
        <v>48</v>
      </c>
      <c r="D361" s="263"/>
      <c r="E361" s="263"/>
      <c r="F361" s="263"/>
      <c r="G361" s="39" t="str" cm="1">
        <f t="array" ref="G361">IFERROR(INDEX(Table_dim_price_recipe[Retail Price], MATCH(1, ("Calculator"&lt;&gt;Table_dim_price_recipe[Type.display])*($L361=Table_dim_price_recipe[Category])*($D361=Table_dim_price_recipe[Item Description]) * (G$6=Table_dim_price_recipe[Type])*(Table_dim_price_recipe[Retail Price]&lt;&gt;0)*($C361=Table_dim_price_recipe[Subcategory]), 0))*$B361,"")</f>
        <v/>
      </c>
      <c r="H361" s="39" t="str" cm="1">
        <f t="array" ref="H361">IFERROR(INDEX(Table_dim_price_recipe[Retail Price], MATCH(1, ("Calculator"&lt;&gt;Table_dim_price_recipe[Type.display])*($L361=Table_dim_price_recipe[Category])*($D361=Table_dim_price_recipe[Item Description]) * (H$6=Table_dim_price_recipe[Type])*(Table_dim_price_recipe[Retail Price]&lt;&gt;0)*($C361=Table_dim_price_recipe[Subcategory]), 0))*$B361,"")</f>
        <v/>
      </c>
      <c r="I361" s="39" t="str" cm="1">
        <f t="array" ref="I361">IFERROR(INDEX(Table_dim_price_recipe[Retail Price], MATCH(1, ("Calculator"&lt;&gt;Table_dim_price_recipe[Type.display])*($L361=Table_dim_price_recipe[Category])*($D361=Table_dim_price_recipe[Item Description]) * (I$6=Table_dim_price_recipe[Type])*(Table_dim_price_recipe[Retail Price]&lt;&gt;0)*($C361=Table_dim_price_recipe[Subcategory]), 0))*$B361,"")</f>
        <v/>
      </c>
      <c r="J361" s="39" t="str" cm="1">
        <f t="array" ref="J361">IFERROR(INDEX(Table_dim_price_recipe[Retail Price], MATCH(1, ("Calculator"&lt;&gt;Table_dim_price_recipe[Type.display])*($L361=Table_dim_price_recipe[Category])*($D361=Table_dim_price_recipe[Item Description]) * (J$6=Table_dim_price_recipe[Type])*(Table_dim_price_recipe[Retail Price]&lt;&gt;0)*($C361=Table_dim_price_recipe[Subcategory]), 0))*$B361,"")</f>
        <v/>
      </c>
      <c r="K361" s="39" t="str" cm="1">
        <f t="array" ref="K361">IFERROR(INDEX(Table_dim_price_recipe[Retail Price], MATCH(1, ("Calculator"&lt;&gt;Table_dim_price_recipe[Type.display])*($L361=Table_dim_price_recipe[Category])*($D361=Table_dim_price_recipe[Item Description]) * (K$6=Table_dim_price_recipe[Type])*(Table_dim_price_recipe[Retail Price]&lt;&gt;0)*($C361=Table_dim_price_recipe[Subcategory]), 0))*$B361,"")</f>
        <v/>
      </c>
      <c r="L361" s="39" t="str" cm="1">
        <f t="array" ref="L361">IF($A361&lt;&gt;"", $A361, LOOKUP(2, 1/((A$7:INDEX(A:A, ROW()))&lt;&gt;""), A$7:INDEX(A:A, ROW())))</f>
        <v>SPOUTING</v>
      </c>
      <c r="M361" s="14"/>
    </row>
    <row r="362" spans="1:13">
      <c r="A362" s="263"/>
      <c r="B362" s="263"/>
      <c r="C362" s="263" t="s">
        <v>560</v>
      </c>
      <c r="D362" s="263" t="s">
        <v>564</v>
      </c>
      <c r="E362" s="263"/>
      <c r="F362" s="263"/>
      <c r="G362" s="39" cm="1">
        <f t="array" ref="G362">IFERROR(INDEX(Table_dim_price_recipe[Retail Price], MATCH(1, ("Calculator"&lt;&gt;Table_dim_price_recipe[Type.display])*($L362=Table_dim_price_recipe[Category])*($D362=Table_dim_price_recipe[Item Description]) * (G$6=Table_dim_price_recipe[Type])*(Table_dim_price_recipe[Retail Price]&lt;&gt;0)*($C362=Table_dim_price_recipe[Subcategory]), 0))*$B362,"")</f>
        <v>0</v>
      </c>
      <c r="H362" s="39" t="str" cm="1">
        <f t="array" ref="H362">IFERROR(INDEX(Table_dim_price_recipe[Retail Price], MATCH(1, ("Calculator"&lt;&gt;Table_dim_price_recipe[Type.display])*($L362=Table_dim_price_recipe[Category])*($D362=Table_dim_price_recipe[Item Description]) * (H$6=Table_dim_price_recipe[Type])*(Table_dim_price_recipe[Retail Price]&lt;&gt;0)*($C362=Table_dim_price_recipe[Subcategory]), 0))*$B362,"")</f>
        <v/>
      </c>
      <c r="I362" s="39" t="str" cm="1">
        <f t="array" ref="I362">IFERROR(INDEX(Table_dim_price_recipe[Retail Price], MATCH(1, ("Calculator"&lt;&gt;Table_dim_price_recipe[Type.display])*($L362=Table_dim_price_recipe[Category])*($D362=Table_dim_price_recipe[Item Description]) * (I$6=Table_dim_price_recipe[Type])*(Table_dim_price_recipe[Retail Price]&lt;&gt;0)*($C362=Table_dim_price_recipe[Subcategory]), 0))*$B362,"")</f>
        <v/>
      </c>
      <c r="J362" s="39" t="str" cm="1">
        <f t="array" ref="J362">IFERROR(INDEX(Table_dim_price_recipe[Retail Price], MATCH(1, ("Calculator"&lt;&gt;Table_dim_price_recipe[Type.display])*($L362=Table_dim_price_recipe[Category])*($D362=Table_dim_price_recipe[Item Description]) * (J$6=Table_dim_price_recipe[Type])*(Table_dim_price_recipe[Retail Price]&lt;&gt;0)*($C362=Table_dim_price_recipe[Subcategory]), 0))*$B362,"")</f>
        <v/>
      </c>
      <c r="K362" s="39" t="str" cm="1">
        <f t="array" ref="K362">IFERROR(INDEX(Table_dim_price_recipe[Retail Price], MATCH(1, ("Calculator"&lt;&gt;Table_dim_price_recipe[Type.display])*($L362=Table_dim_price_recipe[Category])*($D362=Table_dim_price_recipe[Item Description]) * (K$6=Table_dim_price_recipe[Type])*(Table_dim_price_recipe[Retail Price]&lt;&gt;0)*($C362=Table_dim_price_recipe[Subcategory]), 0))*$B362,"")</f>
        <v/>
      </c>
      <c r="L362" s="39" t="str" cm="1">
        <f t="array" ref="L362">IF($A362&lt;&gt;"", $A362, LOOKUP(2, 1/((A$7:INDEX(A:A, ROW()))&lt;&gt;""), A$7:INDEX(A:A, ROW())))</f>
        <v>SPOUTING</v>
      </c>
      <c r="M362" s="14"/>
    </row>
    <row r="363" spans="1:13">
      <c r="A363" s="263"/>
      <c r="B363" s="263"/>
      <c r="C363" s="263" t="s">
        <v>560</v>
      </c>
      <c r="D363" s="263" t="s">
        <v>565</v>
      </c>
      <c r="E363" s="263"/>
      <c r="F363" s="263"/>
      <c r="G363" s="39" cm="1">
        <f t="array" ref="G363">IFERROR(INDEX(Table_dim_price_recipe[Retail Price], MATCH(1, ("Calculator"&lt;&gt;Table_dim_price_recipe[Type.display])*($L363=Table_dim_price_recipe[Category])*($D363=Table_dim_price_recipe[Item Description]) * (G$6=Table_dim_price_recipe[Type])*(Table_dim_price_recipe[Retail Price]&lt;&gt;0)*($C363=Table_dim_price_recipe[Subcategory]), 0))*$B363,"")</f>
        <v>0</v>
      </c>
      <c r="H363" s="39" t="str" cm="1">
        <f t="array" ref="H363">IFERROR(INDEX(Table_dim_price_recipe[Retail Price], MATCH(1, ("Calculator"&lt;&gt;Table_dim_price_recipe[Type.display])*($L363=Table_dim_price_recipe[Category])*($D363=Table_dim_price_recipe[Item Description]) * (H$6=Table_dim_price_recipe[Type])*(Table_dim_price_recipe[Retail Price]&lt;&gt;0)*($C363=Table_dim_price_recipe[Subcategory]), 0))*$B363,"")</f>
        <v/>
      </c>
      <c r="I363" s="39" t="str" cm="1">
        <f t="array" ref="I363">IFERROR(INDEX(Table_dim_price_recipe[Retail Price], MATCH(1, ("Calculator"&lt;&gt;Table_dim_price_recipe[Type.display])*($L363=Table_dim_price_recipe[Category])*($D363=Table_dim_price_recipe[Item Description]) * (I$6=Table_dim_price_recipe[Type])*(Table_dim_price_recipe[Retail Price]&lt;&gt;0)*($C363=Table_dim_price_recipe[Subcategory]), 0))*$B363,"")</f>
        <v/>
      </c>
      <c r="J363" s="39" t="str" cm="1">
        <f t="array" ref="J363">IFERROR(INDEX(Table_dim_price_recipe[Retail Price], MATCH(1, ("Calculator"&lt;&gt;Table_dim_price_recipe[Type.display])*($L363=Table_dim_price_recipe[Category])*($D363=Table_dim_price_recipe[Item Description]) * (J$6=Table_dim_price_recipe[Type])*(Table_dim_price_recipe[Retail Price]&lt;&gt;0)*($C363=Table_dim_price_recipe[Subcategory]), 0))*$B363,"")</f>
        <v/>
      </c>
      <c r="K363" s="39" t="str" cm="1">
        <f t="array" ref="K363">IFERROR(INDEX(Table_dim_price_recipe[Retail Price], MATCH(1, ("Calculator"&lt;&gt;Table_dim_price_recipe[Type.display])*($L363=Table_dim_price_recipe[Category])*($D363=Table_dim_price_recipe[Item Description]) * (K$6=Table_dim_price_recipe[Type])*(Table_dim_price_recipe[Retail Price]&lt;&gt;0)*($C363=Table_dim_price_recipe[Subcategory]), 0))*$B363,"")</f>
        <v/>
      </c>
      <c r="L363" s="39" t="str" cm="1">
        <f t="array" ref="L363">IF($A363&lt;&gt;"", $A363, LOOKUP(2, 1/((A$7:INDEX(A:A, ROW()))&lt;&gt;""), A$7:INDEX(A:A, ROW())))</f>
        <v>SPOUTING</v>
      </c>
    </row>
    <row r="364" spans="1:13">
      <c r="A364" s="263"/>
      <c r="B364" s="263"/>
      <c r="C364" s="263" t="s">
        <v>560</v>
      </c>
      <c r="D364" s="263" t="s">
        <v>567</v>
      </c>
      <c r="E364" s="263"/>
      <c r="F364" s="263"/>
      <c r="G364" s="39" cm="1">
        <f t="array" ref="G364">IFERROR(INDEX(Table_dim_price_recipe[Retail Price], MATCH(1, ("Calculator"&lt;&gt;Table_dim_price_recipe[Type.display])*($L364=Table_dim_price_recipe[Category])*($D364=Table_dim_price_recipe[Item Description]) * (G$6=Table_dim_price_recipe[Type])*(Table_dim_price_recipe[Retail Price]&lt;&gt;0)*($C364=Table_dim_price_recipe[Subcategory]), 0))*$B364,"")</f>
        <v>0</v>
      </c>
      <c r="H364" s="39" t="str" cm="1">
        <f t="array" ref="H364">IFERROR(INDEX(Table_dim_price_recipe[Retail Price], MATCH(1, ("Calculator"&lt;&gt;Table_dim_price_recipe[Type.display])*($L364=Table_dim_price_recipe[Category])*($D364=Table_dim_price_recipe[Item Description]) * (H$6=Table_dim_price_recipe[Type])*(Table_dim_price_recipe[Retail Price]&lt;&gt;0)*($C364=Table_dim_price_recipe[Subcategory]), 0))*$B364,"")</f>
        <v/>
      </c>
      <c r="I364" s="39" t="str" cm="1">
        <f t="array" ref="I364">IFERROR(INDEX(Table_dim_price_recipe[Retail Price], MATCH(1, ("Calculator"&lt;&gt;Table_dim_price_recipe[Type.display])*($L364=Table_dim_price_recipe[Category])*($D364=Table_dim_price_recipe[Item Description]) * (I$6=Table_dim_price_recipe[Type])*(Table_dim_price_recipe[Retail Price]&lt;&gt;0)*($C364=Table_dim_price_recipe[Subcategory]), 0))*$B364,"")</f>
        <v/>
      </c>
      <c r="J364" s="39" t="str" cm="1">
        <f t="array" ref="J364">IFERROR(INDEX(Table_dim_price_recipe[Retail Price], MATCH(1, ("Calculator"&lt;&gt;Table_dim_price_recipe[Type.display])*($L364=Table_dim_price_recipe[Category])*($D364=Table_dim_price_recipe[Item Description]) * (J$6=Table_dim_price_recipe[Type])*(Table_dim_price_recipe[Retail Price]&lt;&gt;0)*($C364=Table_dim_price_recipe[Subcategory]), 0))*$B364,"")</f>
        <v/>
      </c>
      <c r="K364" s="39" t="str" cm="1">
        <f t="array" ref="K364">IFERROR(INDEX(Table_dim_price_recipe[Retail Price], MATCH(1, ("Calculator"&lt;&gt;Table_dim_price_recipe[Type.display])*($L364=Table_dim_price_recipe[Category])*($D364=Table_dim_price_recipe[Item Description]) * (K$6=Table_dim_price_recipe[Type])*(Table_dim_price_recipe[Retail Price]&lt;&gt;0)*($C364=Table_dim_price_recipe[Subcategory]), 0))*$B364,"")</f>
        <v/>
      </c>
      <c r="L364" s="39" t="str" cm="1">
        <f t="array" ref="L364">IF($A364&lt;&gt;"", $A364, LOOKUP(2, 1/((A$7:INDEX(A:A, ROW()))&lt;&gt;""), A$7:INDEX(A:A, ROW())))</f>
        <v>SPOUTING</v>
      </c>
      <c r="M364" s="14"/>
    </row>
    <row r="365" spans="1:13">
      <c r="A365" s="263"/>
      <c r="B365" s="263"/>
      <c r="C365" s="263" t="s">
        <v>560</v>
      </c>
      <c r="D365" s="263" t="s">
        <v>568</v>
      </c>
      <c r="E365" s="263"/>
      <c r="F365" s="263"/>
      <c r="G365" s="39" cm="1">
        <f t="array" ref="G365">IFERROR(INDEX(Table_dim_price_recipe[Retail Price], MATCH(1, ("Calculator"&lt;&gt;Table_dim_price_recipe[Type.display])*($L365=Table_dim_price_recipe[Category])*($D365=Table_dim_price_recipe[Item Description]) * (G$6=Table_dim_price_recipe[Type])*(Table_dim_price_recipe[Retail Price]&lt;&gt;0)*($C365=Table_dim_price_recipe[Subcategory]), 0))*$B365,"")</f>
        <v>0</v>
      </c>
      <c r="H365" s="39" t="str" cm="1">
        <f t="array" ref="H365">IFERROR(INDEX(Table_dim_price_recipe[Retail Price], MATCH(1, ("Calculator"&lt;&gt;Table_dim_price_recipe[Type.display])*($L365=Table_dim_price_recipe[Category])*($D365=Table_dim_price_recipe[Item Description]) * (H$6=Table_dim_price_recipe[Type])*(Table_dim_price_recipe[Retail Price]&lt;&gt;0)*($C365=Table_dim_price_recipe[Subcategory]), 0))*$B365,"")</f>
        <v/>
      </c>
      <c r="I365" s="39" t="str" cm="1">
        <f t="array" ref="I365">IFERROR(INDEX(Table_dim_price_recipe[Retail Price], MATCH(1, ("Calculator"&lt;&gt;Table_dim_price_recipe[Type.display])*($L365=Table_dim_price_recipe[Category])*($D365=Table_dim_price_recipe[Item Description]) * (I$6=Table_dim_price_recipe[Type])*(Table_dim_price_recipe[Retail Price]&lt;&gt;0)*($C365=Table_dim_price_recipe[Subcategory]), 0))*$B365,"")</f>
        <v/>
      </c>
      <c r="J365" s="39" t="str" cm="1">
        <f t="array" ref="J365">IFERROR(INDEX(Table_dim_price_recipe[Retail Price], MATCH(1, ("Calculator"&lt;&gt;Table_dim_price_recipe[Type.display])*($L365=Table_dim_price_recipe[Category])*($D365=Table_dim_price_recipe[Item Description]) * (J$6=Table_dim_price_recipe[Type])*(Table_dim_price_recipe[Retail Price]&lt;&gt;0)*($C365=Table_dim_price_recipe[Subcategory]), 0))*$B365,"")</f>
        <v/>
      </c>
      <c r="K365" s="39" t="str" cm="1">
        <f t="array" ref="K365">IFERROR(INDEX(Table_dim_price_recipe[Retail Price], MATCH(1, ("Calculator"&lt;&gt;Table_dim_price_recipe[Type.display])*($L365=Table_dim_price_recipe[Category])*($D365=Table_dim_price_recipe[Item Description]) * (K$6=Table_dim_price_recipe[Type])*(Table_dim_price_recipe[Retail Price]&lt;&gt;0)*($C365=Table_dim_price_recipe[Subcategory]), 0))*$B365,"")</f>
        <v/>
      </c>
      <c r="L365" s="39" t="str" cm="1">
        <f t="array" ref="L365">IF($A365&lt;&gt;"", $A365, LOOKUP(2, 1/((A$7:INDEX(A:A, ROW()))&lt;&gt;""), A$7:INDEX(A:A, ROW())))</f>
        <v>SPOUTING</v>
      </c>
      <c r="M365" s="14"/>
    </row>
    <row r="366" spans="1:13">
      <c r="A366" s="263"/>
      <c r="B366" s="263"/>
      <c r="C366" s="263" t="s">
        <v>560</v>
      </c>
      <c r="D366" s="263" t="s">
        <v>562</v>
      </c>
      <c r="E366" s="263"/>
      <c r="F366" s="263"/>
      <c r="G366" s="39" cm="1">
        <f t="array" ref="G366">IFERROR(INDEX(Table_dim_price_recipe[Retail Price], MATCH(1, ("Calculator"&lt;&gt;Table_dim_price_recipe[Type.display])*($L366=Table_dim_price_recipe[Category])*($D366=Table_dim_price_recipe[Item Description]) * (G$6=Table_dim_price_recipe[Type])*(Table_dim_price_recipe[Retail Price]&lt;&gt;0)*($C366=Table_dim_price_recipe[Subcategory]), 0))*$B366,"")</f>
        <v>0</v>
      </c>
      <c r="H366" s="39" t="str" cm="1">
        <f t="array" ref="H366">IFERROR(INDEX(Table_dim_price_recipe[Retail Price], MATCH(1, ("Calculator"&lt;&gt;Table_dim_price_recipe[Type.display])*($L366=Table_dim_price_recipe[Category])*($D366=Table_dim_price_recipe[Item Description]) * (H$6=Table_dim_price_recipe[Type])*(Table_dim_price_recipe[Retail Price]&lt;&gt;0)*($C366=Table_dim_price_recipe[Subcategory]), 0))*$B366,"")</f>
        <v/>
      </c>
      <c r="I366" s="39" t="str" cm="1">
        <f t="array" ref="I366">IFERROR(INDEX(Table_dim_price_recipe[Retail Price], MATCH(1, ("Calculator"&lt;&gt;Table_dim_price_recipe[Type.display])*($L366=Table_dim_price_recipe[Category])*($D366=Table_dim_price_recipe[Item Description]) * (I$6=Table_dim_price_recipe[Type])*(Table_dim_price_recipe[Retail Price]&lt;&gt;0)*($C366=Table_dim_price_recipe[Subcategory]), 0))*$B366,"")</f>
        <v/>
      </c>
      <c r="J366" s="39" t="str" cm="1">
        <f t="array" ref="J366">IFERROR(INDEX(Table_dim_price_recipe[Retail Price], MATCH(1, ("Calculator"&lt;&gt;Table_dim_price_recipe[Type.display])*($L366=Table_dim_price_recipe[Category])*($D366=Table_dim_price_recipe[Item Description]) * (J$6=Table_dim_price_recipe[Type])*(Table_dim_price_recipe[Retail Price]&lt;&gt;0)*($C366=Table_dim_price_recipe[Subcategory]), 0))*$B366,"")</f>
        <v/>
      </c>
      <c r="K366" s="39" t="str" cm="1">
        <f t="array" ref="K366">IFERROR(INDEX(Table_dim_price_recipe[Retail Price], MATCH(1, ("Calculator"&lt;&gt;Table_dim_price_recipe[Type.display])*($L366=Table_dim_price_recipe[Category])*($D366=Table_dim_price_recipe[Item Description]) * (K$6=Table_dim_price_recipe[Type])*(Table_dim_price_recipe[Retail Price]&lt;&gt;0)*($C366=Table_dim_price_recipe[Subcategory]), 0))*$B366,"")</f>
        <v/>
      </c>
      <c r="L366" s="39" t="str" cm="1">
        <f t="array" ref="L366">IF($A366&lt;&gt;"", $A366, LOOKUP(2, 1/((A$7:INDEX(A:A, ROW()))&lt;&gt;""), A$7:INDEX(A:A, ROW())))</f>
        <v>SPOUTING</v>
      </c>
      <c r="M366" s="14"/>
    </row>
    <row r="367" spans="1:13">
      <c r="A367" s="263"/>
      <c r="B367" s="263"/>
      <c r="C367" s="263" t="s">
        <v>560</v>
      </c>
      <c r="D367" s="263" t="s">
        <v>566</v>
      </c>
      <c r="E367" s="263"/>
      <c r="F367" s="263"/>
      <c r="G367" s="39" cm="1">
        <f t="array" ref="G367">IFERROR(INDEX(Table_dim_price_recipe[Retail Price], MATCH(1, ("Calculator"&lt;&gt;Table_dim_price_recipe[Type.display])*($L367=Table_dim_price_recipe[Category])*($D367=Table_dim_price_recipe[Item Description]) * (G$6=Table_dim_price_recipe[Type])*(Table_dim_price_recipe[Retail Price]&lt;&gt;0)*($C367=Table_dim_price_recipe[Subcategory]), 0))*$B367,"")</f>
        <v>0</v>
      </c>
      <c r="H367" s="39" t="str" cm="1">
        <f t="array" ref="H367">IFERROR(INDEX(Table_dim_price_recipe[Retail Price], MATCH(1, ("Calculator"&lt;&gt;Table_dim_price_recipe[Type.display])*($L367=Table_dim_price_recipe[Category])*($D367=Table_dim_price_recipe[Item Description]) * (H$6=Table_dim_price_recipe[Type])*(Table_dim_price_recipe[Retail Price]&lt;&gt;0)*($C367=Table_dim_price_recipe[Subcategory]), 0))*$B367,"")</f>
        <v/>
      </c>
      <c r="I367" s="39" t="str" cm="1">
        <f t="array" ref="I367">IFERROR(INDEX(Table_dim_price_recipe[Retail Price], MATCH(1, ("Calculator"&lt;&gt;Table_dim_price_recipe[Type.display])*($L367=Table_dim_price_recipe[Category])*($D367=Table_dim_price_recipe[Item Description]) * (I$6=Table_dim_price_recipe[Type])*(Table_dim_price_recipe[Retail Price]&lt;&gt;0)*($C367=Table_dim_price_recipe[Subcategory]), 0))*$B367,"")</f>
        <v/>
      </c>
      <c r="J367" s="39" t="str" cm="1">
        <f t="array" ref="J367">IFERROR(INDEX(Table_dim_price_recipe[Retail Price], MATCH(1, ("Calculator"&lt;&gt;Table_dim_price_recipe[Type.display])*($L367=Table_dim_price_recipe[Category])*($D367=Table_dim_price_recipe[Item Description]) * (J$6=Table_dim_price_recipe[Type])*(Table_dim_price_recipe[Retail Price]&lt;&gt;0)*($C367=Table_dim_price_recipe[Subcategory]), 0))*$B367,"")</f>
        <v/>
      </c>
      <c r="K367" s="39" t="str" cm="1">
        <f t="array" ref="K367">IFERROR(INDEX(Table_dim_price_recipe[Retail Price], MATCH(1, ("Calculator"&lt;&gt;Table_dim_price_recipe[Type.display])*($L367=Table_dim_price_recipe[Category])*($D367=Table_dim_price_recipe[Item Description]) * (K$6=Table_dim_price_recipe[Type])*(Table_dim_price_recipe[Retail Price]&lt;&gt;0)*($C367=Table_dim_price_recipe[Subcategory]), 0))*$B367,"")</f>
        <v/>
      </c>
      <c r="L367" s="39" t="str" cm="1">
        <f t="array" ref="L367">IF($A367&lt;&gt;"", $A367, LOOKUP(2, 1/((A$7:INDEX(A:A, ROW()))&lt;&gt;""), A$7:INDEX(A:A, ROW())))</f>
        <v>SPOUTING</v>
      </c>
      <c r="M367" s="14"/>
    </row>
    <row r="368" spans="1:13">
      <c r="A368" s="263"/>
      <c r="B368" s="263"/>
      <c r="C368" s="263" t="s">
        <v>560</v>
      </c>
      <c r="D368" s="263" t="s">
        <v>563</v>
      </c>
      <c r="E368" s="263"/>
      <c r="F368" s="263"/>
      <c r="G368" s="39" cm="1">
        <f t="array" ref="G368">IFERROR(INDEX(Table_dim_price_recipe[Retail Price], MATCH(1, ("Calculator"&lt;&gt;Table_dim_price_recipe[Type.display])*($L368=Table_dim_price_recipe[Category])*($D368=Table_dim_price_recipe[Item Description]) * (G$6=Table_dim_price_recipe[Type])*(Table_dim_price_recipe[Retail Price]&lt;&gt;0)*($C368=Table_dim_price_recipe[Subcategory]), 0))*$B368,"")</f>
        <v>0</v>
      </c>
      <c r="H368" s="39" t="str" cm="1">
        <f t="array" ref="H368">IFERROR(INDEX(Table_dim_price_recipe[Retail Price], MATCH(1, ("Calculator"&lt;&gt;Table_dim_price_recipe[Type.display])*($L368=Table_dim_price_recipe[Category])*($D368=Table_dim_price_recipe[Item Description]) * (H$6=Table_dim_price_recipe[Type])*(Table_dim_price_recipe[Retail Price]&lt;&gt;0)*($C368=Table_dim_price_recipe[Subcategory]), 0))*$B368,"")</f>
        <v/>
      </c>
      <c r="I368" s="39" t="str" cm="1">
        <f t="array" ref="I368">IFERROR(INDEX(Table_dim_price_recipe[Retail Price], MATCH(1, ("Calculator"&lt;&gt;Table_dim_price_recipe[Type.display])*($L368=Table_dim_price_recipe[Category])*($D368=Table_dim_price_recipe[Item Description]) * (I$6=Table_dim_price_recipe[Type])*(Table_dim_price_recipe[Retail Price]&lt;&gt;0)*($C368=Table_dim_price_recipe[Subcategory]), 0))*$B368,"")</f>
        <v/>
      </c>
      <c r="J368" s="39" t="str" cm="1">
        <f t="array" ref="J368">IFERROR(INDEX(Table_dim_price_recipe[Retail Price], MATCH(1, ("Calculator"&lt;&gt;Table_dim_price_recipe[Type.display])*($L368=Table_dim_price_recipe[Category])*($D368=Table_dim_price_recipe[Item Description]) * (J$6=Table_dim_price_recipe[Type])*(Table_dim_price_recipe[Retail Price]&lt;&gt;0)*($C368=Table_dim_price_recipe[Subcategory]), 0))*$B368,"")</f>
        <v/>
      </c>
      <c r="K368" s="39" t="str" cm="1">
        <f t="array" ref="K368">IFERROR(INDEX(Table_dim_price_recipe[Retail Price], MATCH(1, ("Calculator"&lt;&gt;Table_dim_price_recipe[Type.display])*($L368=Table_dim_price_recipe[Category])*($D368=Table_dim_price_recipe[Item Description]) * (K$6=Table_dim_price_recipe[Type])*(Table_dim_price_recipe[Retail Price]&lt;&gt;0)*($C368=Table_dim_price_recipe[Subcategory]), 0))*$B368,"")</f>
        <v/>
      </c>
      <c r="L368" s="39" t="str" cm="1">
        <f t="array" ref="L368">IF($A368&lt;&gt;"", $A368, LOOKUP(2, 1/((A$7:INDEX(A:A, ROW()))&lt;&gt;""), A$7:INDEX(A:A, ROW())))</f>
        <v>SPOUTING</v>
      </c>
      <c r="M368" s="14"/>
    </row>
    <row r="369" spans="1:13">
      <c r="A369" s="263"/>
      <c r="B369" s="263"/>
      <c r="C369" s="263" t="s">
        <v>560</v>
      </c>
      <c r="D369" s="263" t="s">
        <v>561</v>
      </c>
      <c r="E369" s="263"/>
      <c r="F369" s="263"/>
      <c r="G369" s="39" cm="1">
        <f t="array" ref="G369">IFERROR(INDEX(Table_dim_price_recipe[Retail Price], MATCH(1, ("Calculator"&lt;&gt;Table_dim_price_recipe[Type.display])*($L369=Table_dim_price_recipe[Category])*($D369=Table_dim_price_recipe[Item Description]) * (G$6=Table_dim_price_recipe[Type])*(Table_dim_price_recipe[Retail Price]&lt;&gt;0)*($C369=Table_dim_price_recipe[Subcategory]), 0))*$B369,"")</f>
        <v>0</v>
      </c>
      <c r="H369" s="39" t="str" cm="1">
        <f t="array" ref="H369">IFERROR(INDEX(Table_dim_price_recipe[Retail Price], MATCH(1, ("Calculator"&lt;&gt;Table_dim_price_recipe[Type.display])*($L369=Table_dim_price_recipe[Category])*($D369=Table_dim_price_recipe[Item Description]) * (H$6=Table_dim_price_recipe[Type])*(Table_dim_price_recipe[Retail Price]&lt;&gt;0)*($C369=Table_dim_price_recipe[Subcategory]), 0))*$B369,"")</f>
        <v/>
      </c>
      <c r="I369" s="39" t="str" cm="1">
        <f t="array" ref="I369">IFERROR(INDEX(Table_dim_price_recipe[Retail Price], MATCH(1, ("Calculator"&lt;&gt;Table_dim_price_recipe[Type.display])*($L369=Table_dim_price_recipe[Category])*($D369=Table_dim_price_recipe[Item Description]) * (I$6=Table_dim_price_recipe[Type])*(Table_dim_price_recipe[Retail Price]&lt;&gt;0)*($C369=Table_dim_price_recipe[Subcategory]), 0))*$B369,"")</f>
        <v/>
      </c>
      <c r="J369" s="39" t="str" cm="1">
        <f t="array" ref="J369">IFERROR(INDEX(Table_dim_price_recipe[Retail Price], MATCH(1, ("Calculator"&lt;&gt;Table_dim_price_recipe[Type.display])*($L369=Table_dim_price_recipe[Category])*($D369=Table_dim_price_recipe[Item Description]) * (J$6=Table_dim_price_recipe[Type])*(Table_dim_price_recipe[Retail Price]&lt;&gt;0)*($C369=Table_dim_price_recipe[Subcategory]), 0))*$B369,"")</f>
        <v/>
      </c>
      <c r="K369" s="39" t="str" cm="1">
        <f t="array" ref="K369">IFERROR(INDEX(Table_dim_price_recipe[Retail Price], MATCH(1, ("Calculator"&lt;&gt;Table_dim_price_recipe[Type.display])*($L369=Table_dim_price_recipe[Category])*($D369=Table_dim_price_recipe[Item Description]) * (K$6=Table_dim_price_recipe[Type])*(Table_dim_price_recipe[Retail Price]&lt;&gt;0)*($C369=Table_dim_price_recipe[Subcategory]), 0))*$B369,"")</f>
        <v/>
      </c>
      <c r="L369" s="39" t="str" cm="1">
        <f t="array" ref="L369">IF($A369&lt;&gt;"", $A369, LOOKUP(2, 1/((A$7:INDEX(A:A, ROW()))&lt;&gt;""), A$7:INDEX(A:A, ROW())))</f>
        <v>SPOUTING</v>
      </c>
      <c r="M369" s="14"/>
    </row>
    <row r="370" spans="1:13">
      <c r="A370" s="263"/>
      <c r="B370" s="263"/>
      <c r="C370" s="263" t="s">
        <v>560</v>
      </c>
      <c r="D370" s="263"/>
      <c r="E370" s="263"/>
      <c r="F370" s="263"/>
      <c r="G370" s="39" t="str" cm="1">
        <f t="array" ref="G370">IFERROR(INDEX(Table_dim_price_recipe[Retail Price], MATCH(1, ("Calculator"&lt;&gt;Table_dim_price_recipe[Type.display])*($L370=Table_dim_price_recipe[Category])*($D370=Table_dim_price_recipe[Item Description]) * (G$6=Table_dim_price_recipe[Type])*(Table_dim_price_recipe[Retail Price]&lt;&gt;0)*($C370=Table_dim_price_recipe[Subcategory]), 0))*$B370,"")</f>
        <v/>
      </c>
      <c r="H370" s="39" t="str" cm="1">
        <f t="array" ref="H370">IFERROR(INDEX(Table_dim_price_recipe[Retail Price], MATCH(1, ("Calculator"&lt;&gt;Table_dim_price_recipe[Type.display])*($L370=Table_dim_price_recipe[Category])*($D370=Table_dim_price_recipe[Item Description]) * (H$6=Table_dim_price_recipe[Type])*(Table_dim_price_recipe[Retail Price]&lt;&gt;0)*($C370=Table_dim_price_recipe[Subcategory]), 0))*$B370,"")</f>
        <v/>
      </c>
      <c r="I370" s="39" t="str" cm="1">
        <f t="array" ref="I370">IFERROR(INDEX(Table_dim_price_recipe[Retail Price], MATCH(1, ("Calculator"&lt;&gt;Table_dim_price_recipe[Type.display])*($L370=Table_dim_price_recipe[Category])*($D370=Table_dim_price_recipe[Item Description]) * (I$6=Table_dim_price_recipe[Type])*(Table_dim_price_recipe[Retail Price]&lt;&gt;0)*($C370=Table_dim_price_recipe[Subcategory]), 0))*$B370,"")</f>
        <v/>
      </c>
      <c r="J370" s="39" t="str" cm="1">
        <f t="array" ref="J370">IFERROR(INDEX(Table_dim_price_recipe[Retail Price], MATCH(1, ("Calculator"&lt;&gt;Table_dim_price_recipe[Type.display])*($L370=Table_dim_price_recipe[Category])*($D370=Table_dim_price_recipe[Item Description]) * (J$6=Table_dim_price_recipe[Type])*(Table_dim_price_recipe[Retail Price]&lt;&gt;0)*($C370=Table_dim_price_recipe[Subcategory]), 0))*$B370,"")</f>
        <v/>
      </c>
      <c r="K370" s="39" t="str" cm="1">
        <f t="array" ref="K370">IFERROR(INDEX(Table_dim_price_recipe[Retail Price], MATCH(1, ("Calculator"&lt;&gt;Table_dim_price_recipe[Type.display])*($L370=Table_dim_price_recipe[Category])*($D370=Table_dim_price_recipe[Item Description]) * (K$6=Table_dim_price_recipe[Type])*(Table_dim_price_recipe[Retail Price]&lt;&gt;0)*($C370=Table_dim_price_recipe[Subcategory]), 0))*$B370,"")</f>
        <v/>
      </c>
      <c r="L370" s="39" t="str" cm="1">
        <f t="array" ref="L370">IF($A370&lt;&gt;"", $A370, LOOKUP(2, 1/((A$7:INDEX(A:A, ROW()))&lt;&gt;""), A$7:INDEX(A:A, ROW())))</f>
        <v>SPOUTING</v>
      </c>
      <c r="M370" s="14"/>
    </row>
    <row r="371" spans="1:13">
      <c r="A371" s="263"/>
      <c r="B371" s="263"/>
      <c r="C371" s="263" t="s">
        <v>560</v>
      </c>
      <c r="D371" s="263"/>
      <c r="E371" s="263"/>
      <c r="F371" s="263"/>
      <c r="G371" s="39" t="str" cm="1">
        <f t="array" ref="G371">IFERROR(INDEX(Table_dim_price_recipe[Retail Price], MATCH(1, ("Calculator"&lt;&gt;Table_dim_price_recipe[Type.display])*($L371=Table_dim_price_recipe[Category])*($D371=Table_dim_price_recipe[Item Description]) * (G$6=Table_dim_price_recipe[Type])*(Table_dim_price_recipe[Retail Price]&lt;&gt;0)*($C371=Table_dim_price_recipe[Subcategory]), 0))*$B371,"")</f>
        <v/>
      </c>
      <c r="H371" s="39" t="str" cm="1">
        <f t="array" ref="H371">IFERROR(INDEX(Table_dim_price_recipe[Retail Price], MATCH(1, ("Calculator"&lt;&gt;Table_dim_price_recipe[Type.display])*($L371=Table_dim_price_recipe[Category])*($D371=Table_dim_price_recipe[Item Description]) * (H$6=Table_dim_price_recipe[Type])*(Table_dim_price_recipe[Retail Price]&lt;&gt;0)*($C371=Table_dim_price_recipe[Subcategory]), 0))*$B371,"")</f>
        <v/>
      </c>
      <c r="I371" s="39" t="str" cm="1">
        <f t="array" ref="I371">IFERROR(INDEX(Table_dim_price_recipe[Retail Price], MATCH(1, ("Calculator"&lt;&gt;Table_dim_price_recipe[Type.display])*($L371=Table_dim_price_recipe[Category])*($D371=Table_dim_price_recipe[Item Description]) * (I$6=Table_dim_price_recipe[Type])*(Table_dim_price_recipe[Retail Price]&lt;&gt;0)*($C371=Table_dim_price_recipe[Subcategory]), 0))*$B371,"")</f>
        <v/>
      </c>
      <c r="J371" s="39" t="str" cm="1">
        <f t="array" ref="J371">IFERROR(INDEX(Table_dim_price_recipe[Retail Price], MATCH(1, ("Calculator"&lt;&gt;Table_dim_price_recipe[Type.display])*($L371=Table_dim_price_recipe[Category])*($D371=Table_dim_price_recipe[Item Description]) * (J$6=Table_dim_price_recipe[Type])*(Table_dim_price_recipe[Retail Price]&lt;&gt;0)*($C371=Table_dim_price_recipe[Subcategory]), 0))*$B371,"")</f>
        <v/>
      </c>
      <c r="K371" s="39" t="str" cm="1">
        <f t="array" ref="K371">IFERROR(INDEX(Table_dim_price_recipe[Retail Price], MATCH(1, ("Calculator"&lt;&gt;Table_dim_price_recipe[Type.display])*($L371=Table_dim_price_recipe[Category])*($D371=Table_dim_price_recipe[Item Description]) * (K$6=Table_dim_price_recipe[Type])*(Table_dim_price_recipe[Retail Price]&lt;&gt;0)*($C371=Table_dim_price_recipe[Subcategory]), 0))*$B371,"")</f>
        <v/>
      </c>
      <c r="L371" s="39" t="str" cm="1">
        <f t="array" ref="L371">IF($A371&lt;&gt;"", $A371, LOOKUP(2, 1/((A$7:INDEX(A:A, ROW()))&lt;&gt;""), A$7:INDEX(A:A, ROW())))</f>
        <v>SPOUTING</v>
      </c>
      <c r="M371" s="14"/>
    </row>
    <row r="372" spans="1:13">
      <c r="A372" s="263"/>
      <c r="B372" s="263"/>
      <c r="C372" s="263" t="s">
        <v>819</v>
      </c>
      <c r="D372" s="263" t="s">
        <v>823</v>
      </c>
      <c r="E372" s="263"/>
      <c r="F372" s="263"/>
      <c r="G372" s="39" t="str" cm="1">
        <f t="array" ref="G372">IFERROR(INDEX(Table_dim_price_recipe[Retail Price], MATCH(1, ("Calculator"&lt;&gt;Table_dim_price_recipe[Type.display])*($L372=Table_dim_price_recipe[Category])*($D372=Table_dim_price_recipe[Item Description]) * (G$6=Table_dim_price_recipe[Type])*(Table_dim_price_recipe[Retail Price]&lt;&gt;0)*($C372=Table_dim_price_recipe[Subcategory]), 0))*$B372,"")</f>
        <v/>
      </c>
      <c r="H372" s="39" t="str" cm="1">
        <f t="array" ref="H372">IFERROR(INDEX(Table_dim_price_recipe[Retail Price], MATCH(1, ("Calculator"&lt;&gt;Table_dim_price_recipe[Type.display])*($L372=Table_dim_price_recipe[Category])*($D372=Table_dim_price_recipe[Item Description]) * (H$6=Table_dim_price_recipe[Type])*(Table_dim_price_recipe[Retail Price]&lt;&gt;0)*($C372=Table_dim_price_recipe[Subcategory]), 0))*$B372,"")</f>
        <v/>
      </c>
      <c r="I372" s="39" t="str" cm="1">
        <f t="array" ref="I372">IFERROR(INDEX(Table_dim_price_recipe[Retail Price], MATCH(1, ("Calculator"&lt;&gt;Table_dim_price_recipe[Type.display])*($L372=Table_dim_price_recipe[Category])*($D372=Table_dim_price_recipe[Item Description]) * (I$6=Table_dim_price_recipe[Type])*(Table_dim_price_recipe[Retail Price]&lt;&gt;0)*($C372=Table_dim_price_recipe[Subcategory]), 0))*$B372,"")</f>
        <v/>
      </c>
      <c r="J372" s="39" t="str" cm="1">
        <f t="array" ref="J372">IFERROR(INDEX(Table_dim_price_recipe[Retail Price], MATCH(1, ("Calculator"&lt;&gt;Table_dim_price_recipe[Type.display])*($L372=Table_dim_price_recipe[Category])*($D372=Table_dim_price_recipe[Item Description]) * (J$6=Table_dim_price_recipe[Type])*(Table_dim_price_recipe[Retail Price]&lt;&gt;0)*($C372=Table_dim_price_recipe[Subcategory]), 0))*$B372,"")</f>
        <v/>
      </c>
      <c r="K372" s="39" cm="1">
        <f t="array" ref="K372">IFERROR(INDEX(Table_dim_price_recipe[Retail Price], MATCH(1, ("Calculator"&lt;&gt;Table_dim_price_recipe[Type.display])*($L372=Table_dim_price_recipe[Category])*($D372=Table_dim_price_recipe[Item Description]) * (K$6=Table_dim_price_recipe[Type])*(Table_dim_price_recipe[Retail Price]&lt;&gt;0)*($C372=Table_dim_price_recipe[Subcategory]), 0))*$B372,"")</f>
        <v>0</v>
      </c>
      <c r="L372" s="39" t="str" cm="1">
        <f t="array" ref="L372">IF($A372&lt;&gt;"", $A372, LOOKUP(2, 1/((A$7:INDEX(A:A, ROW()))&lt;&gt;""), A$7:INDEX(A:A, ROW())))</f>
        <v>SPOUTING</v>
      </c>
      <c r="M372" s="14"/>
    </row>
    <row r="373" spans="1:13">
      <c r="A373" s="263"/>
      <c r="B373" s="263"/>
      <c r="C373" s="263" t="s">
        <v>819</v>
      </c>
      <c r="D373" s="263" t="s">
        <v>28</v>
      </c>
      <c r="E373" s="263"/>
      <c r="F373" s="263"/>
      <c r="G373" s="39" t="str" cm="1">
        <f t="array" ref="G373">IFERROR(INDEX(Table_dim_price_recipe[Retail Price], MATCH(1, ("Calculator"&lt;&gt;Table_dim_price_recipe[Type.display])*($L373=Table_dim_price_recipe[Category])*($D373=Table_dim_price_recipe[Item Description]) * (G$6=Table_dim_price_recipe[Type])*(Table_dim_price_recipe[Retail Price]&lt;&gt;0)*($C373=Table_dim_price_recipe[Subcategory]), 0))*$B373,"")</f>
        <v/>
      </c>
      <c r="H373" s="39" t="str" cm="1">
        <f t="array" ref="H373">IFERROR(INDEX(Table_dim_price_recipe[Retail Price], MATCH(1, ("Calculator"&lt;&gt;Table_dim_price_recipe[Type.display])*($L373=Table_dim_price_recipe[Category])*($D373=Table_dim_price_recipe[Item Description]) * (H$6=Table_dim_price_recipe[Type])*(Table_dim_price_recipe[Retail Price]&lt;&gt;0)*($C373=Table_dim_price_recipe[Subcategory]), 0))*$B373,"")</f>
        <v/>
      </c>
      <c r="I373" s="39" t="str" cm="1">
        <f t="array" ref="I373">IFERROR(INDEX(Table_dim_price_recipe[Retail Price], MATCH(1, ("Calculator"&lt;&gt;Table_dim_price_recipe[Type.display])*($L373=Table_dim_price_recipe[Category])*($D373=Table_dim_price_recipe[Item Description]) * (I$6=Table_dim_price_recipe[Type])*(Table_dim_price_recipe[Retail Price]&lt;&gt;0)*($C373=Table_dim_price_recipe[Subcategory]), 0))*$B373,"")</f>
        <v/>
      </c>
      <c r="J373" s="39" t="str" cm="1">
        <f t="array" ref="J373">IFERROR(INDEX(Table_dim_price_recipe[Retail Price], MATCH(1, ("Calculator"&lt;&gt;Table_dim_price_recipe[Type.display])*($L373=Table_dim_price_recipe[Category])*($D373=Table_dim_price_recipe[Item Description]) * (J$6=Table_dim_price_recipe[Type])*(Table_dim_price_recipe[Retail Price]&lt;&gt;0)*($C373=Table_dim_price_recipe[Subcategory]), 0))*$B373,"")</f>
        <v/>
      </c>
      <c r="K373" s="39" cm="1">
        <f t="array" ref="K373">IFERROR(INDEX(Table_dim_price_recipe[Retail Price], MATCH(1, ("Calculator"&lt;&gt;Table_dim_price_recipe[Type.display])*($L373=Table_dim_price_recipe[Category])*($D373=Table_dim_price_recipe[Item Description]) * (K$6=Table_dim_price_recipe[Type])*(Table_dim_price_recipe[Retail Price]&lt;&gt;0)*($C373=Table_dim_price_recipe[Subcategory]), 0))*$B373,"")</f>
        <v>0</v>
      </c>
      <c r="L373" s="39" t="str" cm="1">
        <f t="array" ref="L373">IF($A373&lt;&gt;"", $A373, LOOKUP(2, 1/((A$7:INDEX(A:A, ROW()))&lt;&gt;""), A$7:INDEX(A:A, ROW())))</f>
        <v>SPOUTING</v>
      </c>
      <c r="M373" s="14"/>
    </row>
    <row r="374" spans="1:13">
      <c r="A374" s="263"/>
      <c r="B374" s="263"/>
      <c r="C374" s="263" t="s">
        <v>819</v>
      </c>
      <c r="D374" s="263" t="s">
        <v>824</v>
      </c>
      <c r="E374" s="263"/>
      <c r="F374" s="263"/>
      <c r="G374" s="39" t="str" cm="1">
        <f t="array" ref="G374">IFERROR(INDEX(Table_dim_price_recipe[Retail Price], MATCH(1, ("Calculator"&lt;&gt;Table_dim_price_recipe[Type.display])*($L374=Table_dim_price_recipe[Category])*($D374=Table_dim_price_recipe[Item Description]) * (G$6=Table_dim_price_recipe[Type])*(Table_dim_price_recipe[Retail Price]&lt;&gt;0)*($C374=Table_dim_price_recipe[Subcategory]), 0))*$B374,"")</f>
        <v/>
      </c>
      <c r="H374" s="39" t="str" cm="1">
        <f t="array" ref="H374">IFERROR(INDEX(Table_dim_price_recipe[Retail Price], MATCH(1, ("Calculator"&lt;&gt;Table_dim_price_recipe[Type.display])*($L374=Table_dim_price_recipe[Category])*($D374=Table_dim_price_recipe[Item Description]) * (H$6=Table_dim_price_recipe[Type])*(Table_dim_price_recipe[Retail Price]&lt;&gt;0)*($C374=Table_dim_price_recipe[Subcategory]), 0))*$B374,"")</f>
        <v/>
      </c>
      <c r="I374" s="39" t="str" cm="1">
        <f t="array" ref="I374">IFERROR(INDEX(Table_dim_price_recipe[Retail Price], MATCH(1, ("Calculator"&lt;&gt;Table_dim_price_recipe[Type.display])*($L374=Table_dim_price_recipe[Category])*($D374=Table_dim_price_recipe[Item Description]) * (I$6=Table_dim_price_recipe[Type])*(Table_dim_price_recipe[Retail Price]&lt;&gt;0)*($C374=Table_dim_price_recipe[Subcategory]), 0))*$B374,"")</f>
        <v/>
      </c>
      <c r="J374" s="39" t="str" cm="1">
        <f t="array" ref="J374">IFERROR(INDEX(Table_dim_price_recipe[Retail Price], MATCH(1, ("Calculator"&lt;&gt;Table_dim_price_recipe[Type.display])*($L374=Table_dim_price_recipe[Category])*($D374=Table_dim_price_recipe[Item Description]) * (J$6=Table_dim_price_recipe[Type])*(Table_dim_price_recipe[Retail Price]&lt;&gt;0)*($C374=Table_dim_price_recipe[Subcategory]), 0))*$B374,"")</f>
        <v/>
      </c>
      <c r="K374" s="39" cm="1">
        <f t="array" ref="K374">IFERROR(INDEX(Table_dim_price_recipe[Retail Price], MATCH(1, ("Calculator"&lt;&gt;Table_dim_price_recipe[Type.display])*($L374=Table_dim_price_recipe[Category])*($D374=Table_dim_price_recipe[Item Description]) * (K$6=Table_dim_price_recipe[Type])*(Table_dim_price_recipe[Retail Price]&lt;&gt;0)*($C374=Table_dim_price_recipe[Subcategory]), 0))*$B374,"")</f>
        <v>0</v>
      </c>
      <c r="L374" s="39" t="str" cm="1">
        <f t="array" ref="L374">IF($A374&lt;&gt;"", $A374, LOOKUP(2, 1/((A$7:INDEX(A:A, ROW()))&lt;&gt;""), A$7:INDEX(A:A, ROW())))</f>
        <v>SPOUTING</v>
      </c>
      <c r="M374" s="14"/>
    </row>
    <row r="375" spans="1:13">
      <c r="A375" s="263"/>
      <c r="B375" s="263"/>
      <c r="C375" s="263" t="s">
        <v>819</v>
      </c>
      <c r="D375" s="263" t="s">
        <v>29</v>
      </c>
      <c r="E375" s="263"/>
      <c r="F375" s="263"/>
      <c r="G375" s="39" t="str" cm="1">
        <f t="array" ref="G375">IFERROR(INDEX(Table_dim_price_recipe[Retail Price], MATCH(1, ("Calculator"&lt;&gt;Table_dim_price_recipe[Type.display])*($L375=Table_dim_price_recipe[Category])*($D375=Table_dim_price_recipe[Item Description]) * (G$6=Table_dim_price_recipe[Type])*(Table_dim_price_recipe[Retail Price]&lt;&gt;0)*($C375=Table_dim_price_recipe[Subcategory]), 0))*$B375,"")</f>
        <v/>
      </c>
      <c r="H375" s="39" t="str" cm="1">
        <f t="array" ref="H375">IFERROR(INDEX(Table_dim_price_recipe[Retail Price], MATCH(1, ("Calculator"&lt;&gt;Table_dim_price_recipe[Type.display])*($L375=Table_dim_price_recipe[Category])*($D375=Table_dim_price_recipe[Item Description]) * (H$6=Table_dim_price_recipe[Type])*(Table_dim_price_recipe[Retail Price]&lt;&gt;0)*($C375=Table_dim_price_recipe[Subcategory]), 0))*$B375,"")</f>
        <v/>
      </c>
      <c r="I375" s="39" t="str" cm="1">
        <f t="array" ref="I375">IFERROR(INDEX(Table_dim_price_recipe[Retail Price], MATCH(1, ("Calculator"&lt;&gt;Table_dim_price_recipe[Type.display])*($L375=Table_dim_price_recipe[Category])*($D375=Table_dim_price_recipe[Item Description]) * (I$6=Table_dim_price_recipe[Type])*(Table_dim_price_recipe[Retail Price]&lt;&gt;0)*($C375=Table_dim_price_recipe[Subcategory]), 0))*$B375,"")</f>
        <v/>
      </c>
      <c r="J375" s="39" t="str" cm="1">
        <f t="array" ref="J375">IFERROR(INDEX(Table_dim_price_recipe[Retail Price], MATCH(1, ("Calculator"&lt;&gt;Table_dim_price_recipe[Type.display])*($L375=Table_dim_price_recipe[Category])*($D375=Table_dim_price_recipe[Item Description]) * (J$6=Table_dim_price_recipe[Type])*(Table_dim_price_recipe[Retail Price]&lt;&gt;0)*($C375=Table_dim_price_recipe[Subcategory]), 0))*$B375,"")</f>
        <v/>
      </c>
      <c r="K375" s="39" cm="1">
        <f t="array" ref="K375">IFERROR(INDEX(Table_dim_price_recipe[Retail Price], MATCH(1, ("Calculator"&lt;&gt;Table_dim_price_recipe[Type.display])*($L375=Table_dim_price_recipe[Category])*($D375=Table_dim_price_recipe[Item Description]) * (K$6=Table_dim_price_recipe[Type])*(Table_dim_price_recipe[Retail Price]&lt;&gt;0)*($C375=Table_dim_price_recipe[Subcategory]), 0))*$B375,"")</f>
        <v>0</v>
      </c>
      <c r="L375" s="39" t="str" cm="1">
        <f t="array" ref="L375">IF($A375&lt;&gt;"", $A375, LOOKUP(2, 1/((A$7:INDEX(A:A, ROW()))&lt;&gt;""), A$7:INDEX(A:A, ROW())))</f>
        <v>SPOUTING</v>
      </c>
      <c r="M375" s="14"/>
    </row>
    <row r="376" spans="1:13">
      <c r="A376" s="263"/>
      <c r="B376" s="263"/>
      <c r="C376" s="263" t="s">
        <v>819</v>
      </c>
      <c r="D376" s="263" t="s">
        <v>821</v>
      </c>
      <c r="E376" s="263"/>
      <c r="F376" s="263"/>
      <c r="G376" s="39" t="str" cm="1">
        <f t="array" ref="G376">IFERROR(INDEX(Table_dim_price_recipe[Retail Price], MATCH(1, ("Calculator"&lt;&gt;Table_dim_price_recipe[Type.display])*($L376=Table_dim_price_recipe[Category])*($D376=Table_dim_price_recipe[Item Description]) * (G$6=Table_dim_price_recipe[Type])*(Table_dim_price_recipe[Retail Price]&lt;&gt;0)*($C376=Table_dim_price_recipe[Subcategory]), 0))*$B376,"")</f>
        <v/>
      </c>
      <c r="H376" s="39" t="str" cm="1">
        <f t="array" ref="H376">IFERROR(INDEX(Table_dim_price_recipe[Retail Price], MATCH(1, ("Calculator"&lt;&gt;Table_dim_price_recipe[Type.display])*($L376=Table_dim_price_recipe[Category])*($D376=Table_dim_price_recipe[Item Description]) * (H$6=Table_dim_price_recipe[Type])*(Table_dim_price_recipe[Retail Price]&lt;&gt;0)*($C376=Table_dim_price_recipe[Subcategory]), 0))*$B376,"")</f>
        <v/>
      </c>
      <c r="I376" s="39" t="str" cm="1">
        <f t="array" ref="I376">IFERROR(INDEX(Table_dim_price_recipe[Retail Price], MATCH(1, ("Calculator"&lt;&gt;Table_dim_price_recipe[Type.display])*($L376=Table_dim_price_recipe[Category])*($D376=Table_dim_price_recipe[Item Description]) * (I$6=Table_dim_price_recipe[Type])*(Table_dim_price_recipe[Retail Price]&lt;&gt;0)*($C376=Table_dim_price_recipe[Subcategory]), 0))*$B376,"")</f>
        <v/>
      </c>
      <c r="J376" s="39" t="str" cm="1">
        <f t="array" ref="J376">IFERROR(INDEX(Table_dim_price_recipe[Retail Price], MATCH(1, ("Calculator"&lt;&gt;Table_dim_price_recipe[Type.display])*($L376=Table_dim_price_recipe[Category])*($D376=Table_dim_price_recipe[Item Description]) * (J$6=Table_dim_price_recipe[Type])*(Table_dim_price_recipe[Retail Price]&lt;&gt;0)*($C376=Table_dim_price_recipe[Subcategory]), 0))*$B376,"")</f>
        <v/>
      </c>
      <c r="K376" s="39" cm="1">
        <f t="array" ref="K376">IFERROR(INDEX(Table_dim_price_recipe[Retail Price], MATCH(1, ("Calculator"&lt;&gt;Table_dim_price_recipe[Type.display])*($L376=Table_dim_price_recipe[Category])*($D376=Table_dim_price_recipe[Item Description]) * (K$6=Table_dim_price_recipe[Type])*(Table_dim_price_recipe[Retail Price]&lt;&gt;0)*($C376=Table_dim_price_recipe[Subcategory]), 0))*$B376,"")</f>
        <v>0</v>
      </c>
      <c r="L376" s="39" t="str" cm="1">
        <f t="array" ref="L376">IF($A376&lt;&gt;"", $A376, LOOKUP(2, 1/((A$7:INDEX(A:A, ROW()))&lt;&gt;""), A$7:INDEX(A:A, ROW())))</f>
        <v>SPOUTING</v>
      </c>
      <c r="M376" s="14"/>
    </row>
    <row r="377" spans="1:13">
      <c r="A377" s="263"/>
      <c r="B377" s="263"/>
      <c r="C377" s="263" t="s">
        <v>819</v>
      </c>
      <c r="D377" s="263" t="s">
        <v>822</v>
      </c>
      <c r="E377" s="263"/>
      <c r="F377" s="263"/>
      <c r="G377" s="39" t="str" cm="1">
        <f t="array" ref="G377">IFERROR(INDEX(Table_dim_price_recipe[Retail Price], MATCH(1, ("Calculator"&lt;&gt;Table_dim_price_recipe[Type.display])*($L377=Table_dim_price_recipe[Category])*($D377=Table_dim_price_recipe[Item Description]) * (G$6=Table_dim_price_recipe[Type])*(Table_dim_price_recipe[Retail Price]&lt;&gt;0)*($C377=Table_dim_price_recipe[Subcategory]), 0))*$B377,"")</f>
        <v/>
      </c>
      <c r="H377" s="39" t="str" cm="1">
        <f t="array" ref="H377">IFERROR(INDEX(Table_dim_price_recipe[Retail Price], MATCH(1, ("Calculator"&lt;&gt;Table_dim_price_recipe[Type.display])*($L377=Table_dim_price_recipe[Category])*($D377=Table_dim_price_recipe[Item Description]) * (H$6=Table_dim_price_recipe[Type])*(Table_dim_price_recipe[Retail Price]&lt;&gt;0)*($C377=Table_dim_price_recipe[Subcategory]), 0))*$B377,"")</f>
        <v/>
      </c>
      <c r="I377" s="39" t="str" cm="1">
        <f t="array" ref="I377">IFERROR(INDEX(Table_dim_price_recipe[Retail Price], MATCH(1, ("Calculator"&lt;&gt;Table_dim_price_recipe[Type.display])*($L377=Table_dim_price_recipe[Category])*($D377=Table_dim_price_recipe[Item Description]) * (I$6=Table_dim_price_recipe[Type])*(Table_dim_price_recipe[Retail Price]&lt;&gt;0)*($C377=Table_dim_price_recipe[Subcategory]), 0))*$B377,"")</f>
        <v/>
      </c>
      <c r="J377" s="39" t="str" cm="1">
        <f t="array" ref="J377">IFERROR(INDEX(Table_dim_price_recipe[Retail Price], MATCH(1, ("Calculator"&lt;&gt;Table_dim_price_recipe[Type.display])*($L377=Table_dim_price_recipe[Category])*($D377=Table_dim_price_recipe[Item Description]) * (J$6=Table_dim_price_recipe[Type])*(Table_dim_price_recipe[Retail Price]&lt;&gt;0)*($C377=Table_dim_price_recipe[Subcategory]), 0))*$B377,"")</f>
        <v/>
      </c>
      <c r="K377" s="39" cm="1">
        <f t="array" ref="K377">IFERROR(INDEX(Table_dim_price_recipe[Retail Price], MATCH(1, ("Calculator"&lt;&gt;Table_dim_price_recipe[Type.display])*($L377=Table_dim_price_recipe[Category])*($D377=Table_dim_price_recipe[Item Description]) * (K$6=Table_dim_price_recipe[Type])*(Table_dim_price_recipe[Retail Price]&lt;&gt;0)*($C377=Table_dim_price_recipe[Subcategory]), 0))*$B377,"")</f>
        <v>0</v>
      </c>
      <c r="L377" s="39" t="str" cm="1">
        <f t="array" ref="L377">IF($A377&lt;&gt;"", $A377, LOOKUP(2, 1/((A$7:INDEX(A:A, ROW()))&lt;&gt;""), A$7:INDEX(A:A, ROW())))</f>
        <v>SPOUTING</v>
      </c>
      <c r="M377" s="14"/>
    </row>
    <row r="378" spans="1:13">
      <c r="A378" s="263"/>
      <c r="B378" s="263"/>
      <c r="C378" s="263" t="s">
        <v>819</v>
      </c>
      <c r="D378" s="263" t="s">
        <v>830</v>
      </c>
      <c r="E378" s="263"/>
      <c r="F378" s="263"/>
      <c r="G378" s="39" t="str" cm="1">
        <f t="array" ref="G378">IFERROR(INDEX(Table_dim_price_recipe[Retail Price], MATCH(1, ("Calculator"&lt;&gt;Table_dim_price_recipe[Type.display])*($L378=Table_dim_price_recipe[Category])*($D378=Table_dim_price_recipe[Item Description]) * (G$6=Table_dim_price_recipe[Type])*(Table_dim_price_recipe[Retail Price]&lt;&gt;0)*($C378=Table_dim_price_recipe[Subcategory]), 0))*$B378,"")</f>
        <v/>
      </c>
      <c r="H378" s="39" t="str" cm="1">
        <f t="array" ref="H378">IFERROR(INDEX(Table_dim_price_recipe[Retail Price], MATCH(1, ("Calculator"&lt;&gt;Table_dim_price_recipe[Type.display])*($L378=Table_dim_price_recipe[Category])*($D378=Table_dim_price_recipe[Item Description]) * (H$6=Table_dim_price_recipe[Type])*(Table_dim_price_recipe[Retail Price]&lt;&gt;0)*($C378=Table_dim_price_recipe[Subcategory]), 0))*$B378,"")</f>
        <v/>
      </c>
      <c r="I378" s="39" t="str" cm="1">
        <f t="array" ref="I378">IFERROR(INDEX(Table_dim_price_recipe[Retail Price], MATCH(1, ("Calculator"&lt;&gt;Table_dim_price_recipe[Type.display])*($L378=Table_dim_price_recipe[Category])*($D378=Table_dim_price_recipe[Item Description]) * (I$6=Table_dim_price_recipe[Type])*(Table_dim_price_recipe[Retail Price]&lt;&gt;0)*($C378=Table_dim_price_recipe[Subcategory]), 0))*$B378,"")</f>
        <v/>
      </c>
      <c r="J378" s="39" t="str" cm="1">
        <f t="array" ref="J378">IFERROR(INDEX(Table_dim_price_recipe[Retail Price], MATCH(1, ("Calculator"&lt;&gt;Table_dim_price_recipe[Type.display])*($L378=Table_dim_price_recipe[Category])*($D378=Table_dim_price_recipe[Item Description]) * (J$6=Table_dim_price_recipe[Type])*(Table_dim_price_recipe[Retail Price]&lt;&gt;0)*($C378=Table_dim_price_recipe[Subcategory]), 0))*$B378,"")</f>
        <v/>
      </c>
      <c r="K378" s="39" t="str" cm="1">
        <f t="array" ref="K378">IFERROR(INDEX(Table_dim_price_recipe[Retail Price], MATCH(1, ("Calculator"&lt;&gt;Table_dim_price_recipe[Type.display])*($L378=Table_dim_price_recipe[Category])*($D378=Table_dim_price_recipe[Item Description]) * (K$6=Table_dim_price_recipe[Type])*(Table_dim_price_recipe[Retail Price]&lt;&gt;0)*($C378=Table_dim_price_recipe[Subcategory]), 0))*$B378,"")</f>
        <v/>
      </c>
      <c r="L378" s="39" t="str" cm="1">
        <f t="array" ref="L378">IF($A378&lt;&gt;"", $A378, LOOKUP(2, 1/((A$7:INDEX(A:A, ROW()))&lt;&gt;""), A$7:INDEX(A:A, ROW())))</f>
        <v>SPOUTING</v>
      </c>
      <c r="M378" s="14"/>
    </row>
    <row r="379" spans="1:13">
      <c r="A379" s="263"/>
      <c r="B379" s="263"/>
      <c r="C379" s="263" t="s">
        <v>819</v>
      </c>
      <c r="D379" s="263" t="s">
        <v>49</v>
      </c>
      <c r="E379" s="263"/>
      <c r="F379" s="263"/>
      <c r="G379" s="39" t="str" cm="1">
        <f t="array" ref="G379">IFERROR(INDEX(Table_dim_price_recipe[Retail Price], MATCH(1, ("Calculator"&lt;&gt;Table_dim_price_recipe[Type.display])*($L379=Table_dim_price_recipe[Category])*($D379=Table_dim_price_recipe[Item Description]) * (G$6=Table_dim_price_recipe[Type])*(Table_dim_price_recipe[Retail Price]&lt;&gt;0)*($C379=Table_dim_price_recipe[Subcategory]), 0))*$B379,"")</f>
        <v/>
      </c>
      <c r="H379" s="39" t="str" cm="1">
        <f t="array" ref="H379">IFERROR(INDEX(Table_dim_price_recipe[Retail Price], MATCH(1, ("Calculator"&lt;&gt;Table_dim_price_recipe[Type.display])*($L379=Table_dim_price_recipe[Category])*($D379=Table_dim_price_recipe[Item Description]) * (H$6=Table_dim_price_recipe[Type])*(Table_dim_price_recipe[Retail Price]&lt;&gt;0)*($C379=Table_dim_price_recipe[Subcategory]), 0))*$B379,"")</f>
        <v/>
      </c>
      <c r="I379" s="39" t="str" cm="1">
        <f t="array" ref="I379">IFERROR(INDEX(Table_dim_price_recipe[Retail Price], MATCH(1, ("Calculator"&lt;&gt;Table_dim_price_recipe[Type.display])*($L379=Table_dim_price_recipe[Category])*($D379=Table_dim_price_recipe[Item Description]) * (I$6=Table_dim_price_recipe[Type])*(Table_dim_price_recipe[Retail Price]&lt;&gt;0)*($C379=Table_dim_price_recipe[Subcategory]), 0))*$B379,"")</f>
        <v/>
      </c>
      <c r="J379" s="39" t="str" cm="1">
        <f t="array" ref="J379">IFERROR(INDEX(Table_dim_price_recipe[Retail Price], MATCH(1, ("Calculator"&lt;&gt;Table_dim_price_recipe[Type.display])*($L379=Table_dim_price_recipe[Category])*($D379=Table_dim_price_recipe[Item Description]) * (J$6=Table_dim_price_recipe[Type])*(Table_dim_price_recipe[Retail Price]&lt;&gt;0)*($C379=Table_dim_price_recipe[Subcategory]), 0))*$B379,"")</f>
        <v/>
      </c>
      <c r="K379" s="39" cm="1">
        <f t="array" ref="K379">IFERROR(INDEX(Table_dim_price_recipe[Retail Price], MATCH(1, ("Calculator"&lt;&gt;Table_dim_price_recipe[Type.display])*($L379=Table_dim_price_recipe[Category])*($D379=Table_dim_price_recipe[Item Description]) * (K$6=Table_dim_price_recipe[Type])*(Table_dim_price_recipe[Retail Price]&lt;&gt;0)*($C379=Table_dim_price_recipe[Subcategory]), 0))*$B379,"")</f>
        <v>0</v>
      </c>
      <c r="L379" s="39" t="str" cm="1">
        <f t="array" ref="L379">IF($A379&lt;&gt;"", $A379, LOOKUP(2, 1/((A$7:INDEX(A:A, ROW()))&lt;&gt;""), A$7:INDEX(A:A, ROW())))</f>
        <v>SPOUTING</v>
      </c>
      <c r="M379" s="14"/>
    </row>
    <row r="380" spans="1:13">
      <c r="A380" s="263"/>
      <c r="B380" s="263"/>
      <c r="C380" s="263" t="s">
        <v>819</v>
      </c>
      <c r="D380" s="263" t="s">
        <v>829</v>
      </c>
      <c r="E380" s="263"/>
      <c r="F380" s="263"/>
      <c r="G380" s="39" t="str" cm="1">
        <f t="array" ref="G380">IFERROR(INDEX(Table_dim_price_recipe[Retail Price], MATCH(1, ("Calculator"&lt;&gt;Table_dim_price_recipe[Type.display])*($L380=Table_dim_price_recipe[Category])*($D380=Table_dim_price_recipe[Item Description]) * (G$6=Table_dim_price_recipe[Type])*(Table_dim_price_recipe[Retail Price]&lt;&gt;0)*($C380=Table_dim_price_recipe[Subcategory]), 0))*$B380,"")</f>
        <v/>
      </c>
      <c r="H380" s="39" t="str" cm="1">
        <f t="array" ref="H380">IFERROR(INDEX(Table_dim_price_recipe[Retail Price], MATCH(1, ("Calculator"&lt;&gt;Table_dim_price_recipe[Type.display])*($L380=Table_dim_price_recipe[Category])*($D380=Table_dim_price_recipe[Item Description]) * (H$6=Table_dim_price_recipe[Type])*(Table_dim_price_recipe[Retail Price]&lt;&gt;0)*($C380=Table_dim_price_recipe[Subcategory]), 0))*$B380,"")</f>
        <v/>
      </c>
      <c r="I380" s="39" t="str" cm="1">
        <f t="array" ref="I380">IFERROR(INDEX(Table_dim_price_recipe[Retail Price], MATCH(1, ("Calculator"&lt;&gt;Table_dim_price_recipe[Type.display])*($L380=Table_dim_price_recipe[Category])*($D380=Table_dim_price_recipe[Item Description]) * (I$6=Table_dim_price_recipe[Type])*(Table_dim_price_recipe[Retail Price]&lt;&gt;0)*($C380=Table_dim_price_recipe[Subcategory]), 0))*$B380,"")</f>
        <v/>
      </c>
      <c r="J380" s="39" t="str" cm="1">
        <f t="array" ref="J380">IFERROR(INDEX(Table_dim_price_recipe[Retail Price], MATCH(1, ("Calculator"&lt;&gt;Table_dim_price_recipe[Type.display])*($L380=Table_dim_price_recipe[Category])*($D380=Table_dim_price_recipe[Item Description]) * (J$6=Table_dim_price_recipe[Type])*(Table_dim_price_recipe[Retail Price]&lt;&gt;0)*($C380=Table_dim_price_recipe[Subcategory]), 0))*$B380,"")</f>
        <v/>
      </c>
      <c r="K380" s="39" cm="1">
        <f t="array" ref="K380">IFERROR(INDEX(Table_dim_price_recipe[Retail Price], MATCH(1, ("Calculator"&lt;&gt;Table_dim_price_recipe[Type.display])*($L380=Table_dim_price_recipe[Category])*($D380=Table_dim_price_recipe[Item Description]) * (K$6=Table_dim_price_recipe[Type])*(Table_dim_price_recipe[Retail Price]&lt;&gt;0)*($C380=Table_dim_price_recipe[Subcategory]), 0))*$B380,"")</f>
        <v>0</v>
      </c>
      <c r="L380" s="39" t="str" cm="1">
        <f t="array" ref="L380">IF($A380&lt;&gt;"", $A380, LOOKUP(2, 1/((A$7:INDEX(A:A, ROW()))&lt;&gt;""), A$7:INDEX(A:A, ROW())))</f>
        <v>SPOUTING</v>
      </c>
      <c r="M380" s="14"/>
    </row>
    <row r="381" spans="1:13">
      <c r="A381" s="263"/>
      <c r="B381" s="263"/>
      <c r="C381" s="263" t="s">
        <v>819</v>
      </c>
      <c r="D381" s="263" t="s">
        <v>827</v>
      </c>
      <c r="E381" s="263"/>
      <c r="F381" s="263"/>
      <c r="G381" s="39" t="str" cm="1">
        <f t="array" ref="G381">IFERROR(INDEX(Table_dim_price_recipe[Retail Price], MATCH(1, ("Calculator"&lt;&gt;Table_dim_price_recipe[Type.display])*($L381=Table_dim_price_recipe[Category])*($D381=Table_dim_price_recipe[Item Description]) * (G$6=Table_dim_price_recipe[Type])*(Table_dim_price_recipe[Retail Price]&lt;&gt;0)*($C381=Table_dim_price_recipe[Subcategory]), 0))*$B381,"")</f>
        <v/>
      </c>
      <c r="H381" s="39" t="str" cm="1">
        <f t="array" ref="H381">IFERROR(INDEX(Table_dim_price_recipe[Retail Price], MATCH(1, ("Calculator"&lt;&gt;Table_dim_price_recipe[Type.display])*($L381=Table_dim_price_recipe[Category])*($D381=Table_dim_price_recipe[Item Description]) * (H$6=Table_dim_price_recipe[Type])*(Table_dim_price_recipe[Retail Price]&lt;&gt;0)*($C381=Table_dim_price_recipe[Subcategory]), 0))*$B381,"")</f>
        <v/>
      </c>
      <c r="I381" s="39" t="str" cm="1">
        <f t="array" ref="I381">IFERROR(INDEX(Table_dim_price_recipe[Retail Price], MATCH(1, ("Calculator"&lt;&gt;Table_dim_price_recipe[Type.display])*($L381=Table_dim_price_recipe[Category])*($D381=Table_dim_price_recipe[Item Description]) * (I$6=Table_dim_price_recipe[Type])*(Table_dim_price_recipe[Retail Price]&lt;&gt;0)*($C381=Table_dim_price_recipe[Subcategory]), 0))*$B381,"")</f>
        <v/>
      </c>
      <c r="J381" s="39" t="str" cm="1">
        <f t="array" ref="J381">IFERROR(INDEX(Table_dim_price_recipe[Retail Price], MATCH(1, ("Calculator"&lt;&gt;Table_dim_price_recipe[Type.display])*($L381=Table_dim_price_recipe[Category])*($D381=Table_dim_price_recipe[Item Description]) * (J$6=Table_dim_price_recipe[Type])*(Table_dim_price_recipe[Retail Price]&lt;&gt;0)*($C381=Table_dim_price_recipe[Subcategory]), 0))*$B381,"")</f>
        <v/>
      </c>
      <c r="K381" s="39" cm="1">
        <f t="array" ref="K381">IFERROR(INDEX(Table_dim_price_recipe[Retail Price], MATCH(1, ("Calculator"&lt;&gt;Table_dim_price_recipe[Type.display])*($L381=Table_dim_price_recipe[Category])*($D381=Table_dim_price_recipe[Item Description]) * (K$6=Table_dim_price_recipe[Type])*(Table_dim_price_recipe[Retail Price]&lt;&gt;0)*($C381=Table_dim_price_recipe[Subcategory]), 0))*$B381,"")</f>
        <v>0</v>
      </c>
      <c r="L381" s="39" t="str" cm="1">
        <f t="array" ref="L381">IF($A381&lt;&gt;"", $A381, LOOKUP(2, 1/((A$7:INDEX(A:A, ROW()))&lt;&gt;""), A$7:INDEX(A:A, ROW())))</f>
        <v>SPOUTING</v>
      </c>
      <c r="M381" s="14"/>
    </row>
    <row r="382" spans="1:13">
      <c r="A382" s="263"/>
      <c r="B382" s="263"/>
      <c r="C382" s="263" t="s">
        <v>819</v>
      </c>
      <c r="D382" s="263" t="s">
        <v>826</v>
      </c>
      <c r="E382" s="263"/>
      <c r="F382" s="263"/>
      <c r="G382" s="39" t="str" cm="1">
        <f t="array" ref="G382">IFERROR(INDEX(Table_dim_price_recipe[Retail Price], MATCH(1, ("Calculator"&lt;&gt;Table_dim_price_recipe[Type.display])*($L382=Table_dim_price_recipe[Category])*($D382=Table_dim_price_recipe[Item Description]) * (G$6=Table_dim_price_recipe[Type])*(Table_dim_price_recipe[Retail Price]&lt;&gt;0)*($C382=Table_dim_price_recipe[Subcategory]), 0))*$B382,"")</f>
        <v/>
      </c>
      <c r="H382" s="39" t="str" cm="1">
        <f t="array" ref="H382">IFERROR(INDEX(Table_dim_price_recipe[Retail Price], MATCH(1, ("Calculator"&lt;&gt;Table_dim_price_recipe[Type.display])*($L382=Table_dim_price_recipe[Category])*($D382=Table_dim_price_recipe[Item Description]) * (H$6=Table_dim_price_recipe[Type])*(Table_dim_price_recipe[Retail Price]&lt;&gt;0)*($C382=Table_dim_price_recipe[Subcategory]), 0))*$B382,"")</f>
        <v/>
      </c>
      <c r="I382" s="39" t="str" cm="1">
        <f t="array" ref="I382">IFERROR(INDEX(Table_dim_price_recipe[Retail Price], MATCH(1, ("Calculator"&lt;&gt;Table_dim_price_recipe[Type.display])*($L382=Table_dim_price_recipe[Category])*($D382=Table_dim_price_recipe[Item Description]) * (I$6=Table_dim_price_recipe[Type])*(Table_dim_price_recipe[Retail Price]&lt;&gt;0)*($C382=Table_dim_price_recipe[Subcategory]), 0))*$B382,"")</f>
        <v/>
      </c>
      <c r="J382" s="39" t="str" cm="1">
        <f t="array" ref="J382">IFERROR(INDEX(Table_dim_price_recipe[Retail Price], MATCH(1, ("Calculator"&lt;&gt;Table_dim_price_recipe[Type.display])*($L382=Table_dim_price_recipe[Category])*($D382=Table_dim_price_recipe[Item Description]) * (J$6=Table_dim_price_recipe[Type])*(Table_dim_price_recipe[Retail Price]&lt;&gt;0)*($C382=Table_dim_price_recipe[Subcategory]), 0))*$B382,"")</f>
        <v/>
      </c>
      <c r="K382" s="39" cm="1">
        <f t="array" ref="K382">IFERROR(INDEX(Table_dim_price_recipe[Retail Price], MATCH(1, ("Calculator"&lt;&gt;Table_dim_price_recipe[Type.display])*($L382=Table_dim_price_recipe[Category])*($D382=Table_dim_price_recipe[Item Description]) * (K$6=Table_dim_price_recipe[Type])*(Table_dim_price_recipe[Retail Price]&lt;&gt;0)*($C382=Table_dim_price_recipe[Subcategory]), 0))*$B382,"")</f>
        <v>0</v>
      </c>
      <c r="L382" s="39" t="str" cm="1">
        <f t="array" ref="L382">IF($A382&lt;&gt;"", $A382, LOOKUP(2, 1/((A$7:INDEX(A:A, ROW()))&lt;&gt;""), A$7:INDEX(A:A, ROW())))</f>
        <v>SPOUTING</v>
      </c>
      <c r="M382" s="14"/>
    </row>
    <row r="383" spans="1:13">
      <c r="A383" s="263"/>
      <c r="B383" s="263"/>
      <c r="C383" s="263" t="s">
        <v>819</v>
      </c>
      <c r="D383" s="263" t="s">
        <v>825</v>
      </c>
      <c r="E383" s="263"/>
      <c r="F383" s="263"/>
      <c r="G383" s="39" t="str" cm="1">
        <f t="array" ref="G383">IFERROR(INDEX(Table_dim_price_recipe[Retail Price], MATCH(1, ("Calculator"&lt;&gt;Table_dim_price_recipe[Type.display])*($L383=Table_dim_price_recipe[Category])*($D383=Table_dim_price_recipe[Item Description]) * (G$6=Table_dim_price_recipe[Type])*(Table_dim_price_recipe[Retail Price]&lt;&gt;0)*($C383=Table_dim_price_recipe[Subcategory]), 0))*$B383,"")</f>
        <v/>
      </c>
      <c r="H383" s="39" t="str" cm="1">
        <f t="array" ref="H383">IFERROR(INDEX(Table_dim_price_recipe[Retail Price], MATCH(1, ("Calculator"&lt;&gt;Table_dim_price_recipe[Type.display])*($L383=Table_dim_price_recipe[Category])*($D383=Table_dim_price_recipe[Item Description]) * (H$6=Table_dim_price_recipe[Type])*(Table_dim_price_recipe[Retail Price]&lt;&gt;0)*($C383=Table_dim_price_recipe[Subcategory]), 0))*$B383,"")</f>
        <v/>
      </c>
      <c r="I383" s="39" t="str" cm="1">
        <f t="array" ref="I383">IFERROR(INDEX(Table_dim_price_recipe[Retail Price], MATCH(1, ("Calculator"&lt;&gt;Table_dim_price_recipe[Type.display])*($L383=Table_dim_price_recipe[Category])*($D383=Table_dim_price_recipe[Item Description]) * (I$6=Table_dim_price_recipe[Type])*(Table_dim_price_recipe[Retail Price]&lt;&gt;0)*($C383=Table_dim_price_recipe[Subcategory]), 0))*$B383,"")</f>
        <v/>
      </c>
      <c r="J383" s="39" t="str" cm="1">
        <f t="array" ref="J383">IFERROR(INDEX(Table_dim_price_recipe[Retail Price], MATCH(1, ("Calculator"&lt;&gt;Table_dim_price_recipe[Type.display])*($L383=Table_dim_price_recipe[Category])*($D383=Table_dim_price_recipe[Item Description]) * (J$6=Table_dim_price_recipe[Type])*(Table_dim_price_recipe[Retail Price]&lt;&gt;0)*($C383=Table_dim_price_recipe[Subcategory]), 0))*$B383,"")</f>
        <v/>
      </c>
      <c r="K383" s="39" cm="1">
        <f t="array" ref="K383">IFERROR(INDEX(Table_dim_price_recipe[Retail Price], MATCH(1, ("Calculator"&lt;&gt;Table_dim_price_recipe[Type.display])*($L383=Table_dim_price_recipe[Category])*($D383=Table_dim_price_recipe[Item Description]) * (K$6=Table_dim_price_recipe[Type])*(Table_dim_price_recipe[Retail Price]&lt;&gt;0)*($C383=Table_dim_price_recipe[Subcategory]), 0))*$B383,"")</f>
        <v>0</v>
      </c>
      <c r="L383" s="39" t="str" cm="1">
        <f t="array" ref="L383">IF($A383&lt;&gt;"", $A383, LOOKUP(2, 1/((A$7:INDEX(A:A, ROW()))&lt;&gt;""), A$7:INDEX(A:A, ROW())))</f>
        <v>SPOUTING</v>
      </c>
      <c r="M383" s="14"/>
    </row>
    <row r="384" spans="1:13">
      <c r="A384" s="263"/>
      <c r="B384" s="263"/>
      <c r="C384" s="263" t="s">
        <v>819</v>
      </c>
      <c r="D384" s="263" t="s">
        <v>828</v>
      </c>
      <c r="E384" s="263"/>
      <c r="F384" s="263"/>
      <c r="G384" s="39" t="str" cm="1">
        <f t="array" ref="G384">IFERROR(INDEX(Table_dim_price_recipe[Retail Price], MATCH(1, ("Calculator"&lt;&gt;Table_dim_price_recipe[Type.display])*($L384=Table_dim_price_recipe[Category])*($D384=Table_dim_price_recipe[Item Description]) * (G$6=Table_dim_price_recipe[Type])*(Table_dim_price_recipe[Retail Price]&lt;&gt;0)*($C384=Table_dim_price_recipe[Subcategory]), 0))*$B384,"")</f>
        <v/>
      </c>
      <c r="H384" s="39" t="str" cm="1">
        <f t="array" ref="H384">IFERROR(INDEX(Table_dim_price_recipe[Retail Price], MATCH(1, ("Calculator"&lt;&gt;Table_dim_price_recipe[Type.display])*($L384=Table_dim_price_recipe[Category])*($D384=Table_dim_price_recipe[Item Description]) * (H$6=Table_dim_price_recipe[Type])*(Table_dim_price_recipe[Retail Price]&lt;&gt;0)*($C384=Table_dim_price_recipe[Subcategory]), 0))*$B384,"")</f>
        <v/>
      </c>
      <c r="I384" s="39" t="str" cm="1">
        <f t="array" ref="I384">IFERROR(INDEX(Table_dim_price_recipe[Retail Price], MATCH(1, ("Calculator"&lt;&gt;Table_dim_price_recipe[Type.display])*($L384=Table_dim_price_recipe[Category])*($D384=Table_dim_price_recipe[Item Description]) * (I$6=Table_dim_price_recipe[Type])*(Table_dim_price_recipe[Retail Price]&lt;&gt;0)*($C384=Table_dim_price_recipe[Subcategory]), 0))*$B384,"")</f>
        <v/>
      </c>
      <c r="J384" s="39" t="str" cm="1">
        <f t="array" ref="J384">IFERROR(INDEX(Table_dim_price_recipe[Retail Price], MATCH(1, ("Calculator"&lt;&gt;Table_dim_price_recipe[Type.display])*($L384=Table_dim_price_recipe[Category])*($D384=Table_dim_price_recipe[Item Description]) * (J$6=Table_dim_price_recipe[Type])*(Table_dim_price_recipe[Retail Price]&lt;&gt;0)*($C384=Table_dim_price_recipe[Subcategory]), 0))*$B384,"")</f>
        <v/>
      </c>
      <c r="K384" s="39" cm="1">
        <f t="array" ref="K384">IFERROR(INDEX(Table_dim_price_recipe[Retail Price], MATCH(1, ("Calculator"&lt;&gt;Table_dim_price_recipe[Type.display])*($L384=Table_dim_price_recipe[Category])*($D384=Table_dim_price_recipe[Item Description]) * (K$6=Table_dim_price_recipe[Type])*(Table_dim_price_recipe[Retail Price]&lt;&gt;0)*($C384=Table_dim_price_recipe[Subcategory]), 0))*$B384,"")</f>
        <v>0</v>
      </c>
      <c r="L384" s="39" t="str" cm="1">
        <f t="array" ref="L384">IF($A384&lt;&gt;"", $A384, LOOKUP(2, 1/((A$7:INDEX(A:A, ROW()))&lt;&gt;""), A$7:INDEX(A:A, ROW())))</f>
        <v>SPOUTING</v>
      </c>
      <c r="M384" s="14"/>
    </row>
    <row r="385" spans="1:13">
      <c r="A385" s="263"/>
      <c r="B385" s="263"/>
      <c r="C385" s="263" t="s">
        <v>819</v>
      </c>
      <c r="D385" s="263" t="s">
        <v>820</v>
      </c>
      <c r="E385" s="263"/>
      <c r="F385" s="263"/>
      <c r="G385" s="39" t="str" cm="1">
        <f t="array" ref="G385">IFERROR(INDEX(Table_dim_price_recipe[Retail Price], MATCH(1, ("Calculator"&lt;&gt;Table_dim_price_recipe[Type.display])*($L385=Table_dim_price_recipe[Category])*($D385=Table_dim_price_recipe[Item Description]) * (G$6=Table_dim_price_recipe[Type])*(Table_dim_price_recipe[Retail Price]&lt;&gt;0)*($C385=Table_dim_price_recipe[Subcategory]), 0))*$B385,"")</f>
        <v/>
      </c>
      <c r="H385" s="39" t="str" cm="1">
        <f t="array" ref="H385">IFERROR(INDEX(Table_dim_price_recipe[Retail Price], MATCH(1, ("Calculator"&lt;&gt;Table_dim_price_recipe[Type.display])*($L385=Table_dim_price_recipe[Category])*($D385=Table_dim_price_recipe[Item Description]) * (H$6=Table_dim_price_recipe[Type])*(Table_dim_price_recipe[Retail Price]&lt;&gt;0)*($C385=Table_dim_price_recipe[Subcategory]), 0))*$B385,"")</f>
        <v/>
      </c>
      <c r="I385" s="39" t="str" cm="1">
        <f t="array" ref="I385">IFERROR(INDEX(Table_dim_price_recipe[Retail Price], MATCH(1, ("Calculator"&lt;&gt;Table_dim_price_recipe[Type.display])*($L385=Table_dim_price_recipe[Category])*($D385=Table_dim_price_recipe[Item Description]) * (I$6=Table_dim_price_recipe[Type])*(Table_dim_price_recipe[Retail Price]&lt;&gt;0)*($C385=Table_dim_price_recipe[Subcategory]), 0))*$B385,"")</f>
        <v/>
      </c>
      <c r="J385" s="39" t="str" cm="1">
        <f t="array" ref="J385">IFERROR(INDEX(Table_dim_price_recipe[Retail Price], MATCH(1, ("Calculator"&lt;&gt;Table_dim_price_recipe[Type.display])*($L385=Table_dim_price_recipe[Category])*($D385=Table_dim_price_recipe[Item Description]) * (J$6=Table_dim_price_recipe[Type])*(Table_dim_price_recipe[Retail Price]&lt;&gt;0)*($C385=Table_dim_price_recipe[Subcategory]), 0))*$B385,"")</f>
        <v/>
      </c>
      <c r="K385" s="39" t="str" cm="1">
        <f t="array" ref="K385">IFERROR(INDEX(Table_dim_price_recipe[Retail Price], MATCH(1, ("Calculator"&lt;&gt;Table_dim_price_recipe[Type.display])*($L385=Table_dim_price_recipe[Category])*($D385=Table_dim_price_recipe[Item Description]) * (K$6=Table_dim_price_recipe[Type])*(Table_dim_price_recipe[Retail Price]&lt;&gt;0)*($C385=Table_dim_price_recipe[Subcategory]), 0))*$B385,"")</f>
        <v/>
      </c>
      <c r="L385" s="39" t="str" cm="1">
        <f t="array" ref="L385">IF($A385&lt;&gt;"", $A385, LOOKUP(2, 1/((A$7:INDEX(A:A, ROW()))&lt;&gt;""), A$7:INDEX(A:A, ROW())))</f>
        <v>SPOUTING</v>
      </c>
      <c r="M385" s="14"/>
    </row>
    <row r="386" spans="1:13">
      <c r="A386" s="263"/>
      <c r="B386" s="263"/>
      <c r="C386" s="263" t="s">
        <v>819</v>
      </c>
      <c r="D386" s="263"/>
      <c r="E386" s="263"/>
      <c r="F386" s="263"/>
      <c r="G386" s="39" t="str" cm="1">
        <f t="array" ref="G386">IFERROR(INDEX(Table_dim_price_recipe[Retail Price], MATCH(1, ("Calculator"&lt;&gt;Table_dim_price_recipe[Type.display])*($L386=Table_dim_price_recipe[Category])*($D386=Table_dim_price_recipe[Item Description]) * (G$6=Table_dim_price_recipe[Type])*(Table_dim_price_recipe[Retail Price]&lt;&gt;0)*($C386=Table_dim_price_recipe[Subcategory]), 0))*$B386,"")</f>
        <v/>
      </c>
      <c r="H386" s="39" t="str" cm="1">
        <f t="array" ref="H386">IFERROR(INDEX(Table_dim_price_recipe[Retail Price], MATCH(1, ("Calculator"&lt;&gt;Table_dim_price_recipe[Type.display])*($L386=Table_dim_price_recipe[Category])*($D386=Table_dim_price_recipe[Item Description]) * (H$6=Table_dim_price_recipe[Type])*(Table_dim_price_recipe[Retail Price]&lt;&gt;0)*($C386=Table_dim_price_recipe[Subcategory]), 0))*$B386,"")</f>
        <v/>
      </c>
      <c r="I386" s="39" t="str" cm="1">
        <f t="array" ref="I386">IFERROR(INDEX(Table_dim_price_recipe[Retail Price], MATCH(1, ("Calculator"&lt;&gt;Table_dim_price_recipe[Type.display])*($L386=Table_dim_price_recipe[Category])*($D386=Table_dim_price_recipe[Item Description]) * (I$6=Table_dim_price_recipe[Type])*(Table_dim_price_recipe[Retail Price]&lt;&gt;0)*($C386=Table_dim_price_recipe[Subcategory]), 0))*$B386,"")</f>
        <v/>
      </c>
      <c r="J386" s="39" t="str" cm="1">
        <f t="array" ref="J386">IFERROR(INDEX(Table_dim_price_recipe[Retail Price], MATCH(1, ("Calculator"&lt;&gt;Table_dim_price_recipe[Type.display])*($L386=Table_dim_price_recipe[Category])*($D386=Table_dim_price_recipe[Item Description]) * (J$6=Table_dim_price_recipe[Type])*(Table_dim_price_recipe[Retail Price]&lt;&gt;0)*($C386=Table_dim_price_recipe[Subcategory]), 0))*$B386,"")</f>
        <v/>
      </c>
      <c r="K386" s="39" cm="1">
        <f t="array" ref="K386">IFERROR(INDEX(Table_dim_price_recipe[Retail Price], MATCH(1, ("Calculator"&lt;&gt;Table_dim_price_recipe[Type.display])*($L386=Table_dim_price_recipe[Category])*($D386=Table_dim_price_recipe[Item Description]) * (K$6=Table_dim_price_recipe[Type])*(Table_dim_price_recipe[Retail Price]&lt;&gt;0)*($C386=Table_dim_price_recipe[Subcategory]), 0))*$B386,"")</f>
        <v>0</v>
      </c>
      <c r="L386" s="39" t="str" cm="1">
        <f t="array" ref="L386">IF($A386&lt;&gt;"", $A386, LOOKUP(2, 1/((A$7:INDEX(A:A, ROW()))&lt;&gt;""), A$7:INDEX(A:A, ROW())))</f>
        <v>SPOUTING</v>
      </c>
      <c r="M386" s="14"/>
    </row>
    <row r="387" spans="1:13">
      <c r="A387" s="263"/>
      <c r="B387" s="263"/>
      <c r="C387" s="263" t="s">
        <v>819</v>
      </c>
      <c r="D387" s="263"/>
      <c r="E387" s="263"/>
      <c r="F387" s="263"/>
      <c r="G387" s="39" t="str" cm="1">
        <f t="array" ref="G387">IFERROR(INDEX(Table_dim_price_recipe[Retail Price], MATCH(1, ("Calculator"&lt;&gt;Table_dim_price_recipe[Type.display])*($L387=Table_dim_price_recipe[Category])*($D387=Table_dim_price_recipe[Item Description]) * (G$6=Table_dim_price_recipe[Type])*(Table_dim_price_recipe[Retail Price]&lt;&gt;0)*($C387=Table_dim_price_recipe[Subcategory]), 0))*$B387,"")</f>
        <v/>
      </c>
      <c r="H387" s="39" t="str" cm="1">
        <f t="array" ref="H387">IFERROR(INDEX(Table_dim_price_recipe[Retail Price], MATCH(1, ("Calculator"&lt;&gt;Table_dim_price_recipe[Type.display])*($L387=Table_dim_price_recipe[Category])*($D387=Table_dim_price_recipe[Item Description]) * (H$6=Table_dim_price_recipe[Type])*(Table_dim_price_recipe[Retail Price]&lt;&gt;0)*($C387=Table_dim_price_recipe[Subcategory]), 0))*$B387,"")</f>
        <v/>
      </c>
      <c r="I387" s="39" t="str" cm="1">
        <f t="array" ref="I387">IFERROR(INDEX(Table_dim_price_recipe[Retail Price], MATCH(1, ("Calculator"&lt;&gt;Table_dim_price_recipe[Type.display])*($L387=Table_dim_price_recipe[Category])*($D387=Table_dim_price_recipe[Item Description]) * (I$6=Table_dim_price_recipe[Type])*(Table_dim_price_recipe[Retail Price]&lt;&gt;0)*($C387=Table_dim_price_recipe[Subcategory]), 0))*$B387,"")</f>
        <v/>
      </c>
      <c r="J387" s="39" t="str" cm="1">
        <f t="array" ref="J387">IFERROR(INDEX(Table_dim_price_recipe[Retail Price], MATCH(1, ("Calculator"&lt;&gt;Table_dim_price_recipe[Type.display])*($L387=Table_dim_price_recipe[Category])*($D387=Table_dim_price_recipe[Item Description]) * (J$6=Table_dim_price_recipe[Type])*(Table_dim_price_recipe[Retail Price]&lt;&gt;0)*($C387=Table_dim_price_recipe[Subcategory]), 0))*$B387,"")</f>
        <v/>
      </c>
      <c r="K387" s="39" cm="1">
        <f t="array" ref="K387">IFERROR(INDEX(Table_dim_price_recipe[Retail Price], MATCH(1, ("Calculator"&lt;&gt;Table_dim_price_recipe[Type.display])*($L387=Table_dim_price_recipe[Category])*($D387=Table_dim_price_recipe[Item Description]) * (K$6=Table_dim_price_recipe[Type])*(Table_dim_price_recipe[Retail Price]&lt;&gt;0)*($C387=Table_dim_price_recipe[Subcategory]), 0))*$B387,"")</f>
        <v>0</v>
      </c>
      <c r="L387" s="39" t="str" cm="1">
        <f t="array" ref="L387">IF($A387&lt;&gt;"", $A387, LOOKUP(2, 1/((A$7:INDEX(A:A, ROW()))&lt;&gt;""), A$7:INDEX(A:A, ROW())))</f>
        <v>SPOUTING</v>
      </c>
      <c r="M387" s="14"/>
    </row>
    <row r="388" spans="1:13">
      <c r="A388" s="260" t="s">
        <v>50</v>
      </c>
      <c r="B388" s="261"/>
      <c r="C388" s="261"/>
      <c r="D388" s="261"/>
      <c r="E388" s="261"/>
      <c r="F388" s="261"/>
      <c r="G388" s="262" t="str" cm="1">
        <f t="array" ref="G388">IFERROR(INDEX(Table_dim_price_recipe[Retail Price], MATCH(1, ("Calculator"&lt;&gt;Table_dim_price_recipe[Type.display])*($L388=Table_dim_price_recipe[Category])*($D388=Table_dim_price_recipe[Item Description]) * (G$6=Table_dim_price_recipe[Type])*(Table_dim_price_recipe[Retail Price]&lt;&gt;0)*($C388=Table_dim_price_recipe[Subcategory]), 0))*$B388,"")</f>
        <v/>
      </c>
      <c r="H388" s="262" t="str" cm="1">
        <f t="array" ref="H388">IFERROR(INDEX(Table_dim_price_recipe[Retail Price], MATCH(1, ("Calculator"&lt;&gt;Table_dim_price_recipe[Type.display])*($L388=Table_dim_price_recipe[Category])*($D388=Table_dim_price_recipe[Item Description]) * (H$6=Table_dim_price_recipe[Type])*(Table_dim_price_recipe[Retail Price]&lt;&gt;0)*($C388=Table_dim_price_recipe[Subcategory]), 0))*$B388,"")</f>
        <v/>
      </c>
      <c r="I388" s="262" t="str" cm="1">
        <f t="array" ref="I388">IFERROR(INDEX(Table_dim_price_recipe[Retail Price], MATCH(1, ("Calculator"&lt;&gt;Table_dim_price_recipe[Type.display])*($L388=Table_dim_price_recipe[Category])*($D388=Table_dim_price_recipe[Item Description]) * (I$6=Table_dim_price_recipe[Type])*(Table_dim_price_recipe[Retail Price]&lt;&gt;0)*($C388=Table_dim_price_recipe[Subcategory]), 0))*$B388,"")</f>
        <v/>
      </c>
      <c r="J388" s="262" t="str" cm="1">
        <f t="array" ref="J388">IFERROR(INDEX(Table_dim_price_recipe[Retail Price], MATCH(1, ("Calculator"&lt;&gt;Table_dim_price_recipe[Type.display])*($L388=Table_dim_price_recipe[Category])*($D388=Table_dim_price_recipe[Item Description]) * (J$6=Table_dim_price_recipe[Type])*(Table_dim_price_recipe[Retail Price]&lt;&gt;0)*($C388=Table_dim_price_recipe[Subcategory]), 0))*$B388,"")</f>
        <v/>
      </c>
      <c r="K388" s="262" t="str" cm="1">
        <f t="array" ref="K388">IFERROR(INDEX(Table_dim_price_recipe[Retail Price], MATCH(1, ("Calculator"&lt;&gt;Table_dim_price_recipe[Type.display])*($L388=Table_dim_price_recipe[Category])*($D388=Table_dim_price_recipe[Item Description]) * (K$6=Table_dim_price_recipe[Type])*(Table_dim_price_recipe[Retail Price]&lt;&gt;0)*($C388=Table_dim_price_recipe[Subcategory]), 0))*$B388,"")</f>
        <v/>
      </c>
      <c r="L388" s="262" t="str" cm="1">
        <f t="array" ref="L388">IF($A388&lt;&gt;"", $A388, LOOKUP(2, 1/((A$7:INDEX(A:A, ROW()))&lt;&gt;""), A$7:INDEX(A:A, ROW())))</f>
        <v>DOWN PIPES &amp; RAINHEADS</v>
      </c>
      <c r="M388" s="14"/>
    </row>
    <row r="389" spans="1:13">
      <c r="A389" s="263"/>
      <c r="B389" s="263"/>
      <c r="C389" s="263" t="s">
        <v>831</v>
      </c>
      <c r="D389" s="263" t="s">
        <v>1156</v>
      </c>
      <c r="E389" s="263"/>
      <c r="F389" s="263"/>
      <c r="G389" s="39" t="str" cm="1">
        <f t="array" ref="G389">IFERROR(INDEX(Table_dim_price_recipe[Retail Price], MATCH(1, ("Calculator"&lt;&gt;Table_dim_price_recipe[Type.display])*($L389=Table_dim_price_recipe[Category])*($D389=Table_dim_price_recipe[Item Description]) * (G$6=Table_dim_price_recipe[Type])*(Table_dim_price_recipe[Retail Price]&lt;&gt;0)*($C389=Table_dim_price_recipe[Subcategory]), 0))*$B389,"")</f>
        <v/>
      </c>
      <c r="H389" s="39" t="str" cm="1">
        <f t="array" ref="H389">IFERROR(INDEX(Table_dim_price_recipe[Retail Price], MATCH(1, ("Calculator"&lt;&gt;Table_dim_price_recipe[Type.display])*($L389=Table_dim_price_recipe[Category])*($D389=Table_dim_price_recipe[Item Description]) * (H$6=Table_dim_price_recipe[Type])*(Table_dim_price_recipe[Retail Price]&lt;&gt;0)*($C389=Table_dim_price_recipe[Subcategory]), 0))*$B389,"")</f>
        <v/>
      </c>
      <c r="I389" s="39" t="str" cm="1">
        <f t="array" ref="I389">IFERROR(INDEX(Table_dim_price_recipe[Retail Price], MATCH(1, ("Calculator"&lt;&gt;Table_dim_price_recipe[Type.display])*($L389=Table_dim_price_recipe[Category])*($D389=Table_dim_price_recipe[Item Description]) * (I$6=Table_dim_price_recipe[Type])*(Table_dim_price_recipe[Retail Price]&lt;&gt;0)*($C389=Table_dim_price_recipe[Subcategory]), 0))*$B389,"")</f>
        <v/>
      </c>
      <c r="J389" s="39" t="str" cm="1">
        <f t="array" ref="J389">IFERROR(INDEX(Table_dim_price_recipe[Retail Price], MATCH(1, ("Calculator"&lt;&gt;Table_dim_price_recipe[Type.display])*($L389=Table_dim_price_recipe[Category])*($D389=Table_dim_price_recipe[Item Description]) * (J$6=Table_dim_price_recipe[Type])*(Table_dim_price_recipe[Retail Price]&lt;&gt;0)*($C389=Table_dim_price_recipe[Subcategory]), 0))*$B389,"")</f>
        <v/>
      </c>
      <c r="K389" s="39" cm="1">
        <f t="array" ref="K389">IFERROR(INDEX(Table_dim_price_recipe[Retail Price], MATCH(1, ("Calculator"&lt;&gt;Table_dim_price_recipe[Type.display])*($L389=Table_dim_price_recipe[Category])*($D389=Table_dim_price_recipe[Item Description]) * (K$6=Table_dim_price_recipe[Type])*(Table_dim_price_recipe[Retail Price]&lt;&gt;0)*($C389=Table_dim_price_recipe[Subcategory]), 0))*$B389,"")</f>
        <v>0</v>
      </c>
      <c r="L389" s="39" t="str" cm="1">
        <f t="array" ref="L389">IF($A389&lt;&gt;"", $A389, LOOKUP(2, 1/((A$7:INDEX(A:A, ROW()))&lt;&gt;""), A$7:INDEX(A:A, ROW())))</f>
        <v>DOWN PIPES &amp; RAINHEADS</v>
      </c>
      <c r="M389" s="14"/>
    </row>
    <row r="390" spans="1:13">
      <c r="A390" s="263"/>
      <c r="B390" s="263"/>
      <c r="C390" s="263" t="s">
        <v>831</v>
      </c>
      <c r="D390" s="263" t="s">
        <v>1157</v>
      </c>
      <c r="E390" s="263"/>
      <c r="F390" s="263"/>
      <c r="G390" s="39" t="str" cm="1">
        <f t="array" ref="G390">IFERROR(INDEX(Table_dim_price_recipe[Retail Price], MATCH(1, ("Calculator"&lt;&gt;Table_dim_price_recipe[Type.display])*($L390=Table_dim_price_recipe[Category])*($D390=Table_dim_price_recipe[Item Description]) * (G$6=Table_dim_price_recipe[Type])*(Table_dim_price_recipe[Retail Price]&lt;&gt;0)*($C390=Table_dim_price_recipe[Subcategory]), 0))*$B390,"")</f>
        <v/>
      </c>
      <c r="H390" s="39" t="str" cm="1">
        <f t="array" ref="H390">IFERROR(INDEX(Table_dim_price_recipe[Retail Price], MATCH(1, ("Calculator"&lt;&gt;Table_dim_price_recipe[Type.display])*($L390=Table_dim_price_recipe[Category])*($D390=Table_dim_price_recipe[Item Description]) * (H$6=Table_dim_price_recipe[Type])*(Table_dim_price_recipe[Retail Price]&lt;&gt;0)*($C390=Table_dim_price_recipe[Subcategory]), 0))*$B390,"")</f>
        <v/>
      </c>
      <c r="I390" s="39" t="str" cm="1">
        <f t="array" ref="I390">IFERROR(INDEX(Table_dim_price_recipe[Retail Price], MATCH(1, ("Calculator"&lt;&gt;Table_dim_price_recipe[Type.display])*($L390=Table_dim_price_recipe[Category])*($D390=Table_dim_price_recipe[Item Description]) * (I$6=Table_dim_price_recipe[Type])*(Table_dim_price_recipe[Retail Price]&lt;&gt;0)*($C390=Table_dim_price_recipe[Subcategory]), 0))*$B390,"")</f>
        <v/>
      </c>
      <c r="J390" s="39" t="str" cm="1">
        <f t="array" ref="J390">IFERROR(INDEX(Table_dim_price_recipe[Retail Price], MATCH(1, ("Calculator"&lt;&gt;Table_dim_price_recipe[Type.display])*($L390=Table_dim_price_recipe[Category])*($D390=Table_dim_price_recipe[Item Description]) * (J$6=Table_dim_price_recipe[Type])*(Table_dim_price_recipe[Retail Price]&lt;&gt;0)*($C390=Table_dim_price_recipe[Subcategory]), 0))*$B390,"")</f>
        <v/>
      </c>
      <c r="K390" s="39" cm="1">
        <f t="array" ref="K390">IFERROR(INDEX(Table_dim_price_recipe[Retail Price], MATCH(1, ("Calculator"&lt;&gt;Table_dim_price_recipe[Type.display])*($L390=Table_dim_price_recipe[Category])*($D390=Table_dim_price_recipe[Item Description]) * (K$6=Table_dim_price_recipe[Type])*(Table_dim_price_recipe[Retail Price]&lt;&gt;0)*($C390=Table_dim_price_recipe[Subcategory]), 0))*$B390,"")</f>
        <v>0</v>
      </c>
      <c r="L390" s="39" t="str" cm="1">
        <f t="array" ref="L390">IF($A390&lt;&gt;"", $A390, LOOKUP(2, 1/((A$7:INDEX(A:A, ROW()))&lt;&gt;""), A$7:INDEX(A:A, ROW())))</f>
        <v>DOWN PIPES &amp; RAINHEADS</v>
      </c>
      <c r="M390" s="2"/>
    </row>
    <row r="391" spans="1:13">
      <c r="A391" s="263"/>
      <c r="B391" s="263"/>
      <c r="C391" s="263" t="s">
        <v>831</v>
      </c>
      <c r="D391" s="263" t="s">
        <v>1158</v>
      </c>
      <c r="E391" s="263"/>
      <c r="F391" s="263"/>
      <c r="G391" s="39" t="str" cm="1">
        <f t="array" ref="G391">IFERROR(INDEX(Table_dim_price_recipe[Retail Price], MATCH(1, ("Calculator"&lt;&gt;Table_dim_price_recipe[Type.display])*($L391=Table_dim_price_recipe[Category])*($D391=Table_dim_price_recipe[Item Description]) * (G$6=Table_dim_price_recipe[Type])*(Table_dim_price_recipe[Retail Price]&lt;&gt;0)*($C391=Table_dim_price_recipe[Subcategory]), 0))*$B391,"")</f>
        <v/>
      </c>
      <c r="H391" s="39" t="str" cm="1">
        <f t="array" ref="H391">IFERROR(INDEX(Table_dim_price_recipe[Retail Price], MATCH(1, ("Calculator"&lt;&gt;Table_dim_price_recipe[Type.display])*($L391=Table_dim_price_recipe[Category])*($D391=Table_dim_price_recipe[Item Description]) * (H$6=Table_dim_price_recipe[Type])*(Table_dim_price_recipe[Retail Price]&lt;&gt;0)*($C391=Table_dim_price_recipe[Subcategory]), 0))*$B391,"")</f>
        <v/>
      </c>
      <c r="I391" s="39" t="str" cm="1">
        <f t="array" ref="I391">IFERROR(INDEX(Table_dim_price_recipe[Retail Price], MATCH(1, ("Calculator"&lt;&gt;Table_dim_price_recipe[Type.display])*($L391=Table_dim_price_recipe[Category])*($D391=Table_dim_price_recipe[Item Description]) * (I$6=Table_dim_price_recipe[Type])*(Table_dim_price_recipe[Retail Price]&lt;&gt;0)*($C391=Table_dim_price_recipe[Subcategory]), 0))*$B391,"")</f>
        <v/>
      </c>
      <c r="J391" s="39" t="str" cm="1">
        <f t="array" ref="J391">IFERROR(INDEX(Table_dim_price_recipe[Retail Price], MATCH(1, ("Calculator"&lt;&gt;Table_dim_price_recipe[Type.display])*($L391=Table_dim_price_recipe[Category])*($D391=Table_dim_price_recipe[Item Description]) * (J$6=Table_dim_price_recipe[Type])*(Table_dim_price_recipe[Retail Price]&lt;&gt;0)*($C391=Table_dim_price_recipe[Subcategory]), 0))*$B391,"")</f>
        <v/>
      </c>
      <c r="K391" s="39" cm="1">
        <f t="array" ref="K391">IFERROR(INDEX(Table_dim_price_recipe[Retail Price], MATCH(1, ("Calculator"&lt;&gt;Table_dim_price_recipe[Type.display])*($L391=Table_dim_price_recipe[Category])*($D391=Table_dim_price_recipe[Item Description]) * (K$6=Table_dim_price_recipe[Type])*(Table_dim_price_recipe[Retail Price]&lt;&gt;0)*($C391=Table_dim_price_recipe[Subcategory]), 0))*$B391,"")</f>
        <v>0</v>
      </c>
      <c r="L391" s="39" t="str" cm="1">
        <f t="array" ref="L391">IF($A391&lt;&gt;"", $A391, LOOKUP(2, 1/((A$7:INDEX(A:A, ROW()))&lt;&gt;""), A$7:INDEX(A:A, ROW())))</f>
        <v>DOWN PIPES &amp; RAINHEADS</v>
      </c>
      <c r="M391" s="2"/>
    </row>
    <row r="392" spans="1:13">
      <c r="A392" s="263"/>
      <c r="B392" s="263"/>
      <c r="C392" s="263" t="s">
        <v>831</v>
      </c>
      <c r="D392" s="263" t="s">
        <v>1159</v>
      </c>
      <c r="E392" s="263"/>
      <c r="F392" s="263"/>
      <c r="G392" s="39" t="str" cm="1">
        <f t="array" ref="G392">IFERROR(INDEX(Table_dim_price_recipe[Retail Price], MATCH(1, ("Calculator"&lt;&gt;Table_dim_price_recipe[Type.display])*($L392=Table_dim_price_recipe[Category])*($D392=Table_dim_price_recipe[Item Description]) * (G$6=Table_dim_price_recipe[Type])*(Table_dim_price_recipe[Retail Price]&lt;&gt;0)*($C392=Table_dim_price_recipe[Subcategory]), 0))*$B392,"")</f>
        <v/>
      </c>
      <c r="H392" s="39" t="str" cm="1">
        <f t="array" ref="H392">IFERROR(INDEX(Table_dim_price_recipe[Retail Price], MATCH(1, ("Calculator"&lt;&gt;Table_dim_price_recipe[Type.display])*($L392=Table_dim_price_recipe[Category])*($D392=Table_dim_price_recipe[Item Description]) * (H$6=Table_dim_price_recipe[Type])*(Table_dim_price_recipe[Retail Price]&lt;&gt;0)*($C392=Table_dim_price_recipe[Subcategory]), 0))*$B392,"")</f>
        <v/>
      </c>
      <c r="I392" s="39" t="str" cm="1">
        <f t="array" ref="I392">IFERROR(INDEX(Table_dim_price_recipe[Retail Price], MATCH(1, ("Calculator"&lt;&gt;Table_dim_price_recipe[Type.display])*($L392=Table_dim_price_recipe[Category])*($D392=Table_dim_price_recipe[Item Description]) * (I$6=Table_dim_price_recipe[Type])*(Table_dim_price_recipe[Retail Price]&lt;&gt;0)*($C392=Table_dim_price_recipe[Subcategory]), 0))*$B392,"")</f>
        <v/>
      </c>
      <c r="J392" s="39" t="str" cm="1">
        <f t="array" ref="J392">IFERROR(INDEX(Table_dim_price_recipe[Retail Price], MATCH(1, ("Calculator"&lt;&gt;Table_dim_price_recipe[Type.display])*($L392=Table_dim_price_recipe[Category])*($D392=Table_dim_price_recipe[Item Description]) * (J$6=Table_dim_price_recipe[Type])*(Table_dim_price_recipe[Retail Price]&lt;&gt;0)*($C392=Table_dim_price_recipe[Subcategory]), 0))*$B392,"")</f>
        <v/>
      </c>
      <c r="K392" s="39" cm="1">
        <f t="array" ref="K392">IFERROR(INDEX(Table_dim_price_recipe[Retail Price], MATCH(1, ("Calculator"&lt;&gt;Table_dim_price_recipe[Type.display])*($L392=Table_dim_price_recipe[Category])*($D392=Table_dim_price_recipe[Item Description]) * (K$6=Table_dim_price_recipe[Type])*(Table_dim_price_recipe[Retail Price]&lt;&gt;0)*($C392=Table_dim_price_recipe[Subcategory]), 0))*$B392,"")</f>
        <v>0</v>
      </c>
      <c r="L392" s="39" t="str" cm="1">
        <f t="array" ref="L392">IF($A392&lt;&gt;"", $A392, LOOKUP(2, 1/((A$7:INDEX(A:A, ROW()))&lt;&gt;""), A$7:INDEX(A:A, ROW())))</f>
        <v>DOWN PIPES &amp; RAINHEADS</v>
      </c>
      <c r="M392" s="2"/>
    </row>
    <row r="393" spans="1:13">
      <c r="A393" s="263"/>
      <c r="B393" s="263"/>
      <c r="C393" s="263" t="s">
        <v>831</v>
      </c>
      <c r="D393" s="263" t="s">
        <v>1160</v>
      </c>
      <c r="E393" s="263"/>
      <c r="F393" s="263"/>
      <c r="G393" s="39" t="str" cm="1">
        <f t="array" ref="G393">IFERROR(INDEX(Table_dim_price_recipe[Retail Price], MATCH(1, ("Calculator"&lt;&gt;Table_dim_price_recipe[Type.display])*($L393=Table_dim_price_recipe[Category])*($D393=Table_dim_price_recipe[Item Description]) * (G$6=Table_dim_price_recipe[Type])*(Table_dim_price_recipe[Retail Price]&lt;&gt;0)*($C393=Table_dim_price_recipe[Subcategory]), 0))*$B393,"")</f>
        <v/>
      </c>
      <c r="H393" s="39" t="str" cm="1">
        <f t="array" ref="H393">IFERROR(INDEX(Table_dim_price_recipe[Retail Price], MATCH(1, ("Calculator"&lt;&gt;Table_dim_price_recipe[Type.display])*($L393=Table_dim_price_recipe[Category])*($D393=Table_dim_price_recipe[Item Description]) * (H$6=Table_dim_price_recipe[Type])*(Table_dim_price_recipe[Retail Price]&lt;&gt;0)*($C393=Table_dim_price_recipe[Subcategory]), 0))*$B393,"")</f>
        <v/>
      </c>
      <c r="I393" s="39" t="str" cm="1">
        <f t="array" ref="I393">IFERROR(INDEX(Table_dim_price_recipe[Retail Price], MATCH(1, ("Calculator"&lt;&gt;Table_dim_price_recipe[Type.display])*($L393=Table_dim_price_recipe[Category])*($D393=Table_dim_price_recipe[Item Description]) * (I$6=Table_dim_price_recipe[Type])*(Table_dim_price_recipe[Retail Price]&lt;&gt;0)*($C393=Table_dim_price_recipe[Subcategory]), 0))*$B393,"")</f>
        <v/>
      </c>
      <c r="J393" s="39" t="str" cm="1">
        <f t="array" ref="J393">IFERROR(INDEX(Table_dim_price_recipe[Retail Price], MATCH(1, ("Calculator"&lt;&gt;Table_dim_price_recipe[Type.display])*($L393=Table_dim_price_recipe[Category])*($D393=Table_dim_price_recipe[Item Description]) * (J$6=Table_dim_price_recipe[Type])*(Table_dim_price_recipe[Retail Price]&lt;&gt;0)*($C393=Table_dim_price_recipe[Subcategory]), 0))*$B393,"")</f>
        <v/>
      </c>
      <c r="K393" s="39" cm="1">
        <f t="array" ref="K393">IFERROR(INDEX(Table_dim_price_recipe[Retail Price], MATCH(1, ("Calculator"&lt;&gt;Table_dim_price_recipe[Type.display])*($L393=Table_dim_price_recipe[Category])*($D393=Table_dim_price_recipe[Item Description]) * (K$6=Table_dim_price_recipe[Type])*(Table_dim_price_recipe[Retail Price]&lt;&gt;0)*($C393=Table_dim_price_recipe[Subcategory]), 0))*$B393,"")</f>
        <v>0</v>
      </c>
      <c r="L393" s="39" t="str" cm="1">
        <f t="array" ref="L393">IF($A393&lt;&gt;"", $A393, LOOKUP(2, 1/((A$7:INDEX(A:A, ROW()))&lt;&gt;""), A$7:INDEX(A:A, ROW())))</f>
        <v>DOWN PIPES &amp; RAINHEADS</v>
      </c>
      <c r="M393" s="2"/>
    </row>
    <row r="394" spans="1:13">
      <c r="A394" s="263"/>
      <c r="B394" s="263"/>
      <c r="C394" s="263" t="s">
        <v>831</v>
      </c>
      <c r="D394" s="263"/>
      <c r="E394" s="263"/>
      <c r="F394" s="263"/>
      <c r="G394" s="39" t="str" cm="1">
        <f t="array" ref="G394">IFERROR(INDEX(Table_dim_price_recipe[Retail Price], MATCH(1, ("Calculator"&lt;&gt;Table_dim_price_recipe[Type.display])*($L394=Table_dim_price_recipe[Category])*($D394=Table_dim_price_recipe[Item Description]) * (G$6=Table_dim_price_recipe[Type])*(Table_dim_price_recipe[Retail Price]&lt;&gt;0)*($C394=Table_dim_price_recipe[Subcategory]), 0))*$B394,"")</f>
        <v/>
      </c>
      <c r="H394" s="39" t="str" cm="1">
        <f t="array" ref="H394">IFERROR(INDEX(Table_dim_price_recipe[Retail Price], MATCH(1, ("Calculator"&lt;&gt;Table_dim_price_recipe[Type.display])*($L394=Table_dim_price_recipe[Category])*($D394=Table_dim_price_recipe[Item Description]) * (H$6=Table_dim_price_recipe[Type])*(Table_dim_price_recipe[Retail Price]&lt;&gt;0)*($C394=Table_dim_price_recipe[Subcategory]), 0))*$B394,"")</f>
        <v/>
      </c>
      <c r="I394" s="39" t="str" cm="1">
        <f t="array" ref="I394">IFERROR(INDEX(Table_dim_price_recipe[Retail Price], MATCH(1, ("Calculator"&lt;&gt;Table_dim_price_recipe[Type.display])*($L394=Table_dim_price_recipe[Category])*($D394=Table_dim_price_recipe[Item Description]) * (I$6=Table_dim_price_recipe[Type])*(Table_dim_price_recipe[Retail Price]&lt;&gt;0)*($C394=Table_dim_price_recipe[Subcategory]), 0))*$B394,"")</f>
        <v/>
      </c>
      <c r="J394" s="39" t="str" cm="1">
        <f t="array" ref="J394">IFERROR(INDEX(Table_dim_price_recipe[Retail Price], MATCH(1, ("Calculator"&lt;&gt;Table_dim_price_recipe[Type.display])*($L394=Table_dim_price_recipe[Category])*($D394=Table_dim_price_recipe[Item Description]) * (J$6=Table_dim_price_recipe[Type])*(Table_dim_price_recipe[Retail Price]&lt;&gt;0)*($C394=Table_dim_price_recipe[Subcategory]), 0))*$B394,"")</f>
        <v/>
      </c>
      <c r="K394" s="39" t="str" cm="1">
        <f t="array" ref="K394">IFERROR(INDEX(Table_dim_price_recipe[Retail Price], MATCH(1, ("Calculator"&lt;&gt;Table_dim_price_recipe[Type.display])*($L394=Table_dim_price_recipe[Category])*($D394=Table_dim_price_recipe[Item Description]) * (K$6=Table_dim_price_recipe[Type])*(Table_dim_price_recipe[Retail Price]&lt;&gt;0)*($C394=Table_dim_price_recipe[Subcategory]), 0))*$B394,"")</f>
        <v/>
      </c>
      <c r="L394" s="39" t="str" cm="1">
        <f t="array" ref="L394">IF($A394&lt;&gt;"", $A394, LOOKUP(2, 1/((A$7:INDEX(A:A, ROW()))&lt;&gt;""), A$7:INDEX(A:A, ROW())))</f>
        <v>DOWN PIPES &amp; RAINHEADS</v>
      </c>
      <c r="M394" s="2"/>
    </row>
    <row r="395" spans="1:13">
      <c r="A395" s="263"/>
      <c r="B395" s="263"/>
      <c r="C395" s="263" t="s">
        <v>831</v>
      </c>
      <c r="D395" s="263"/>
      <c r="E395" s="263"/>
      <c r="F395" s="263"/>
      <c r="G395" s="39" t="str" cm="1">
        <f t="array" ref="G395">IFERROR(INDEX(Table_dim_price_recipe[Retail Price], MATCH(1, ("Calculator"&lt;&gt;Table_dim_price_recipe[Type.display])*($L395=Table_dim_price_recipe[Category])*($D395=Table_dim_price_recipe[Item Description]) * (G$6=Table_dim_price_recipe[Type])*(Table_dim_price_recipe[Retail Price]&lt;&gt;0)*($C395=Table_dim_price_recipe[Subcategory]), 0))*$B395,"")</f>
        <v/>
      </c>
      <c r="H395" s="39" t="str" cm="1">
        <f t="array" ref="H395">IFERROR(INDEX(Table_dim_price_recipe[Retail Price], MATCH(1, ("Calculator"&lt;&gt;Table_dim_price_recipe[Type.display])*($L395=Table_dim_price_recipe[Category])*($D395=Table_dim_price_recipe[Item Description]) * (H$6=Table_dim_price_recipe[Type])*(Table_dim_price_recipe[Retail Price]&lt;&gt;0)*($C395=Table_dim_price_recipe[Subcategory]), 0))*$B395,"")</f>
        <v/>
      </c>
      <c r="I395" s="39" t="str" cm="1">
        <f t="array" ref="I395">IFERROR(INDEX(Table_dim_price_recipe[Retail Price], MATCH(1, ("Calculator"&lt;&gt;Table_dim_price_recipe[Type.display])*($L395=Table_dim_price_recipe[Category])*($D395=Table_dim_price_recipe[Item Description]) * (I$6=Table_dim_price_recipe[Type])*(Table_dim_price_recipe[Retail Price]&lt;&gt;0)*($C395=Table_dim_price_recipe[Subcategory]), 0))*$B395,"")</f>
        <v/>
      </c>
      <c r="J395" s="39" t="str" cm="1">
        <f t="array" ref="J395">IFERROR(INDEX(Table_dim_price_recipe[Retail Price], MATCH(1, ("Calculator"&lt;&gt;Table_dim_price_recipe[Type.display])*($L395=Table_dim_price_recipe[Category])*($D395=Table_dim_price_recipe[Item Description]) * (J$6=Table_dim_price_recipe[Type])*(Table_dim_price_recipe[Retail Price]&lt;&gt;0)*($C395=Table_dim_price_recipe[Subcategory]), 0))*$B395,"")</f>
        <v/>
      </c>
      <c r="K395" s="39" t="str" cm="1">
        <f t="array" ref="K395">IFERROR(INDEX(Table_dim_price_recipe[Retail Price], MATCH(1, ("Calculator"&lt;&gt;Table_dim_price_recipe[Type.display])*($L395=Table_dim_price_recipe[Category])*($D395=Table_dim_price_recipe[Item Description]) * (K$6=Table_dim_price_recipe[Type])*(Table_dim_price_recipe[Retail Price]&lt;&gt;0)*($C395=Table_dim_price_recipe[Subcategory]), 0))*$B395,"")</f>
        <v/>
      </c>
      <c r="L395" s="39" t="str" cm="1">
        <f t="array" ref="L395">IF($A395&lt;&gt;"", $A395, LOOKUP(2, 1/((A$7:INDEX(A:A, ROW()))&lt;&gt;""), A$7:INDEX(A:A, ROW())))</f>
        <v>DOWN PIPES &amp; RAINHEADS</v>
      </c>
      <c r="M395" s="2"/>
    </row>
    <row r="396" spans="1:13">
      <c r="A396" s="263"/>
      <c r="B396" s="263"/>
      <c r="C396" s="263" t="s">
        <v>588</v>
      </c>
      <c r="D396" s="263" t="s">
        <v>589</v>
      </c>
      <c r="E396" s="263"/>
      <c r="F396" s="263"/>
      <c r="G396" s="39" cm="1">
        <f t="array" ref="G396">IFERROR(INDEX(Table_dim_price_recipe[Retail Price], MATCH(1, ("Calculator"&lt;&gt;Table_dim_price_recipe[Type.display])*($L396=Table_dim_price_recipe[Category])*($D396=Table_dim_price_recipe[Item Description]) * (G$6=Table_dim_price_recipe[Type])*(Table_dim_price_recipe[Retail Price]&lt;&gt;0)*($C396=Table_dim_price_recipe[Subcategory]), 0))*$B396,"")</f>
        <v>0</v>
      </c>
      <c r="H396" s="39" t="str" cm="1">
        <f t="array" ref="H396">IFERROR(INDEX(Table_dim_price_recipe[Retail Price], MATCH(1, ("Calculator"&lt;&gt;Table_dim_price_recipe[Type.display])*($L396=Table_dim_price_recipe[Category])*($D396=Table_dim_price_recipe[Item Description]) * (H$6=Table_dim_price_recipe[Type])*(Table_dim_price_recipe[Retail Price]&lt;&gt;0)*($C396=Table_dim_price_recipe[Subcategory]), 0))*$B396,"")</f>
        <v/>
      </c>
      <c r="I396" s="39" t="str" cm="1">
        <f t="array" ref="I396">IFERROR(INDEX(Table_dim_price_recipe[Retail Price], MATCH(1, ("Calculator"&lt;&gt;Table_dim_price_recipe[Type.display])*($L396=Table_dim_price_recipe[Category])*($D396=Table_dim_price_recipe[Item Description]) * (I$6=Table_dim_price_recipe[Type])*(Table_dim_price_recipe[Retail Price]&lt;&gt;0)*($C396=Table_dim_price_recipe[Subcategory]), 0))*$B396,"")</f>
        <v/>
      </c>
      <c r="J396" s="39" t="str" cm="1">
        <f t="array" ref="J396">IFERROR(INDEX(Table_dim_price_recipe[Retail Price], MATCH(1, ("Calculator"&lt;&gt;Table_dim_price_recipe[Type.display])*($L396=Table_dim_price_recipe[Category])*($D396=Table_dim_price_recipe[Item Description]) * (J$6=Table_dim_price_recipe[Type])*(Table_dim_price_recipe[Retail Price]&lt;&gt;0)*($C396=Table_dim_price_recipe[Subcategory]), 0))*$B396,"")</f>
        <v/>
      </c>
      <c r="K396" s="39" t="str" cm="1">
        <f t="array" ref="K396">IFERROR(INDEX(Table_dim_price_recipe[Retail Price], MATCH(1, ("Calculator"&lt;&gt;Table_dim_price_recipe[Type.display])*($L396=Table_dim_price_recipe[Category])*($D396=Table_dim_price_recipe[Item Description]) * (K$6=Table_dim_price_recipe[Type])*(Table_dim_price_recipe[Retail Price]&lt;&gt;0)*($C396=Table_dim_price_recipe[Subcategory]), 0))*$B396,"")</f>
        <v/>
      </c>
      <c r="L396" s="39" t="str" cm="1">
        <f t="array" ref="L396">IF($A396&lt;&gt;"", $A396, LOOKUP(2, 1/((A$7:INDEX(A:A, ROW()))&lt;&gt;""), A$7:INDEX(A:A, ROW())))</f>
        <v>DOWN PIPES &amp; RAINHEADS</v>
      </c>
      <c r="M396" s="2"/>
    </row>
    <row r="397" spans="1:13">
      <c r="A397" s="263"/>
      <c r="B397" s="263"/>
      <c r="C397" s="263" t="s">
        <v>588</v>
      </c>
      <c r="D397" s="263" t="s">
        <v>590</v>
      </c>
      <c r="E397" s="263"/>
      <c r="F397" s="263"/>
      <c r="G397" s="39" cm="1">
        <f t="array" ref="G397">IFERROR(INDEX(Table_dim_price_recipe[Retail Price], MATCH(1, ("Calculator"&lt;&gt;Table_dim_price_recipe[Type.display])*($L397=Table_dim_price_recipe[Category])*($D397=Table_dim_price_recipe[Item Description]) * (G$6=Table_dim_price_recipe[Type])*(Table_dim_price_recipe[Retail Price]&lt;&gt;0)*($C397=Table_dim_price_recipe[Subcategory]), 0))*$B397,"")</f>
        <v>0</v>
      </c>
      <c r="H397" s="39" t="str" cm="1">
        <f t="array" ref="H397">IFERROR(INDEX(Table_dim_price_recipe[Retail Price], MATCH(1, ("Calculator"&lt;&gt;Table_dim_price_recipe[Type.display])*($L397=Table_dim_price_recipe[Category])*($D397=Table_dim_price_recipe[Item Description]) * (H$6=Table_dim_price_recipe[Type])*(Table_dim_price_recipe[Retail Price]&lt;&gt;0)*($C397=Table_dim_price_recipe[Subcategory]), 0))*$B397,"")</f>
        <v/>
      </c>
      <c r="I397" s="39" t="str" cm="1">
        <f t="array" ref="I397">IFERROR(INDEX(Table_dim_price_recipe[Retail Price], MATCH(1, ("Calculator"&lt;&gt;Table_dim_price_recipe[Type.display])*($L397=Table_dim_price_recipe[Category])*($D397=Table_dim_price_recipe[Item Description]) * (I$6=Table_dim_price_recipe[Type])*(Table_dim_price_recipe[Retail Price]&lt;&gt;0)*($C397=Table_dim_price_recipe[Subcategory]), 0))*$B397,"")</f>
        <v/>
      </c>
      <c r="J397" s="39" t="str" cm="1">
        <f t="array" ref="J397">IFERROR(INDEX(Table_dim_price_recipe[Retail Price], MATCH(1, ("Calculator"&lt;&gt;Table_dim_price_recipe[Type.display])*($L397=Table_dim_price_recipe[Category])*($D397=Table_dim_price_recipe[Item Description]) * (J$6=Table_dim_price_recipe[Type])*(Table_dim_price_recipe[Retail Price]&lt;&gt;0)*($C397=Table_dim_price_recipe[Subcategory]), 0))*$B397,"")</f>
        <v/>
      </c>
      <c r="K397" s="39" t="str" cm="1">
        <f t="array" ref="K397">IFERROR(INDEX(Table_dim_price_recipe[Retail Price], MATCH(1, ("Calculator"&lt;&gt;Table_dim_price_recipe[Type.display])*($L397=Table_dim_price_recipe[Category])*($D397=Table_dim_price_recipe[Item Description]) * (K$6=Table_dim_price_recipe[Type])*(Table_dim_price_recipe[Retail Price]&lt;&gt;0)*($C397=Table_dim_price_recipe[Subcategory]), 0))*$B397,"")</f>
        <v/>
      </c>
      <c r="L397" s="39" t="str" cm="1">
        <f t="array" ref="L397">IF($A397&lt;&gt;"", $A397, LOOKUP(2, 1/((A$7:INDEX(A:A, ROW()))&lt;&gt;""), A$7:INDEX(A:A, ROW())))</f>
        <v>DOWN PIPES &amp; RAINHEADS</v>
      </c>
      <c r="M397" s="2"/>
    </row>
    <row r="398" spans="1:13">
      <c r="A398" s="263"/>
      <c r="B398" s="263"/>
      <c r="C398" s="263" t="s">
        <v>588</v>
      </c>
      <c r="D398" s="263"/>
      <c r="E398" s="263"/>
      <c r="F398" s="263"/>
      <c r="G398" s="39" t="str" cm="1">
        <f t="array" ref="G398">IFERROR(INDEX(Table_dim_price_recipe[Retail Price], MATCH(1, ("Calculator"&lt;&gt;Table_dim_price_recipe[Type.display])*($L398=Table_dim_price_recipe[Category])*($D398=Table_dim_price_recipe[Item Description]) * (G$6=Table_dim_price_recipe[Type])*(Table_dim_price_recipe[Retail Price]&lt;&gt;0)*($C398=Table_dim_price_recipe[Subcategory]), 0))*$B398,"")</f>
        <v/>
      </c>
      <c r="H398" s="39" t="str" cm="1">
        <f t="array" ref="H398">IFERROR(INDEX(Table_dim_price_recipe[Retail Price], MATCH(1, ("Calculator"&lt;&gt;Table_dim_price_recipe[Type.display])*($L398=Table_dim_price_recipe[Category])*($D398=Table_dim_price_recipe[Item Description]) * (H$6=Table_dim_price_recipe[Type])*(Table_dim_price_recipe[Retail Price]&lt;&gt;0)*($C398=Table_dim_price_recipe[Subcategory]), 0))*$B398,"")</f>
        <v/>
      </c>
      <c r="I398" s="39" t="str" cm="1">
        <f t="array" ref="I398">IFERROR(INDEX(Table_dim_price_recipe[Retail Price], MATCH(1, ("Calculator"&lt;&gt;Table_dim_price_recipe[Type.display])*($L398=Table_dim_price_recipe[Category])*($D398=Table_dim_price_recipe[Item Description]) * (I$6=Table_dim_price_recipe[Type])*(Table_dim_price_recipe[Retail Price]&lt;&gt;0)*($C398=Table_dim_price_recipe[Subcategory]), 0))*$B398,"")</f>
        <v/>
      </c>
      <c r="J398" s="39" t="str" cm="1">
        <f t="array" ref="J398">IFERROR(INDEX(Table_dim_price_recipe[Retail Price], MATCH(1, ("Calculator"&lt;&gt;Table_dim_price_recipe[Type.display])*($L398=Table_dim_price_recipe[Category])*($D398=Table_dim_price_recipe[Item Description]) * (J$6=Table_dim_price_recipe[Type])*(Table_dim_price_recipe[Retail Price]&lt;&gt;0)*($C398=Table_dim_price_recipe[Subcategory]), 0))*$B398,"")</f>
        <v/>
      </c>
      <c r="K398" s="39" t="str" cm="1">
        <f t="array" ref="K398">IFERROR(INDEX(Table_dim_price_recipe[Retail Price], MATCH(1, ("Calculator"&lt;&gt;Table_dim_price_recipe[Type.display])*($L398=Table_dim_price_recipe[Category])*($D398=Table_dim_price_recipe[Item Description]) * (K$6=Table_dim_price_recipe[Type])*(Table_dim_price_recipe[Retail Price]&lt;&gt;0)*($C398=Table_dim_price_recipe[Subcategory]), 0))*$B398,"")</f>
        <v/>
      </c>
      <c r="L398" s="39" t="str" cm="1">
        <f t="array" ref="L398">IF($A398&lt;&gt;"", $A398, LOOKUP(2, 1/((A$7:INDEX(A:A, ROW()))&lt;&gt;""), A$7:INDEX(A:A, ROW())))</f>
        <v>DOWN PIPES &amp; RAINHEADS</v>
      </c>
      <c r="M398" s="2"/>
    </row>
    <row r="399" spans="1:13">
      <c r="A399" s="263"/>
      <c r="B399" s="263"/>
      <c r="C399" s="263" t="s">
        <v>588</v>
      </c>
      <c r="D399" s="263"/>
      <c r="E399" s="263"/>
      <c r="F399" s="263"/>
      <c r="G399" s="39" t="str" cm="1">
        <f t="array" ref="G399">IFERROR(INDEX(Table_dim_price_recipe[Retail Price], MATCH(1, ("Calculator"&lt;&gt;Table_dim_price_recipe[Type.display])*($L399=Table_dim_price_recipe[Category])*($D399=Table_dim_price_recipe[Item Description]) * (G$6=Table_dim_price_recipe[Type])*(Table_dim_price_recipe[Retail Price]&lt;&gt;0)*($C399=Table_dim_price_recipe[Subcategory]), 0))*$B399,"")</f>
        <v/>
      </c>
      <c r="H399" s="39" t="str" cm="1">
        <f t="array" ref="H399">IFERROR(INDEX(Table_dim_price_recipe[Retail Price], MATCH(1, ("Calculator"&lt;&gt;Table_dim_price_recipe[Type.display])*($L399=Table_dim_price_recipe[Category])*($D399=Table_dim_price_recipe[Item Description]) * (H$6=Table_dim_price_recipe[Type])*(Table_dim_price_recipe[Retail Price]&lt;&gt;0)*($C399=Table_dim_price_recipe[Subcategory]), 0))*$B399,"")</f>
        <v/>
      </c>
      <c r="I399" s="39" t="str" cm="1">
        <f t="array" ref="I399">IFERROR(INDEX(Table_dim_price_recipe[Retail Price], MATCH(1, ("Calculator"&lt;&gt;Table_dim_price_recipe[Type.display])*($L399=Table_dim_price_recipe[Category])*($D399=Table_dim_price_recipe[Item Description]) * (I$6=Table_dim_price_recipe[Type])*(Table_dim_price_recipe[Retail Price]&lt;&gt;0)*($C399=Table_dim_price_recipe[Subcategory]), 0))*$B399,"")</f>
        <v/>
      </c>
      <c r="J399" s="39" t="str" cm="1">
        <f t="array" ref="J399">IFERROR(INDEX(Table_dim_price_recipe[Retail Price], MATCH(1, ("Calculator"&lt;&gt;Table_dim_price_recipe[Type.display])*($L399=Table_dim_price_recipe[Category])*($D399=Table_dim_price_recipe[Item Description]) * (J$6=Table_dim_price_recipe[Type])*(Table_dim_price_recipe[Retail Price]&lt;&gt;0)*($C399=Table_dim_price_recipe[Subcategory]), 0))*$B399,"")</f>
        <v/>
      </c>
      <c r="K399" s="39" t="str" cm="1">
        <f t="array" ref="K399">IFERROR(INDEX(Table_dim_price_recipe[Retail Price], MATCH(1, ("Calculator"&lt;&gt;Table_dim_price_recipe[Type.display])*($L399=Table_dim_price_recipe[Category])*($D399=Table_dim_price_recipe[Item Description]) * (K$6=Table_dim_price_recipe[Type])*(Table_dim_price_recipe[Retail Price]&lt;&gt;0)*($C399=Table_dim_price_recipe[Subcategory]), 0))*$B399,"")</f>
        <v/>
      </c>
      <c r="L399" s="39" t="str" cm="1">
        <f t="array" ref="L399">IF($A399&lt;&gt;"", $A399, LOOKUP(2, 1/((A$7:INDEX(A:A, ROW()))&lt;&gt;""), A$7:INDEX(A:A, ROW())))</f>
        <v>DOWN PIPES &amp; RAINHEADS</v>
      </c>
      <c r="M399" s="2"/>
    </row>
    <row r="400" spans="1:13">
      <c r="A400" s="263"/>
      <c r="B400" s="263"/>
      <c r="C400" s="263" t="s">
        <v>578</v>
      </c>
      <c r="D400" s="263" t="s">
        <v>580</v>
      </c>
      <c r="E400" s="263"/>
      <c r="F400" s="263"/>
      <c r="G400" s="39" cm="1">
        <f t="array" ref="G400">IFERROR(INDEX(Table_dim_price_recipe[Retail Price], MATCH(1, ("Calculator"&lt;&gt;Table_dim_price_recipe[Type.display])*($L400=Table_dim_price_recipe[Category])*($D400=Table_dim_price_recipe[Item Description]) * (G$6=Table_dim_price_recipe[Type])*(Table_dim_price_recipe[Retail Price]&lt;&gt;0)*($C400=Table_dim_price_recipe[Subcategory]), 0))*$B400,"")</f>
        <v>0</v>
      </c>
      <c r="H400" s="39" t="str" cm="1">
        <f t="array" ref="H400">IFERROR(INDEX(Table_dim_price_recipe[Retail Price], MATCH(1, ("Calculator"&lt;&gt;Table_dim_price_recipe[Type.display])*($L400=Table_dim_price_recipe[Category])*($D400=Table_dim_price_recipe[Item Description]) * (H$6=Table_dim_price_recipe[Type])*(Table_dim_price_recipe[Retail Price]&lt;&gt;0)*($C400=Table_dim_price_recipe[Subcategory]), 0))*$B400,"")</f>
        <v/>
      </c>
      <c r="I400" s="39" t="str" cm="1">
        <f t="array" ref="I400">IFERROR(INDEX(Table_dim_price_recipe[Retail Price], MATCH(1, ("Calculator"&lt;&gt;Table_dim_price_recipe[Type.display])*($L400=Table_dim_price_recipe[Category])*($D400=Table_dim_price_recipe[Item Description]) * (I$6=Table_dim_price_recipe[Type])*(Table_dim_price_recipe[Retail Price]&lt;&gt;0)*($C400=Table_dim_price_recipe[Subcategory]), 0))*$B400,"")</f>
        <v/>
      </c>
      <c r="J400" s="39" t="str" cm="1">
        <f t="array" ref="J400">IFERROR(INDEX(Table_dim_price_recipe[Retail Price], MATCH(1, ("Calculator"&lt;&gt;Table_dim_price_recipe[Type.display])*($L400=Table_dim_price_recipe[Category])*($D400=Table_dim_price_recipe[Item Description]) * (J$6=Table_dim_price_recipe[Type])*(Table_dim_price_recipe[Retail Price]&lt;&gt;0)*($C400=Table_dim_price_recipe[Subcategory]), 0))*$B400,"")</f>
        <v/>
      </c>
      <c r="K400" s="39" t="str" cm="1">
        <f t="array" ref="K400">IFERROR(INDEX(Table_dim_price_recipe[Retail Price], MATCH(1, ("Calculator"&lt;&gt;Table_dim_price_recipe[Type.display])*($L400=Table_dim_price_recipe[Category])*($D400=Table_dim_price_recipe[Item Description]) * (K$6=Table_dim_price_recipe[Type])*(Table_dim_price_recipe[Retail Price]&lt;&gt;0)*($C400=Table_dim_price_recipe[Subcategory]), 0))*$B400,"")</f>
        <v/>
      </c>
      <c r="L400" s="39" t="str" cm="1">
        <f t="array" ref="L400">IF($A400&lt;&gt;"", $A400, LOOKUP(2, 1/((A$7:INDEX(A:A, ROW()))&lt;&gt;""), A$7:INDEX(A:A, ROW())))</f>
        <v>DOWN PIPES &amp; RAINHEADS</v>
      </c>
      <c r="M400" s="2"/>
    </row>
    <row r="401" spans="1:13">
      <c r="A401" s="263"/>
      <c r="B401" s="263"/>
      <c r="C401" s="263" t="s">
        <v>578</v>
      </c>
      <c r="D401" s="263" t="s">
        <v>579</v>
      </c>
      <c r="E401" s="263"/>
      <c r="F401" s="263"/>
      <c r="G401" s="39" cm="1">
        <f t="array" ref="G401">IFERROR(INDEX(Table_dim_price_recipe[Retail Price], MATCH(1, ("Calculator"&lt;&gt;Table_dim_price_recipe[Type.display])*($L401=Table_dim_price_recipe[Category])*($D401=Table_dim_price_recipe[Item Description]) * (G$6=Table_dim_price_recipe[Type])*(Table_dim_price_recipe[Retail Price]&lt;&gt;0)*($C401=Table_dim_price_recipe[Subcategory]), 0))*$B401,"")</f>
        <v>0</v>
      </c>
      <c r="H401" s="39" t="str" cm="1">
        <f t="array" ref="H401">IFERROR(INDEX(Table_dim_price_recipe[Retail Price], MATCH(1, ("Calculator"&lt;&gt;Table_dim_price_recipe[Type.display])*($L401=Table_dim_price_recipe[Category])*($D401=Table_dim_price_recipe[Item Description]) * (H$6=Table_dim_price_recipe[Type])*(Table_dim_price_recipe[Retail Price]&lt;&gt;0)*($C401=Table_dim_price_recipe[Subcategory]), 0))*$B401,"")</f>
        <v/>
      </c>
      <c r="I401" s="39" t="str" cm="1">
        <f t="array" ref="I401">IFERROR(INDEX(Table_dim_price_recipe[Retail Price], MATCH(1, ("Calculator"&lt;&gt;Table_dim_price_recipe[Type.display])*($L401=Table_dim_price_recipe[Category])*($D401=Table_dim_price_recipe[Item Description]) * (I$6=Table_dim_price_recipe[Type])*(Table_dim_price_recipe[Retail Price]&lt;&gt;0)*($C401=Table_dim_price_recipe[Subcategory]), 0))*$B401,"")</f>
        <v/>
      </c>
      <c r="J401" s="39" t="str" cm="1">
        <f t="array" ref="J401">IFERROR(INDEX(Table_dim_price_recipe[Retail Price], MATCH(1, ("Calculator"&lt;&gt;Table_dim_price_recipe[Type.display])*($L401=Table_dim_price_recipe[Category])*($D401=Table_dim_price_recipe[Item Description]) * (J$6=Table_dim_price_recipe[Type])*(Table_dim_price_recipe[Retail Price]&lt;&gt;0)*($C401=Table_dim_price_recipe[Subcategory]), 0))*$B401,"")</f>
        <v/>
      </c>
      <c r="K401" s="39" t="str" cm="1">
        <f t="array" ref="K401">IFERROR(INDEX(Table_dim_price_recipe[Retail Price], MATCH(1, ("Calculator"&lt;&gt;Table_dim_price_recipe[Type.display])*($L401=Table_dim_price_recipe[Category])*($D401=Table_dim_price_recipe[Item Description]) * (K$6=Table_dim_price_recipe[Type])*(Table_dim_price_recipe[Retail Price]&lt;&gt;0)*($C401=Table_dim_price_recipe[Subcategory]), 0))*$B401,"")</f>
        <v/>
      </c>
      <c r="L401" s="39" t="str" cm="1">
        <f t="array" ref="L401">IF($A401&lt;&gt;"", $A401, LOOKUP(2, 1/((A$7:INDEX(A:A, ROW()))&lt;&gt;""), A$7:INDEX(A:A, ROW())))</f>
        <v>DOWN PIPES &amp; RAINHEADS</v>
      </c>
      <c r="M401" s="2"/>
    </row>
    <row r="402" spans="1:13">
      <c r="A402" s="263"/>
      <c r="B402" s="263"/>
      <c r="C402" s="263" t="s">
        <v>578</v>
      </c>
      <c r="D402" s="263" t="s">
        <v>581</v>
      </c>
      <c r="E402" s="263"/>
      <c r="F402" s="263"/>
      <c r="G402" s="39" cm="1">
        <f t="array" ref="G402">IFERROR(INDEX(Table_dim_price_recipe[Retail Price], MATCH(1, ("Calculator"&lt;&gt;Table_dim_price_recipe[Type.display])*($L402=Table_dim_price_recipe[Category])*($D402=Table_dim_price_recipe[Item Description]) * (G$6=Table_dim_price_recipe[Type])*(Table_dim_price_recipe[Retail Price]&lt;&gt;0)*($C402=Table_dim_price_recipe[Subcategory]), 0))*$B402,"")</f>
        <v>0</v>
      </c>
      <c r="H402" s="39" t="str" cm="1">
        <f t="array" ref="H402">IFERROR(INDEX(Table_dim_price_recipe[Retail Price], MATCH(1, ("Calculator"&lt;&gt;Table_dim_price_recipe[Type.display])*($L402=Table_dim_price_recipe[Category])*($D402=Table_dim_price_recipe[Item Description]) * (H$6=Table_dim_price_recipe[Type])*(Table_dim_price_recipe[Retail Price]&lt;&gt;0)*($C402=Table_dim_price_recipe[Subcategory]), 0))*$B402,"")</f>
        <v/>
      </c>
      <c r="I402" s="39" t="str" cm="1">
        <f t="array" ref="I402">IFERROR(INDEX(Table_dim_price_recipe[Retail Price], MATCH(1, ("Calculator"&lt;&gt;Table_dim_price_recipe[Type.display])*($L402=Table_dim_price_recipe[Category])*($D402=Table_dim_price_recipe[Item Description]) * (I$6=Table_dim_price_recipe[Type])*(Table_dim_price_recipe[Retail Price]&lt;&gt;0)*($C402=Table_dim_price_recipe[Subcategory]), 0))*$B402,"")</f>
        <v/>
      </c>
      <c r="J402" s="39" t="str" cm="1">
        <f t="array" ref="J402">IFERROR(INDEX(Table_dim_price_recipe[Retail Price], MATCH(1, ("Calculator"&lt;&gt;Table_dim_price_recipe[Type.display])*($L402=Table_dim_price_recipe[Category])*($D402=Table_dim_price_recipe[Item Description]) * (J$6=Table_dim_price_recipe[Type])*(Table_dim_price_recipe[Retail Price]&lt;&gt;0)*($C402=Table_dim_price_recipe[Subcategory]), 0))*$B402,"")</f>
        <v/>
      </c>
      <c r="K402" s="39" t="str" cm="1">
        <f t="array" ref="K402">IFERROR(INDEX(Table_dim_price_recipe[Retail Price], MATCH(1, ("Calculator"&lt;&gt;Table_dim_price_recipe[Type.display])*($L402=Table_dim_price_recipe[Category])*($D402=Table_dim_price_recipe[Item Description]) * (K$6=Table_dim_price_recipe[Type])*(Table_dim_price_recipe[Retail Price]&lt;&gt;0)*($C402=Table_dim_price_recipe[Subcategory]), 0))*$B402,"")</f>
        <v/>
      </c>
      <c r="L402" s="39" t="str" cm="1">
        <f t="array" ref="L402">IF($A402&lt;&gt;"", $A402, LOOKUP(2, 1/((A$7:INDEX(A:A, ROW()))&lt;&gt;""), A$7:INDEX(A:A, ROW())))</f>
        <v>DOWN PIPES &amp; RAINHEADS</v>
      </c>
      <c r="M402" s="2"/>
    </row>
    <row r="403" spans="1:13">
      <c r="A403" s="263"/>
      <c r="B403" s="263"/>
      <c r="C403" s="263" t="s">
        <v>578</v>
      </c>
      <c r="D403" s="263"/>
      <c r="E403" s="263"/>
      <c r="F403" s="263"/>
      <c r="G403" s="39" t="str" cm="1">
        <f t="array" ref="G403">IFERROR(INDEX(Table_dim_price_recipe[Retail Price], MATCH(1, ("Calculator"&lt;&gt;Table_dim_price_recipe[Type.display])*($L403=Table_dim_price_recipe[Category])*($D403=Table_dim_price_recipe[Item Description]) * (G$6=Table_dim_price_recipe[Type])*(Table_dim_price_recipe[Retail Price]&lt;&gt;0)*($C403=Table_dim_price_recipe[Subcategory]), 0))*$B403,"")</f>
        <v/>
      </c>
      <c r="H403" s="39" t="str" cm="1">
        <f t="array" ref="H403">IFERROR(INDEX(Table_dim_price_recipe[Retail Price], MATCH(1, ("Calculator"&lt;&gt;Table_dim_price_recipe[Type.display])*($L403=Table_dim_price_recipe[Category])*($D403=Table_dim_price_recipe[Item Description]) * (H$6=Table_dim_price_recipe[Type])*(Table_dim_price_recipe[Retail Price]&lt;&gt;0)*($C403=Table_dim_price_recipe[Subcategory]), 0))*$B403,"")</f>
        <v/>
      </c>
      <c r="I403" s="39" t="str" cm="1">
        <f t="array" ref="I403">IFERROR(INDEX(Table_dim_price_recipe[Retail Price], MATCH(1, ("Calculator"&lt;&gt;Table_dim_price_recipe[Type.display])*($L403=Table_dim_price_recipe[Category])*($D403=Table_dim_price_recipe[Item Description]) * (I$6=Table_dim_price_recipe[Type])*(Table_dim_price_recipe[Retail Price]&lt;&gt;0)*($C403=Table_dim_price_recipe[Subcategory]), 0))*$B403,"")</f>
        <v/>
      </c>
      <c r="J403" s="39" t="str" cm="1">
        <f t="array" ref="J403">IFERROR(INDEX(Table_dim_price_recipe[Retail Price], MATCH(1, ("Calculator"&lt;&gt;Table_dim_price_recipe[Type.display])*($L403=Table_dim_price_recipe[Category])*($D403=Table_dim_price_recipe[Item Description]) * (J$6=Table_dim_price_recipe[Type])*(Table_dim_price_recipe[Retail Price]&lt;&gt;0)*($C403=Table_dim_price_recipe[Subcategory]), 0))*$B403,"")</f>
        <v/>
      </c>
      <c r="K403" s="39" t="str" cm="1">
        <f t="array" ref="K403">IFERROR(INDEX(Table_dim_price_recipe[Retail Price], MATCH(1, ("Calculator"&lt;&gt;Table_dim_price_recipe[Type.display])*($L403=Table_dim_price_recipe[Category])*($D403=Table_dim_price_recipe[Item Description]) * (K$6=Table_dim_price_recipe[Type])*(Table_dim_price_recipe[Retail Price]&lt;&gt;0)*($C403=Table_dim_price_recipe[Subcategory]), 0))*$B403,"")</f>
        <v/>
      </c>
      <c r="L403" s="39" t="str" cm="1">
        <f t="array" ref="L403">IF($A403&lt;&gt;"", $A403, LOOKUP(2, 1/((A$7:INDEX(A:A, ROW()))&lt;&gt;""), A$7:INDEX(A:A, ROW())))</f>
        <v>DOWN PIPES &amp; RAINHEADS</v>
      </c>
      <c r="M403" s="2"/>
    </row>
    <row r="404" spans="1:13">
      <c r="A404" s="263"/>
      <c r="B404" s="263"/>
      <c r="C404" s="263" t="s">
        <v>578</v>
      </c>
      <c r="D404" s="263"/>
      <c r="E404" s="263"/>
      <c r="F404" s="263"/>
      <c r="G404" s="39" t="str" cm="1">
        <f t="array" ref="G404">IFERROR(INDEX(Table_dim_price_recipe[Retail Price], MATCH(1, ("Calculator"&lt;&gt;Table_dim_price_recipe[Type.display])*($L404=Table_dim_price_recipe[Category])*($D404=Table_dim_price_recipe[Item Description]) * (G$6=Table_dim_price_recipe[Type])*(Table_dim_price_recipe[Retail Price]&lt;&gt;0)*($C404=Table_dim_price_recipe[Subcategory]), 0))*$B404,"")</f>
        <v/>
      </c>
      <c r="H404" s="39" t="str" cm="1">
        <f t="array" ref="H404">IFERROR(INDEX(Table_dim_price_recipe[Retail Price], MATCH(1, ("Calculator"&lt;&gt;Table_dim_price_recipe[Type.display])*($L404=Table_dim_price_recipe[Category])*($D404=Table_dim_price_recipe[Item Description]) * (H$6=Table_dim_price_recipe[Type])*(Table_dim_price_recipe[Retail Price]&lt;&gt;0)*($C404=Table_dim_price_recipe[Subcategory]), 0))*$B404,"")</f>
        <v/>
      </c>
      <c r="I404" s="39" t="str" cm="1">
        <f t="array" ref="I404">IFERROR(INDEX(Table_dim_price_recipe[Retail Price], MATCH(1, ("Calculator"&lt;&gt;Table_dim_price_recipe[Type.display])*($L404=Table_dim_price_recipe[Category])*($D404=Table_dim_price_recipe[Item Description]) * (I$6=Table_dim_price_recipe[Type])*(Table_dim_price_recipe[Retail Price]&lt;&gt;0)*($C404=Table_dim_price_recipe[Subcategory]), 0))*$B404,"")</f>
        <v/>
      </c>
      <c r="J404" s="39" t="str" cm="1">
        <f t="array" ref="J404">IFERROR(INDEX(Table_dim_price_recipe[Retail Price], MATCH(1, ("Calculator"&lt;&gt;Table_dim_price_recipe[Type.display])*($L404=Table_dim_price_recipe[Category])*($D404=Table_dim_price_recipe[Item Description]) * (J$6=Table_dim_price_recipe[Type])*(Table_dim_price_recipe[Retail Price]&lt;&gt;0)*($C404=Table_dim_price_recipe[Subcategory]), 0))*$B404,"")</f>
        <v/>
      </c>
      <c r="K404" s="39" t="str" cm="1">
        <f t="array" ref="K404">IFERROR(INDEX(Table_dim_price_recipe[Retail Price], MATCH(1, ("Calculator"&lt;&gt;Table_dim_price_recipe[Type.display])*($L404=Table_dim_price_recipe[Category])*($D404=Table_dim_price_recipe[Item Description]) * (K$6=Table_dim_price_recipe[Type])*(Table_dim_price_recipe[Retail Price]&lt;&gt;0)*($C404=Table_dim_price_recipe[Subcategory]), 0))*$B404,"")</f>
        <v/>
      </c>
      <c r="L404" s="39" t="str" cm="1">
        <f t="array" ref="L404">IF($A404&lt;&gt;"", $A404, LOOKUP(2, 1/((A$7:INDEX(A:A, ROW()))&lt;&gt;""), A$7:INDEX(A:A, ROW())))</f>
        <v>DOWN PIPES &amp; RAINHEADS</v>
      </c>
      <c r="M404" s="2"/>
    </row>
    <row r="405" spans="1:13">
      <c r="A405" s="263"/>
      <c r="B405" s="263"/>
      <c r="C405" s="263" t="s">
        <v>582</v>
      </c>
      <c r="D405" s="263" t="s">
        <v>583</v>
      </c>
      <c r="E405" s="263"/>
      <c r="F405" s="263"/>
      <c r="G405" s="39" cm="1">
        <f t="array" ref="G405">IFERROR(INDEX(Table_dim_price_recipe[Retail Price], MATCH(1, ("Calculator"&lt;&gt;Table_dim_price_recipe[Type.display])*($L405=Table_dim_price_recipe[Category])*($D405=Table_dim_price_recipe[Item Description]) * (G$6=Table_dim_price_recipe[Type])*(Table_dim_price_recipe[Retail Price]&lt;&gt;0)*($C405=Table_dim_price_recipe[Subcategory]), 0))*$B405,"")</f>
        <v>0</v>
      </c>
      <c r="H405" s="39" t="str" cm="1">
        <f t="array" ref="H405">IFERROR(INDEX(Table_dim_price_recipe[Retail Price], MATCH(1, ("Calculator"&lt;&gt;Table_dim_price_recipe[Type.display])*($L405=Table_dim_price_recipe[Category])*($D405=Table_dim_price_recipe[Item Description]) * (H$6=Table_dim_price_recipe[Type])*(Table_dim_price_recipe[Retail Price]&lt;&gt;0)*($C405=Table_dim_price_recipe[Subcategory]), 0))*$B405,"")</f>
        <v/>
      </c>
      <c r="I405" s="39" t="str" cm="1">
        <f t="array" ref="I405">IFERROR(INDEX(Table_dim_price_recipe[Retail Price], MATCH(1, ("Calculator"&lt;&gt;Table_dim_price_recipe[Type.display])*($L405=Table_dim_price_recipe[Category])*($D405=Table_dim_price_recipe[Item Description]) * (I$6=Table_dim_price_recipe[Type])*(Table_dim_price_recipe[Retail Price]&lt;&gt;0)*($C405=Table_dim_price_recipe[Subcategory]), 0))*$B405,"")</f>
        <v/>
      </c>
      <c r="J405" s="39" t="str" cm="1">
        <f t="array" ref="J405">IFERROR(INDEX(Table_dim_price_recipe[Retail Price], MATCH(1, ("Calculator"&lt;&gt;Table_dim_price_recipe[Type.display])*($L405=Table_dim_price_recipe[Category])*($D405=Table_dim_price_recipe[Item Description]) * (J$6=Table_dim_price_recipe[Type])*(Table_dim_price_recipe[Retail Price]&lt;&gt;0)*($C405=Table_dim_price_recipe[Subcategory]), 0))*$B405,"")</f>
        <v/>
      </c>
      <c r="K405" s="39" t="str" cm="1">
        <f t="array" ref="K405">IFERROR(INDEX(Table_dim_price_recipe[Retail Price], MATCH(1, ("Calculator"&lt;&gt;Table_dim_price_recipe[Type.display])*($L405=Table_dim_price_recipe[Category])*($D405=Table_dim_price_recipe[Item Description]) * (K$6=Table_dim_price_recipe[Type])*(Table_dim_price_recipe[Retail Price]&lt;&gt;0)*($C405=Table_dim_price_recipe[Subcategory]), 0))*$B405,"")</f>
        <v/>
      </c>
      <c r="L405" s="39" t="str" cm="1">
        <f t="array" ref="L405">IF($A405&lt;&gt;"", $A405, LOOKUP(2, 1/((A$7:INDEX(A:A, ROW()))&lt;&gt;""), A$7:INDEX(A:A, ROW())))</f>
        <v>DOWN PIPES &amp; RAINHEADS</v>
      </c>
      <c r="M405" s="2"/>
    </row>
    <row r="406" spans="1:13">
      <c r="A406" s="263"/>
      <c r="B406" s="263"/>
      <c r="C406" s="263" t="s">
        <v>582</v>
      </c>
      <c r="D406" s="263" t="s">
        <v>584</v>
      </c>
      <c r="E406" s="263"/>
      <c r="F406" s="263"/>
      <c r="G406" s="39" cm="1">
        <f t="array" ref="G406">IFERROR(INDEX(Table_dim_price_recipe[Retail Price], MATCH(1, ("Calculator"&lt;&gt;Table_dim_price_recipe[Type.display])*($L406=Table_dim_price_recipe[Category])*($D406=Table_dim_price_recipe[Item Description]) * (G$6=Table_dim_price_recipe[Type])*(Table_dim_price_recipe[Retail Price]&lt;&gt;0)*($C406=Table_dim_price_recipe[Subcategory]), 0))*$B406,"")</f>
        <v>0</v>
      </c>
      <c r="H406" s="39" t="str" cm="1">
        <f t="array" ref="H406">IFERROR(INDEX(Table_dim_price_recipe[Retail Price], MATCH(1, ("Calculator"&lt;&gt;Table_dim_price_recipe[Type.display])*($L406=Table_dim_price_recipe[Category])*($D406=Table_dim_price_recipe[Item Description]) * (H$6=Table_dim_price_recipe[Type])*(Table_dim_price_recipe[Retail Price]&lt;&gt;0)*($C406=Table_dim_price_recipe[Subcategory]), 0))*$B406,"")</f>
        <v/>
      </c>
      <c r="I406" s="39" t="str" cm="1">
        <f t="array" ref="I406">IFERROR(INDEX(Table_dim_price_recipe[Retail Price], MATCH(1, ("Calculator"&lt;&gt;Table_dim_price_recipe[Type.display])*($L406=Table_dim_price_recipe[Category])*($D406=Table_dim_price_recipe[Item Description]) * (I$6=Table_dim_price_recipe[Type])*(Table_dim_price_recipe[Retail Price]&lt;&gt;0)*($C406=Table_dim_price_recipe[Subcategory]), 0))*$B406,"")</f>
        <v/>
      </c>
      <c r="J406" s="39" t="str" cm="1">
        <f t="array" ref="J406">IFERROR(INDEX(Table_dim_price_recipe[Retail Price], MATCH(1, ("Calculator"&lt;&gt;Table_dim_price_recipe[Type.display])*($L406=Table_dim_price_recipe[Category])*($D406=Table_dim_price_recipe[Item Description]) * (J$6=Table_dim_price_recipe[Type])*(Table_dim_price_recipe[Retail Price]&lt;&gt;0)*($C406=Table_dim_price_recipe[Subcategory]), 0))*$B406,"")</f>
        <v/>
      </c>
      <c r="K406" s="39" t="str" cm="1">
        <f t="array" ref="K406">IFERROR(INDEX(Table_dim_price_recipe[Retail Price], MATCH(1, ("Calculator"&lt;&gt;Table_dim_price_recipe[Type.display])*($L406=Table_dim_price_recipe[Category])*($D406=Table_dim_price_recipe[Item Description]) * (K$6=Table_dim_price_recipe[Type])*(Table_dim_price_recipe[Retail Price]&lt;&gt;0)*($C406=Table_dim_price_recipe[Subcategory]), 0))*$B406,"")</f>
        <v/>
      </c>
      <c r="L406" s="39" t="str" cm="1">
        <f t="array" ref="L406">IF($A406&lt;&gt;"", $A406, LOOKUP(2, 1/((A$7:INDEX(A:A, ROW()))&lt;&gt;""), A$7:INDEX(A:A, ROW())))</f>
        <v>DOWN PIPES &amp; RAINHEADS</v>
      </c>
      <c r="M406" s="14"/>
    </row>
    <row r="407" spans="1:13">
      <c r="A407" s="263"/>
      <c r="B407" s="263"/>
      <c r="C407" s="263" t="s">
        <v>582</v>
      </c>
      <c r="D407" s="263"/>
      <c r="E407" s="263"/>
      <c r="F407" s="263"/>
      <c r="G407" s="39" t="str" cm="1">
        <f t="array" ref="G407">IFERROR(INDEX(Table_dim_price_recipe[Retail Price], MATCH(1, ("Calculator"&lt;&gt;Table_dim_price_recipe[Type.display])*($L407=Table_dim_price_recipe[Category])*($D407=Table_dim_price_recipe[Item Description]) * (G$6=Table_dim_price_recipe[Type])*(Table_dim_price_recipe[Retail Price]&lt;&gt;0)*($C407=Table_dim_price_recipe[Subcategory]), 0))*$B407,"")</f>
        <v/>
      </c>
      <c r="H407" s="39" t="str" cm="1">
        <f t="array" ref="H407">IFERROR(INDEX(Table_dim_price_recipe[Retail Price], MATCH(1, ("Calculator"&lt;&gt;Table_dim_price_recipe[Type.display])*($L407=Table_dim_price_recipe[Category])*($D407=Table_dim_price_recipe[Item Description]) * (H$6=Table_dim_price_recipe[Type])*(Table_dim_price_recipe[Retail Price]&lt;&gt;0)*($C407=Table_dim_price_recipe[Subcategory]), 0))*$B407,"")</f>
        <v/>
      </c>
      <c r="I407" s="39" t="str" cm="1">
        <f t="array" ref="I407">IFERROR(INDEX(Table_dim_price_recipe[Retail Price], MATCH(1, ("Calculator"&lt;&gt;Table_dim_price_recipe[Type.display])*($L407=Table_dim_price_recipe[Category])*($D407=Table_dim_price_recipe[Item Description]) * (I$6=Table_dim_price_recipe[Type])*(Table_dim_price_recipe[Retail Price]&lt;&gt;0)*($C407=Table_dim_price_recipe[Subcategory]), 0))*$B407,"")</f>
        <v/>
      </c>
      <c r="J407" s="39" t="str" cm="1">
        <f t="array" ref="J407">IFERROR(INDEX(Table_dim_price_recipe[Retail Price], MATCH(1, ("Calculator"&lt;&gt;Table_dim_price_recipe[Type.display])*($L407=Table_dim_price_recipe[Category])*($D407=Table_dim_price_recipe[Item Description]) * (J$6=Table_dim_price_recipe[Type])*(Table_dim_price_recipe[Retail Price]&lt;&gt;0)*($C407=Table_dim_price_recipe[Subcategory]), 0))*$B407,"")</f>
        <v/>
      </c>
      <c r="K407" s="39" t="str" cm="1">
        <f t="array" ref="K407">IFERROR(INDEX(Table_dim_price_recipe[Retail Price], MATCH(1, ("Calculator"&lt;&gt;Table_dim_price_recipe[Type.display])*($L407=Table_dim_price_recipe[Category])*($D407=Table_dim_price_recipe[Item Description]) * (K$6=Table_dim_price_recipe[Type])*(Table_dim_price_recipe[Retail Price]&lt;&gt;0)*($C407=Table_dim_price_recipe[Subcategory]), 0))*$B407,"")</f>
        <v/>
      </c>
      <c r="L407" s="39" t="str" cm="1">
        <f t="array" ref="L407">IF($A407&lt;&gt;"", $A407, LOOKUP(2, 1/((A$7:INDEX(A:A, ROW()))&lt;&gt;""), A$7:INDEX(A:A, ROW())))</f>
        <v>DOWN PIPES &amp; RAINHEADS</v>
      </c>
      <c r="M407" s="14"/>
    </row>
    <row r="408" spans="1:13">
      <c r="A408" s="263"/>
      <c r="B408" s="263"/>
      <c r="C408" s="263" t="s">
        <v>582</v>
      </c>
      <c r="D408" s="263"/>
      <c r="E408" s="263"/>
      <c r="F408" s="263"/>
      <c r="G408" s="39" t="str" cm="1">
        <f t="array" ref="G408">IFERROR(INDEX(Table_dim_price_recipe[Retail Price], MATCH(1, ("Calculator"&lt;&gt;Table_dim_price_recipe[Type.display])*($L408=Table_dim_price_recipe[Category])*($D408=Table_dim_price_recipe[Item Description]) * (G$6=Table_dim_price_recipe[Type])*(Table_dim_price_recipe[Retail Price]&lt;&gt;0)*($C408=Table_dim_price_recipe[Subcategory]), 0))*$B408,"")</f>
        <v/>
      </c>
      <c r="H408" s="39" t="str" cm="1">
        <f t="array" ref="H408">IFERROR(INDEX(Table_dim_price_recipe[Retail Price], MATCH(1, ("Calculator"&lt;&gt;Table_dim_price_recipe[Type.display])*($L408=Table_dim_price_recipe[Category])*($D408=Table_dim_price_recipe[Item Description]) * (H$6=Table_dim_price_recipe[Type])*(Table_dim_price_recipe[Retail Price]&lt;&gt;0)*($C408=Table_dim_price_recipe[Subcategory]), 0))*$B408,"")</f>
        <v/>
      </c>
      <c r="I408" s="39" t="str" cm="1">
        <f t="array" ref="I408">IFERROR(INDEX(Table_dim_price_recipe[Retail Price], MATCH(1, ("Calculator"&lt;&gt;Table_dim_price_recipe[Type.display])*($L408=Table_dim_price_recipe[Category])*($D408=Table_dim_price_recipe[Item Description]) * (I$6=Table_dim_price_recipe[Type])*(Table_dim_price_recipe[Retail Price]&lt;&gt;0)*($C408=Table_dim_price_recipe[Subcategory]), 0))*$B408,"")</f>
        <v/>
      </c>
      <c r="J408" s="39" t="str" cm="1">
        <f t="array" ref="J408">IFERROR(INDEX(Table_dim_price_recipe[Retail Price], MATCH(1, ("Calculator"&lt;&gt;Table_dim_price_recipe[Type.display])*($L408=Table_dim_price_recipe[Category])*($D408=Table_dim_price_recipe[Item Description]) * (J$6=Table_dim_price_recipe[Type])*(Table_dim_price_recipe[Retail Price]&lt;&gt;0)*($C408=Table_dim_price_recipe[Subcategory]), 0))*$B408,"")</f>
        <v/>
      </c>
      <c r="K408" s="39" t="str" cm="1">
        <f t="array" ref="K408">IFERROR(INDEX(Table_dim_price_recipe[Retail Price], MATCH(1, ("Calculator"&lt;&gt;Table_dim_price_recipe[Type.display])*($L408=Table_dim_price_recipe[Category])*($D408=Table_dim_price_recipe[Item Description]) * (K$6=Table_dim_price_recipe[Type])*(Table_dim_price_recipe[Retail Price]&lt;&gt;0)*($C408=Table_dim_price_recipe[Subcategory]), 0))*$B408,"")</f>
        <v/>
      </c>
      <c r="L408" s="39" t="str" cm="1">
        <f t="array" ref="L408">IF($A408&lt;&gt;"", $A408, LOOKUP(2, 1/((A$7:INDEX(A:A, ROW()))&lt;&gt;""), A$7:INDEX(A:A, ROW())))</f>
        <v>DOWN PIPES &amp; RAINHEADS</v>
      </c>
      <c r="M408" s="14"/>
    </row>
    <row r="409" spans="1:13">
      <c r="A409" s="263"/>
      <c r="B409" s="263"/>
      <c r="C409" s="263" t="s">
        <v>585</v>
      </c>
      <c r="D409" s="263" t="s">
        <v>586</v>
      </c>
      <c r="E409" s="263"/>
      <c r="F409" s="263"/>
      <c r="G409" s="39" cm="1">
        <f t="array" ref="G409">IFERROR(INDEX(Table_dim_price_recipe[Retail Price], MATCH(1, ("Calculator"&lt;&gt;Table_dim_price_recipe[Type.display])*($L409=Table_dim_price_recipe[Category])*($D409=Table_dim_price_recipe[Item Description]) * (G$6=Table_dim_price_recipe[Type])*(Table_dim_price_recipe[Retail Price]&lt;&gt;0)*($C409=Table_dim_price_recipe[Subcategory]), 0))*$B409,"")</f>
        <v>0</v>
      </c>
      <c r="H409" s="39" t="str" cm="1">
        <f t="array" ref="H409">IFERROR(INDEX(Table_dim_price_recipe[Retail Price], MATCH(1, ("Calculator"&lt;&gt;Table_dim_price_recipe[Type.display])*($L409=Table_dim_price_recipe[Category])*($D409=Table_dim_price_recipe[Item Description]) * (H$6=Table_dim_price_recipe[Type])*(Table_dim_price_recipe[Retail Price]&lt;&gt;0)*($C409=Table_dim_price_recipe[Subcategory]), 0))*$B409,"")</f>
        <v/>
      </c>
      <c r="I409" s="39" t="str" cm="1">
        <f t="array" ref="I409">IFERROR(INDEX(Table_dim_price_recipe[Retail Price], MATCH(1, ("Calculator"&lt;&gt;Table_dim_price_recipe[Type.display])*($L409=Table_dim_price_recipe[Category])*($D409=Table_dim_price_recipe[Item Description]) * (I$6=Table_dim_price_recipe[Type])*(Table_dim_price_recipe[Retail Price]&lt;&gt;0)*($C409=Table_dim_price_recipe[Subcategory]), 0))*$B409,"")</f>
        <v/>
      </c>
      <c r="J409" s="39" t="str" cm="1">
        <f t="array" ref="J409">IFERROR(INDEX(Table_dim_price_recipe[Retail Price], MATCH(1, ("Calculator"&lt;&gt;Table_dim_price_recipe[Type.display])*($L409=Table_dim_price_recipe[Category])*($D409=Table_dim_price_recipe[Item Description]) * (J$6=Table_dim_price_recipe[Type])*(Table_dim_price_recipe[Retail Price]&lt;&gt;0)*($C409=Table_dim_price_recipe[Subcategory]), 0))*$B409,"")</f>
        <v/>
      </c>
      <c r="K409" s="39" t="str" cm="1">
        <f t="array" ref="K409">IFERROR(INDEX(Table_dim_price_recipe[Retail Price], MATCH(1, ("Calculator"&lt;&gt;Table_dim_price_recipe[Type.display])*($L409=Table_dim_price_recipe[Category])*($D409=Table_dim_price_recipe[Item Description]) * (K$6=Table_dim_price_recipe[Type])*(Table_dim_price_recipe[Retail Price]&lt;&gt;0)*($C409=Table_dim_price_recipe[Subcategory]), 0))*$B409,"")</f>
        <v/>
      </c>
      <c r="L409" s="39" t="str" cm="1">
        <f t="array" ref="L409">IF($A409&lt;&gt;"", $A409, LOOKUP(2, 1/((A$7:INDEX(A:A, ROW()))&lt;&gt;""), A$7:INDEX(A:A, ROW())))</f>
        <v>DOWN PIPES &amp; RAINHEADS</v>
      </c>
      <c r="M409" s="14"/>
    </row>
    <row r="410" spans="1:13">
      <c r="A410" s="263"/>
      <c r="B410" s="263"/>
      <c r="C410" s="263" t="s">
        <v>585</v>
      </c>
      <c r="D410" s="263" t="s">
        <v>587</v>
      </c>
      <c r="E410" s="263"/>
      <c r="F410" s="263"/>
      <c r="G410" s="39" cm="1">
        <f t="array" ref="G410">IFERROR(INDEX(Table_dim_price_recipe[Retail Price], MATCH(1, ("Calculator"&lt;&gt;Table_dim_price_recipe[Type.display])*($L410=Table_dim_price_recipe[Category])*($D410=Table_dim_price_recipe[Item Description]) * (G$6=Table_dim_price_recipe[Type])*(Table_dim_price_recipe[Retail Price]&lt;&gt;0)*($C410=Table_dim_price_recipe[Subcategory]), 0))*$B410,"")</f>
        <v>0</v>
      </c>
      <c r="H410" s="39" t="str" cm="1">
        <f t="array" ref="H410">IFERROR(INDEX(Table_dim_price_recipe[Retail Price], MATCH(1, ("Calculator"&lt;&gt;Table_dim_price_recipe[Type.display])*($L410=Table_dim_price_recipe[Category])*($D410=Table_dim_price_recipe[Item Description]) * (H$6=Table_dim_price_recipe[Type])*(Table_dim_price_recipe[Retail Price]&lt;&gt;0)*($C410=Table_dim_price_recipe[Subcategory]), 0))*$B410,"")</f>
        <v/>
      </c>
      <c r="I410" s="39" t="str" cm="1">
        <f t="array" ref="I410">IFERROR(INDEX(Table_dim_price_recipe[Retail Price], MATCH(1, ("Calculator"&lt;&gt;Table_dim_price_recipe[Type.display])*($L410=Table_dim_price_recipe[Category])*($D410=Table_dim_price_recipe[Item Description]) * (I$6=Table_dim_price_recipe[Type])*(Table_dim_price_recipe[Retail Price]&lt;&gt;0)*($C410=Table_dim_price_recipe[Subcategory]), 0))*$B410,"")</f>
        <v/>
      </c>
      <c r="J410" s="39" t="str" cm="1">
        <f t="array" ref="J410">IFERROR(INDEX(Table_dim_price_recipe[Retail Price], MATCH(1, ("Calculator"&lt;&gt;Table_dim_price_recipe[Type.display])*($L410=Table_dim_price_recipe[Category])*($D410=Table_dim_price_recipe[Item Description]) * (J$6=Table_dim_price_recipe[Type])*(Table_dim_price_recipe[Retail Price]&lt;&gt;0)*($C410=Table_dim_price_recipe[Subcategory]), 0))*$B410,"")</f>
        <v/>
      </c>
      <c r="K410" s="39" t="str" cm="1">
        <f t="array" ref="K410">IFERROR(INDEX(Table_dim_price_recipe[Retail Price], MATCH(1, ("Calculator"&lt;&gt;Table_dim_price_recipe[Type.display])*($L410=Table_dim_price_recipe[Category])*($D410=Table_dim_price_recipe[Item Description]) * (K$6=Table_dim_price_recipe[Type])*(Table_dim_price_recipe[Retail Price]&lt;&gt;0)*($C410=Table_dim_price_recipe[Subcategory]), 0))*$B410,"")</f>
        <v/>
      </c>
      <c r="L410" s="39" t="str" cm="1">
        <f t="array" ref="L410">IF($A410&lt;&gt;"", $A410, LOOKUP(2, 1/((A$7:INDEX(A:A, ROW()))&lt;&gt;""), A$7:INDEX(A:A, ROW())))</f>
        <v>DOWN PIPES &amp; RAINHEADS</v>
      </c>
      <c r="M410" s="14"/>
    </row>
    <row r="411" spans="1:13">
      <c r="A411" s="263"/>
      <c r="B411" s="263"/>
      <c r="C411" s="263" t="s">
        <v>585</v>
      </c>
      <c r="D411" s="263"/>
      <c r="E411" s="263"/>
      <c r="F411" s="263"/>
      <c r="G411" s="39" t="str" cm="1">
        <f t="array" ref="G411">IFERROR(INDEX(Table_dim_price_recipe[Retail Price], MATCH(1, ("Calculator"&lt;&gt;Table_dim_price_recipe[Type.display])*($L411=Table_dim_price_recipe[Category])*($D411=Table_dim_price_recipe[Item Description]) * (G$6=Table_dim_price_recipe[Type])*(Table_dim_price_recipe[Retail Price]&lt;&gt;0)*($C411=Table_dim_price_recipe[Subcategory]), 0))*$B411,"")</f>
        <v/>
      </c>
      <c r="H411" s="39" t="str" cm="1">
        <f t="array" ref="H411">IFERROR(INDEX(Table_dim_price_recipe[Retail Price], MATCH(1, ("Calculator"&lt;&gt;Table_dim_price_recipe[Type.display])*($L411=Table_dim_price_recipe[Category])*($D411=Table_dim_price_recipe[Item Description]) * (H$6=Table_dim_price_recipe[Type])*(Table_dim_price_recipe[Retail Price]&lt;&gt;0)*($C411=Table_dim_price_recipe[Subcategory]), 0))*$B411,"")</f>
        <v/>
      </c>
      <c r="I411" s="39" t="str" cm="1">
        <f t="array" ref="I411">IFERROR(INDEX(Table_dim_price_recipe[Retail Price], MATCH(1, ("Calculator"&lt;&gt;Table_dim_price_recipe[Type.display])*($L411=Table_dim_price_recipe[Category])*($D411=Table_dim_price_recipe[Item Description]) * (I$6=Table_dim_price_recipe[Type])*(Table_dim_price_recipe[Retail Price]&lt;&gt;0)*($C411=Table_dim_price_recipe[Subcategory]), 0))*$B411,"")</f>
        <v/>
      </c>
      <c r="J411" s="39" t="str" cm="1">
        <f t="array" ref="J411">IFERROR(INDEX(Table_dim_price_recipe[Retail Price], MATCH(1, ("Calculator"&lt;&gt;Table_dim_price_recipe[Type.display])*($L411=Table_dim_price_recipe[Category])*($D411=Table_dim_price_recipe[Item Description]) * (J$6=Table_dim_price_recipe[Type])*(Table_dim_price_recipe[Retail Price]&lt;&gt;0)*($C411=Table_dim_price_recipe[Subcategory]), 0))*$B411,"")</f>
        <v/>
      </c>
      <c r="K411" s="39" t="str" cm="1">
        <f t="array" ref="K411">IFERROR(INDEX(Table_dim_price_recipe[Retail Price], MATCH(1, ("Calculator"&lt;&gt;Table_dim_price_recipe[Type.display])*($L411=Table_dim_price_recipe[Category])*($D411=Table_dim_price_recipe[Item Description]) * (K$6=Table_dim_price_recipe[Type])*(Table_dim_price_recipe[Retail Price]&lt;&gt;0)*($C411=Table_dim_price_recipe[Subcategory]), 0))*$B411,"")</f>
        <v/>
      </c>
      <c r="L411" s="39" t="str" cm="1">
        <f t="array" ref="L411">IF($A411&lt;&gt;"", $A411, LOOKUP(2, 1/((A$7:INDEX(A:A, ROW()))&lt;&gt;""), A$7:INDEX(A:A, ROW())))</f>
        <v>DOWN PIPES &amp; RAINHEADS</v>
      </c>
      <c r="M411" s="14"/>
    </row>
    <row r="412" spans="1:13">
      <c r="A412" s="263"/>
      <c r="B412" s="263"/>
      <c r="C412" s="263" t="s">
        <v>585</v>
      </c>
      <c r="D412" s="263"/>
      <c r="E412" s="263"/>
      <c r="F412" s="263"/>
      <c r="G412" s="39" t="str" cm="1">
        <f t="array" ref="G412">IFERROR(INDEX(Table_dim_price_recipe[Retail Price], MATCH(1, ("Calculator"&lt;&gt;Table_dim_price_recipe[Type.display])*($L412=Table_dim_price_recipe[Category])*($D412=Table_dim_price_recipe[Item Description]) * (G$6=Table_dim_price_recipe[Type])*(Table_dim_price_recipe[Retail Price]&lt;&gt;0)*($C412=Table_dim_price_recipe[Subcategory]), 0))*$B412,"")</f>
        <v/>
      </c>
      <c r="H412" s="39" t="str" cm="1">
        <f t="array" ref="H412">IFERROR(INDEX(Table_dim_price_recipe[Retail Price], MATCH(1, ("Calculator"&lt;&gt;Table_dim_price_recipe[Type.display])*($L412=Table_dim_price_recipe[Category])*($D412=Table_dim_price_recipe[Item Description]) * (H$6=Table_dim_price_recipe[Type])*(Table_dim_price_recipe[Retail Price]&lt;&gt;0)*($C412=Table_dim_price_recipe[Subcategory]), 0))*$B412,"")</f>
        <v/>
      </c>
      <c r="I412" s="39" t="str" cm="1">
        <f t="array" ref="I412">IFERROR(INDEX(Table_dim_price_recipe[Retail Price], MATCH(1, ("Calculator"&lt;&gt;Table_dim_price_recipe[Type.display])*($L412=Table_dim_price_recipe[Category])*($D412=Table_dim_price_recipe[Item Description]) * (I$6=Table_dim_price_recipe[Type])*(Table_dim_price_recipe[Retail Price]&lt;&gt;0)*($C412=Table_dim_price_recipe[Subcategory]), 0))*$B412,"")</f>
        <v/>
      </c>
      <c r="J412" s="39" t="str" cm="1">
        <f t="array" ref="J412">IFERROR(INDEX(Table_dim_price_recipe[Retail Price], MATCH(1, ("Calculator"&lt;&gt;Table_dim_price_recipe[Type.display])*($L412=Table_dim_price_recipe[Category])*($D412=Table_dim_price_recipe[Item Description]) * (J$6=Table_dim_price_recipe[Type])*(Table_dim_price_recipe[Retail Price]&lt;&gt;0)*($C412=Table_dim_price_recipe[Subcategory]), 0))*$B412,"")</f>
        <v/>
      </c>
      <c r="K412" s="39" t="str" cm="1">
        <f t="array" ref="K412">IFERROR(INDEX(Table_dim_price_recipe[Retail Price], MATCH(1, ("Calculator"&lt;&gt;Table_dim_price_recipe[Type.display])*($L412=Table_dim_price_recipe[Category])*($D412=Table_dim_price_recipe[Item Description]) * (K$6=Table_dim_price_recipe[Type])*(Table_dim_price_recipe[Retail Price]&lt;&gt;0)*($C412=Table_dim_price_recipe[Subcategory]), 0))*$B412,"")</f>
        <v/>
      </c>
      <c r="L412" s="39" t="str" cm="1">
        <f t="array" ref="L412">IF($A412&lt;&gt;"", $A412, LOOKUP(2, 1/((A$7:INDEX(A:A, ROW()))&lt;&gt;""), A$7:INDEX(A:A, ROW())))</f>
        <v>DOWN PIPES &amp; RAINHEADS</v>
      </c>
      <c r="M412" s="14"/>
    </row>
    <row r="413" spans="1:13">
      <c r="A413" s="263"/>
      <c r="B413" s="263"/>
      <c r="C413" s="263" t="s">
        <v>591</v>
      </c>
      <c r="D413" s="263" t="s">
        <v>1152</v>
      </c>
      <c r="E413" s="263"/>
      <c r="F413" s="263"/>
      <c r="G413" s="39" cm="1">
        <f t="array" ref="G413">IFERROR(INDEX(Table_dim_price_recipe[Retail Price], MATCH(1, ("Calculator"&lt;&gt;Table_dim_price_recipe[Type.display])*($L413=Table_dim_price_recipe[Category])*($D413=Table_dim_price_recipe[Item Description]) * (G$6=Table_dim_price_recipe[Type])*(Table_dim_price_recipe[Retail Price]&lt;&gt;0)*($C413=Table_dim_price_recipe[Subcategory]), 0))*$B413,"")</f>
        <v>0</v>
      </c>
      <c r="H413" s="39" t="str" cm="1">
        <f t="array" ref="H413">IFERROR(INDEX(Table_dim_price_recipe[Retail Price], MATCH(1, ("Calculator"&lt;&gt;Table_dim_price_recipe[Type.display])*($L413=Table_dim_price_recipe[Category])*($D413=Table_dim_price_recipe[Item Description]) * (H$6=Table_dim_price_recipe[Type])*(Table_dim_price_recipe[Retail Price]&lt;&gt;0)*($C413=Table_dim_price_recipe[Subcategory]), 0))*$B413,"")</f>
        <v/>
      </c>
      <c r="I413" s="39" t="str" cm="1">
        <f t="array" ref="I413">IFERROR(INDEX(Table_dim_price_recipe[Retail Price], MATCH(1, ("Calculator"&lt;&gt;Table_dim_price_recipe[Type.display])*($L413=Table_dim_price_recipe[Category])*($D413=Table_dim_price_recipe[Item Description]) * (I$6=Table_dim_price_recipe[Type])*(Table_dim_price_recipe[Retail Price]&lt;&gt;0)*($C413=Table_dim_price_recipe[Subcategory]), 0))*$B413,"")</f>
        <v/>
      </c>
      <c r="J413" s="39" t="str" cm="1">
        <f t="array" ref="J413">IFERROR(INDEX(Table_dim_price_recipe[Retail Price], MATCH(1, ("Calculator"&lt;&gt;Table_dim_price_recipe[Type.display])*($L413=Table_dim_price_recipe[Category])*($D413=Table_dim_price_recipe[Item Description]) * (J$6=Table_dim_price_recipe[Type])*(Table_dim_price_recipe[Retail Price]&lt;&gt;0)*($C413=Table_dim_price_recipe[Subcategory]), 0))*$B413,"")</f>
        <v/>
      </c>
      <c r="K413" s="39" t="str" cm="1">
        <f t="array" ref="K413">IFERROR(INDEX(Table_dim_price_recipe[Retail Price], MATCH(1, ("Calculator"&lt;&gt;Table_dim_price_recipe[Type.display])*($L413=Table_dim_price_recipe[Category])*($D413=Table_dim_price_recipe[Item Description]) * (K$6=Table_dim_price_recipe[Type])*(Table_dim_price_recipe[Retail Price]&lt;&gt;0)*($C413=Table_dim_price_recipe[Subcategory]), 0))*$B413,"")</f>
        <v/>
      </c>
      <c r="L413" s="39" t="str" cm="1">
        <f t="array" ref="L413">IF($A413&lt;&gt;"", $A413, LOOKUP(2, 1/((A$7:INDEX(A:A, ROW()))&lt;&gt;""), A$7:INDEX(A:A, ROW())))</f>
        <v>DOWN PIPES &amp; RAINHEADS</v>
      </c>
      <c r="M413" s="14"/>
    </row>
    <row r="414" spans="1:13">
      <c r="A414" s="263"/>
      <c r="B414" s="263"/>
      <c r="C414" s="263" t="s">
        <v>591</v>
      </c>
      <c r="D414" s="263" t="s">
        <v>1151</v>
      </c>
      <c r="E414" s="263"/>
      <c r="F414" s="263"/>
      <c r="G414" s="39" cm="1">
        <f t="array" ref="G414">IFERROR(INDEX(Table_dim_price_recipe[Retail Price], MATCH(1, ("Calculator"&lt;&gt;Table_dim_price_recipe[Type.display])*($L414=Table_dim_price_recipe[Category])*($D414=Table_dim_price_recipe[Item Description]) * (G$6=Table_dim_price_recipe[Type])*(Table_dim_price_recipe[Retail Price]&lt;&gt;0)*($C414=Table_dim_price_recipe[Subcategory]), 0))*$B414,"")</f>
        <v>0</v>
      </c>
      <c r="H414" s="39" t="str" cm="1">
        <f t="array" ref="H414">IFERROR(INDEX(Table_dim_price_recipe[Retail Price], MATCH(1, ("Calculator"&lt;&gt;Table_dim_price_recipe[Type.display])*($L414=Table_dim_price_recipe[Category])*($D414=Table_dim_price_recipe[Item Description]) * (H$6=Table_dim_price_recipe[Type])*(Table_dim_price_recipe[Retail Price]&lt;&gt;0)*($C414=Table_dim_price_recipe[Subcategory]), 0))*$B414,"")</f>
        <v/>
      </c>
      <c r="I414" s="39" t="str" cm="1">
        <f t="array" ref="I414">IFERROR(INDEX(Table_dim_price_recipe[Retail Price], MATCH(1, ("Calculator"&lt;&gt;Table_dim_price_recipe[Type.display])*($L414=Table_dim_price_recipe[Category])*($D414=Table_dim_price_recipe[Item Description]) * (I$6=Table_dim_price_recipe[Type])*(Table_dim_price_recipe[Retail Price]&lt;&gt;0)*($C414=Table_dim_price_recipe[Subcategory]), 0))*$B414,"")</f>
        <v/>
      </c>
      <c r="J414" s="39" t="str" cm="1">
        <f t="array" ref="J414">IFERROR(INDEX(Table_dim_price_recipe[Retail Price], MATCH(1, ("Calculator"&lt;&gt;Table_dim_price_recipe[Type.display])*($L414=Table_dim_price_recipe[Category])*($D414=Table_dim_price_recipe[Item Description]) * (J$6=Table_dim_price_recipe[Type])*(Table_dim_price_recipe[Retail Price]&lt;&gt;0)*($C414=Table_dim_price_recipe[Subcategory]), 0))*$B414,"")</f>
        <v/>
      </c>
      <c r="K414" s="39" t="str" cm="1">
        <f t="array" ref="K414">IFERROR(INDEX(Table_dim_price_recipe[Retail Price], MATCH(1, ("Calculator"&lt;&gt;Table_dim_price_recipe[Type.display])*($L414=Table_dim_price_recipe[Category])*($D414=Table_dim_price_recipe[Item Description]) * (K$6=Table_dim_price_recipe[Type])*(Table_dim_price_recipe[Retail Price]&lt;&gt;0)*($C414=Table_dim_price_recipe[Subcategory]), 0))*$B414,"")</f>
        <v/>
      </c>
      <c r="L414" s="39" t="str" cm="1">
        <f t="array" ref="L414">IF($A414&lt;&gt;"", $A414, LOOKUP(2, 1/((A$7:INDEX(A:A, ROW()))&lt;&gt;""), A$7:INDEX(A:A, ROW())))</f>
        <v>DOWN PIPES &amp; RAINHEADS</v>
      </c>
      <c r="M414" s="14"/>
    </row>
    <row r="415" spans="1:13">
      <c r="A415" s="263"/>
      <c r="B415" s="263"/>
      <c r="C415" s="263" t="s">
        <v>591</v>
      </c>
      <c r="D415" s="263"/>
      <c r="E415" s="263"/>
      <c r="F415" s="263"/>
      <c r="G415" s="39" t="str" cm="1">
        <f t="array" ref="G415">IFERROR(INDEX(Table_dim_price_recipe[Retail Price], MATCH(1, ("Calculator"&lt;&gt;Table_dim_price_recipe[Type.display])*($L415=Table_dim_price_recipe[Category])*($D415=Table_dim_price_recipe[Item Description]) * (G$6=Table_dim_price_recipe[Type])*(Table_dim_price_recipe[Retail Price]&lt;&gt;0)*($C415=Table_dim_price_recipe[Subcategory]), 0))*$B415,"")</f>
        <v/>
      </c>
      <c r="H415" s="39" t="str" cm="1">
        <f t="array" ref="H415">IFERROR(INDEX(Table_dim_price_recipe[Retail Price], MATCH(1, ("Calculator"&lt;&gt;Table_dim_price_recipe[Type.display])*($L415=Table_dim_price_recipe[Category])*($D415=Table_dim_price_recipe[Item Description]) * (H$6=Table_dim_price_recipe[Type])*(Table_dim_price_recipe[Retail Price]&lt;&gt;0)*($C415=Table_dim_price_recipe[Subcategory]), 0))*$B415,"")</f>
        <v/>
      </c>
      <c r="I415" s="39" t="str" cm="1">
        <f t="array" ref="I415">IFERROR(INDEX(Table_dim_price_recipe[Retail Price], MATCH(1, ("Calculator"&lt;&gt;Table_dim_price_recipe[Type.display])*($L415=Table_dim_price_recipe[Category])*($D415=Table_dim_price_recipe[Item Description]) * (I$6=Table_dim_price_recipe[Type])*(Table_dim_price_recipe[Retail Price]&lt;&gt;0)*($C415=Table_dim_price_recipe[Subcategory]), 0))*$B415,"")</f>
        <v/>
      </c>
      <c r="J415" s="39" t="str" cm="1">
        <f t="array" ref="J415">IFERROR(INDEX(Table_dim_price_recipe[Retail Price], MATCH(1, ("Calculator"&lt;&gt;Table_dim_price_recipe[Type.display])*($L415=Table_dim_price_recipe[Category])*($D415=Table_dim_price_recipe[Item Description]) * (J$6=Table_dim_price_recipe[Type])*(Table_dim_price_recipe[Retail Price]&lt;&gt;0)*($C415=Table_dim_price_recipe[Subcategory]), 0))*$B415,"")</f>
        <v/>
      </c>
      <c r="K415" s="39" t="str" cm="1">
        <f t="array" ref="K415">IFERROR(INDEX(Table_dim_price_recipe[Retail Price], MATCH(1, ("Calculator"&lt;&gt;Table_dim_price_recipe[Type.display])*($L415=Table_dim_price_recipe[Category])*($D415=Table_dim_price_recipe[Item Description]) * (K$6=Table_dim_price_recipe[Type])*(Table_dim_price_recipe[Retail Price]&lt;&gt;0)*($C415=Table_dim_price_recipe[Subcategory]), 0))*$B415,"")</f>
        <v/>
      </c>
      <c r="L415" s="39" t="str" cm="1">
        <f t="array" ref="L415">IF($A415&lt;&gt;"", $A415, LOOKUP(2, 1/((A$7:INDEX(A:A, ROW()))&lt;&gt;""), A$7:INDEX(A:A, ROW())))</f>
        <v>DOWN PIPES &amp; RAINHEADS</v>
      </c>
      <c r="M415" s="14"/>
    </row>
    <row r="416" spans="1:13">
      <c r="A416" s="263"/>
      <c r="B416" s="263"/>
      <c r="C416" s="263" t="s">
        <v>591</v>
      </c>
      <c r="D416" s="263"/>
      <c r="E416" s="263"/>
      <c r="F416" s="263"/>
      <c r="G416" s="39" t="str" cm="1">
        <f t="array" ref="G416">IFERROR(INDEX(Table_dim_price_recipe[Retail Price], MATCH(1, ("Calculator"&lt;&gt;Table_dim_price_recipe[Type.display])*($L416=Table_dim_price_recipe[Category])*($D416=Table_dim_price_recipe[Item Description]) * (G$6=Table_dim_price_recipe[Type])*(Table_dim_price_recipe[Retail Price]&lt;&gt;0)*($C416=Table_dim_price_recipe[Subcategory]), 0))*$B416,"")</f>
        <v/>
      </c>
      <c r="H416" s="39" t="str" cm="1">
        <f t="array" ref="H416">IFERROR(INDEX(Table_dim_price_recipe[Retail Price], MATCH(1, ("Calculator"&lt;&gt;Table_dim_price_recipe[Type.display])*($L416=Table_dim_price_recipe[Category])*($D416=Table_dim_price_recipe[Item Description]) * (H$6=Table_dim_price_recipe[Type])*(Table_dim_price_recipe[Retail Price]&lt;&gt;0)*($C416=Table_dim_price_recipe[Subcategory]), 0))*$B416,"")</f>
        <v/>
      </c>
      <c r="I416" s="39" t="str" cm="1">
        <f t="array" ref="I416">IFERROR(INDEX(Table_dim_price_recipe[Retail Price], MATCH(1, ("Calculator"&lt;&gt;Table_dim_price_recipe[Type.display])*($L416=Table_dim_price_recipe[Category])*($D416=Table_dim_price_recipe[Item Description]) * (I$6=Table_dim_price_recipe[Type])*(Table_dim_price_recipe[Retail Price]&lt;&gt;0)*($C416=Table_dim_price_recipe[Subcategory]), 0))*$B416,"")</f>
        <v/>
      </c>
      <c r="J416" s="39" t="str" cm="1">
        <f t="array" ref="J416">IFERROR(INDEX(Table_dim_price_recipe[Retail Price], MATCH(1, ("Calculator"&lt;&gt;Table_dim_price_recipe[Type.display])*($L416=Table_dim_price_recipe[Category])*($D416=Table_dim_price_recipe[Item Description]) * (J$6=Table_dim_price_recipe[Type])*(Table_dim_price_recipe[Retail Price]&lt;&gt;0)*($C416=Table_dim_price_recipe[Subcategory]), 0))*$B416,"")</f>
        <v/>
      </c>
      <c r="K416" s="39" t="str" cm="1">
        <f t="array" ref="K416">IFERROR(INDEX(Table_dim_price_recipe[Retail Price], MATCH(1, ("Calculator"&lt;&gt;Table_dim_price_recipe[Type.display])*($L416=Table_dim_price_recipe[Category])*($D416=Table_dim_price_recipe[Item Description]) * (K$6=Table_dim_price_recipe[Type])*(Table_dim_price_recipe[Retail Price]&lt;&gt;0)*($C416=Table_dim_price_recipe[Subcategory]), 0))*$B416,"")</f>
        <v/>
      </c>
      <c r="L416" s="39" t="str" cm="1">
        <f t="array" ref="L416">IF($A416&lt;&gt;"", $A416, LOOKUP(2, 1/((A$7:INDEX(A:A, ROW()))&lt;&gt;""), A$7:INDEX(A:A, ROW())))</f>
        <v>DOWN PIPES &amp; RAINHEADS</v>
      </c>
      <c r="M416" s="14"/>
    </row>
    <row r="417" spans="1:13">
      <c r="A417" s="263"/>
      <c r="B417" s="263"/>
      <c r="C417" s="263" t="s">
        <v>837</v>
      </c>
      <c r="D417" s="263" t="s">
        <v>838</v>
      </c>
      <c r="E417" s="263"/>
      <c r="F417" s="263"/>
      <c r="G417" s="39" t="str" cm="1">
        <f t="array" ref="G417">IFERROR(INDEX(Table_dim_price_recipe[Retail Price], MATCH(1, ("Calculator"&lt;&gt;Table_dim_price_recipe[Type.display])*($L417=Table_dim_price_recipe[Category])*($D417=Table_dim_price_recipe[Item Description]) * (G$6=Table_dim_price_recipe[Type])*(Table_dim_price_recipe[Retail Price]&lt;&gt;0)*($C417=Table_dim_price_recipe[Subcategory]), 0))*$B417,"")</f>
        <v/>
      </c>
      <c r="H417" s="39" t="str" cm="1">
        <f t="array" ref="H417">IFERROR(INDEX(Table_dim_price_recipe[Retail Price], MATCH(1, ("Calculator"&lt;&gt;Table_dim_price_recipe[Type.display])*($L417=Table_dim_price_recipe[Category])*($D417=Table_dim_price_recipe[Item Description]) * (H$6=Table_dim_price_recipe[Type])*(Table_dim_price_recipe[Retail Price]&lt;&gt;0)*($C417=Table_dim_price_recipe[Subcategory]), 0))*$B417,"")</f>
        <v/>
      </c>
      <c r="I417" s="39" t="str" cm="1">
        <f t="array" ref="I417">IFERROR(INDEX(Table_dim_price_recipe[Retail Price], MATCH(1, ("Calculator"&lt;&gt;Table_dim_price_recipe[Type.display])*($L417=Table_dim_price_recipe[Category])*($D417=Table_dim_price_recipe[Item Description]) * (I$6=Table_dim_price_recipe[Type])*(Table_dim_price_recipe[Retail Price]&lt;&gt;0)*($C417=Table_dim_price_recipe[Subcategory]), 0))*$B417,"")</f>
        <v/>
      </c>
      <c r="J417" s="39" t="str" cm="1">
        <f t="array" ref="J417">IFERROR(INDEX(Table_dim_price_recipe[Retail Price], MATCH(1, ("Calculator"&lt;&gt;Table_dim_price_recipe[Type.display])*($L417=Table_dim_price_recipe[Category])*($D417=Table_dim_price_recipe[Item Description]) * (J$6=Table_dim_price_recipe[Type])*(Table_dim_price_recipe[Retail Price]&lt;&gt;0)*($C417=Table_dim_price_recipe[Subcategory]), 0))*$B417,"")</f>
        <v/>
      </c>
      <c r="K417" s="39" cm="1">
        <f t="array" ref="K417">IFERROR(INDEX(Table_dim_price_recipe[Retail Price], MATCH(1, ("Calculator"&lt;&gt;Table_dim_price_recipe[Type.display])*($L417=Table_dim_price_recipe[Category])*($D417=Table_dim_price_recipe[Item Description]) * (K$6=Table_dim_price_recipe[Type])*(Table_dim_price_recipe[Retail Price]&lt;&gt;0)*($C417=Table_dim_price_recipe[Subcategory]), 0))*$B417,"")</f>
        <v>0</v>
      </c>
      <c r="L417" s="39" t="str" cm="1">
        <f t="array" ref="L417">IF($A417&lt;&gt;"", $A417, LOOKUP(2, 1/((A$7:INDEX(A:A, ROW()))&lt;&gt;""), A$7:INDEX(A:A, ROW())))</f>
        <v>DOWN PIPES &amp; RAINHEADS</v>
      </c>
      <c r="M417" s="14"/>
    </row>
    <row r="418" spans="1:13">
      <c r="A418" s="263"/>
      <c r="B418" s="263"/>
      <c r="C418" s="263" t="s">
        <v>837</v>
      </c>
      <c r="D418" s="263" t="s">
        <v>839</v>
      </c>
      <c r="E418" s="263"/>
      <c r="F418" s="263"/>
      <c r="G418" s="39" t="str" cm="1">
        <f t="array" ref="G418">IFERROR(INDEX(Table_dim_price_recipe[Retail Price], MATCH(1, ("Calculator"&lt;&gt;Table_dim_price_recipe[Type.display])*($L418=Table_dim_price_recipe[Category])*($D418=Table_dim_price_recipe[Item Description]) * (G$6=Table_dim_price_recipe[Type])*(Table_dim_price_recipe[Retail Price]&lt;&gt;0)*($C418=Table_dim_price_recipe[Subcategory]), 0))*$B418,"")</f>
        <v/>
      </c>
      <c r="H418" s="39" t="str" cm="1">
        <f t="array" ref="H418">IFERROR(INDEX(Table_dim_price_recipe[Retail Price], MATCH(1, ("Calculator"&lt;&gt;Table_dim_price_recipe[Type.display])*($L418=Table_dim_price_recipe[Category])*($D418=Table_dim_price_recipe[Item Description]) * (H$6=Table_dim_price_recipe[Type])*(Table_dim_price_recipe[Retail Price]&lt;&gt;0)*($C418=Table_dim_price_recipe[Subcategory]), 0))*$B418,"")</f>
        <v/>
      </c>
      <c r="I418" s="39" t="str" cm="1">
        <f t="array" ref="I418">IFERROR(INDEX(Table_dim_price_recipe[Retail Price], MATCH(1, ("Calculator"&lt;&gt;Table_dim_price_recipe[Type.display])*($L418=Table_dim_price_recipe[Category])*($D418=Table_dim_price_recipe[Item Description]) * (I$6=Table_dim_price_recipe[Type])*(Table_dim_price_recipe[Retail Price]&lt;&gt;0)*($C418=Table_dim_price_recipe[Subcategory]), 0))*$B418,"")</f>
        <v/>
      </c>
      <c r="J418" s="39" t="str" cm="1">
        <f t="array" ref="J418">IFERROR(INDEX(Table_dim_price_recipe[Retail Price], MATCH(1, ("Calculator"&lt;&gt;Table_dim_price_recipe[Type.display])*($L418=Table_dim_price_recipe[Category])*($D418=Table_dim_price_recipe[Item Description]) * (J$6=Table_dim_price_recipe[Type])*(Table_dim_price_recipe[Retail Price]&lt;&gt;0)*($C418=Table_dim_price_recipe[Subcategory]), 0))*$B418,"")</f>
        <v/>
      </c>
      <c r="K418" s="39" t="str" cm="1">
        <f t="array" ref="K418">IFERROR(INDEX(Table_dim_price_recipe[Retail Price], MATCH(1, ("Calculator"&lt;&gt;Table_dim_price_recipe[Type.display])*($L418=Table_dim_price_recipe[Category])*($D418=Table_dim_price_recipe[Item Description]) * (K$6=Table_dim_price_recipe[Type])*(Table_dim_price_recipe[Retail Price]&lt;&gt;0)*($C418=Table_dim_price_recipe[Subcategory]), 0))*$B418,"")</f>
        <v/>
      </c>
      <c r="L418" s="39" t="str" cm="1">
        <f t="array" ref="L418">IF($A418&lt;&gt;"", $A418, LOOKUP(2, 1/((A$7:INDEX(A:A, ROW()))&lt;&gt;""), A$7:INDEX(A:A, ROW())))</f>
        <v>DOWN PIPES &amp; RAINHEADS</v>
      </c>
      <c r="M418" s="14"/>
    </row>
    <row r="419" spans="1:13">
      <c r="A419" s="263"/>
      <c r="B419" s="263"/>
      <c r="C419" s="263" t="s">
        <v>837</v>
      </c>
      <c r="D419" s="263"/>
      <c r="E419" s="263"/>
      <c r="F419" s="263"/>
      <c r="G419" s="39" t="str" cm="1">
        <f t="array" ref="G419">IFERROR(INDEX(Table_dim_price_recipe[Retail Price], MATCH(1, ("Calculator"&lt;&gt;Table_dim_price_recipe[Type.display])*($L419=Table_dim_price_recipe[Category])*($D419=Table_dim_price_recipe[Item Description]) * (G$6=Table_dim_price_recipe[Type])*(Table_dim_price_recipe[Retail Price]&lt;&gt;0)*($C419=Table_dim_price_recipe[Subcategory]), 0))*$B419,"")</f>
        <v/>
      </c>
      <c r="H419" s="39" t="str" cm="1">
        <f t="array" ref="H419">IFERROR(INDEX(Table_dim_price_recipe[Retail Price], MATCH(1, ("Calculator"&lt;&gt;Table_dim_price_recipe[Type.display])*($L419=Table_dim_price_recipe[Category])*($D419=Table_dim_price_recipe[Item Description]) * (H$6=Table_dim_price_recipe[Type])*(Table_dim_price_recipe[Retail Price]&lt;&gt;0)*($C419=Table_dim_price_recipe[Subcategory]), 0))*$B419,"")</f>
        <v/>
      </c>
      <c r="I419" s="39" t="str" cm="1">
        <f t="array" ref="I419">IFERROR(INDEX(Table_dim_price_recipe[Retail Price], MATCH(1, ("Calculator"&lt;&gt;Table_dim_price_recipe[Type.display])*($L419=Table_dim_price_recipe[Category])*($D419=Table_dim_price_recipe[Item Description]) * (I$6=Table_dim_price_recipe[Type])*(Table_dim_price_recipe[Retail Price]&lt;&gt;0)*($C419=Table_dim_price_recipe[Subcategory]), 0))*$B419,"")</f>
        <v/>
      </c>
      <c r="J419" s="39" t="str" cm="1">
        <f t="array" ref="J419">IFERROR(INDEX(Table_dim_price_recipe[Retail Price], MATCH(1, ("Calculator"&lt;&gt;Table_dim_price_recipe[Type.display])*($L419=Table_dim_price_recipe[Category])*($D419=Table_dim_price_recipe[Item Description]) * (J$6=Table_dim_price_recipe[Type])*(Table_dim_price_recipe[Retail Price]&lt;&gt;0)*($C419=Table_dim_price_recipe[Subcategory]), 0))*$B419,"")</f>
        <v/>
      </c>
      <c r="K419" s="39" t="str" cm="1">
        <f t="array" ref="K419">IFERROR(INDEX(Table_dim_price_recipe[Retail Price], MATCH(1, ("Calculator"&lt;&gt;Table_dim_price_recipe[Type.display])*($L419=Table_dim_price_recipe[Category])*($D419=Table_dim_price_recipe[Item Description]) * (K$6=Table_dim_price_recipe[Type])*(Table_dim_price_recipe[Retail Price]&lt;&gt;0)*($C419=Table_dim_price_recipe[Subcategory]), 0))*$B419,"")</f>
        <v/>
      </c>
      <c r="L419" s="39" t="str" cm="1">
        <f t="array" ref="L419">IF($A419&lt;&gt;"", $A419, LOOKUP(2, 1/((A$7:INDEX(A:A, ROW()))&lt;&gt;""), A$7:INDEX(A:A, ROW())))</f>
        <v>DOWN PIPES &amp; RAINHEADS</v>
      </c>
      <c r="M419" s="14"/>
    </row>
    <row r="420" spans="1:13">
      <c r="A420" s="263"/>
      <c r="B420" s="263"/>
      <c r="C420" s="263" t="s">
        <v>837</v>
      </c>
      <c r="D420" s="263"/>
      <c r="E420" s="263"/>
      <c r="F420" s="263"/>
      <c r="G420" s="39" t="str" cm="1">
        <f t="array" ref="G420">IFERROR(INDEX(Table_dim_price_recipe[Retail Price], MATCH(1, ("Calculator"&lt;&gt;Table_dim_price_recipe[Type.display])*($L420=Table_dim_price_recipe[Category])*($D420=Table_dim_price_recipe[Item Description]) * (G$6=Table_dim_price_recipe[Type])*(Table_dim_price_recipe[Retail Price]&lt;&gt;0)*($C420=Table_dim_price_recipe[Subcategory]), 0))*$B420,"")</f>
        <v/>
      </c>
      <c r="H420" s="39" t="str" cm="1">
        <f t="array" ref="H420">IFERROR(INDEX(Table_dim_price_recipe[Retail Price], MATCH(1, ("Calculator"&lt;&gt;Table_dim_price_recipe[Type.display])*($L420=Table_dim_price_recipe[Category])*($D420=Table_dim_price_recipe[Item Description]) * (H$6=Table_dim_price_recipe[Type])*(Table_dim_price_recipe[Retail Price]&lt;&gt;0)*($C420=Table_dim_price_recipe[Subcategory]), 0))*$B420,"")</f>
        <v/>
      </c>
      <c r="I420" s="39" t="str" cm="1">
        <f t="array" ref="I420">IFERROR(INDEX(Table_dim_price_recipe[Retail Price], MATCH(1, ("Calculator"&lt;&gt;Table_dim_price_recipe[Type.display])*($L420=Table_dim_price_recipe[Category])*($D420=Table_dim_price_recipe[Item Description]) * (I$6=Table_dim_price_recipe[Type])*(Table_dim_price_recipe[Retail Price]&lt;&gt;0)*($C420=Table_dim_price_recipe[Subcategory]), 0))*$B420,"")</f>
        <v/>
      </c>
      <c r="J420" s="39" t="str" cm="1">
        <f t="array" ref="J420">IFERROR(INDEX(Table_dim_price_recipe[Retail Price], MATCH(1, ("Calculator"&lt;&gt;Table_dim_price_recipe[Type.display])*($L420=Table_dim_price_recipe[Category])*($D420=Table_dim_price_recipe[Item Description]) * (J$6=Table_dim_price_recipe[Type])*(Table_dim_price_recipe[Retail Price]&lt;&gt;0)*($C420=Table_dim_price_recipe[Subcategory]), 0))*$B420,"")</f>
        <v/>
      </c>
      <c r="K420" s="39" t="str" cm="1">
        <f t="array" ref="K420">IFERROR(INDEX(Table_dim_price_recipe[Retail Price], MATCH(1, ("Calculator"&lt;&gt;Table_dim_price_recipe[Type.display])*($L420=Table_dim_price_recipe[Category])*($D420=Table_dim_price_recipe[Item Description]) * (K$6=Table_dim_price_recipe[Type])*(Table_dim_price_recipe[Retail Price]&lt;&gt;0)*($C420=Table_dim_price_recipe[Subcategory]), 0))*$B420,"")</f>
        <v/>
      </c>
      <c r="L420" s="39" t="str" cm="1">
        <f t="array" ref="L420">IF($A420&lt;&gt;"", $A420, LOOKUP(2, 1/((A$7:INDEX(A:A, ROW()))&lt;&gt;""), A$7:INDEX(A:A, ROW())))</f>
        <v>DOWN PIPES &amp; RAINHEADS</v>
      </c>
      <c r="M420" s="14"/>
    </row>
    <row r="421" spans="1:13">
      <c r="A421" s="260" t="s">
        <v>51</v>
      </c>
      <c r="B421" s="261"/>
      <c r="C421" s="261"/>
      <c r="D421" s="261"/>
      <c r="E421" s="261"/>
      <c r="F421" s="261"/>
      <c r="G421" s="262" t="str" cm="1">
        <f t="array" ref="G421">IFERROR(INDEX(Table_dim_price_recipe[Retail Price], MATCH(1, ("Calculator"&lt;&gt;Table_dim_price_recipe[Type.display])*($L421=Table_dim_price_recipe[Category])*($D421=Table_dim_price_recipe[Item Description]) * (G$6=Table_dim_price_recipe[Type])*(Table_dim_price_recipe[Retail Price]&lt;&gt;0)*($C421=Table_dim_price_recipe[Subcategory]), 0))*$B421,"")</f>
        <v/>
      </c>
      <c r="H421" s="262" t="str" cm="1">
        <f t="array" ref="H421">IFERROR(INDEX(Table_dim_price_recipe[Retail Price], MATCH(1, ("Calculator"&lt;&gt;Table_dim_price_recipe[Type.display])*($L421=Table_dim_price_recipe[Category])*($D421=Table_dim_price_recipe[Item Description]) * (H$6=Table_dim_price_recipe[Type])*(Table_dim_price_recipe[Retail Price]&lt;&gt;0)*($C421=Table_dim_price_recipe[Subcategory]), 0))*$B421,"")</f>
        <v/>
      </c>
      <c r="I421" s="262" t="str" cm="1">
        <f t="array" ref="I421">IFERROR(INDEX(Table_dim_price_recipe[Retail Price], MATCH(1, ("Calculator"&lt;&gt;Table_dim_price_recipe[Type.display])*($L421=Table_dim_price_recipe[Category])*($D421=Table_dim_price_recipe[Item Description]) * (I$6=Table_dim_price_recipe[Type])*(Table_dim_price_recipe[Retail Price]&lt;&gt;0)*($C421=Table_dim_price_recipe[Subcategory]), 0))*$B421,"")</f>
        <v/>
      </c>
      <c r="J421" s="262" t="str" cm="1">
        <f t="array" ref="J421">IFERROR(INDEX(Table_dim_price_recipe[Retail Price], MATCH(1, ("Calculator"&lt;&gt;Table_dim_price_recipe[Type.display])*($L421=Table_dim_price_recipe[Category])*($D421=Table_dim_price_recipe[Item Description]) * (J$6=Table_dim_price_recipe[Type])*(Table_dim_price_recipe[Retail Price]&lt;&gt;0)*($C421=Table_dim_price_recipe[Subcategory]), 0))*$B421,"")</f>
        <v/>
      </c>
      <c r="K421" s="262" t="str" cm="1">
        <f t="array" ref="K421">IFERROR(INDEX(Table_dim_price_recipe[Retail Price], MATCH(1, ("Calculator"&lt;&gt;Table_dim_price_recipe[Type.display])*($L421=Table_dim_price_recipe[Category])*($D421=Table_dim_price_recipe[Item Description]) * (K$6=Table_dim_price_recipe[Type])*(Table_dim_price_recipe[Retail Price]&lt;&gt;0)*($C421=Table_dim_price_recipe[Subcategory]), 0))*$B421,"")</f>
        <v/>
      </c>
      <c r="L421" s="262" t="str" cm="1">
        <f t="array" ref="L421">IF($A421&lt;&gt;"", $A421, LOOKUP(2, 1/((A$7:INDEX(A:A, ROW()))&lt;&gt;""), A$7:INDEX(A:A, ROW())))</f>
        <v xml:space="preserve">FLASHINGS </v>
      </c>
      <c r="M421" s="14"/>
    </row>
    <row r="422" spans="1:13">
      <c r="A422" s="263"/>
      <c r="B422" s="263"/>
      <c r="C422" s="263" t="s">
        <v>552</v>
      </c>
      <c r="D422" s="263" t="s">
        <v>554</v>
      </c>
      <c r="E422" s="263" t="s">
        <v>555</v>
      </c>
      <c r="F422" s="263"/>
      <c r="G422" s="39" cm="1">
        <f t="array" ref="G422">IFERROR(INDEX(Table_dim_price_recipe[Retail Price], MATCH(1, ("Calculator"&lt;&gt;Table_dim_price_recipe[Type.display])*($L422=Table_dim_price_recipe[Category])*($D422=Table_dim_price_recipe[Item Description]) * (G$6=Table_dim_price_recipe[Type])*(Table_dim_price_recipe[Retail Price]&lt;&gt;0)*($C422=Table_dim_price_recipe[Subcategory]), 0))*$B422,"")</f>
        <v>0</v>
      </c>
      <c r="H422" s="39" t="str" cm="1">
        <f t="array" ref="H422">IFERROR(INDEX(Table_dim_price_recipe[Retail Price], MATCH(1, ("Calculator"&lt;&gt;Table_dim_price_recipe[Type.display])*($L422=Table_dim_price_recipe[Category])*($D422=Table_dim_price_recipe[Item Description]) * (H$6=Table_dim_price_recipe[Type])*(Table_dim_price_recipe[Retail Price]&lt;&gt;0)*($C422=Table_dim_price_recipe[Subcategory]), 0))*$B422,"")</f>
        <v/>
      </c>
      <c r="I422" s="39" t="str" cm="1">
        <f t="array" ref="I422">IFERROR(INDEX(Table_dim_price_recipe[Retail Price], MATCH(1, ("Calculator"&lt;&gt;Table_dim_price_recipe[Type.display])*($L422=Table_dim_price_recipe[Category])*($D422=Table_dim_price_recipe[Item Description]) * (I$6=Table_dim_price_recipe[Type])*(Table_dim_price_recipe[Retail Price]&lt;&gt;0)*($C422=Table_dim_price_recipe[Subcategory]), 0))*$B422,"")</f>
        <v/>
      </c>
      <c r="J422" s="39" t="str" cm="1">
        <f t="array" ref="J422">IFERROR(INDEX(Table_dim_price_recipe[Retail Price], MATCH(1, ("Calculator"&lt;&gt;Table_dim_price_recipe[Type.display])*($L422=Table_dim_price_recipe[Category])*($D422=Table_dim_price_recipe[Item Description]) * (J$6=Table_dim_price_recipe[Type])*(Table_dim_price_recipe[Retail Price]&lt;&gt;0)*($C422=Table_dim_price_recipe[Subcategory]), 0))*$B422,"")</f>
        <v/>
      </c>
      <c r="K422" s="39" t="str" cm="1">
        <f t="array" ref="K422">IFERROR(INDEX(Table_dim_price_recipe[Retail Price], MATCH(1, ("Calculator"&lt;&gt;Table_dim_price_recipe[Type.display])*($L422=Table_dim_price_recipe[Category])*($D422=Table_dim_price_recipe[Item Description]) * (K$6=Table_dim_price_recipe[Type])*(Table_dim_price_recipe[Retail Price]&lt;&gt;0)*($C422=Table_dim_price_recipe[Subcategory]), 0))*$B422,"")</f>
        <v/>
      </c>
      <c r="L422" s="39" t="str" cm="1">
        <f t="array" ref="L422">IF($A422&lt;&gt;"", $A422, LOOKUP(2, 1/((A$7:INDEX(A:A, ROW()))&lt;&gt;""), A$7:INDEX(A:A, ROW())))</f>
        <v xml:space="preserve">FLASHINGS </v>
      </c>
      <c r="M422" s="14"/>
    </row>
    <row r="423" spans="1:13">
      <c r="A423" s="263"/>
      <c r="B423" s="263"/>
      <c r="C423" s="263" t="s">
        <v>552</v>
      </c>
      <c r="D423" s="263" t="s">
        <v>54</v>
      </c>
      <c r="E423" s="263" t="s">
        <v>539</v>
      </c>
      <c r="F423" s="263"/>
      <c r="G423" s="39" cm="1">
        <f t="array" ref="G423">IFERROR(INDEX(Table_dim_price_recipe[Retail Price], MATCH(1, ("Calculator"&lt;&gt;Table_dim_price_recipe[Type.display])*($L423=Table_dim_price_recipe[Category])*($D423=Table_dim_price_recipe[Item Description]) * (G$6=Table_dim_price_recipe[Type])*(Table_dim_price_recipe[Retail Price]&lt;&gt;0)*($C423=Table_dim_price_recipe[Subcategory]), 0))*$B423,"")</f>
        <v>0</v>
      </c>
      <c r="H423" s="39" t="str" cm="1">
        <f t="array" ref="H423">IFERROR(INDEX(Table_dim_price_recipe[Retail Price], MATCH(1, ("Calculator"&lt;&gt;Table_dim_price_recipe[Type.display])*($L423=Table_dim_price_recipe[Category])*($D423=Table_dim_price_recipe[Item Description]) * (H$6=Table_dim_price_recipe[Type])*(Table_dim_price_recipe[Retail Price]&lt;&gt;0)*($C423=Table_dim_price_recipe[Subcategory]), 0))*$B423,"")</f>
        <v/>
      </c>
      <c r="I423" s="39" t="str" cm="1">
        <f t="array" ref="I423">IFERROR(INDEX(Table_dim_price_recipe[Retail Price], MATCH(1, ("Calculator"&lt;&gt;Table_dim_price_recipe[Type.display])*($L423=Table_dim_price_recipe[Category])*($D423=Table_dim_price_recipe[Item Description]) * (I$6=Table_dim_price_recipe[Type])*(Table_dim_price_recipe[Retail Price]&lt;&gt;0)*($C423=Table_dim_price_recipe[Subcategory]), 0))*$B423,"")</f>
        <v/>
      </c>
      <c r="J423" s="39" t="str" cm="1">
        <f t="array" ref="J423">IFERROR(INDEX(Table_dim_price_recipe[Retail Price], MATCH(1, ("Calculator"&lt;&gt;Table_dim_price_recipe[Type.display])*($L423=Table_dim_price_recipe[Category])*($D423=Table_dim_price_recipe[Item Description]) * (J$6=Table_dim_price_recipe[Type])*(Table_dim_price_recipe[Retail Price]&lt;&gt;0)*($C423=Table_dim_price_recipe[Subcategory]), 0))*$B423,"")</f>
        <v/>
      </c>
      <c r="K423" s="39" t="str" cm="1">
        <f t="array" ref="K423">IFERROR(INDEX(Table_dim_price_recipe[Retail Price], MATCH(1, ("Calculator"&lt;&gt;Table_dim_price_recipe[Type.display])*($L423=Table_dim_price_recipe[Category])*($D423=Table_dim_price_recipe[Item Description]) * (K$6=Table_dim_price_recipe[Type])*(Table_dim_price_recipe[Retail Price]&lt;&gt;0)*($C423=Table_dim_price_recipe[Subcategory]), 0))*$B423,"")</f>
        <v/>
      </c>
      <c r="L423" s="39" t="str" cm="1">
        <f t="array" ref="L423">IF($A423&lt;&gt;"", $A423, LOOKUP(2, 1/((A$7:INDEX(A:A, ROW()))&lt;&gt;""), A$7:INDEX(A:A, ROW())))</f>
        <v xml:space="preserve">FLASHINGS </v>
      </c>
      <c r="M423" s="14"/>
    </row>
    <row r="424" spans="1:13">
      <c r="A424" s="263"/>
      <c r="B424" s="263"/>
      <c r="C424" s="263" t="s">
        <v>552</v>
      </c>
      <c r="D424" s="263" t="s">
        <v>56</v>
      </c>
      <c r="E424" s="263" t="s">
        <v>553</v>
      </c>
      <c r="F424" s="263"/>
      <c r="G424" s="39" cm="1">
        <f t="array" ref="G424">IFERROR(INDEX(Table_dim_price_recipe[Retail Price], MATCH(1, ("Calculator"&lt;&gt;Table_dim_price_recipe[Type.display])*($L424=Table_dim_price_recipe[Category])*($D424=Table_dim_price_recipe[Item Description]) * (G$6=Table_dim_price_recipe[Type])*(Table_dim_price_recipe[Retail Price]&lt;&gt;0)*($C424=Table_dim_price_recipe[Subcategory]), 0))*$B424,"")</f>
        <v>0</v>
      </c>
      <c r="H424" s="39" t="str" cm="1">
        <f t="array" ref="H424">IFERROR(INDEX(Table_dim_price_recipe[Retail Price], MATCH(1, ("Calculator"&lt;&gt;Table_dim_price_recipe[Type.display])*($L424=Table_dim_price_recipe[Category])*($D424=Table_dim_price_recipe[Item Description]) * (H$6=Table_dim_price_recipe[Type])*(Table_dim_price_recipe[Retail Price]&lt;&gt;0)*($C424=Table_dim_price_recipe[Subcategory]), 0))*$B424,"")</f>
        <v/>
      </c>
      <c r="I424" s="39" t="str" cm="1">
        <f t="array" ref="I424">IFERROR(INDEX(Table_dim_price_recipe[Retail Price], MATCH(1, ("Calculator"&lt;&gt;Table_dim_price_recipe[Type.display])*($L424=Table_dim_price_recipe[Category])*($D424=Table_dim_price_recipe[Item Description]) * (I$6=Table_dim_price_recipe[Type])*(Table_dim_price_recipe[Retail Price]&lt;&gt;0)*($C424=Table_dim_price_recipe[Subcategory]), 0))*$B424,"")</f>
        <v/>
      </c>
      <c r="J424" s="39" t="str" cm="1">
        <f t="array" ref="J424">IFERROR(INDEX(Table_dim_price_recipe[Retail Price], MATCH(1, ("Calculator"&lt;&gt;Table_dim_price_recipe[Type.display])*($L424=Table_dim_price_recipe[Category])*($D424=Table_dim_price_recipe[Item Description]) * (J$6=Table_dim_price_recipe[Type])*(Table_dim_price_recipe[Retail Price]&lt;&gt;0)*($C424=Table_dim_price_recipe[Subcategory]), 0))*$B424,"")</f>
        <v/>
      </c>
      <c r="K424" s="39" t="str" cm="1">
        <f t="array" ref="K424">IFERROR(INDEX(Table_dim_price_recipe[Retail Price], MATCH(1, ("Calculator"&lt;&gt;Table_dim_price_recipe[Type.display])*($L424=Table_dim_price_recipe[Category])*($D424=Table_dim_price_recipe[Item Description]) * (K$6=Table_dim_price_recipe[Type])*(Table_dim_price_recipe[Retail Price]&lt;&gt;0)*($C424=Table_dim_price_recipe[Subcategory]), 0))*$B424,"")</f>
        <v/>
      </c>
      <c r="L424" s="39" t="str" cm="1">
        <f t="array" ref="L424">IF($A424&lt;&gt;"", $A424, LOOKUP(2, 1/((A$7:INDEX(A:A, ROW()))&lt;&gt;""), A$7:INDEX(A:A, ROW())))</f>
        <v xml:space="preserve">FLASHINGS </v>
      </c>
      <c r="M424" s="14"/>
    </row>
    <row r="425" spans="1:13">
      <c r="A425" s="263"/>
      <c r="B425" s="263"/>
      <c r="C425" s="263" t="s">
        <v>552</v>
      </c>
      <c r="D425" s="263" t="s">
        <v>55</v>
      </c>
      <c r="E425" s="263" t="s">
        <v>525</v>
      </c>
      <c r="F425" s="263"/>
      <c r="G425" s="39" cm="1">
        <f t="array" ref="G425">IFERROR(INDEX(Table_dim_price_recipe[Retail Price], MATCH(1, ("Calculator"&lt;&gt;Table_dim_price_recipe[Type.display])*($L425=Table_dim_price_recipe[Category])*($D425=Table_dim_price_recipe[Item Description]) * (G$6=Table_dim_price_recipe[Type])*(Table_dim_price_recipe[Retail Price]&lt;&gt;0)*($C425=Table_dim_price_recipe[Subcategory]), 0))*$B425,"")</f>
        <v>0</v>
      </c>
      <c r="H425" s="39" t="str" cm="1">
        <f t="array" ref="H425">IFERROR(INDEX(Table_dim_price_recipe[Retail Price], MATCH(1, ("Calculator"&lt;&gt;Table_dim_price_recipe[Type.display])*($L425=Table_dim_price_recipe[Category])*($D425=Table_dim_price_recipe[Item Description]) * (H$6=Table_dim_price_recipe[Type])*(Table_dim_price_recipe[Retail Price]&lt;&gt;0)*($C425=Table_dim_price_recipe[Subcategory]), 0))*$B425,"")</f>
        <v/>
      </c>
      <c r="I425" s="39" t="str" cm="1">
        <f t="array" ref="I425">IFERROR(INDEX(Table_dim_price_recipe[Retail Price], MATCH(1, ("Calculator"&lt;&gt;Table_dim_price_recipe[Type.display])*($L425=Table_dim_price_recipe[Category])*($D425=Table_dim_price_recipe[Item Description]) * (I$6=Table_dim_price_recipe[Type])*(Table_dim_price_recipe[Retail Price]&lt;&gt;0)*($C425=Table_dim_price_recipe[Subcategory]), 0))*$B425,"")</f>
        <v/>
      </c>
      <c r="J425" s="39" t="str" cm="1">
        <f t="array" ref="J425">IFERROR(INDEX(Table_dim_price_recipe[Retail Price], MATCH(1, ("Calculator"&lt;&gt;Table_dim_price_recipe[Type.display])*($L425=Table_dim_price_recipe[Category])*($D425=Table_dim_price_recipe[Item Description]) * (J$6=Table_dim_price_recipe[Type])*(Table_dim_price_recipe[Retail Price]&lt;&gt;0)*($C425=Table_dim_price_recipe[Subcategory]), 0))*$B425,"")</f>
        <v/>
      </c>
      <c r="K425" s="39" t="str" cm="1">
        <f t="array" ref="K425">IFERROR(INDEX(Table_dim_price_recipe[Retail Price], MATCH(1, ("Calculator"&lt;&gt;Table_dim_price_recipe[Type.display])*($L425=Table_dim_price_recipe[Category])*($D425=Table_dim_price_recipe[Item Description]) * (K$6=Table_dim_price_recipe[Type])*(Table_dim_price_recipe[Retail Price]&lt;&gt;0)*($C425=Table_dim_price_recipe[Subcategory]), 0))*$B425,"")</f>
        <v/>
      </c>
      <c r="L425" s="39" t="str" cm="1">
        <f t="array" ref="L425">IF($A425&lt;&gt;"", $A425, LOOKUP(2, 1/((A$7:INDEX(A:A, ROW()))&lt;&gt;""), A$7:INDEX(A:A, ROW())))</f>
        <v xml:space="preserve">FLASHINGS </v>
      </c>
      <c r="M425" s="14"/>
    </row>
    <row r="426" spans="1:13">
      <c r="A426" s="263"/>
      <c r="B426" s="263"/>
      <c r="C426" s="263" t="s">
        <v>552</v>
      </c>
      <c r="D426" s="263" t="s">
        <v>556</v>
      </c>
      <c r="E426" s="263" t="s">
        <v>557</v>
      </c>
      <c r="F426" s="263"/>
      <c r="G426" s="39" cm="1">
        <f t="array" ref="G426">IFERROR(INDEX(Table_dim_price_recipe[Retail Price], MATCH(1, ("Calculator"&lt;&gt;Table_dim_price_recipe[Type.display])*($L426=Table_dim_price_recipe[Category])*($D426=Table_dim_price_recipe[Item Description]) * (G$6=Table_dim_price_recipe[Type])*(Table_dim_price_recipe[Retail Price]&lt;&gt;0)*($C426=Table_dim_price_recipe[Subcategory]), 0))*$B426,"")</f>
        <v>0</v>
      </c>
      <c r="H426" s="39" t="str" cm="1">
        <f t="array" ref="H426">IFERROR(INDEX(Table_dim_price_recipe[Retail Price], MATCH(1, ("Calculator"&lt;&gt;Table_dim_price_recipe[Type.display])*($L426=Table_dim_price_recipe[Category])*($D426=Table_dim_price_recipe[Item Description]) * (H$6=Table_dim_price_recipe[Type])*(Table_dim_price_recipe[Retail Price]&lt;&gt;0)*($C426=Table_dim_price_recipe[Subcategory]), 0))*$B426,"")</f>
        <v/>
      </c>
      <c r="I426" s="39" t="str" cm="1">
        <f t="array" ref="I426">IFERROR(INDEX(Table_dim_price_recipe[Retail Price], MATCH(1, ("Calculator"&lt;&gt;Table_dim_price_recipe[Type.display])*($L426=Table_dim_price_recipe[Category])*($D426=Table_dim_price_recipe[Item Description]) * (I$6=Table_dim_price_recipe[Type])*(Table_dim_price_recipe[Retail Price]&lt;&gt;0)*($C426=Table_dim_price_recipe[Subcategory]), 0))*$B426,"")</f>
        <v/>
      </c>
      <c r="J426" s="39" t="str" cm="1">
        <f t="array" ref="J426">IFERROR(INDEX(Table_dim_price_recipe[Retail Price], MATCH(1, ("Calculator"&lt;&gt;Table_dim_price_recipe[Type.display])*($L426=Table_dim_price_recipe[Category])*($D426=Table_dim_price_recipe[Item Description]) * (J$6=Table_dim_price_recipe[Type])*(Table_dim_price_recipe[Retail Price]&lt;&gt;0)*($C426=Table_dim_price_recipe[Subcategory]), 0))*$B426,"")</f>
        <v/>
      </c>
      <c r="K426" s="39" t="str" cm="1">
        <f t="array" ref="K426">IFERROR(INDEX(Table_dim_price_recipe[Retail Price], MATCH(1, ("Calculator"&lt;&gt;Table_dim_price_recipe[Type.display])*($L426=Table_dim_price_recipe[Category])*($D426=Table_dim_price_recipe[Item Description]) * (K$6=Table_dim_price_recipe[Type])*(Table_dim_price_recipe[Retail Price]&lt;&gt;0)*($C426=Table_dim_price_recipe[Subcategory]), 0))*$B426,"")</f>
        <v/>
      </c>
      <c r="L426" s="39" t="str" cm="1">
        <f t="array" ref="L426">IF($A426&lt;&gt;"", $A426, LOOKUP(2, 1/((A$7:INDEX(A:A, ROW()))&lt;&gt;""), A$7:INDEX(A:A, ROW())))</f>
        <v xml:space="preserve">FLASHINGS </v>
      </c>
      <c r="M426" s="14"/>
    </row>
    <row r="427" spans="1:13">
      <c r="A427" s="263"/>
      <c r="B427" s="263"/>
      <c r="C427" s="263" t="s">
        <v>552</v>
      </c>
      <c r="D427" s="263"/>
      <c r="E427" s="263"/>
      <c r="F427" s="263"/>
      <c r="G427" s="39" t="str" cm="1">
        <f t="array" ref="G427">IFERROR(INDEX(Table_dim_price_recipe[Retail Price], MATCH(1, ("Calculator"&lt;&gt;Table_dim_price_recipe[Type.display])*($L427=Table_dim_price_recipe[Category])*($D427=Table_dim_price_recipe[Item Description]) * (G$6=Table_dim_price_recipe[Type])*(Table_dim_price_recipe[Retail Price]&lt;&gt;0)*($C427=Table_dim_price_recipe[Subcategory]), 0))*$B427,"")</f>
        <v/>
      </c>
      <c r="H427" s="39" t="str" cm="1">
        <f t="array" ref="H427">IFERROR(INDEX(Table_dim_price_recipe[Retail Price], MATCH(1, ("Calculator"&lt;&gt;Table_dim_price_recipe[Type.display])*($L427=Table_dim_price_recipe[Category])*($D427=Table_dim_price_recipe[Item Description]) * (H$6=Table_dim_price_recipe[Type])*(Table_dim_price_recipe[Retail Price]&lt;&gt;0)*($C427=Table_dim_price_recipe[Subcategory]), 0))*$B427,"")</f>
        <v/>
      </c>
      <c r="I427" s="39" t="str" cm="1">
        <f t="array" ref="I427">IFERROR(INDEX(Table_dim_price_recipe[Retail Price], MATCH(1, ("Calculator"&lt;&gt;Table_dim_price_recipe[Type.display])*($L427=Table_dim_price_recipe[Category])*($D427=Table_dim_price_recipe[Item Description]) * (I$6=Table_dim_price_recipe[Type])*(Table_dim_price_recipe[Retail Price]&lt;&gt;0)*($C427=Table_dim_price_recipe[Subcategory]), 0))*$B427,"")</f>
        <v/>
      </c>
      <c r="J427" s="39" t="str" cm="1">
        <f t="array" ref="J427">IFERROR(INDEX(Table_dim_price_recipe[Retail Price], MATCH(1, ("Calculator"&lt;&gt;Table_dim_price_recipe[Type.display])*($L427=Table_dim_price_recipe[Category])*($D427=Table_dim_price_recipe[Item Description]) * (J$6=Table_dim_price_recipe[Type])*(Table_dim_price_recipe[Retail Price]&lt;&gt;0)*($C427=Table_dim_price_recipe[Subcategory]), 0))*$B427,"")</f>
        <v/>
      </c>
      <c r="K427" s="39" t="str" cm="1">
        <f t="array" ref="K427">IFERROR(INDEX(Table_dim_price_recipe[Retail Price], MATCH(1, ("Calculator"&lt;&gt;Table_dim_price_recipe[Type.display])*($L427=Table_dim_price_recipe[Category])*($D427=Table_dim_price_recipe[Item Description]) * (K$6=Table_dim_price_recipe[Type])*(Table_dim_price_recipe[Retail Price]&lt;&gt;0)*($C427=Table_dim_price_recipe[Subcategory]), 0))*$B427,"")</f>
        <v/>
      </c>
      <c r="L427" s="39" t="str" cm="1">
        <f t="array" ref="L427">IF($A427&lt;&gt;"", $A427, LOOKUP(2, 1/((A$7:INDEX(A:A, ROW()))&lt;&gt;""), A$7:INDEX(A:A, ROW())))</f>
        <v xml:space="preserve">FLASHINGS </v>
      </c>
      <c r="M427" s="14"/>
    </row>
    <row r="428" spans="1:13">
      <c r="A428" s="263"/>
      <c r="B428" s="263"/>
      <c r="C428" s="263" t="s">
        <v>552</v>
      </c>
      <c r="D428" s="263"/>
      <c r="E428" s="263"/>
      <c r="F428" s="263"/>
      <c r="G428" s="39" t="str" cm="1">
        <f t="array" ref="G428">IFERROR(INDEX(Table_dim_price_recipe[Retail Price], MATCH(1, ("Calculator"&lt;&gt;Table_dim_price_recipe[Type.display])*($L428=Table_dim_price_recipe[Category])*($D428=Table_dim_price_recipe[Item Description]) * (G$6=Table_dim_price_recipe[Type])*(Table_dim_price_recipe[Retail Price]&lt;&gt;0)*($C428=Table_dim_price_recipe[Subcategory]), 0))*$B428,"")</f>
        <v/>
      </c>
      <c r="H428" s="39" t="str" cm="1">
        <f t="array" ref="H428">IFERROR(INDEX(Table_dim_price_recipe[Retail Price], MATCH(1, ("Calculator"&lt;&gt;Table_dim_price_recipe[Type.display])*($L428=Table_dim_price_recipe[Category])*($D428=Table_dim_price_recipe[Item Description]) * (H$6=Table_dim_price_recipe[Type])*(Table_dim_price_recipe[Retail Price]&lt;&gt;0)*($C428=Table_dim_price_recipe[Subcategory]), 0))*$B428,"")</f>
        <v/>
      </c>
      <c r="I428" s="39" t="str" cm="1">
        <f t="array" ref="I428">IFERROR(INDEX(Table_dim_price_recipe[Retail Price], MATCH(1, ("Calculator"&lt;&gt;Table_dim_price_recipe[Type.display])*($L428=Table_dim_price_recipe[Category])*($D428=Table_dim_price_recipe[Item Description]) * (I$6=Table_dim_price_recipe[Type])*(Table_dim_price_recipe[Retail Price]&lt;&gt;0)*($C428=Table_dim_price_recipe[Subcategory]), 0))*$B428,"")</f>
        <v/>
      </c>
      <c r="J428" s="39" t="str" cm="1">
        <f t="array" ref="J428">IFERROR(INDEX(Table_dim_price_recipe[Retail Price], MATCH(1, ("Calculator"&lt;&gt;Table_dim_price_recipe[Type.display])*($L428=Table_dim_price_recipe[Category])*($D428=Table_dim_price_recipe[Item Description]) * (J$6=Table_dim_price_recipe[Type])*(Table_dim_price_recipe[Retail Price]&lt;&gt;0)*($C428=Table_dim_price_recipe[Subcategory]), 0))*$B428,"")</f>
        <v/>
      </c>
      <c r="K428" s="39" t="str" cm="1">
        <f t="array" ref="K428">IFERROR(INDEX(Table_dim_price_recipe[Retail Price], MATCH(1, ("Calculator"&lt;&gt;Table_dim_price_recipe[Type.display])*($L428=Table_dim_price_recipe[Category])*($D428=Table_dim_price_recipe[Item Description]) * (K$6=Table_dim_price_recipe[Type])*(Table_dim_price_recipe[Retail Price]&lt;&gt;0)*($C428=Table_dim_price_recipe[Subcategory]), 0))*$B428,"")</f>
        <v/>
      </c>
      <c r="L428" s="39" t="str" cm="1">
        <f t="array" ref="L428">IF($A428&lt;&gt;"", $A428, LOOKUP(2, 1/((A$7:INDEX(A:A, ROW()))&lt;&gt;""), A$7:INDEX(A:A, ROW())))</f>
        <v xml:space="preserve">FLASHINGS </v>
      </c>
      <c r="M428" s="14"/>
    </row>
    <row r="429" spans="1:13">
      <c r="A429" s="263"/>
      <c r="B429" s="263"/>
      <c r="C429" s="263" t="s">
        <v>522</v>
      </c>
      <c r="D429" s="263" t="s">
        <v>1145</v>
      </c>
      <c r="E429" s="263" t="s">
        <v>531</v>
      </c>
      <c r="F429" s="263"/>
      <c r="G429" s="39" cm="1">
        <f t="array" ref="G429">IFERROR(INDEX(Table_dim_price_recipe[Retail Price], MATCH(1, ("Calculator"&lt;&gt;Table_dim_price_recipe[Type.display])*($L429=Table_dim_price_recipe[Category])*($D429=Table_dim_price_recipe[Item Description]) * (G$6=Table_dim_price_recipe[Type])*(Table_dim_price_recipe[Retail Price]&lt;&gt;0)*($C429=Table_dim_price_recipe[Subcategory]), 0))*$B429,"")</f>
        <v>0</v>
      </c>
      <c r="H429" s="39" t="str" cm="1">
        <f t="array" ref="H429">IFERROR(INDEX(Table_dim_price_recipe[Retail Price], MATCH(1, ("Calculator"&lt;&gt;Table_dim_price_recipe[Type.display])*($L429=Table_dim_price_recipe[Category])*($D429=Table_dim_price_recipe[Item Description]) * (H$6=Table_dim_price_recipe[Type])*(Table_dim_price_recipe[Retail Price]&lt;&gt;0)*($C429=Table_dim_price_recipe[Subcategory]), 0))*$B429,"")</f>
        <v/>
      </c>
      <c r="I429" s="39" t="str" cm="1">
        <f t="array" ref="I429">IFERROR(INDEX(Table_dim_price_recipe[Retail Price], MATCH(1, ("Calculator"&lt;&gt;Table_dim_price_recipe[Type.display])*($L429=Table_dim_price_recipe[Category])*($D429=Table_dim_price_recipe[Item Description]) * (I$6=Table_dim_price_recipe[Type])*(Table_dim_price_recipe[Retail Price]&lt;&gt;0)*($C429=Table_dim_price_recipe[Subcategory]), 0))*$B429,"")</f>
        <v/>
      </c>
      <c r="J429" s="39" t="str" cm="1">
        <f t="array" ref="J429">IFERROR(INDEX(Table_dim_price_recipe[Retail Price], MATCH(1, ("Calculator"&lt;&gt;Table_dim_price_recipe[Type.display])*($L429=Table_dim_price_recipe[Category])*($D429=Table_dim_price_recipe[Item Description]) * (J$6=Table_dim_price_recipe[Type])*(Table_dim_price_recipe[Retail Price]&lt;&gt;0)*($C429=Table_dim_price_recipe[Subcategory]), 0))*$B429,"")</f>
        <v/>
      </c>
      <c r="K429" s="39" t="str" cm="1">
        <f t="array" ref="K429">IFERROR(INDEX(Table_dim_price_recipe[Retail Price], MATCH(1, ("Calculator"&lt;&gt;Table_dim_price_recipe[Type.display])*($L429=Table_dim_price_recipe[Category])*($D429=Table_dim_price_recipe[Item Description]) * (K$6=Table_dim_price_recipe[Type])*(Table_dim_price_recipe[Retail Price]&lt;&gt;0)*($C429=Table_dim_price_recipe[Subcategory]), 0))*$B429,"")</f>
        <v/>
      </c>
      <c r="L429" s="39" t="str" cm="1">
        <f t="array" ref="L429">IF($A429&lt;&gt;"", $A429, LOOKUP(2, 1/((A$7:INDEX(A:A, ROW()))&lt;&gt;""), A$7:INDEX(A:A, ROW())))</f>
        <v xml:space="preserve">FLASHINGS </v>
      </c>
      <c r="M429" s="14"/>
    </row>
    <row r="430" spans="1:13">
      <c r="A430" s="263"/>
      <c r="B430" s="263"/>
      <c r="C430" s="263" t="s">
        <v>522</v>
      </c>
      <c r="D430" s="263" t="s">
        <v>1147</v>
      </c>
      <c r="E430" s="263" t="s">
        <v>535</v>
      </c>
      <c r="F430" s="263"/>
      <c r="G430" s="39" cm="1">
        <f t="array" ref="G430">IFERROR(INDEX(Table_dim_price_recipe[Retail Price], MATCH(1, ("Calculator"&lt;&gt;Table_dim_price_recipe[Type.display])*($L430=Table_dim_price_recipe[Category])*($D430=Table_dim_price_recipe[Item Description]) * (G$6=Table_dim_price_recipe[Type])*(Table_dim_price_recipe[Retail Price]&lt;&gt;0)*($C430=Table_dim_price_recipe[Subcategory]), 0))*$B430,"")</f>
        <v>0</v>
      </c>
      <c r="H430" s="39" t="str" cm="1">
        <f t="array" ref="H430">IFERROR(INDEX(Table_dim_price_recipe[Retail Price], MATCH(1, ("Calculator"&lt;&gt;Table_dim_price_recipe[Type.display])*($L430=Table_dim_price_recipe[Category])*($D430=Table_dim_price_recipe[Item Description]) * (H$6=Table_dim_price_recipe[Type])*(Table_dim_price_recipe[Retail Price]&lt;&gt;0)*($C430=Table_dim_price_recipe[Subcategory]), 0))*$B430,"")</f>
        <v/>
      </c>
      <c r="I430" s="39" t="str" cm="1">
        <f t="array" ref="I430">IFERROR(INDEX(Table_dim_price_recipe[Retail Price], MATCH(1, ("Calculator"&lt;&gt;Table_dim_price_recipe[Type.display])*($L430=Table_dim_price_recipe[Category])*($D430=Table_dim_price_recipe[Item Description]) * (I$6=Table_dim_price_recipe[Type])*(Table_dim_price_recipe[Retail Price]&lt;&gt;0)*($C430=Table_dim_price_recipe[Subcategory]), 0))*$B430,"")</f>
        <v/>
      </c>
      <c r="J430" s="39" t="str" cm="1">
        <f t="array" ref="J430">IFERROR(INDEX(Table_dim_price_recipe[Retail Price], MATCH(1, ("Calculator"&lt;&gt;Table_dim_price_recipe[Type.display])*($L430=Table_dim_price_recipe[Category])*($D430=Table_dim_price_recipe[Item Description]) * (J$6=Table_dim_price_recipe[Type])*(Table_dim_price_recipe[Retail Price]&lt;&gt;0)*($C430=Table_dim_price_recipe[Subcategory]), 0))*$B430,"")</f>
        <v/>
      </c>
      <c r="K430" s="39" t="str" cm="1">
        <f t="array" ref="K430">IFERROR(INDEX(Table_dim_price_recipe[Retail Price], MATCH(1, ("Calculator"&lt;&gt;Table_dim_price_recipe[Type.display])*($L430=Table_dim_price_recipe[Category])*($D430=Table_dim_price_recipe[Item Description]) * (K$6=Table_dim_price_recipe[Type])*(Table_dim_price_recipe[Retail Price]&lt;&gt;0)*($C430=Table_dim_price_recipe[Subcategory]), 0))*$B430,"")</f>
        <v/>
      </c>
      <c r="L430" s="39" t="str" cm="1">
        <f t="array" ref="L430">IF($A430&lt;&gt;"", $A430, LOOKUP(2, 1/((A$7:INDEX(A:A, ROW()))&lt;&gt;""), A$7:INDEX(A:A, ROW())))</f>
        <v xml:space="preserve">FLASHINGS </v>
      </c>
      <c r="M430" s="14"/>
    </row>
    <row r="431" spans="1:13">
      <c r="A431" s="263"/>
      <c r="B431" s="263"/>
      <c r="C431" s="263" t="s">
        <v>522</v>
      </c>
      <c r="D431" s="263" t="s">
        <v>536</v>
      </c>
      <c r="E431" s="263" t="s">
        <v>537</v>
      </c>
      <c r="F431" s="263"/>
      <c r="G431" s="39" cm="1">
        <f t="array" ref="G431">IFERROR(INDEX(Table_dim_price_recipe[Retail Price], MATCH(1, ("Calculator"&lt;&gt;Table_dim_price_recipe[Type.display])*($L431=Table_dim_price_recipe[Category])*($D431=Table_dim_price_recipe[Item Description]) * (G$6=Table_dim_price_recipe[Type])*(Table_dim_price_recipe[Retail Price]&lt;&gt;0)*($C431=Table_dim_price_recipe[Subcategory]), 0))*$B431,"")</f>
        <v>0</v>
      </c>
      <c r="H431" s="39" t="str" cm="1">
        <f t="array" ref="H431">IFERROR(INDEX(Table_dim_price_recipe[Retail Price], MATCH(1, ("Calculator"&lt;&gt;Table_dim_price_recipe[Type.display])*($L431=Table_dim_price_recipe[Category])*($D431=Table_dim_price_recipe[Item Description]) * (H$6=Table_dim_price_recipe[Type])*(Table_dim_price_recipe[Retail Price]&lt;&gt;0)*($C431=Table_dim_price_recipe[Subcategory]), 0))*$B431,"")</f>
        <v/>
      </c>
      <c r="I431" s="39" t="str" cm="1">
        <f t="array" ref="I431">IFERROR(INDEX(Table_dim_price_recipe[Retail Price], MATCH(1, ("Calculator"&lt;&gt;Table_dim_price_recipe[Type.display])*($L431=Table_dim_price_recipe[Category])*($D431=Table_dim_price_recipe[Item Description]) * (I$6=Table_dim_price_recipe[Type])*(Table_dim_price_recipe[Retail Price]&lt;&gt;0)*($C431=Table_dim_price_recipe[Subcategory]), 0))*$B431,"")</f>
        <v/>
      </c>
      <c r="J431" s="39" t="str" cm="1">
        <f t="array" ref="J431">IFERROR(INDEX(Table_dim_price_recipe[Retail Price], MATCH(1, ("Calculator"&lt;&gt;Table_dim_price_recipe[Type.display])*($L431=Table_dim_price_recipe[Category])*($D431=Table_dim_price_recipe[Item Description]) * (J$6=Table_dim_price_recipe[Type])*(Table_dim_price_recipe[Retail Price]&lt;&gt;0)*($C431=Table_dim_price_recipe[Subcategory]), 0))*$B431,"")</f>
        <v/>
      </c>
      <c r="K431" s="39" t="str" cm="1">
        <f t="array" ref="K431">IFERROR(INDEX(Table_dim_price_recipe[Retail Price], MATCH(1, ("Calculator"&lt;&gt;Table_dim_price_recipe[Type.display])*($L431=Table_dim_price_recipe[Category])*($D431=Table_dim_price_recipe[Item Description]) * (K$6=Table_dim_price_recipe[Type])*(Table_dim_price_recipe[Retail Price]&lt;&gt;0)*($C431=Table_dim_price_recipe[Subcategory]), 0))*$B431,"")</f>
        <v/>
      </c>
      <c r="L431" s="39" t="str" cm="1">
        <f t="array" ref="L431">IF($A431&lt;&gt;"", $A431, LOOKUP(2, 1/((A$7:INDEX(A:A, ROW()))&lt;&gt;""), A$7:INDEX(A:A, ROW())))</f>
        <v xml:space="preserve">FLASHINGS </v>
      </c>
      <c r="M431" s="14"/>
    </row>
    <row r="432" spans="1:13">
      <c r="A432" s="263"/>
      <c r="B432" s="263"/>
      <c r="C432" s="263" t="s">
        <v>522</v>
      </c>
      <c r="D432" s="263" t="s">
        <v>1143</v>
      </c>
      <c r="E432" s="263" t="s">
        <v>525</v>
      </c>
      <c r="F432" s="263"/>
      <c r="G432" s="39" cm="1">
        <f t="array" ref="G432">IFERROR(INDEX(Table_dim_price_recipe[Retail Price], MATCH(1, ("Calculator"&lt;&gt;Table_dim_price_recipe[Type.display])*($L432=Table_dim_price_recipe[Category])*($D432=Table_dim_price_recipe[Item Description]) * (G$6=Table_dim_price_recipe[Type])*(Table_dim_price_recipe[Retail Price]&lt;&gt;0)*($C432=Table_dim_price_recipe[Subcategory]), 0))*$B432,"")</f>
        <v>0</v>
      </c>
      <c r="H432" s="39" t="str" cm="1">
        <f t="array" ref="H432">IFERROR(INDEX(Table_dim_price_recipe[Retail Price], MATCH(1, ("Calculator"&lt;&gt;Table_dim_price_recipe[Type.display])*($L432=Table_dim_price_recipe[Category])*($D432=Table_dim_price_recipe[Item Description]) * (H$6=Table_dim_price_recipe[Type])*(Table_dim_price_recipe[Retail Price]&lt;&gt;0)*($C432=Table_dim_price_recipe[Subcategory]), 0))*$B432,"")</f>
        <v/>
      </c>
      <c r="I432" s="39" t="str" cm="1">
        <f t="array" ref="I432">IFERROR(INDEX(Table_dim_price_recipe[Retail Price], MATCH(1, ("Calculator"&lt;&gt;Table_dim_price_recipe[Type.display])*($L432=Table_dim_price_recipe[Category])*($D432=Table_dim_price_recipe[Item Description]) * (I$6=Table_dim_price_recipe[Type])*(Table_dim_price_recipe[Retail Price]&lt;&gt;0)*($C432=Table_dim_price_recipe[Subcategory]), 0))*$B432,"")</f>
        <v/>
      </c>
      <c r="J432" s="39" t="str" cm="1">
        <f t="array" ref="J432">IFERROR(INDEX(Table_dim_price_recipe[Retail Price], MATCH(1, ("Calculator"&lt;&gt;Table_dim_price_recipe[Type.display])*($L432=Table_dim_price_recipe[Category])*($D432=Table_dim_price_recipe[Item Description]) * (J$6=Table_dim_price_recipe[Type])*(Table_dim_price_recipe[Retail Price]&lt;&gt;0)*($C432=Table_dim_price_recipe[Subcategory]), 0))*$B432,"")</f>
        <v/>
      </c>
      <c r="K432" s="39" t="str" cm="1">
        <f t="array" ref="K432">IFERROR(INDEX(Table_dim_price_recipe[Retail Price], MATCH(1, ("Calculator"&lt;&gt;Table_dim_price_recipe[Type.display])*($L432=Table_dim_price_recipe[Category])*($D432=Table_dim_price_recipe[Item Description]) * (K$6=Table_dim_price_recipe[Type])*(Table_dim_price_recipe[Retail Price]&lt;&gt;0)*($C432=Table_dim_price_recipe[Subcategory]), 0))*$B432,"")</f>
        <v/>
      </c>
      <c r="L432" s="39" t="str" cm="1">
        <f t="array" ref="L432">IF($A432&lt;&gt;"", $A432, LOOKUP(2, 1/((A$7:INDEX(A:A, ROW()))&lt;&gt;""), A$7:INDEX(A:A, ROW())))</f>
        <v xml:space="preserve">FLASHINGS </v>
      </c>
      <c r="M432" s="14"/>
    </row>
    <row r="433" spans="1:13">
      <c r="A433" s="263"/>
      <c r="B433" s="263"/>
      <c r="C433" s="263" t="s">
        <v>522</v>
      </c>
      <c r="D433" s="263" t="s">
        <v>1144</v>
      </c>
      <c r="E433" s="263" t="s">
        <v>527</v>
      </c>
      <c r="F433" s="263"/>
      <c r="G433" s="39" cm="1">
        <f t="array" ref="G433">IFERROR(INDEX(Table_dim_price_recipe[Retail Price], MATCH(1, ("Calculator"&lt;&gt;Table_dim_price_recipe[Type.display])*($L433=Table_dim_price_recipe[Category])*($D433=Table_dim_price_recipe[Item Description]) * (G$6=Table_dim_price_recipe[Type])*(Table_dim_price_recipe[Retail Price]&lt;&gt;0)*($C433=Table_dim_price_recipe[Subcategory]), 0))*$B433,"")</f>
        <v>0</v>
      </c>
      <c r="H433" s="39" t="str" cm="1">
        <f t="array" ref="H433">IFERROR(INDEX(Table_dim_price_recipe[Retail Price], MATCH(1, ("Calculator"&lt;&gt;Table_dim_price_recipe[Type.display])*($L433=Table_dim_price_recipe[Category])*($D433=Table_dim_price_recipe[Item Description]) * (H$6=Table_dim_price_recipe[Type])*(Table_dim_price_recipe[Retail Price]&lt;&gt;0)*($C433=Table_dim_price_recipe[Subcategory]), 0))*$B433,"")</f>
        <v/>
      </c>
      <c r="I433" s="39" t="str" cm="1">
        <f t="array" ref="I433">IFERROR(INDEX(Table_dim_price_recipe[Retail Price], MATCH(1, ("Calculator"&lt;&gt;Table_dim_price_recipe[Type.display])*($L433=Table_dim_price_recipe[Category])*($D433=Table_dim_price_recipe[Item Description]) * (I$6=Table_dim_price_recipe[Type])*(Table_dim_price_recipe[Retail Price]&lt;&gt;0)*($C433=Table_dim_price_recipe[Subcategory]), 0))*$B433,"")</f>
        <v/>
      </c>
      <c r="J433" s="39" t="str" cm="1">
        <f t="array" ref="J433">IFERROR(INDEX(Table_dim_price_recipe[Retail Price], MATCH(1, ("Calculator"&lt;&gt;Table_dim_price_recipe[Type.display])*($L433=Table_dim_price_recipe[Category])*($D433=Table_dim_price_recipe[Item Description]) * (J$6=Table_dim_price_recipe[Type])*(Table_dim_price_recipe[Retail Price]&lt;&gt;0)*($C433=Table_dim_price_recipe[Subcategory]), 0))*$B433,"")</f>
        <v/>
      </c>
      <c r="K433" s="39" t="str" cm="1">
        <f t="array" ref="K433">IFERROR(INDEX(Table_dim_price_recipe[Retail Price], MATCH(1, ("Calculator"&lt;&gt;Table_dim_price_recipe[Type.display])*($L433=Table_dim_price_recipe[Category])*($D433=Table_dim_price_recipe[Item Description]) * (K$6=Table_dim_price_recipe[Type])*(Table_dim_price_recipe[Retail Price]&lt;&gt;0)*($C433=Table_dim_price_recipe[Subcategory]), 0))*$B433,"")</f>
        <v/>
      </c>
      <c r="L433" s="39" t="str" cm="1">
        <f t="array" ref="L433">IF($A433&lt;&gt;"", $A433, LOOKUP(2, 1/((A$7:INDEX(A:A, ROW()))&lt;&gt;""), A$7:INDEX(A:A, ROW())))</f>
        <v xml:space="preserve">FLASHINGS </v>
      </c>
      <c r="M433" s="14"/>
    </row>
    <row r="434" spans="1:13">
      <c r="A434" s="263"/>
      <c r="B434" s="263"/>
      <c r="C434" s="263" t="s">
        <v>522</v>
      </c>
      <c r="D434" s="263" t="s">
        <v>549</v>
      </c>
      <c r="E434" s="263" t="s">
        <v>550</v>
      </c>
      <c r="F434" s="263"/>
      <c r="G434" s="39" cm="1">
        <f t="array" ref="G434">IFERROR(INDEX(Table_dim_price_recipe[Retail Price], MATCH(1, ("Calculator"&lt;&gt;Table_dim_price_recipe[Type.display])*($L434=Table_dim_price_recipe[Category])*($D434=Table_dim_price_recipe[Item Description]) * (G$6=Table_dim_price_recipe[Type])*(Table_dim_price_recipe[Retail Price]&lt;&gt;0)*($C434=Table_dim_price_recipe[Subcategory]), 0))*$B434,"")</f>
        <v>0</v>
      </c>
      <c r="H434" s="39" t="str" cm="1">
        <f t="array" ref="H434">IFERROR(INDEX(Table_dim_price_recipe[Retail Price], MATCH(1, ("Calculator"&lt;&gt;Table_dim_price_recipe[Type.display])*($L434=Table_dim_price_recipe[Category])*($D434=Table_dim_price_recipe[Item Description]) * (H$6=Table_dim_price_recipe[Type])*(Table_dim_price_recipe[Retail Price]&lt;&gt;0)*($C434=Table_dim_price_recipe[Subcategory]), 0))*$B434,"")</f>
        <v/>
      </c>
      <c r="I434" s="39" t="str" cm="1">
        <f t="array" ref="I434">IFERROR(INDEX(Table_dim_price_recipe[Retail Price], MATCH(1, ("Calculator"&lt;&gt;Table_dim_price_recipe[Type.display])*($L434=Table_dim_price_recipe[Category])*($D434=Table_dim_price_recipe[Item Description]) * (I$6=Table_dim_price_recipe[Type])*(Table_dim_price_recipe[Retail Price]&lt;&gt;0)*($C434=Table_dim_price_recipe[Subcategory]), 0))*$B434,"")</f>
        <v/>
      </c>
      <c r="J434" s="39" t="str" cm="1">
        <f t="array" ref="J434">IFERROR(INDEX(Table_dim_price_recipe[Retail Price], MATCH(1, ("Calculator"&lt;&gt;Table_dim_price_recipe[Type.display])*($L434=Table_dim_price_recipe[Category])*($D434=Table_dim_price_recipe[Item Description]) * (J$6=Table_dim_price_recipe[Type])*(Table_dim_price_recipe[Retail Price]&lt;&gt;0)*($C434=Table_dim_price_recipe[Subcategory]), 0))*$B434,"")</f>
        <v/>
      </c>
      <c r="K434" s="39" t="str" cm="1">
        <f t="array" ref="K434">IFERROR(INDEX(Table_dim_price_recipe[Retail Price], MATCH(1, ("Calculator"&lt;&gt;Table_dim_price_recipe[Type.display])*($L434=Table_dim_price_recipe[Category])*($D434=Table_dim_price_recipe[Item Description]) * (K$6=Table_dim_price_recipe[Type])*(Table_dim_price_recipe[Retail Price]&lt;&gt;0)*($C434=Table_dim_price_recipe[Subcategory]), 0))*$B434,"")</f>
        <v/>
      </c>
      <c r="L434" s="39" t="str" cm="1">
        <f t="array" ref="L434">IF($A434&lt;&gt;"", $A434, LOOKUP(2, 1/((A$7:INDEX(A:A, ROW()))&lt;&gt;""), A$7:INDEX(A:A, ROW())))</f>
        <v xml:space="preserve">FLASHINGS </v>
      </c>
      <c r="M434" s="14"/>
    </row>
    <row r="435" spans="1:13">
      <c r="A435" s="263"/>
      <c r="B435" s="263"/>
      <c r="C435" s="263" t="s">
        <v>522</v>
      </c>
      <c r="D435" s="263" t="s">
        <v>29</v>
      </c>
      <c r="E435" s="263" t="s">
        <v>545</v>
      </c>
      <c r="F435" s="263"/>
      <c r="G435" s="39" cm="1">
        <f t="array" ref="G435">IFERROR(INDEX(Table_dim_price_recipe[Retail Price], MATCH(1, ("Calculator"&lt;&gt;Table_dim_price_recipe[Type.display])*($L435=Table_dim_price_recipe[Category])*($D435=Table_dim_price_recipe[Item Description]) * (G$6=Table_dim_price_recipe[Type])*(Table_dim_price_recipe[Retail Price]&lt;&gt;0)*($C435=Table_dim_price_recipe[Subcategory]), 0))*$B435,"")</f>
        <v>0</v>
      </c>
      <c r="H435" s="39" t="str" cm="1">
        <f t="array" ref="H435">IFERROR(INDEX(Table_dim_price_recipe[Retail Price], MATCH(1, ("Calculator"&lt;&gt;Table_dim_price_recipe[Type.display])*($L435=Table_dim_price_recipe[Category])*($D435=Table_dim_price_recipe[Item Description]) * (H$6=Table_dim_price_recipe[Type])*(Table_dim_price_recipe[Retail Price]&lt;&gt;0)*($C435=Table_dim_price_recipe[Subcategory]), 0))*$B435,"")</f>
        <v/>
      </c>
      <c r="I435" s="39" t="str" cm="1">
        <f t="array" ref="I435">IFERROR(INDEX(Table_dim_price_recipe[Retail Price], MATCH(1, ("Calculator"&lt;&gt;Table_dim_price_recipe[Type.display])*($L435=Table_dim_price_recipe[Category])*($D435=Table_dim_price_recipe[Item Description]) * (I$6=Table_dim_price_recipe[Type])*(Table_dim_price_recipe[Retail Price]&lt;&gt;0)*($C435=Table_dim_price_recipe[Subcategory]), 0))*$B435,"")</f>
        <v/>
      </c>
      <c r="J435" s="39" t="str" cm="1">
        <f t="array" ref="J435">IFERROR(INDEX(Table_dim_price_recipe[Retail Price], MATCH(1, ("Calculator"&lt;&gt;Table_dim_price_recipe[Type.display])*($L435=Table_dim_price_recipe[Category])*($D435=Table_dim_price_recipe[Item Description]) * (J$6=Table_dim_price_recipe[Type])*(Table_dim_price_recipe[Retail Price]&lt;&gt;0)*($C435=Table_dim_price_recipe[Subcategory]), 0))*$B435,"")</f>
        <v/>
      </c>
      <c r="K435" s="39" t="str" cm="1">
        <f t="array" ref="K435">IFERROR(INDEX(Table_dim_price_recipe[Retail Price], MATCH(1, ("Calculator"&lt;&gt;Table_dim_price_recipe[Type.display])*($L435=Table_dim_price_recipe[Category])*($D435=Table_dim_price_recipe[Item Description]) * (K$6=Table_dim_price_recipe[Type])*(Table_dim_price_recipe[Retail Price]&lt;&gt;0)*($C435=Table_dim_price_recipe[Subcategory]), 0))*$B435,"")</f>
        <v/>
      </c>
      <c r="L435" s="39" t="str" cm="1">
        <f t="array" ref="L435">IF($A435&lt;&gt;"", $A435, LOOKUP(2, 1/((A$7:INDEX(A:A, ROW()))&lt;&gt;""), A$7:INDEX(A:A, ROW())))</f>
        <v xml:space="preserve">FLASHINGS </v>
      </c>
      <c r="M435" s="14"/>
    </row>
    <row r="436" spans="1:13">
      <c r="A436" s="263"/>
      <c r="B436" s="263"/>
      <c r="C436" s="263" t="s">
        <v>522</v>
      </c>
      <c r="D436" s="263" t="s">
        <v>548</v>
      </c>
      <c r="E436" s="263" t="s">
        <v>545</v>
      </c>
      <c r="F436" s="263"/>
      <c r="G436" s="39" cm="1">
        <f t="array" ref="G436">IFERROR(INDEX(Table_dim_price_recipe[Retail Price], MATCH(1, ("Calculator"&lt;&gt;Table_dim_price_recipe[Type.display])*($L436=Table_dim_price_recipe[Category])*($D436=Table_dim_price_recipe[Item Description]) * (G$6=Table_dim_price_recipe[Type])*(Table_dim_price_recipe[Retail Price]&lt;&gt;0)*($C436=Table_dim_price_recipe[Subcategory]), 0))*$B436,"")</f>
        <v>0</v>
      </c>
      <c r="H436" s="39" t="str" cm="1">
        <f t="array" ref="H436">IFERROR(INDEX(Table_dim_price_recipe[Retail Price], MATCH(1, ("Calculator"&lt;&gt;Table_dim_price_recipe[Type.display])*($L436=Table_dim_price_recipe[Category])*($D436=Table_dim_price_recipe[Item Description]) * (H$6=Table_dim_price_recipe[Type])*(Table_dim_price_recipe[Retail Price]&lt;&gt;0)*($C436=Table_dim_price_recipe[Subcategory]), 0))*$B436,"")</f>
        <v/>
      </c>
      <c r="I436" s="39" t="str" cm="1">
        <f t="array" ref="I436">IFERROR(INDEX(Table_dim_price_recipe[Retail Price], MATCH(1, ("Calculator"&lt;&gt;Table_dim_price_recipe[Type.display])*($L436=Table_dim_price_recipe[Category])*($D436=Table_dim_price_recipe[Item Description]) * (I$6=Table_dim_price_recipe[Type])*(Table_dim_price_recipe[Retail Price]&lt;&gt;0)*($C436=Table_dim_price_recipe[Subcategory]), 0))*$B436,"")</f>
        <v/>
      </c>
      <c r="J436" s="39" t="str" cm="1">
        <f t="array" ref="J436">IFERROR(INDEX(Table_dim_price_recipe[Retail Price], MATCH(1, ("Calculator"&lt;&gt;Table_dim_price_recipe[Type.display])*($L436=Table_dim_price_recipe[Category])*($D436=Table_dim_price_recipe[Item Description]) * (J$6=Table_dim_price_recipe[Type])*(Table_dim_price_recipe[Retail Price]&lt;&gt;0)*($C436=Table_dim_price_recipe[Subcategory]), 0))*$B436,"")</f>
        <v/>
      </c>
      <c r="K436" s="39" t="str" cm="1">
        <f t="array" ref="K436">IFERROR(INDEX(Table_dim_price_recipe[Retail Price], MATCH(1, ("Calculator"&lt;&gt;Table_dim_price_recipe[Type.display])*($L436=Table_dim_price_recipe[Category])*($D436=Table_dim_price_recipe[Item Description]) * (K$6=Table_dim_price_recipe[Type])*(Table_dim_price_recipe[Retail Price]&lt;&gt;0)*($C436=Table_dim_price_recipe[Subcategory]), 0))*$B436,"")</f>
        <v/>
      </c>
      <c r="L436" s="39" t="str" cm="1">
        <f t="array" ref="L436">IF($A436&lt;&gt;"", $A436, LOOKUP(2, 1/((A$7:INDEX(A:A, ROW()))&lt;&gt;""), A$7:INDEX(A:A, ROW())))</f>
        <v xml:space="preserve">FLASHINGS </v>
      </c>
      <c r="M436" s="14"/>
    </row>
    <row r="437" spans="1:13">
      <c r="A437" s="263"/>
      <c r="B437" s="263"/>
      <c r="C437" s="263" t="s">
        <v>522</v>
      </c>
      <c r="D437" s="263" t="s">
        <v>546</v>
      </c>
      <c r="E437" s="263" t="s">
        <v>547</v>
      </c>
      <c r="F437" s="263"/>
      <c r="G437" s="39" cm="1">
        <f t="array" ref="G437">IFERROR(INDEX(Table_dim_price_recipe[Retail Price], MATCH(1, ("Calculator"&lt;&gt;Table_dim_price_recipe[Type.display])*($L437=Table_dim_price_recipe[Category])*($D437=Table_dim_price_recipe[Item Description]) * (G$6=Table_dim_price_recipe[Type])*(Table_dim_price_recipe[Retail Price]&lt;&gt;0)*($C437=Table_dim_price_recipe[Subcategory]), 0))*$B437,"")</f>
        <v>0</v>
      </c>
      <c r="H437" s="39" t="str" cm="1">
        <f t="array" ref="H437">IFERROR(INDEX(Table_dim_price_recipe[Retail Price], MATCH(1, ("Calculator"&lt;&gt;Table_dim_price_recipe[Type.display])*($L437=Table_dim_price_recipe[Category])*($D437=Table_dim_price_recipe[Item Description]) * (H$6=Table_dim_price_recipe[Type])*(Table_dim_price_recipe[Retail Price]&lt;&gt;0)*($C437=Table_dim_price_recipe[Subcategory]), 0))*$B437,"")</f>
        <v/>
      </c>
      <c r="I437" s="39" t="str" cm="1">
        <f t="array" ref="I437">IFERROR(INDEX(Table_dim_price_recipe[Retail Price], MATCH(1, ("Calculator"&lt;&gt;Table_dim_price_recipe[Type.display])*($L437=Table_dim_price_recipe[Category])*($D437=Table_dim_price_recipe[Item Description]) * (I$6=Table_dim_price_recipe[Type])*(Table_dim_price_recipe[Retail Price]&lt;&gt;0)*($C437=Table_dim_price_recipe[Subcategory]), 0))*$B437,"")</f>
        <v/>
      </c>
      <c r="J437" s="39" t="str" cm="1">
        <f t="array" ref="J437">IFERROR(INDEX(Table_dim_price_recipe[Retail Price], MATCH(1, ("Calculator"&lt;&gt;Table_dim_price_recipe[Type.display])*($L437=Table_dim_price_recipe[Category])*($D437=Table_dim_price_recipe[Item Description]) * (J$6=Table_dim_price_recipe[Type])*(Table_dim_price_recipe[Retail Price]&lt;&gt;0)*($C437=Table_dim_price_recipe[Subcategory]), 0))*$B437,"")</f>
        <v/>
      </c>
      <c r="K437" s="39" t="str" cm="1">
        <f t="array" ref="K437">IFERROR(INDEX(Table_dim_price_recipe[Retail Price], MATCH(1, ("Calculator"&lt;&gt;Table_dim_price_recipe[Type.display])*($L437=Table_dim_price_recipe[Category])*($D437=Table_dim_price_recipe[Item Description]) * (K$6=Table_dim_price_recipe[Type])*(Table_dim_price_recipe[Retail Price]&lt;&gt;0)*($C437=Table_dim_price_recipe[Subcategory]), 0))*$B437,"")</f>
        <v/>
      </c>
      <c r="L437" s="39" t="str" cm="1">
        <f t="array" ref="L437">IF($A437&lt;&gt;"", $A437, LOOKUP(2, 1/((A$7:INDEX(A:A, ROW()))&lt;&gt;""), A$7:INDEX(A:A, ROW())))</f>
        <v xml:space="preserve">FLASHINGS </v>
      </c>
      <c r="M437" s="14"/>
    </row>
    <row r="438" spans="1:13">
      <c r="A438" s="263"/>
      <c r="B438" s="263"/>
      <c r="C438" s="263" t="s">
        <v>522</v>
      </c>
      <c r="D438" s="263" t="s">
        <v>551</v>
      </c>
      <c r="E438" s="263" t="s">
        <v>1</v>
      </c>
      <c r="F438" s="263"/>
      <c r="G438" s="39" cm="1">
        <f t="array" ref="G438">IFERROR(INDEX(Table_dim_price_recipe[Retail Price], MATCH(1, ("Calculator"&lt;&gt;Table_dim_price_recipe[Type.display])*($L438=Table_dim_price_recipe[Category])*($D438=Table_dim_price_recipe[Item Description]) * (G$6=Table_dim_price_recipe[Type])*(Table_dim_price_recipe[Retail Price]&lt;&gt;0)*($C438=Table_dim_price_recipe[Subcategory]), 0))*$B438,"")</f>
        <v>0</v>
      </c>
      <c r="H438" s="39" t="str" cm="1">
        <f t="array" ref="H438">IFERROR(INDEX(Table_dim_price_recipe[Retail Price], MATCH(1, ("Calculator"&lt;&gt;Table_dim_price_recipe[Type.display])*($L438=Table_dim_price_recipe[Category])*($D438=Table_dim_price_recipe[Item Description]) * (H$6=Table_dim_price_recipe[Type])*(Table_dim_price_recipe[Retail Price]&lt;&gt;0)*($C438=Table_dim_price_recipe[Subcategory]), 0))*$B438,"")</f>
        <v/>
      </c>
      <c r="I438" s="39" t="str" cm="1">
        <f t="array" ref="I438">IFERROR(INDEX(Table_dim_price_recipe[Retail Price], MATCH(1, ("Calculator"&lt;&gt;Table_dim_price_recipe[Type.display])*($L438=Table_dim_price_recipe[Category])*($D438=Table_dim_price_recipe[Item Description]) * (I$6=Table_dim_price_recipe[Type])*(Table_dim_price_recipe[Retail Price]&lt;&gt;0)*($C438=Table_dim_price_recipe[Subcategory]), 0))*$B438,"")</f>
        <v/>
      </c>
      <c r="J438" s="39" t="str" cm="1">
        <f t="array" ref="J438">IFERROR(INDEX(Table_dim_price_recipe[Retail Price], MATCH(1, ("Calculator"&lt;&gt;Table_dim_price_recipe[Type.display])*($L438=Table_dim_price_recipe[Category])*($D438=Table_dim_price_recipe[Item Description]) * (J$6=Table_dim_price_recipe[Type])*(Table_dim_price_recipe[Retail Price]&lt;&gt;0)*($C438=Table_dim_price_recipe[Subcategory]), 0))*$B438,"")</f>
        <v/>
      </c>
      <c r="K438" s="39" t="str" cm="1">
        <f t="array" ref="K438">IFERROR(INDEX(Table_dim_price_recipe[Retail Price], MATCH(1, ("Calculator"&lt;&gt;Table_dim_price_recipe[Type.display])*($L438=Table_dim_price_recipe[Category])*($D438=Table_dim_price_recipe[Item Description]) * (K$6=Table_dim_price_recipe[Type])*(Table_dim_price_recipe[Retail Price]&lt;&gt;0)*($C438=Table_dim_price_recipe[Subcategory]), 0))*$B438,"")</f>
        <v/>
      </c>
      <c r="L438" s="39" t="str" cm="1">
        <f t="array" ref="L438">IF($A438&lt;&gt;"", $A438, LOOKUP(2, 1/((A$7:INDEX(A:A, ROW()))&lt;&gt;""), A$7:INDEX(A:A, ROW())))</f>
        <v xml:space="preserve">FLASHINGS </v>
      </c>
      <c r="M438" s="14"/>
    </row>
    <row r="439" spans="1:13">
      <c r="A439" s="263"/>
      <c r="B439" s="263"/>
      <c r="C439" s="263" t="s">
        <v>522</v>
      </c>
      <c r="D439" s="263" t="s">
        <v>1149</v>
      </c>
      <c r="E439" s="263" t="s">
        <v>541</v>
      </c>
      <c r="F439" s="263"/>
      <c r="G439" s="39" cm="1">
        <f t="array" ref="G439">IFERROR(INDEX(Table_dim_price_recipe[Retail Price], MATCH(1, ("Calculator"&lt;&gt;Table_dim_price_recipe[Type.display])*($L439=Table_dim_price_recipe[Category])*($D439=Table_dim_price_recipe[Item Description]) * (G$6=Table_dim_price_recipe[Type])*(Table_dim_price_recipe[Retail Price]&lt;&gt;0)*($C439=Table_dim_price_recipe[Subcategory]), 0))*$B439,"")</f>
        <v>0</v>
      </c>
      <c r="H439" s="39" t="str" cm="1">
        <f t="array" ref="H439">IFERROR(INDEX(Table_dim_price_recipe[Retail Price], MATCH(1, ("Calculator"&lt;&gt;Table_dim_price_recipe[Type.display])*($L439=Table_dim_price_recipe[Category])*($D439=Table_dim_price_recipe[Item Description]) * (H$6=Table_dim_price_recipe[Type])*(Table_dim_price_recipe[Retail Price]&lt;&gt;0)*($C439=Table_dim_price_recipe[Subcategory]), 0))*$B439,"")</f>
        <v/>
      </c>
      <c r="I439" s="39" t="str" cm="1">
        <f t="array" ref="I439">IFERROR(INDEX(Table_dim_price_recipe[Retail Price], MATCH(1, ("Calculator"&lt;&gt;Table_dim_price_recipe[Type.display])*($L439=Table_dim_price_recipe[Category])*($D439=Table_dim_price_recipe[Item Description]) * (I$6=Table_dim_price_recipe[Type])*(Table_dim_price_recipe[Retail Price]&lt;&gt;0)*($C439=Table_dim_price_recipe[Subcategory]), 0))*$B439,"")</f>
        <v/>
      </c>
      <c r="J439" s="39" t="str" cm="1">
        <f t="array" ref="J439">IFERROR(INDEX(Table_dim_price_recipe[Retail Price], MATCH(1, ("Calculator"&lt;&gt;Table_dim_price_recipe[Type.display])*($L439=Table_dim_price_recipe[Category])*($D439=Table_dim_price_recipe[Item Description]) * (J$6=Table_dim_price_recipe[Type])*(Table_dim_price_recipe[Retail Price]&lt;&gt;0)*($C439=Table_dim_price_recipe[Subcategory]), 0))*$B439,"")</f>
        <v/>
      </c>
      <c r="K439" s="39" t="str" cm="1">
        <f t="array" ref="K439">IFERROR(INDEX(Table_dim_price_recipe[Retail Price], MATCH(1, ("Calculator"&lt;&gt;Table_dim_price_recipe[Type.display])*($L439=Table_dim_price_recipe[Category])*($D439=Table_dim_price_recipe[Item Description]) * (K$6=Table_dim_price_recipe[Type])*(Table_dim_price_recipe[Retail Price]&lt;&gt;0)*($C439=Table_dim_price_recipe[Subcategory]), 0))*$B439,"")</f>
        <v/>
      </c>
      <c r="L439" s="39" t="str" cm="1">
        <f t="array" ref="L439">IF($A439&lt;&gt;"", $A439, LOOKUP(2, 1/((A$7:INDEX(A:A, ROW()))&lt;&gt;""), A$7:INDEX(A:A, ROW())))</f>
        <v xml:space="preserve">FLASHINGS </v>
      </c>
      <c r="M439" s="14"/>
    </row>
    <row r="440" spans="1:13">
      <c r="A440" s="263"/>
      <c r="B440" s="263"/>
      <c r="C440" s="263" t="s">
        <v>522</v>
      </c>
      <c r="D440" s="263" t="s">
        <v>529</v>
      </c>
      <c r="E440" s="263" t="s">
        <v>1</v>
      </c>
      <c r="F440" s="263"/>
      <c r="G440" s="39" cm="1">
        <f t="array" ref="G440">IFERROR(INDEX(Table_dim_price_recipe[Retail Price], MATCH(1, ("Calculator"&lt;&gt;Table_dim_price_recipe[Type.display])*($L440=Table_dim_price_recipe[Category])*($D440=Table_dim_price_recipe[Item Description]) * (G$6=Table_dim_price_recipe[Type])*(Table_dim_price_recipe[Retail Price]&lt;&gt;0)*($C440=Table_dim_price_recipe[Subcategory]), 0))*$B440,"")</f>
        <v>0</v>
      </c>
      <c r="H440" s="39" t="str" cm="1">
        <f t="array" ref="H440">IFERROR(INDEX(Table_dim_price_recipe[Retail Price], MATCH(1, ("Calculator"&lt;&gt;Table_dim_price_recipe[Type.display])*($L440=Table_dim_price_recipe[Category])*($D440=Table_dim_price_recipe[Item Description]) * (H$6=Table_dim_price_recipe[Type])*(Table_dim_price_recipe[Retail Price]&lt;&gt;0)*($C440=Table_dim_price_recipe[Subcategory]), 0))*$B440,"")</f>
        <v/>
      </c>
      <c r="I440" s="39" t="str" cm="1">
        <f t="array" ref="I440">IFERROR(INDEX(Table_dim_price_recipe[Retail Price], MATCH(1, ("Calculator"&lt;&gt;Table_dim_price_recipe[Type.display])*($L440=Table_dim_price_recipe[Category])*($D440=Table_dim_price_recipe[Item Description]) * (I$6=Table_dim_price_recipe[Type])*(Table_dim_price_recipe[Retail Price]&lt;&gt;0)*($C440=Table_dim_price_recipe[Subcategory]), 0))*$B440,"")</f>
        <v/>
      </c>
      <c r="J440" s="39" t="str" cm="1">
        <f t="array" ref="J440">IFERROR(INDEX(Table_dim_price_recipe[Retail Price], MATCH(1, ("Calculator"&lt;&gt;Table_dim_price_recipe[Type.display])*($L440=Table_dim_price_recipe[Category])*($D440=Table_dim_price_recipe[Item Description]) * (J$6=Table_dim_price_recipe[Type])*(Table_dim_price_recipe[Retail Price]&lt;&gt;0)*($C440=Table_dim_price_recipe[Subcategory]), 0))*$B440,"")</f>
        <v/>
      </c>
      <c r="K440" s="39" t="str" cm="1">
        <f t="array" ref="K440">IFERROR(INDEX(Table_dim_price_recipe[Retail Price], MATCH(1, ("Calculator"&lt;&gt;Table_dim_price_recipe[Type.display])*($L440=Table_dim_price_recipe[Category])*($D440=Table_dim_price_recipe[Item Description]) * (K$6=Table_dim_price_recipe[Type])*(Table_dim_price_recipe[Retail Price]&lt;&gt;0)*($C440=Table_dim_price_recipe[Subcategory]), 0))*$B440,"")</f>
        <v/>
      </c>
      <c r="L440" s="39" t="str" cm="1">
        <f t="array" ref="L440">IF($A440&lt;&gt;"", $A440, LOOKUP(2, 1/((A$7:INDEX(A:A, ROW()))&lt;&gt;""), A$7:INDEX(A:A, ROW())))</f>
        <v xml:space="preserve">FLASHINGS </v>
      </c>
      <c r="M440" s="14"/>
    </row>
    <row r="441" spans="1:13">
      <c r="A441" s="263"/>
      <c r="B441" s="263"/>
      <c r="C441" s="263" t="s">
        <v>522</v>
      </c>
      <c r="D441" s="263" t="s">
        <v>1146</v>
      </c>
      <c r="E441" s="263" t="s">
        <v>533</v>
      </c>
      <c r="F441" s="263"/>
      <c r="G441" s="39" cm="1">
        <f t="array" ref="G441">IFERROR(INDEX(Table_dim_price_recipe[Retail Price], MATCH(1, ("Calculator"&lt;&gt;Table_dim_price_recipe[Type.display])*($L441=Table_dim_price_recipe[Category])*($D441=Table_dim_price_recipe[Item Description]) * (G$6=Table_dim_price_recipe[Type])*(Table_dim_price_recipe[Retail Price]&lt;&gt;0)*($C441=Table_dim_price_recipe[Subcategory]), 0))*$B441,"")</f>
        <v>0</v>
      </c>
      <c r="H441" s="39" t="str" cm="1">
        <f t="array" ref="H441">IFERROR(INDEX(Table_dim_price_recipe[Retail Price], MATCH(1, ("Calculator"&lt;&gt;Table_dim_price_recipe[Type.display])*($L441=Table_dim_price_recipe[Category])*($D441=Table_dim_price_recipe[Item Description]) * (H$6=Table_dim_price_recipe[Type])*(Table_dim_price_recipe[Retail Price]&lt;&gt;0)*($C441=Table_dim_price_recipe[Subcategory]), 0))*$B441,"")</f>
        <v/>
      </c>
      <c r="I441" s="39" t="str" cm="1">
        <f t="array" ref="I441">IFERROR(INDEX(Table_dim_price_recipe[Retail Price], MATCH(1, ("Calculator"&lt;&gt;Table_dim_price_recipe[Type.display])*($L441=Table_dim_price_recipe[Category])*($D441=Table_dim_price_recipe[Item Description]) * (I$6=Table_dim_price_recipe[Type])*(Table_dim_price_recipe[Retail Price]&lt;&gt;0)*($C441=Table_dim_price_recipe[Subcategory]), 0))*$B441,"")</f>
        <v/>
      </c>
      <c r="J441" s="39" t="str" cm="1">
        <f t="array" ref="J441">IFERROR(INDEX(Table_dim_price_recipe[Retail Price], MATCH(1, ("Calculator"&lt;&gt;Table_dim_price_recipe[Type.display])*($L441=Table_dim_price_recipe[Category])*($D441=Table_dim_price_recipe[Item Description]) * (J$6=Table_dim_price_recipe[Type])*(Table_dim_price_recipe[Retail Price]&lt;&gt;0)*($C441=Table_dim_price_recipe[Subcategory]), 0))*$B441,"")</f>
        <v/>
      </c>
      <c r="K441" s="39" t="str" cm="1">
        <f t="array" ref="K441">IFERROR(INDEX(Table_dim_price_recipe[Retail Price], MATCH(1, ("Calculator"&lt;&gt;Table_dim_price_recipe[Type.display])*($L441=Table_dim_price_recipe[Category])*($D441=Table_dim_price_recipe[Item Description]) * (K$6=Table_dim_price_recipe[Type])*(Table_dim_price_recipe[Retail Price]&lt;&gt;0)*($C441=Table_dim_price_recipe[Subcategory]), 0))*$B441,"")</f>
        <v/>
      </c>
      <c r="L441" s="39" t="str" cm="1">
        <f t="array" ref="L441">IF($A441&lt;&gt;"", $A441, LOOKUP(2, 1/((A$7:INDEX(A:A, ROW()))&lt;&gt;""), A$7:INDEX(A:A, ROW())))</f>
        <v xml:space="preserve">FLASHINGS </v>
      </c>
      <c r="M441" s="14"/>
    </row>
    <row r="442" spans="1:13">
      <c r="A442" s="263"/>
      <c r="B442" s="263"/>
      <c r="C442" s="263" t="s">
        <v>522</v>
      </c>
      <c r="D442" s="263" t="s">
        <v>1148</v>
      </c>
      <c r="E442" s="263" t="s">
        <v>539</v>
      </c>
      <c r="F442" s="263"/>
      <c r="G442" s="39" cm="1">
        <f t="array" ref="G442">IFERROR(INDEX(Table_dim_price_recipe[Retail Price], MATCH(1, ("Calculator"&lt;&gt;Table_dim_price_recipe[Type.display])*($L442=Table_dim_price_recipe[Category])*($D442=Table_dim_price_recipe[Item Description]) * (G$6=Table_dim_price_recipe[Type])*(Table_dim_price_recipe[Retail Price]&lt;&gt;0)*($C442=Table_dim_price_recipe[Subcategory]), 0))*$B442,"")</f>
        <v>0</v>
      </c>
      <c r="H442" s="39" t="str" cm="1">
        <f t="array" ref="H442">IFERROR(INDEX(Table_dim_price_recipe[Retail Price], MATCH(1, ("Calculator"&lt;&gt;Table_dim_price_recipe[Type.display])*($L442=Table_dim_price_recipe[Category])*($D442=Table_dim_price_recipe[Item Description]) * (H$6=Table_dim_price_recipe[Type])*(Table_dim_price_recipe[Retail Price]&lt;&gt;0)*($C442=Table_dim_price_recipe[Subcategory]), 0))*$B442,"")</f>
        <v/>
      </c>
      <c r="I442" s="39" t="str" cm="1">
        <f t="array" ref="I442">IFERROR(INDEX(Table_dim_price_recipe[Retail Price], MATCH(1, ("Calculator"&lt;&gt;Table_dim_price_recipe[Type.display])*($L442=Table_dim_price_recipe[Category])*($D442=Table_dim_price_recipe[Item Description]) * (I$6=Table_dim_price_recipe[Type])*(Table_dim_price_recipe[Retail Price]&lt;&gt;0)*($C442=Table_dim_price_recipe[Subcategory]), 0))*$B442,"")</f>
        <v/>
      </c>
      <c r="J442" s="39" t="str" cm="1">
        <f t="array" ref="J442">IFERROR(INDEX(Table_dim_price_recipe[Retail Price], MATCH(1, ("Calculator"&lt;&gt;Table_dim_price_recipe[Type.display])*($L442=Table_dim_price_recipe[Category])*($D442=Table_dim_price_recipe[Item Description]) * (J$6=Table_dim_price_recipe[Type])*(Table_dim_price_recipe[Retail Price]&lt;&gt;0)*($C442=Table_dim_price_recipe[Subcategory]), 0))*$B442,"")</f>
        <v/>
      </c>
      <c r="K442" s="39" t="str" cm="1">
        <f t="array" ref="K442">IFERROR(INDEX(Table_dim_price_recipe[Retail Price], MATCH(1, ("Calculator"&lt;&gt;Table_dim_price_recipe[Type.display])*($L442=Table_dim_price_recipe[Category])*($D442=Table_dim_price_recipe[Item Description]) * (K$6=Table_dim_price_recipe[Type])*(Table_dim_price_recipe[Retail Price]&lt;&gt;0)*($C442=Table_dim_price_recipe[Subcategory]), 0))*$B442,"")</f>
        <v/>
      </c>
      <c r="L442" s="39" t="str" cm="1">
        <f t="array" ref="L442">IF($A442&lt;&gt;"", $A442, LOOKUP(2, 1/((A$7:INDEX(A:A, ROW()))&lt;&gt;""), A$7:INDEX(A:A, ROW())))</f>
        <v xml:space="preserve">FLASHINGS </v>
      </c>
      <c r="M442" s="14"/>
    </row>
    <row r="443" spans="1:13">
      <c r="A443" s="263"/>
      <c r="B443" s="263"/>
      <c r="C443" s="263" t="s">
        <v>522</v>
      </c>
      <c r="D443" s="263" t="s">
        <v>1150</v>
      </c>
      <c r="E443" s="263" t="s">
        <v>544</v>
      </c>
      <c r="F443" s="263"/>
      <c r="G443" s="39" cm="1">
        <f t="array" ref="G443">IFERROR(INDEX(Table_dim_price_recipe[Retail Price], MATCH(1, ("Calculator"&lt;&gt;Table_dim_price_recipe[Type.display])*($L443=Table_dim_price_recipe[Category])*($D443=Table_dim_price_recipe[Item Description]) * (G$6=Table_dim_price_recipe[Type])*(Table_dim_price_recipe[Retail Price]&lt;&gt;0)*($C443=Table_dim_price_recipe[Subcategory]), 0))*$B443,"")</f>
        <v>0</v>
      </c>
      <c r="H443" s="39" t="str" cm="1">
        <f t="array" ref="H443">IFERROR(INDEX(Table_dim_price_recipe[Retail Price], MATCH(1, ("Calculator"&lt;&gt;Table_dim_price_recipe[Type.display])*($L443=Table_dim_price_recipe[Category])*($D443=Table_dim_price_recipe[Item Description]) * (H$6=Table_dim_price_recipe[Type])*(Table_dim_price_recipe[Retail Price]&lt;&gt;0)*($C443=Table_dim_price_recipe[Subcategory]), 0))*$B443,"")</f>
        <v/>
      </c>
      <c r="I443" s="39" t="str" cm="1">
        <f t="array" ref="I443">IFERROR(INDEX(Table_dim_price_recipe[Retail Price], MATCH(1, ("Calculator"&lt;&gt;Table_dim_price_recipe[Type.display])*($L443=Table_dim_price_recipe[Category])*($D443=Table_dim_price_recipe[Item Description]) * (I$6=Table_dim_price_recipe[Type])*(Table_dim_price_recipe[Retail Price]&lt;&gt;0)*($C443=Table_dim_price_recipe[Subcategory]), 0))*$B443,"")</f>
        <v/>
      </c>
      <c r="J443" s="39" t="str" cm="1">
        <f t="array" ref="J443">IFERROR(INDEX(Table_dim_price_recipe[Retail Price], MATCH(1, ("Calculator"&lt;&gt;Table_dim_price_recipe[Type.display])*($L443=Table_dim_price_recipe[Category])*($D443=Table_dim_price_recipe[Item Description]) * (J$6=Table_dim_price_recipe[Type])*(Table_dim_price_recipe[Retail Price]&lt;&gt;0)*($C443=Table_dim_price_recipe[Subcategory]), 0))*$B443,"")</f>
        <v/>
      </c>
      <c r="K443" s="39" t="str" cm="1">
        <f t="array" ref="K443">IFERROR(INDEX(Table_dim_price_recipe[Retail Price], MATCH(1, ("Calculator"&lt;&gt;Table_dim_price_recipe[Type.display])*($L443=Table_dim_price_recipe[Category])*($D443=Table_dim_price_recipe[Item Description]) * (K$6=Table_dim_price_recipe[Type])*(Table_dim_price_recipe[Retail Price]&lt;&gt;0)*($C443=Table_dim_price_recipe[Subcategory]), 0))*$B443,"")</f>
        <v/>
      </c>
      <c r="L443" s="39" t="str" cm="1">
        <f t="array" ref="L443">IF($A443&lt;&gt;"", $A443, LOOKUP(2, 1/((A$7:INDEX(A:A, ROW()))&lt;&gt;""), A$7:INDEX(A:A, ROW())))</f>
        <v xml:space="preserve">FLASHINGS </v>
      </c>
      <c r="M443" s="14"/>
    </row>
    <row r="444" spans="1:13" ht="13.5" customHeight="1">
      <c r="A444" s="263"/>
      <c r="B444" s="263"/>
      <c r="C444" s="263" t="s">
        <v>522</v>
      </c>
      <c r="D444" s="263" t="s">
        <v>52</v>
      </c>
      <c r="E444" s="263" t="s">
        <v>528</v>
      </c>
      <c r="F444" s="263"/>
      <c r="G444" s="39" cm="1">
        <f t="array" ref="G444">IFERROR(INDEX(Table_dim_price_recipe[Retail Price], MATCH(1, ("Calculator"&lt;&gt;Table_dim_price_recipe[Type.display])*($L444=Table_dim_price_recipe[Category])*($D444=Table_dim_price_recipe[Item Description]) * (G$6=Table_dim_price_recipe[Type])*(Table_dim_price_recipe[Retail Price]&lt;&gt;0)*($C444=Table_dim_price_recipe[Subcategory]), 0))*$B444,"")</f>
        <v>0</v>
      </c>
      <c r="H444" s="39" t="str" cm="1">
        <f t="array" ref="H444">IFERROR(INDEX(Table_dim_price_recipe[Retail Price], MATCH(1, ("Calculator"&lt;&gt;Table_dim_price_recipe[Type.display])*($L444=Table_dim_price_recipe[Category])*($D444=Table_dim_price_recipe[Item Description]) * (H$6=Table_dim_price_recipe[Type])*(Table_dim_price_recipe[Retail Price]&lt;&gt;0)*($C444=Table_dim_price_recipe[Subcategory]), 0))*$B444,"")</f>
        <v/>
      </c>
      <c r="I444" s="39" t="str" cm="1">
        <f t="array" ref="I444">IFERROR(INDEX(Table_dim_price_recipe[Retail Price], MATCH(1, ("Calculator"&lt;&gt;Table_dim_price_recipe[Type.display])*($L444=Table_dim_price_recipe[Category])*($D444=Table_dim_price_recipe[Item Description]) * (I$6=Table_dim_price_recipe[Type])*(Table_dim_price_recipe[Retail Price]&lt;&gt;0)*($C444=Table_dim_price_recipe[Subcategory]), 0))*$B444,"")</f>
        <v/>
      </c>
      <c r="J444" s="39" t="str" cm="1">
        <f t="array" ref="J444">IFERROR(INDEX(Table_dim_price_recipe[Retail Price], MATCH(1, ("Calculator"&lt;&gt;Table_dim_price_recipe[Type.display])*($L444=Table_dim_price_recipe[Category])*($D444=Table_dim_price_recipe[Item Description]) * (J$6=Table_dim_price_recipe[Type])*(Table_dim_price_recipe[Retail Price]&lt;&gt;0)*($C444=Table_dim_price_recipe[Subcategory]), 0))*$B444,"")</f>
        <v/>
      </c>
      <c r="K444" s="39" t="str" cm="1">
        <f t="array" ref="K444">IFERROR(INDEX(Table_dim_price_recipe[Retail Price], MATCH(1, ("Calculator"&lt;&gt;Table_dim_price_recipe[Type.display])*($L444=Table_dim_price_recipe[Category])*($D444=Table_dim_price_recipe[Item Description]) * (K$6=Table_dim_price_recipe[Type])*(Table_dim_price_recipe[Retail Price]&lt;&gt;0)*($C444=Table_dim_price_recipe[Subcategory]), 0))*$B444,"")</f>
        <v/>
      </c>
      <c r="L444" s="39" t="str" cm="1">
        <f t="array" ref="L444">IF($A444&lt;&gt;"", $A444, LOOKUP(2, 1/((A$7:INDEX(A:A, ROW()))&lt;&gt;""), A$7:INDEX(A:A, ROW())))</f>
        <v xml:space="preserve">FLASHINGS </v>
      </c>
      <c r="M444" s="14"/>
    </row>
    <row r="445" spans="1:13">
      <c r="A445" s="263"/>
      <c r="B445" s="263"/>
      <c r="C445" s="263" t="s">
        <v>522</v>
      </c>
      <c r="D445" s="263" t="s">
        <v>542</v>
      </c>
      <c r="E445" s="263" t="s">
        <v>537</v>
      </c>
      <c r="F445" s="263"/>
      <c r="G445" s="39" cm="1">
        <f t="array" ref="G445">IFERROR(INDEX(Table_dim_price_recipe[Retail Price], MATCH(1, ("Calculator"&lt;&gt;Table_dim_price_recipe[Type.display])*($L445=Table_dim_price_recipe[Category])*($D445=Table_dim_price_recipe[Item Description]) * (G$6=Table_dim_price_recipe[Type])*(Table_dim_price_recipe[Retail Price]&lt;&gt;0)*($C445=Table_dim_price_recipe[Subcategory]), 0))*$B445,"")</f>
        <v>0</v>
      </c>
      <c r="H445" s="39" t="str" cm="1">
        <f t="array" ref="H445">IFERROR(INDEX(Table_dim_price_recipe[Retail Price], MATCH(1, ("Calculator"&lt;&gt;Table_dim_price_recipe[Type.display])*($L445=Table_dim_price_recipe[Category])*($D445=Table_dim_price_recipe[Item Description]) * (H$6=Table_dim_price_recipe[Type])*(Table_dim_price_recipe[Retail Price]&lt;&gt;0)*($C445=Table_dim_price_recipe[Subcategory]), 0))*$B445,"")</f>
        <v/>
      </c>
      <c r="I445" s="39" t="str" cm="1">
        <f t="array" ref="I445">IFERROR(INDEX(Table_dim_price_recipe[Retail Price], MATCH(1, ("Calculator"&lt;&gt;Table_dim_price_recipe[Type.display])*($L445=Table_dim_price_recipe[Category])*($D445=Table_dim_price_recipe[Item Description]) * (I$6=Table_dim_price_recipe[Type])*(Table_dim_price_recipe[Retail Price]&lt;&gt;0)*($C445=Table_dim_price_recipe[Subcategory]), 0))*$B445,"")</f>
        <v/>
      </c>
      <c r="J445" s="39" t="str" cm="1">
        <f t="array" ref="J445">IFERROR(INDEX(Table_dim_price_recipe[Retail Price], MATCH(1, ("Calculator"&lt;&gt;Table_dim_price_recipe[Type.display])*($L445=Table_dim_price_recipe[Category])*($D445=Table_dim_price_recipe[Item Description]) * (J$6=Table_dim_price_recipe[Type])*(Table_dim_price_recipe[Retail Price]&lt;&gt;0)*($C445=Table_dim_price_recipe[Subcategory]), 0))*$B445,"")</f>
        <v/>
      </c>
      <c r="K445" s="39" t="str" cm="1">
        <f t="array" ref="K445">IFERROR(INDEX(Table_dim_price_recipe[Retail Price], MATCH(1, ("Calculator"&lt;&gt;Table_dim_price_recipe[Type.display])*($L445=Table_dim_price_recipe[Category])*($D445=Table_dim_price_recipe[Item Description]) * (K$6=Table_dim_price_recipe[Type])*(Table_dim_price_recipe[Retail Price]&lt;&gt;0)*($C445=Table_dim_price_recipe[Subcategory]), 0))*$B445,"")</f>
        <v/>
      </c>
      <c r="L445" s="39" t="str" cm="1">
        <f t="array" ref="L445">IF($A445&lt;&gt;"", $A445, LOOKUP(2, 1/((A$7:INDEX(A:A, ROW()))&lt;&gt;""), A$7:INDEX(A:A, ROW())))</f>
        <v xml:space="preserve">FLASHINGS </v>
      </c>
      <c r="M445" s="14"/>
    </row>
    <row r="446" spans="1:13">
      <c r="A446" s="263"/>
      <c r="B446" s="263"/>
      <c r="C446" s="263" t="s">
        <v>522</v>
      </c>
      <c r="D446" s="263"/>
      <c r="E446" s="263"/>
      <c r="F446" s="263"/>
      <c r="G446" s="39" t="str" cm="1">
        <f t="array" ref="G446">IFERROR(INDEX(Table_dim_price_recipe[Retail Price], MATCH(1, ("Calculator"&lt;&gt;Table_dim_price_recipe[Type.display])*($L446=Table_dim_price_recipe[Category])*($D446=Table_dim_price_recipe[Item Description]) * (G$6=Table_dim_price_recipe[Type])*(Table_dim_price_recipe[Retail Price]&lt;&gt;0)*($C446=Table_dim_price_recipe[Subcategory]), 0))*$B446,"")</f>
        <v/>
      </c>
      <c r="H446" s="39" t="str" cm="1">
        <f t="array" ref="H446">IFERROR(INDEX(Table_dim_price_recipe[Retail Price], MATCH(1, ("Calculator"&lt;&gt;Table_dim_price_recipe[Type.display])*($L446=Table_dim_price_recipe[Category])*($D446=Table_dim_price_recipe[Item Description]) * (H$6=Table_dim_price_recipe[Type])*(Table_dim_price_recipe[Retail Price]&lt;&gt;0)*($C446=Table_dim_price_recipe[Subcategory]), 0))*$B446,"")</f>
        <v/>
      </c>
      <c r="I446" s="39" t="str" cm="1">
        <f t="array" ref="I446">IFERROR(INDEX(Table_dim_price_recipe[Retail Price], MATCH(1, ("Calculator"&lt;&gt;Table_dim_price_recipe[Type.display])*($L446=Table_dim_price_recipe[Category])*($D446=Table_dim_price_recipe[Item Description]) * (I$6=Table_dim_price_recipe[Type])*(Table_dim_price_recipe[Retail Price]&lt;&gt;0)*($C446=Table_dim_price_recipe[Subcategory]), 0))*$B446,"")</f>
        <v/>
      </c>
      <c r="J446" s="39" t="str" cm="1">
        <f t="array" ref="J446">IFERROR(INDEX(Table_dim_price_recipe[Retail Price], MATCH(1, ("Calculator"&lt;&gt;Table_dim_price_recipe[Type.display])*($L446=Table_dim_price_recipe[Category])*($D446=Table_dim_price_recipe[Item Description]) * (J$6=Table_dim_price_recipe[Type])*(Table_dim_price_recipe[Retail Price]&lt;&gt;0)*($C446=Table_dim_price_recipe[Subcategory]), 0))*$B446,"")</f>
        <v/>
      </c>
      <c r="K446" s="39" t="str" cm="1">
        <f t="array" ref="K446">IFERROR(INDEX(Table_dim_price_recipe[Retail Price], MATCH(1, ("Calculator"&lt;&gt;Table_dim_price_recipe[Type.display])*($L446=Table_dim_price_recipe[Category])*($D446=Table_dim_price_recipe[Item Description]) * (K$6=Table_dim_price_recipe[Type])*(Table_dim_price_recipe[Retail Price]&lt;&gt;0)*($C446=Table_dim_price_recipe[Subcategory]), 0))*$B446,"")</f>
        <v/>
      </c>
      <c r="L446" s="39" t="str" cm="1">
        <f t="array" ref="L446">IF($A446&lt;&gt;"", $A446, LOOKUP(2, 1/((A$7:INDEX(A:A, ROW()))&lt;&gt;""), A$7:INDEX(A:A, ROW())))</f>
        <v xml:space="preserve">FLASHINGS </v>
      </c>
      <c r="M446" s="14"/>
    </row>
    <row r="447" spans="1:13">
      <c r="A447" s="263"/>
      <c r="B447" s="263"/>
      <c r="C447" s="263" t="s">
        <v>522</v>
      </c>
      <c r="D447" s="263"/>
      <c r="E447" s="263"/>
      <c r="F447" s="263"/>
      <c r="G447" s="39" t="str" cm="1">
        <f t="array" ref="G447">IFERROR(INDEX(Table_dim_price_recipe[Retail Price], MATCH(1, ("Calculator"&lt;&gt;Table_dim_price_recipe[Type.display])*($L447=Table_dim_price_recipe[Category])*($D447=Table_dim_price_recipe[Item Description]) * (G$6=Table_dim_price_recipe[Type])*(Table_dim_price_recipe[Retail Price]&lt;&gt;0)*($C447=Table_dim_price_recipe[Subcategory]), 0))*$B447,"")</f>
        <v/>
      </c>
      <c r="H447" s="39" t="str" cm="1">
        <f t="array" ref="H447">IFERROR(INDEX(Table_dim_price_recipe[Retail Price], MATCH(1, ("Calculator"&lt;&gt;Table_dim_price_recipe[Type.display])*($L447=Table_dim_price_recipe[Category])*($D447=Table_dim_price_recipe[Item Description]) * (H$6=Table_dim_price_recipe[Type])*(Table_dim_price_recipe[Retail Price]&lt;&gt;0)*($C447=Table_dim_price_recipe[Subcategory]), 0))*$B447,"")</f>
        <v/>
      </c>
      <c r="I447" s="39" t="str" cm="1">
        <f t="array" ref="I447">IFERROR(INDEX(Table_dim_price_recipe[Retail Price], MATCH(1, ("Calculator"&lt;&gt;Table_dim_price_recipe[Type.display])*($L447=Table_dim_price_recipe[Category])*($D447=Table_dim_price_recipe[Item Description]) * (I$6=Table_dim_price_recipe[Type])*(Table_dim_price_recipe[Retail Price]&lt;&gt;0)*($C447=Table_dim_price_recipe[Subcategory]), 0))*$B447,"")</f>
        <v/>
      </c>
      <c r="J447" s="39" t="str" cm="1">
        <f t="array" ref="J447">IFERROR(INDEX(Table_dim_price_recipe[Retail Price], MATCH(1, ("Calculator"&lt;&gt;Table_dim_price_recipe[Type.display])*($L447=Table_dim_price_recipe[Category])*($D447=Table_dim_price_recipe[Item Description]) * (J$6=Table_dim_price_recipe[Type])*(Table_dim_price_recipe[Retail Price]&lt;&gt;0)*($C447=Table_dim_price_recipe[Subcategory]), 0))*$B447,"")</f>
        <v/>
      </c>
      <c r="K447" s="39" t="str" cm="1">
        <f t="array" ref="K447">IFERROR(INDEX(Table_dim_price_recipe[Retail Price], MATCH(1, ("Calculator"&lt;&gt;Table_dim_price_recipe[Type.display])*($L447=Table_dim_price_recipe[Category])*($D447=Table_dim_price_recipe[Item Description]) * (K$6=Table_dim_price_recipe[Type])*(Table_dim_price_recipe[Retail Price]&lt;&gt;0)*($C447=Table_dim_price_recipe[Subcategory]), 0))*$B447,"")</f>
        <v/>
      </c>
      <c r="L447" s="39" t="str" cm="1">
        <f t="array" ref="L447">IF($A447&lt;&gt;"", $A447, LOOKUP(2, 1/((A$7:INDEX(A:A, ROW()))&lt;&gt;""), A$7:INDEX(A:A, ROW())))</f>
        <v xml:space="preserve">FLASHINGS </v>
      </c>
      <c r="M447" s="14"/>
    </row>
    <row r="448" spans="1:13">
      <c r="A448" s="260" t="s">
        <v>840</v>
      </c>
      <c r="B448" s="261"/>
      <c r="C448" s="261"/>
      <c r="D448" s="261"/>
      <c r="E448" s="261"/>
      <c r="F448" s="261"/>
      <c r="G448" s="262" t="str" cm="1">
        <f t="array" ref="G448">IFERROR(INDEX(Table_dim_price_recipe[Retail Price], MATCH(1, ("Calculator"&lt;&gt;Table_dim_price_recipe[Type.display])*($L448=Table_dim_price_recipe[Category])*($D448=Table_dim_price_recipe[Item Description]) * (G$6=Table_dim_price_recipe[Type])*(Table_dim_price_recipe[Retail Price]&lt;&gt;0)*($C448=Table_dim_price_recipe[Subcategory]), 0))*$B448,"")</f>
        <v/>
      </c>
      <c r="H448" s="262" t="str" cm="1">
        <f t="array" ref="H448">IFERROR(INDEX(Table_dim_price_recipe[Retail Price], MATCH(1, ("Calculator"&lt;&gt;Table_dim_price_recipe[Type.display])*($L448=Table_dim_price_recipe[Category])*($D448=Table_dim_price_recipe[Item Description]) * (H$6=Table_dim_price_recipe[Type])*(Table_dim_price_recipe[Retail Price]&lt;&gt;0)*($C448=Table_dim_price_recipe[Subcategory]), 0))*$B448,"")</f>
        <v/>
      </c>
      <c r="I448" s="262" t="str" cm="1">
        <f t="array" ref="I448">IFERROR(INDEX(Table_dim_price_recipe[Retail Price], MATCH(1, ("Calculator"&lt;&gt;Table_dim_price_recipe[Type.display])*($L448=Table_dim_price_recipe[Category])*($D448=Table_dim_price_recipe[Item Description]) * (I$6=Table_dim_price_recipe[Type])*(Table_dim_price_recipe[Retail Price]&lt;&gt;0)*($C448=Table_dim_price_recipe[Subcategory]), 0))*$B448,"")</f>
        <v/>
      </c>
      <c r="J448" s="262" t="str" cm="1">
        <f t="array" ref="J448">IFERROR(INDEX(Table_dim_price_recipe[Retail Price], MATCH(1, ("Calculator"&lt;&gt;Table_dim_price_recipe[Type.display])*($L448=Table_dim_price_recipe[Category])*($D448=Table_dim_price_recipe[Item Description]) * (J$6=Table_dim_price_recipe[Type])*(Table_dim_price_recipe[Retail Price]&lt;&gt;0)*($C448=Table_dim_price_recipe[Subcategory]), 0))*$B448,"")</f>
        <v/>
      </c>
      <c r="K448" s="262" t="str" cm="1">
        <f t="array" ref="K448">IFERROR(INDEX(Table_dim_price_recipe[Retail Price], MATCH(1, ("Calculator"&lt;&gt;Table_dim_price_recipe[Type.display])*($L448=Table_dim_price_recipe[Category])*($D448=Table_dim_price_recipe[Item Description]) * (K$6=Table_dim_price_recipe[Type])*(Table_dim_price_recipe[Retail Price]&lt;&gt;0)*($C448=Table_dim_price_recipe[Subcategory]), 0))*$B448,"")</f>
        <v/>
      </c>
      <c r="L448" s="262" t="str" cm="1">
        <f t="array" ref="L448">IF($A448&lt;&gt;"", $A448, LOOKUP(2, 1/((A$7:INDEX(A:A, ROW()))&lt;&gt;""), A$7:INDEX(A:A, ROW())))</f>
        <v>FLASHING</v>
      </c>
      <c r="M448" s="14"/>
    </row>
    <row r="449" spans="1:13">
      <c r="A449" s="263"/>
      <c r="B449" s="263"/>
      <c r="C449" s="263" t="s">
        <v>851</v>
      </c>
      <c r="D449" s="263" t="s">
        <v>853</v>
      </c>
      <c r="E449" s="263"/>
      <c r="F449" s="263"/>
      <c r="G449" s="39" t="str" cm="1">
        <f t="array" ref="G449">IFERROR(INDEX(Table_dim_price_recipe[Retail Price], MATCH(1, ("Calculator"&lt;&gt;Table_dim_price_recipe[Type.display])*($L449=Table_dim_price_recipe[Category])*($D449=Table_dim_price_recipe[Item Description]) * (G$6=Table_dim_price_recipe[Type])*(Table_dim_price_recipe[Retail Price]&lt;&gt;0)*($C449=Table_dim_price_recipe[Subcategory]), 0))*$B449,"")</f>
        <v/>
      </c>
      <c r="H449" s="39" t="str" cm="1">
        <f t="array" ref="H449">IFERROR(INDEX(Table_dim_price_recipe[Retail Price], MATCH(1, ("Calculator"&lt;&gt;Table_dim_price_recipe[Type.display])*($L449=Table_dim_price_recipe[Category])*($D449=Table_dim_price_recipe[Item Description]) * (H$6=Table_dim_price_recipe[Type])*(Table_dim_price_recipe[Retail Price]&lt;&gt;0)*($C449=Table_dim_price_recipe[Subcategory]), 0))*$B449,"")</f>
        <v/>
      </c>
      <c r="I449" s="39" t="str" cm="1">
        <f t="array" ref="I449">IFERROR(INDEX(Table_dim_price_recipe[Retail Price], MATCH(1, ("Calculator"&lt;&gt;Table_dim_price_recipe[Type.display])*($L449=Table_dim_price_recipe[Category])*($D449=Table_dim_price_recipe[Item Description]) * (I$6=Table_dim_price_recipe[Type])*(Table_dim_price_recipe[Retail Price]&lt;&gt;0)*($C449=Table_dim_price_recipe[Subcategory]), 0))*$B449,"")</f>
        <v/>
      </c>
      <c r="J449" s="39" t="str" cm="1">
        <f t="array" ref="J449">IFERROR(INDEX(Table_dim_price_recipe[Retail Price], MATCH(1, ("Calculator"&lt;&gt;Table_dim_price_recipe[Type.display])*($L449=Table_dim_price_recipe[Category])*($D449=Table_dim_price_recipe[Item Description]) * (J$6=Table_dim_price_recipe[Type])*(Table_dim_price_recipe[Retail Price]&lt;&gt;0)*($C449=Table_dim_price_recipe[Subcategory]), 0))*$B449,"")</f>
        <v/>
      </c>
      <c r="K449" s="39" cm="1">
        <f t="array" ref="K449">IFERROR(INDEX(Table_dim_price_recipe[Retail Price], MATCH(1, ("Calculator"&lt;&gt;Table_dim_price_recipe[Type.display])*($L449=Table_dim_price_recipe[Category])*($D449=Table_dim_price_recipe[Item Description]) * (K$6=Table_dim_price_recipe[Type])*(Table_dim_price_recipe[Retail Price]&lt;&gt;0)*($C449=Table_dim_price_recipe[Subcategory]), 0))*$B449,"")</f>
        <v>0</v>
      </c>
      <c r="L449" s="39" t="str" cm="1">
        <f t="array" ref="L449">IF($A449&lt;&gt;"", $A449, LOOKUP(2, 1/((A$7:INDEX(A:A, ROW()))&lt;&gt;""), A$7:INDEX(A:A, ROW())))</f>
        <v>FLASHING</v>
      </c>
      <c r="M449" s="14"/>
    </row>
    <row r="450" spans="1:13">
      <c r="A450" s="263"/>
      <c r="B450" s="263"/>
      <c r="C450" s="263" t="s">
        <v>851</v>
      </c>
      <c r="D450" s="263" t="s">
        <v>852</v>
      </c>
      <c r="E450" s="263"/>
      <c r="F450" s="263"/>
      <c r="G450" s="39" t="str" cm="1">
        <f t="array" ref="G450">IFERROR(INDEX(Table_dim_price_recipe[Retail Price], MATCH(1, ("Calculator"&lt;&gt;Table_dim_price_recipe[Type.display])*($L450=Table_dim_price_recipe[Category])*($D450=Table_dim_price_recipe[Item Description]) * (G$6=Table_dim_price_recipe[Type])*(Table_dim_price_recipe[Retail Price]&lt;&gt;0)*($C450=Table_dim_price_recipe[Subcategory]), 0))*$B450,"")</f>
        <v/>
      </c>
      <c r="H450" s="39" t="str" cm="1">
        <f t="array" ref="H450">IFERROR(INDEX(Table_dim_price_recipe[Retail Price], MATCH(1, ("Calculator"&lt;&gt;Table_dim_price_recipe[Type.display])*($L450=Table_dim_price_recipe[Category])*($D450=Table_dim_price_recipe[Item Description]) * (H$6=Table_dim_price_recipe[Type])*(Table_dim_price_recipe[Retail Price]&lt;&gt;0)*($C450=Table_dim_price_recipe[Subcategory]), 0))*$B450,"")</f>
        <v/>
      </c>
      <c r="I450" s="39" t="str" cm="1">
        <f t="array" ref="I450">IFERROR(INDEX(Table_dim_price_recipe[Retail Price], MATCH(1, ("Calculator"&lt;&gt;Table_dim_price_recipe[Type.display])*($L450=Table_dim_price_recipe[Category])*($D450=Table_dim_price_recipe[Item Description]) * (I$6=Table_dim_price_recipe[Type])*(Table_dim_price_recipe[Retail Price]&lt;&gt;0)*($C450=Table_dim_price_recipe[Subcategory]), 0))*$B450,"")</f>
        <v/>
      </c>
      <c r="J450" s="39" t="str" cm="1">
        <f t="array" ref="J450">IFERROR(INDEX(Table_dim_price_recipe[Retail Price], MATCH(1, ("Calculator"&lt;&gt;Table_dim_price_recipe[Type.display])*($L450=Table_dim_price_recipe[Category])*($D450=Table_dim_price_recipe[Item Description]) * (J$6=Table_dim_price_recipe[Type])*(Table_dim_price_recipe[Retail Price]&lt;&gt;0)*($C450=Table_dim_price_recipe[Subcategory]), 0))*$B450,"")</f>
        <v/>
      </c>
      <c r="K450" s="39" cm="1">
        <f t="array" ref="K450">IFERROR(INDEX(Table_dim_price_recipe[Retail Price], MATCH(1, ("Calculator"&lt;&gt;Table_dim_price_recipe[Type.display])*($L450=Table_dim_price_recipe[Category])*($D450=Table_dim_price_recipe[Item Description]) * (K$6=Table_dim_price_recipe[Type])*(Table_dim_price_recipe[Retail Price]&lt;&gt;0)*($C450=Table_dim_price_recipe[Subcategory]), 0))*$B450,"")</f>
        <v>0</v>
      </c>
      <c r="L450" s="39" t="str" cm="1">
        <f t="array" ref="L450">IF($A450&lt;&gt;"", $A450, LOOKUP(2, 1/((A$7:INDEX(A:A, ROW()))&lt;&gt;""), A$7:INDEX(A:A, ROW())))</f>
        <v>FLASHING</v>
      </c>
      <c r="M450" s="14"/>
    </row>
    <row r="451" spans="1:13">
      <c r="A451" s="263"/>
      <c r="B451" s="263"/>
      <c r="C451" s="263" t="s">
        <v>851</v>
      </c>
      <c r="D451" s="263" t="s">
        <v>54</v>
      </c>
      <c r="E451" s="263"/>
      <c r="F451" s="263"/>
      <c r="G451" s="39" t="str" cm="1">
        <f t="array" ref="G451">IFERROR(INDEX(Table_dim_price_recipe[Retail Price], MATCH(1, ("Calculator"&lt;&gt;Table_dim_price_recipe[Type.display])*($L451=Table_dim_price_recipe[Category])*($D451=Table_dim_price_recipe[Item Description]) * (G$6=Table_dim_price_recipe[Type])*(Table_dim_price_recipe[Retail Price]&lt;&gt;0)*($C451=Table_dim_price_recipe[Subcategory]), 0))*$B451,"")</f>
        <v/>
      </c>
      <c r="H451" s="39" t="str" cm="1">
        <f t="array" ref="H451">IFERROR(INDEX(Table_dim_price_recipe[Retail Price], MATCH(1, ("Calculator"&lt;&gt;Table_dim_price_recipe[Type.display])*($L451=Table_dim_price_recipe[Category])*($D451=Table_dim_price_recipe[Item Description]) * (H$6=Table_dim_price_recipe[Type])*(Table_dim_price_recipe[Retail Price]&lt;&gt;0)*($C451=Table_dim_price_recipe[Subcategory]), 0))*$B451,"")</f>
        <v/>
      </c>
      <c r="I451" s="39" t="str" cm="1">
        <f t="array" ref="I451">IFERROR(INDEX(Table_dim_price_recipe[Retail Price], MATCH(1, ("Calculator"&lt;&gt;Table_dim_price_recipe[Type.display])*($L451=Table_dim_price_recipe[Category])*($D451=Table_dim_price_recipe[Item Description]) * (I$6=Table_dim_price_recipe[Type])*(Table_dim_price_recipe[Retail Price]&lt;&gt;0)*($C451=Table_dim_price_recipe[Subcategory]), 0))*$B451,"")</f>
        <v/>
      </c>
      <c r="J451" s="39" t="str" cm="1">
        <f t="array" ref="J451">IFERROR(INDEX(Table_dim_price_recipe[Retail Price], MATCH(1, ("Calculator"&lt;&gt;Table_dim_price_recipe[Type.display])*($L451=Table_dim_price_recipe[Category])*($D451=Table_dim_price_recipe[Item Description]) * (J$6=Table_dim_price_recipe[Type])*(Table_dim_price_recipe[Retail Price]&lt;&gt;0)*($C451=Table_dim_price_recipe[Subcategory]), 0))*$B451,"")</f>
        <v/>
      </c>
      <c r="K451" s="39" cm="1">
        <f t="array" ref="K451">IFERROR(INDEX(Table_dim_price_recipe[Retail Price], MATCH(1, ("Calculator"&lt;&gt;Table_dim_price_recipe[Type.display])*($L451=Table_dim_price_recipe[Category])*($D451=Table_dim_price_recipe[Item Description]) * (K$6=Table_dim_price_recipe[Type])*(Table_dim_price_recipe[Retail Price]&lt;&gt;0)*($C451=Table_dim_price_recipe[Subcategory]), 0))*$B451,"")</f>
        <v>0</v>
      </c>
      <c r="L451" s="39" t="str" cm="1">
        <f t="array" ref="L451">IF($A451&lt;&gt;"", $A451, LOOKUP(2, 1/((A$7:INDEX(A:A, ROW()))&lt;&gt;""), A$7:INDEX(A:A, ROW())))</f>
        <v>FLASHING</v>
      </c>
      <c r="M451" s="14"/>
    </row>
    <row r="452" spans="1:13">
      <c r="A452" s="263"/>
      <c r="B452" s="263"/>
      <c r="C452" s="263" t="s">
        <v>851</v>
      </c>
      <c r="D452" s="263"/>
      <c r="E452" s="263"/>
      <c r="F452" s="263"/>
      <c r="G452" s="39" t="str" cm="1">
        <f t="array" ref="G452">IFERROR(INDEX(Table_dim_price_recipe[Retail Price], MATCH(1, ("Calculator"&lt;&gt;Table_dim_price_recipe[Type.display])*($L452=Table_dim_price_recipe[Category])*($D452=Table_dim_price_recipe[Item Description]) * (G$6=Table_dim_price_recipe[Type])*(Table_dim_price_recipe[Retail Price]&lt;&gt;0)*($C452=Table_dim_price_recipe[Subcategory]), 0))*$B452,"")</f>
        <v/>
      </c>
      <c r="H452" s="39" t="str" cm="1">
        <f t="array" ref="H452">IFERROR(INDEX(Table_dim_price_recipe[Retail Price], MATCH(1, ("Calculator"&lt;&gt;Table_dim_price_recipe[Type.display])*($L452=Table_dim_price_recipe[Category])*($D452=Table_dim_price_recipe[Item Description]) * (H$6=Table_dim_price_recipe[Type])*(Table_dim_price_recipe[Retail Price]&lt;&gt;0)*($C452=Table_dim_price_recipe[Subcategory]), 0))*$B452,"")</f>
        <v/>
      </c>
      <c r="I452" s="39" t="str" cm="1">
        <f t="array" ref="I452">IFERROR(INDEX(Table_dim_price_recipe[Retail Price], MATCH(1, ("Calculator"&lt;&gt;Table_dim_price_recipe[Type.display])*($L452=Table_dim_price_recipe[Category])*($D452=Table_dim_price_recipe[Item Description]) * (I$6=Table_dim_price_recipe[Type])*(Table_dim_price_recipe[Retail Price]&lt;&gt;0)*($C452=Table_dim_price_recipe[Subcategory]), 0))*$B452,"")</f>
        <v/>
      </c>
      <c r="J452" s="39" t="str" cm="1">
        <f t="array" ref="J452">IFERROR(INDEX(Table_dim_price_recipe[Retail Price], MATCH(1, ("Calculator"&lt;&gt;Table_dim_price_recipe[Type.display])*($L452=Table_dim_price_recipe[Category])*($D452=Table_dim_price_recipe[Item Description]) * (J$6=Table_dim_price_recipe[Type])*(Table_dim_price_recipe[Retail Price]&lt;&gt;0)*($C452=Table_dim_price_recipe[Subcategory]), 0))*$B452,"")</f>
        <v/>
      </c>
      <c r="K452" s="39" t="str" cm="1">
        <f t="array" ref="K452">IFERROR(INDEX(Table_dim_price_recipe[Retail Price], MATCH(1, ("Calculator"&lt;&gt;Table_dim_price_recipe[Type.display])*($L452=Table_dim_price_recipe[Category])*($D452=Table_dim_price_recipe[Item Description]) * (K$6=Table_dim_price_recipe[Type])*(Table_dim_price_recipe[Retail Price]&lt;&gt;0)*($C452=Table_dim_price_recipe[Subcategory]), 0))*$B452,"")</f>
        <v/>
      </c>
      <c r="L452" s="39" t="str" cm="1">
        <f t="array" ref="L452">IF($A452&lt;&gt;"", $A452, LOOKUP(2, 1/((A$7:INDEX(A:A, ROW()))&lt;&gt;""), A$7:INDEX(A:A, ROW())))</f>
        <v>FLASHING</v>
      </c>
      <c r="M452" s="14"/>
    </row>
    <row r="453" spans="1:13">
      <c r="A453" s="263"/>
      <c r="B453" s="263"/>
      <c r="C453" s="263" t="s">
        <v>851</v>
      </c>
      <c r="D453" s="263"/>
      <c r="E453" s="263"/>
      <c r="F453" s="263"/>
      <c r="G453" s="39" t="str" cm="1">
        <f t="array" ref="G453">IFERROR(INDEX(Table_dim_price_recipe[Retail Price], MATCH(1, ("Calculator"&lt;&gt;Table_dim_price_recipe[Type.display])*($L453=Table_dim_price_recipe[Category])*($D453=Table_dim_price_recipe[Item Description]) * (G$6=Table_dim_price_recipe[Type])*(Table_dim_price_recipe[Retail Price]&lt;&gt;0)*($C453=Table_dim_price_recipe[Subcategory]), 0))*$B453,"")</f>
        <v/>
      </c>
      <c r="H453" s="39" t="str" cm="1">
        <f t="array" ref="H453">IFERROR(INDEX(Table_dim_price_recipe[Retail Price], MATCH(1, ("Calculator"&lt;&gt;Table_dim_price_recipe[Type.display])*($L453=Table_dim_price_recipe[Category])*($D453=Table_dim_price_recipe[Item Description]) * (H$6=Table_dim_price_recipe[Type])*(Table_dim_price_recipe[Retail Price]&lt;&gt;0)*($C453=Table_dim_price_recipe[Subcategory]), 0))*$B453,"")</f>
        <v/>
      </c>
      <c r="I453" s="39" t="str" cm="1">
        <f t="array" ref="I453">IFERROR(INDEX(Table_dim_price_recipe[Retail Price], MATCH(1, ("Calculator"&lt;&gt;Table_dim_price_recipe[Type.display])*($L453=Table_dim_price_recipe[Category])*($D453=Table_dim_price_recipe[Item Description]) * (I$6=Table_dim_price_recipe[Type])*(Table_dim_price_recipe[Retail Price]&lt;&gt;0)*($C453=Table_dim_price_recipe[Subcategory]), 0))*$B453,"")</f>
        <v/>
      </c>
      <c r="J453" s="39" t="str" cm="1">
        <f t="array" ref="J453">IFERROR(INDEX(Table_dim_price_recipe[Retail Price], MATCH(1, ("Calculator"&lt;&gt;Table_dim_price_recipe[Type.display])*($L453=Table_dim_price_recipe[Category])*($D453=Table_dim_price_recipe[Item Description]) * (J$6=Table_dim_price_recipe[Type])*(Table_dim_price_recipe[Retail Price]&lt;&gt;0)*($C453=Table_dim_price_recipe[Subcategory]), 0))*$B453,"")</f>
        <v/>
      </c>
      <c r="K453" s="39" t="str" cm="1">
        <f t="array" ref="K453">IFERROR(INDEX(Table_dim_price_recipe[Retail Price], MATCH(1, ("Calculator"&lt;&gt;Table_dim_price_recipe[Type.display])*($L453=Table_dim_price_recipe[Category])*($D453=Table_dim_price_recipe[Item Description]) * (K$6=Table_dim_price_recipe[Type])*(Table_dim_price_recipe[Retail Price]&lt;&gt;0)*($C453=Table_dim_price_recipe[Subcategory]), 0))*$B453,"")</f>
        <v/>
      </c>
      <c r="L453" s="39" t="str" cm="1">
        <f t="array" ref="L453">IF($A453&lt;&gt;"", $A453, LOOKUP(2, 1/((A$7:INDEX(A:A, ROW()))&lt;&gt;""), A$7:INDEX(A:A, ROW())))</f>
        <v>FLASHING</v>
      </c>
      <c r="M453" s="14"/>
    </row>
    <row r="454" spans="1:13">
      <c r="A454" s="263"/>
      <c r="B454" s="263"/>
      <c r="C454" s="263" t="s">
        <v>841</v>
      </c>
      <c r="D454" s="263" t="s">
        <v>53</v>
      </c>
      <c r="E454" s="263"/>
      <c r="F454" s="263"/>
      <c r="G454" s="39" t="str" cm="1">
        <f t="array" ref="G454">IFERROR(INDEX(Table_dim_price_recipe[Retail Price], MATCH(1, ("Calculator"&lt;&gt;Table_dim_price_recipe[Type.display])*($L454=Table_dim_price_recipe[Category])*($D454=Table_dim_price_recipe[Item Description]) * (G$6=Table_dim_price_recipe[Type])*(Table_dim_price_recipe[Retail Price]&lt;&gt;0)*($C454=Table_dim_price_recipe[Subcategory]), 0))*$B454,"")</f>
        <v/>
      </c>
      <c r="H454" s="39" t="str" cm="1">
        <f t="array" ref="H454">IFERROR(INDEX(Table_dim_price_recipe[Retail Price], MATCH(1, ("Calculator"&lt;&gt;Table_dim_price_recipe[Type.display])*($L454=Table_dim_price_recipe[Category])*($D454=Table_dim_price_recipe[Item Description]) * (H$6=Table_dim_price_recipe[Type])*(Table_dim_price_recipe[Retail Price]&lt;&gt;0)*($C454=Table_dim_price_recipe[Subcategory]), 0))*$B454,"")</f>
        <v/>
      </c>
      <c r="I454" s="39" t="str" cm="1">
        <f t="array" ref="I454">IFERROR(INDEX(Table_dim_price_recipe[Retail Price], MATCH(1, ("Calculator"&lt;&gt;Table_dim_price_recipe[Type.display])*($L454=Table_dim_price_recipe[Category])*($D454=Table_dim_price_recipe[Item Description]) * (I$6=Table_dim_price_recipe[Type])*(Table_dim_price_recipe[Retail Price]&lt;&gt;0)*($C454=Table_dim_price_recipe[Subcategory]), 0))*$B454,"")</f>
        <v/>
      </c>
      <c r="J454" s="39" t="str" cm="1">
        <f t="array" ref="J454">IFERROR(INDEX(Table_dim_price_recipe[Retail Price], MATCH(1, ("Calculator"&lt;&gt;Table_dim_price_recipe[Type.display])*($L454=Table_dim_price_recipe[Category])*($D454=Table_dim_price_recipe[Item Description]) * (J$6=Table_dim_price_recipe[Type])*(Table_dim_price_recipe[Retail Price]&lt;&gt;0)*($C454=Table_dim_price_recipe[Subcategory]), 0))*$B454,"")</f>
        <v/>
      </c>
      <c r="K454" s="39" cm="1">
        <f t="array" ref="K454">IFERROR(INDEX(Table_dim_price_recipe[Retail Price], MATCH(1, ("Calculator"&lt;&gt;Table_dim_price_recipe[Type.display])*($L454=Table_dim_price_recipe[Category])*($D454=Table_dim_price_recipe[Item Description]) * (K$6=Table_dim_price_recipe[Type])*(Table_dim_price_recipe[Retail Price]&lt;&gt;0)*($C454=Table_dim_price_recipe[Subcategory]), 0))*$B454,"")</f>
        <v>0</v>
      </c>
      <c r="L454" s="39" t="str" cm="1">
        <f t="array" ref="L454">IF($A454&lt;&gt;"", $A454, LOOKUP(2, 1/((A$7:INDEX(A:A, ROW()))&lt;&gt;""), A$7:INDEX(A:A, ROW())))</f>
        <v>FLASHING</v>
      </c>
      <c r="M454" s="14"/>
    </row>
    <row r="455" spans="1:13">
      <c r="A455" s="263"/>
      <c r="B455" s="263"/>
      <c r="C455" s="263" t="s">
        <v>841</v>
      </c>
      <c r="D455" s="263" t="s">
        <v>848</v>
      </c>
      <c r="E455" s="263"/>
      <c r="F455" s="263"/>
      <c r="G455" s="39" t="str" cm="1">
        <f t="array" ref="G455">IFERROR(INDEX(Table_dim_price_recipe[Retail Price], MATCH(1, ("Calculator"&lt;&gt;Table_dim_price_recipe[Type.display])*($L455=Table_dim_price_recipe[Category])*($D455=Table_dim_price_recipe[Item Description]) * (G$6=Table_dim_price_recipe[Type])*(Table_dim_price_recipe[Retail Price]&lt;&gt;0)*($C455=Table_dim_price_recipe[Subcategory]), 0))*$B455,"")</f>
        <v/>
      </c>
      <c r="H455" s="39" t="str" cm="1">
        <f t="array" ref="H455">IFERROR(INDEX(Table_dim_price_recipe[Retail Price], MATCH(1, ("Calculator"&lt;&gt;Table_dim_price_recipe[Type.display])*($L455=Table_dim_price_recipe[Category])*($D455=Table_dim_price_recipe[Item Description]) * (H$6=Table_dim_price_recipe[Type])*(Table_dim_price_recipe[Retail Price]&lt;&gt;0)*($C455=Table_dim_price_recipe[Subcategory]), 0))*$B455,"")</f>
        <v/>
      </c>
      <c r="I455" s="39" t="str" cm="1">
        <f t="array" ref="I455">IFERROR(INDEX(Table_dim_price_recipe[Retail Price], MATCH(1, ("Calculator"&lt;&gt;Table_dim_price_recipe[Type.display])*($L455=Table_dim_price_recipe[Category])*($D455=Table_dim_price_recipe[Item Description]) * (I$6=Table_dim_price_recipe[Type])*(Table_dim_price_recipe[Retail Price]&lt;&gt;0)*($C455=Table_dim_price_recipe[Subcategory]), 0))*$B455,"")</f>
        <v/>
      </c>
      <c r="J455" s="39" t="str" cm="1">
        <f t="array" ref="J455">IFERROR(INDEX(Table_dim_price_recipe[Retail Price], MATCH(1, ("Calculator"&lt;&gt;Table_dim_price_recipe[Type.display])*($L455=Table_dim_price_recipe[Category])*($D455=Table_dim_price_recipe[Item Description]) * (J$6=Table_dim_price_recipe[Type])*(Table_dim_price_recipe[Retail Price]&lt;&gt;0)*($C455=Table_dim_price_recipe[Subcategory]), 0))*$B455,"")</f>
        <v/>
      </c>
      <c r="K455" s="39" cm="1">
        <f t="array" ref="K455">IFERROR(INDEX(Table_dim_price_recipe[Retail Price], MATCH(1, ("Calculator"&lt;&gt;Table_dim_price_recipe[Type.display])*($L455=Table_dim_price_recipe[Category])*($D455=Table_dim_price_recipe[Item Description]) * (K$6=Table_dim_price_recipe[Type])*(Table_dim_price_recipe[Retail Price]&lt;&gt;0)*($C455=Table_dim_price_recipe[Subcategory]), 0))*$B455,"")</f>
        <v>0</v>
      </c>
      <c r="L455" s="39" t="str" cm="1">
        <f t="array" ref="L455">IF($A455&lt;&gt;"", $A455, LOOKUP(2, 1/((A$7:INDEX(A:A, ROW()))&lt;&gt;""), A$7:INDEX(A:A, ROW())))</f>
        <v>FLASHING</v>
      </c>
      <c r="M455" s="14"/>
    </row>
    <row r="456" spans="1:13">
      <c r="A456" s="263"/>
      <c r="B456" s="263"/>
      <c r="C456" s="263" t="s">
        <v>841</v>
      </c>
      <c r="D456" s="263" t="s">
        <v>847</v>
      </c>
      <c r="E456" s="263"/>
      <c r="F456" s="263"/>
      <c r="G456" s="39" t="str" cm="1">
        <f t="array" ref="G456">IFERROR(INDEX(Table_dim_price_recipe[Retail Price], MATCH(1, ("Calculator"&lt;&gt;Table_dim_price_recipe[Type.display])*($L456=Table_dim_price_recipe[Category])*($D456=Table_dim_price_recipe[Item Description]) * (G$6=Table_dim_price_recipe[Type])*(Table_dim_price_recipe[Retail Price]&lt;&gt;0)*($C456=Table_dim_price_recipe[Subcategory]), 0))*$B456,"")</f>
        <v/>
      </c>
      <c r="H456" s="39" t="str" cm="1">
        <f t="array" ref="H456">IFERROR(INDEX(Table_dim_price_recipe[Retail Price], MATCH(1, ("Calculator"&lt;&gt;Table_dim_price_recipe[Type.display])*($L456=Table_dim_price_recipe[Category])*($D456=Table_dim_price_recipe[Item Description]) * (H$6=Table_dim_price_recipe[Type])*(Table_dim_price_recipe[Retail Price]&lt;&gt;0)*($C456=Table_dim_price_recipe[Subcategory]), 0))*$B456,"")</f>
        <v/>
      </c>
      <c r="I456" s="39" t="str" cm="1">
        <f t="array" ref="I456">IFERROR(INDEX(Table_dim_price_recipe[Retail Price], MATCH(1, ("Calculator"&lt;&gt;Table_dim_price_recipe[Type.display])*($L456=Table_dim_price_recipe[Category])*($D456=Table_dim_price_recipe[Item Description]) * (I$6=Table_dim_price_recipe[Type])*(Table_dim_price_recipe[Retail Price]&lt;&gt;0)*($C456=Table_dim_price_recipe[Subcategory]), 0))*$B456,"")</f>
        <v/>
      </c>
      <c r="J456" s="39" t="str" cm="1">
        <f t="array" ref="J456">IFERROR(INDEX(Table_dim_price_recipe[Retail Price], MATCH(1, ("Calculator"&lt;&gt;Table_dim_price_recipe[Type.display])*($L456=Table_dim_price_recipe[Category])*($D456=Table_dim_price_recipe[Item Description]) * (J$6=Table_dim_price_recipe[Type])*(Table_dim_price_recipe[Retail Price]&lt;&gt;0)*($C456=Table_dim_price_recipe[Subcategory]), 0))*$B456,"")</f>
        <v/>
      </c>
      <c r="K456" s="39" cm="1">
        <f t="array" ref="K456">IFERROR(INDEX(Table_dim_price_recipe[Retail Price], MATCH(1, ("Calculator"&lt;&gt;Table_dim_price_recipe[Type.display])*($L456=Table_dim_price_recipe[Category])*($D456=Table_dim_price_recipe[Item Description]) * (K$6=Table_dim_price_recipe[Type])*(Table_dim_price_recipe[Retail Price]&lt;&gt;0)*($C456=Table_dim_price_recipe[Subcategory]), 0))*$B456,"")</f>
        <v>0</v>
      </c>
      <c r="L456" s="39" t="str" cm="1">
        <f t="array" ref="L456">IF($A456&lt;&gt;"", $A456, LOOKUP(2, 1/((A$7:INDEX(A:A, ROW()))&lt;&gt;""), A$7:INDEX(A:A, ROW())))</f>
        <v>FLASHING</v>
      </c>
      <c r="M456" s="14"/>
    </row>
    <row r="457" spans="1:13">
      <c r="A457" s="263"/>
      <c r="B457" s="263"/>
      <c r="C457" s="263" t="s">
        <v>841</v>
      </c>
      <c r="D457" s="263" t="s">
        <v>850</v>
      </c>
      <c r="E457" s="263"/>
      <c r="F457" s="263"/>
      <c r="G457" s="39" t="str" cm="1">
        <f t="array" ref="G457">IFERROR(INDEX(Table_dim_price_recipe[Retail Price], MATCH(1, ("Calculator"&lt;&gt;Table_dim_price_recipe[Type.display])*($L457=Table_dim_price_recipe[Category])*($D457=Table_dim_price_recipe[Item Description]) * (G$6=Table_dim_price_recipe[Type])*(Table_dim_price_recipe[Retail Price]&lt;&gt;0)*($C457=Table_dim_price_recipe[Subcategory]), 0))*$B457,"")</f>
        <v/>
      </c>
      <c r="H457" s="39" t="str" cm="1">
        <f t="array" ref="H457">IFERROR(INDEX(Table_dim_price_recipe[Retail Price], MATCH(1, ("Calculator"&lt;&gt;Table_dim_price_recipe[Type.display])*($L457=Table_dim_price_recipe[Category])*($D457=Table_dim_price_recipe[Item Description]) * (H$6=Table_dim_price_recipe[Type])*(Table_dim_price_recipe[Retail Price]&lt;&gt;0)*($C457=Table_dim_price_recipe[Subcategory]), 0))*$B457,"")</f>
        <v/>
      </c>
      <c r="I457" s="39" t="str" cm="1">
        <f t="array" ref="I457">IFERROR(INDEX(Table_dim_price_recipe[Retail Price], MATCH(1, ("Calculator"&lt;&gt;Table_dim_price_recipe[Type.display])*($L457=Table_dim_price_recipe[Category])*($D457=Table_dim_price_recipe[Item Description]) * (I$6=Table_dim_price_recipe[Type])*(Table_dim_price_recipe[Retail Price]&lt;&gt;0)*($C457=Table_dim_price_recipe[Subcategory]), 0))*$B457,"")</f>
        <v/>
      </c>
      <c r="J457" s="39" t="str" cm="1">
        <f t="array" ref="J457">IFERROR(INDEX(Table_dim_price_recipe[Retail Price], MATCH(1, ("Calculator"&lt;&gt;Table_dim_price_recipe[Type.display])*($L457=Table_dim_price_recipe[Category])*($D457=Table_dim_price_recipe[Item Description]) * (J$6=Table_dim_price_recipe[Type])*(Table_dim_price_recipe[Retail Price]&lt;&gt;0)*($C457=Table_dim_price_recipe[Subcategory]), 0))*$B457,"")</f>
        <v/>
      </c>
      <c r="K457" s="39" cm="1">
        <f t="array" ref="K457">IFERROR(INDEX(Table_dim_price_recipe[Retail Price], MATCH(1, ("Calculator"&lt;&gt;Table_dim_price_recipe[Type.display])*($L457=Table_dim_price_recipe[Category])*($D457=Table_dim_price_recipe[Item Description]) * (K$6=Table_dim_price_recipe[Type])*(Table_dim_price_recipe[Retail Price]&lt;&gt;0)*($C457=Table_dim_price_recipe[Subcategory]), 0))*$B457,"")</f>
        <v>0</v>
      </c>
      <c r="L457" s="39" t="str" cm="1">
        <f t="array" ref="L457">IF($A457&lt;&gt;"", $A457, LOOKUP(2, 1/((A$7:INDEX(A:A, ROW()))&lt;&gt;""), A$7:INDEX(A:A, ROW())))</f>
        <v>FLASHING</v>
      </c>
      <c r="M457" s="14"/>
    </row>
    <row r="458" spans="1:13">
      <c r="A458" s="263"/>
      <c r="B458" s="263"/>
      <c r="C458" s="263" t="s">
        <v>841</v>
      </c>
      <c r="D458" s="263" t="s">
        <v>843</v>
      </c>
      <c r="E458" s="263"/>
      <c r="F458" s="263"/>
      <c r="G458" s="39" t="str" cm="1">
        <f t="array" ref="G458">IFERROR(INDEX(Table_dim_price_recipe[Retail Price], MATCH(1, ("Calculator"&lt;&gt;Table_dim_price_recipe[Type.display])*($L458=Table_dim_price_recipe[Category])*($D458=Table_dim_price_recipe[Item Description]) * (G$6=Table_dim_price_recipe[Type])*(Table_dim_price_recipe[Retail Price]&lt;&gt;0)*($C458=Table_dim_price_recipe[Subcategory]), 0))*$B458,"")</f>
        <v/>
      </c>
      <c r="H458" s="39" t="str" cm="1">
        <f t="array" ref="H458">IFERROR(INDEX(Table_dim_price_recipe[Retail Price], MATCH(1, ("Calculator"&lt;&gt;Table_dim_price_recipe[Type.display])*($L458=Table_dim_price_recipe[Category])*($D458=Table_dim_price_recipe[Item Description]) * (H$6=Table_dim_price_recipe[Type])*(Table_dim_price_recipe[Retail Price]&lt;&gt;0)*($C458=Table_dim_price_recipe[Subcategory]), 0))*$B458,"")</f>
        <v/>
      </c>
      <c r="I458" s="39" t="str" cm="1">
        <f t="array" ref="I458">IFERROR(INDEX(Table_dim_price_recipe[Retail Price], MATCH(1, ("Calculator"&lt;&gt;Table_dim_price_recipe[Type.display])*($L458=Table_dim_price_recipe[Category])*($D458=Table_dim_price_recipe[Item Description]) * (I$6=Table_dim_price_recipe[Type])*(Table_dim_price_recipe[Retail Price]&lt;&gt;0)*($C458=Table_dim_price_recipe[Subcategory]), 0))*$B458,"")</f>
        <v/>
      </c>
      <c r="J458" s="39" t="str" cm="1">
        <f t="array" ref="J458">IFERROR(INDEX(Table_dim_price_recipe[Retail Price], MATCH(1, ("Calculator"&lt;&gt;Table_dim_price_recipe[Type.display])*($L458=Table_dim_price_recipe[Category])*($D458=Table_dim_price_recipe[Item Description]) * (J$6=Table_dim_price_recipe[Type])*(Table_dim_price_recipe[Retail Price]&lt;&gt;0)*($C458=Table_dim_price_recipe[Subcategory]), 0))*$B458,"")</f>
        <v/>
      </c>
      <c r="K458" s="39" cm="1">
        <f t="array" ref="K458">IFERROR(INDEX(Table_dim_price_recipe[Retail Price], MATCH(1, ("Calculator"&lt;&gt;Table_dim_price_recipe[Type.display])*($L458=Table_dim_price_recipe[Category])*($D458=Table_dim_price_recipe[Item Description]) * (K$6=Table_dim_price_recipe[Type])*(Table_dim_price_recipe[Retail Price]&lt;&gt;0)*($C458=Table_dim_price_recipe[Subcategory]), 0))*$B458,"")</f>
        <v>0</v>
      </c>
      <c r="L458" s="39" t="str" cm="1">
        <f t="array" ref="L458">IF($A458&lt;&gt;"", $A458, LOOKUP(2, 1/((A$7:INDEX(A:A, ROW()))&lt;&gt;""), A$7:INDEX(A:A, ROW())))</f>
        <v>FLASHING</v>
      </c>
      <c r="M458" s="14"/>
    </row>
    <row r="459" spans="1:13">
      <c r="A459" s="263"/>
      <c r="B459" s="263"/>
      <c r="C459" s="263" t="s">
        <v>841</v>
      </c>
      <c r="D459" s="263" t="s">
        <v>842</v>
      </c>
      <c r="E459" s="263"/>
      <c r="F459" s="263"/>
      <c r="G459" s="39" t="str" cm="1">
        <f t="array" ref="G459">IFERROR(INDEX(Table_dim_price_recipe[Retail Price], MATCH(1, ("Calculator"&lt;&gt;Table_dim_price_recipe[Type.display])*($L459=Table_dim_price_recipe[Category])*($D459=Table_dim_price_recipe[Item Description]) * (G$6=Table_dim_price_recipe[Type])*(Table_dim_price_recipe[Retail Price]&lt;&gt;0)*($C459=Table_dim_price_recipe[Subcategory]), 0))*$B459,"")</f>
        <v/>
      </c>
      <c r="H459" s="39" t="str" cm="1">
        <f t="array" ref="H459">IFERROR(INDEX(Table_dim_price_recipe[Retail Price], MATCH(1, ("Calculator"&lt;&gt;Table_dim_price_recipe[Type.display])*($L459=Table_dim_price_recipe[Category])*($D459=Table_dim_price_recipe[Item Description]) * (H$6=Table_dim_price_recipe[Type])*(Table_dim_price_recipe[Retail Price]&lt;&gt;0)*($C459=Table_dim_price_recipe[Subcategory]), 0))*$B459,"")</f>
        <v/>
      </c>
      <c r="I459" s="39" t="str" cm="1">
        <f t="array" ref="I459">IFERROR(INDEX(Table_dim_price_recipe[Retail Price], MATCH(1, ("Calculator"&lt;&gt;Table_dim_price_recipe[Type.display])*($L459=Table_dim_price_recipe[Category])*($D459=Table_dim_price_recipe[Item Description]) * (I$6=Table_dim_price_recipe[Type])*(Table_dim_price_recipe[Retail Price]&lt;&gt;0)*($C459=Table_dim_price_recipe[Subcategory]), 0))*$B459,"")</f>
        <v/>
      </c>
      <c r="J459" s="39" t="str" cm="1">
        <f t="array" ref="J459">IFERROR(INDEX(Table_dim_price_recipe[Retail Price], MATCH(1, ("Calculator"&lt;&gt;Table_dim_price_recipe[Type.display])*($L459=Table_dim_price_recipe[Category])*($D459=Table_dim_price_recipe[Item Description]) * (J$6=Table_dim_price_recipe[Type])*(Table_dim_price_recipe[Retail Price]&lt;&gt;0)*($C459=Table_dim_price_recipe[Subcategory]), 0))*$B459,"")</f>
        <v/>
      </c>
      <c r="K459" s="39" cm="1">
        <f t="array" ref="K459">IFERROR(INDEX(Table_dim_price_recipe[Retail Price], MATCH(1, ("Calculator"&lt;&gt;Table_dim_price_recipe[Type.display])*($L459=Table_dim_price_recipe[Category])*($D459=Table_dim_price_recipe[Item Description]) * (K$6=Table_dim_price_recipe[Type])*(Table_dim_price_recipe[Retail Price]&lt;&gt;0)*($C459=Table_dim_price_recipe[Subcategory]), 0))*$B459,"")</f>
        <v>0</v>
      </c>
      <c r="L459" s="39" t="str" cm="1">
        <f t="array" ref="L459">IF($A459&lt;&gt;"", $A459, LOOKUP(2, 1/((A$7:INDEX(A:A, ROW()))&lt;&gt;""), A$7:INDEX(A:A, ROW())))</f>
        <v>FLASHING</v>
      </c>
      <c r="M459" s="14"/>
    </row>
    <row r="460" spans="1:13">
      <c r="A460" s="263"/>
      <c r="B460" s="263"/>
      <c r="C460" s="263" t="s">
        <v>841</v>
      </c>
      <c r="D460" s="263" t="s">
        <v>849</v>
      </c>
      <c r="E460" s="263"/>
      <c r="F460" s="263"/>
      <c r="G460" s="39" t="str" cm="1">
        <f t="array" ref="G460">IFERROR(INDEX(Table_dim_price_recipe[Retail Price], MATCH(1, ("Calculator"&lt;&gt;Table_dim_price_recipe[Type.display])*($L460=Table_dim_price_recipe[Category])*($D460=Table_dim_price_recipe[Item Description]) * (G$6=Table_dim_price_recipe[Type])*(Table_dim_price_recipe[Retail Price]&lt;&gt;0)*($C460=Table_dim_price_recipe[Subcategory]), 0))*$B460,"")</f>
        <v/>
      </c>
      <c r="H460" s="39" t="str" cm="1">
        <f t="array" ref="H460">IFERROR(INDEX(Table_dim_price_recipe[Retail Price], MATCH(1, ("Calculator"&lt;&gt;Table_dim_price_recipe[Type.display])*($L460=Table_dim_price_recipe[Category])*($D460=Table_dim_price_recipe[Item Description]) * (H$6=Table_dim_price_recipe[Type])*(Table_dim_price_recipe[Retail Price]&lt;&gt;0)*($C460=Table_dim_price_recipe[Subcategory]), 0))*$B460,"")</f>
        <v/>
      </c>
      <c r="I460" s="39" t="str" cm="1">
        <f t="array" ref="I460">IFERROR(INDEX(Table_dim_price_recipe[Retail Price], MATCH(1, ("Calculator"&lt;&gt;Table_dim_price_recipe[Type.display])*($L460=Table_dim_price_recipe[Category])*($D460=Table_dim_price_recipe[Item Description]) * (I$6=Table_dim_price_recipe[Type])*(Table_dim_price_recipe[Retail Price]&lt;&gt;0)*($C460=Table_dim_price_recipe[Subcategory]), 0))*$B460,"")</f>
        <v/>
      </c>
      <c r="J460" s="39" t="str" cm="1">
        <f t="array" ref="J460">IFERROR(INDEX(Table_dim_price_recipe[Retail Price], MATCH(1, ("Calculator"&lt;&gt;Table_dim_price_recipe[Type.display])*($L460=Table_dim_price_recipe[Category])*($D460=Table_dim_price_recipe[Item Description]) * (J$6=Table_dim_price_recipe[Type])*(Table_dim_price_recipe[Retail Price]&lt;&gt;0)*($C460=Table_dim_price_recipe[Subcategory]), 0))*$B460,"")</f>
        <v/>
      </c>
      <c r="K460" s="39" cm="1">
        <f t="array" ref="K460">IFERROR(INDEX(Table_dim_price_recipe[Retail Price], MATCH(1, ("Calculator"&lt;&gt;Table_dim_price_recipe[Type.display])*($L460=Table_dim_price_recipe[Category])*($D460=Table_dim_price_recipe[Item Description]) * (K$6=Table_dim_price_recipe[Type])*(Table_dim_price_recipe[Retail Price]&lt;&gt;0)*($C460=Table_dim_price_recipe[Subcategory]), 0))*$B460,"")</f>
        <v>0</v>
      </c>
      <c r="L460" s="39" t="str" cm="1">
        <f t="array" ref="L460">IF($A460&lt;&gt;"", $A460, LOOKUP(2, 1/((A$7:INDEX(A:A, ROW()))&lt;&gt;""), A$7:INDEX(A:A, ROW())))</f>
        <v>FLASHING</v>
      </c>
      <c r="M460" s="14"/>
    </row>
    <row r="461" spans="1:13">
      <c r="A461" s="263"/>
      <c r="B461" s="263"/>
      <c r="C461" s="263" t="s">
        <v>841</v>
      </c>
      <c r="D461" s="263" t="s">
        <v>1161</v>
      </c>
      <c r="E461" s="263"/>
      <c r="F461" s="263"/>
      <c r="G461" s="39" t="str" cm="1">
        <f t="array" ref="G461">IFERROR(INDEX(Table_dim_price_recipe[Retail Price], MATCH(1, ("Calculator"&lt;&gt;Table_dim_price_recipe[Type.display])*($L461=Table_dim_price_recipe[Category])*($D461=Table_dim_price_recipe[Item Description]) * (G$6=Table_dim_price_recipe[Type])*(Table_dim_price_recipe[Retail Price]&lt;&gt;0)*($C461=Table_dim_price_recipe[Subcategory]), 0))*$B461,"")</f>
        <v/>
      </c>
      <c r="H461" s="39" t="str" cm="1">
        <f t="array" ref="H461">IFERROR(INDEX(Table_dim_price_recipe[Retail Price], MATCH(1, ("Calculator"&lt;&gt;Table_dim_price_recipe[Type.display])*($L461=Table_dim_price_recipe[Category])*($D461=Table_dim_price_recipe[Item Description]) * (H$6=Table_dim_price_recipe[Type])*(Table_dim_price_recipe[Retail Price]&lt;&gt;0)*($C461=Table_dim_price_recipe[Subcategory]), 0))*$B461,"")</f>
        <v/>
      </c>
      <c r="I461" s="39" t="str" cm="1">
        <f t="array" ref="I461">IFERROR(INDEX(Table_dim_price_recipe[Retail Price], MATCH(1, ("Calculator"&lt;&gt;Table_dim_price_recipe[Type.display])*($L461=Table_dim_price_recipe[Category])*($D461=Table_dim_price_recipe[Item Description]) * (I$6=Table_dim_price_recipe[Type])*(Table_dim_price_recipe[Retail Price]&lt;&gt;0)*($C461=Table_dim_price_recipe[Subcategory]), 0))*$B461,"")</f>
        <v/>
      </c>
      <c r="J461" s="39" t="str" cm="1">
        <f t="array" ref="J461">IFERROR(INDEX(Table_dim_price_recipe[Retail Price], MATCH(1, ("Calculator"&lt;&gt;Table_dim_price_recipe[Type.display])*($L461=Table_dim_price_recipe[Category])*($D461=Table_dim_price_recipe[Item Description]) * (J$6=Table_dim_price_recipe[Type])*(Table_dim_price_recipe[Retail Price]&lt;&gt;0)*($C461=Table_dim_price_recipe[Subcategory]), 0))*$B461,"")</f>
        <v/>
      </c>
      <c r="K461" s="39" cm="1">
        <f t="array" ref="K461">IFERROR(INDEX(Table_dim_price_recipe[Retail Price], MATCH(1, ("Calculator"&lt;&gt;Table_dim_price_recipe[Type.display])*($L461=Table_dim_price_recipe[Category])*($D461=Table_dim_price_recipe[Item Description]) * (K$6=Table_dim_price_recipe[Type])*(Table_dim_price_recipe[Retail Price]&lt;&gt;0)*($C461=Table_dim_price_recipe[Subcategory]), 0))*$B461,"")</f>
        <v>0</v>
      </c>
      <c r="L461" s="39" t="str" cm="1">
        <f t="array" ref="L461">IF($A461&lt;&gt;"", $A461, LOOKUP(2, 1/((A$7:INDEX(A:A, ROW()))&lt;&gt;""), A$7:INDEX(A:A, ROW())))</f>
        <v>FLASHING</v>
      </c>
      <c r="M461" s="14"/>
    </row>
    <row r="462" spans="1:13">
      <c r="A462" s="263"/>
      <c r="B462" s="263"/>
      <c r="C462" s="263" t="s">
        <v>841</v>
      </c>
      <c r="D462" s="263" t="s">
        <v>1162</v>
      </c>
      <c r="E462" s="263"/>
      <c r="F462" s="263"/>
      <c r="G462" s="39" t="str" cm="1">
        <f t="array" ref="G462">IFERROR(INDEX(Table_dim_price_recipe[Retail Price], MATCH(1, ("Calculator"&lt;&gt;Table_dim_price_recipe[Type.display])*($L462=Table_dim_price_recipe[Category])*($D462=Table_dim_price_recipe[Item Description]) * (G$6=Table_dim_price_recipe[Type])*(Table_dim_price_recipe[Retail Price]&lt;&gt;0)*($C462=Table_dim_price_recipe[Subcategory]), 0))*$B462,"")</f>
        <v/>
      </c>
      <c r="H462" s="39" t="str" cm="1">
        <f t="array" ref="H462">IFERROR(INDEX(Table_dim_price_recipe[Retail Price], MATCH(1, ("Calculator"&lt;&gt;Table_dim_price_recipe[Type.display])*($L462=Table_dim_price_recipe[Category])*($D462=Table_dim_price_recipe[Item Description]) * (H$6=Table_dim_price_recipe[Type])*(Table_dim_price_recipe[Retail Price]&lt;&gt;0)*($C462=Table_dim_price_recipe[Subcategory]), 0))*$B462,"")</f>
        <v/>
      </c>
      <c r="I462" s="39" t="str" cm="1">
        <f t="array" ref="I462">IFERROR(INDEX(Table_dim_price_recipe[Retail Price], MATCH(1, ("Calculator"&lt;&gt;Table_dim_price_recipe[Type.display])*($L462=Table_dim_price_recipe[Category])*($D462=Table_dim_price_recipe[Item Description]) * (I$6=Table_dim_price_recipe[Type])*(Table_dim_price_recipe[Retail Price]&lt;&gt;0)*($C462=Table_dim_price_recipe[Subcategory]), 0))*$B462,"")</f>
        <v/>
      </c>
      <c r="J462" s="39" t="str" cm="1">
        <f t="array" ref="J462">IFERROR(INDEX(Table_dim_price_recipe[Retail Price], MATCH(1, ("Calculator"&lt;&gt;Table_dim_price_recipe[Type.display])*($L462=Table_dim_price_recipe[Category])*($D462=Table_dim_price_recipe[Item Description]) * (J$6=Table_dim_price_recipe[Type])*(Table_dim_price_recipe[Retail Price]&lt;&gt;0)*($C462=Table_dim_price_recipe[Subcategory]), 0))*$B462,"")</f>
        <v/>
      </c>
      <c r="K462" s="39" cm="1">
        <f t="array" ref="K462">IFERROR(INDEX(Table_dim_price_recipe[Retail Price], MATCH(1, ("Calculator"&lt;&gt;Table_dim_price_recipe[Type.display])*($L462=Table_dim_price_recipe[Category])*($D462=Table_dim_price_recipe[Item Description]) * (K$6=Table_dim_price_recipe[Type])*(Table_dim_price_recipe[Retail Price]&lt;&gt;0)*($C462=Table_dim_price_recipe[Subcategory]), 0))*$B462,"")</f>
        <v>0</v>
      </c>
      <c r="L462" s="39" t="str" cm="1">
        <f t="array" ref="L462">IF($A462&lt;&gt;"", $A462, LOOKUP(2, 1/((A$7:INDEX(A:A, ROW()))&lt;&gt;""), A$7:INDEX(A:A, ROW())))</f>
        <v>FLASHING</v>
      </c>
      <c r="M462" s="14"/>
    </row>
    <row r="463" spans="1:13">
      <c r="A463" s="263"/>
      <c r="B463" s="263"/>
      <c r="C463" s="263" t="s">
        <v>841</v>
      </c>
      <c r="D463" s="263" t="s">
        <v>846</v>
      </c>
      <c r="E463" s="263"/>
      <c r="F463" s="263"/>
      <c r="G463" s="39" t="str" cm="1">
        <f t="array" ref="G463">IFERROR(INDEX(Table_dim_price_recipe[Retail Price], MATCH(1, ("Calculator"&lt;&gt;Table_dim_price_recipe[Type.display])*($L463=Table_dim_price_recipe[Category])*($D463=Table_dim_price_recipe[Item Description]) * (G$6=Table_dim_price_recipe[Type])*(Table_dim_price_recipe[Retail Price]&lt;&gt;0)*($C463=Table_dim_price_recipe[Subcategory]), 0))*$B463,"")</f>
        <v/>
      </c>
      <c r="H463" s="39" t="str" cm="1">
        <f t="array" ref="H463">IFERROR(INDEX(Table_dim_price_recipe[Retail Price], MATCH(1, ("Calculator"&lt;&gt;Table_dim_price_recipe[Type.display])*($L463=Table_dim_price_recipe[Category])*($D463=Table_dim_price_recipe[Item Description]) * (H$6=Table_dim_price_recipe[Type])*(Table_dim_price_recipe[Retail Price]&lt;&gt;0)*($C463=Table_dim_price_recipe[Subcategory]), 0))*$B463,"")</f>
        <v/>
      </c>
      <c r="I463" s="39" t="str" cm="1">
        <f t="array" ref="I463">IFERROR(INDEX(Table_dim_price_recipe[Retail Price], MATCH(1, ("Calculator"&lt;&gt;Table_dim_price_recipe[Type.display])*($L463=Table_dim_price_recipe[Category])*($D463=Table_dim_price_recipe[Item Description]) * (I$6=Table_dim_price_recipe[Type])*(Table_dim_price_recipe[Retail Price]&lt;&gt;0)*($C463=Table_dim_price_recipe[Subcategory]), 0))*$B463,"")</f>
        <v/>
      </c>
      <c r="J463" s="39" t="str" cm="1">
        <f t="array" ref="J463">IFERROR(INDEX(Table_dim_price_recipe[Retail Price], MATCH(1, ("Calculator"&lt;&gt;Table_dim_price_recipe[Type.display])*($L463=Table_dim_price_recipe[Category])*($D463=Table_dim_price_recipe[Item Description]) * (J$6=Table_dim_price_recipe[Type])*(Table_dim_price_recipe[Retail Price]&lt;&gt;0)*($C463=Table_dim_price_recipe[Subcategory]), 0))*$B463,"")</f>
        <v/>
      </c>
      <c r="K463" s="39" cm="1">
        <f t="array" ref="K463">IFERROR(INDEX(Table_dim_price_recipe[Retail Price], MATCH(1, ("Calculator"&lt;&gt;Table_dim_price_recipe[Type.display])*($L463=Table_dim_price_recipe[Category])*($D463=Table_dim_price_recipe[Item Description]) * (K$6=Table_dim_price_recipe[Type])*(Table_dim_price_recipe[Retail Price]&lt;&gt;0)*($C463=Table_dim_price_recipe[Subcategory]), 0))*$B463,"")</f>
        <v>0</v>
      </c>
      <c r="L463" s="39" t="str" cm="1">
        <f t="array" ref="L463">IF($A463&lt;&gt;"", $A463, LOOKUP(2, 1/((A$7:INDEX(A:A, ROW()))&lt;&gt;""), A$7:INDEX(A:A, ROW())))</f>
        <v>FLASHING</v>
      </c>
      <c r="M463" s="14"/>
    </row>
    <row r="464" spans="1:13">
      <c r="A464" s="263"/>
      <c r="B464" s="263"/>
      <c r="C464" s="263" t="s">
        <v>841</v>
      </c>
      <c r="D464" s="263"/>
      <c r="E464" s="263"/>
      <c r="F464" s="263"/>
      <c r="G464" s="39" t="str" cm="1">
        <f t="array" ref="G464">IFERROR(INDEX(Table_dim_price_recipe[Retail Price], MATCH(1, ("Calculator"&lt;&gt;Table_dim_price_recipe[Type.display])*($L464=Table_dim_price_recipe[Category])*($D464=Table_dim_price_recipe[Item Description]) * (G$6=Table_dim_price_recipe[Type])*(Table_dim_price_recipe[Retail Price]&lt;&gt;0)*($C464=Table_dim_price_recipe[Subcategory]), 0))*$B464,"")</f>
        <v/>
      </c>
      <c r="H464" s="39" t="str" cm="1">
        <f t="array" ref="H464">IFERROR(INDEX(Table_dim_price_recipe[Retail Price], MATCH(1, ("Calculator"&lt;&gt;Table_dim_price_recipe[Type.display])*($L464=Table_dim_price_recipe[Category])*($D464=Table_dim_price_recipe[Item Description]) * (H$6=Table_dim_price_recipe[Type])*(Table_dim_price_recipe[Retail Price]&lt;&gt;0)*($C464=Table_dim_price_recipe[Subcategory]), 0))*$B464,"")</f>
        <v/>
      </c>
      <c r="I464" s="39" t="str" cm="1">
        <f t="array" ref="I464">IFERROR(INDEX(Table_dim_price_recipe[Retail Price], MATCH(1, ("Calculator"&lt;&gt;Table_dim_price_recipe[Type.display])*($L464=Table_dim_price_recipe[Category])*($D464=Table_dim_price_recipe[Item Description]) * (I$6=Table_dim_price_recipe[Type])*(Table_dim_price_recipe[Retail Price]&lt;&gt;0)*($C464=Table_dim_price_recipe[Subcategory]), 0))*$B464,"")</f>
        <v/>
      </c>
      <c r="J464" s="39" t="str" cm="1">
        <f t="array" ref="J464">IFERROR(INDEX(Table_dim_price_recipe[Retail Price], MATCH(1, ("Calculator"&lt;&gt;Table_dim_price_recipe[Type.display])*($L464=Table_dim_price_recipe[Category])*($D464=Table_dim_price_recipe[Item Description]) * (J$6=Table_dim_price_recipe[Type])*(Table_dim_price_recipe[Retail Price]&lt;&gt;0)*($C464=Table_dim_price_recipe[Subcategory]), 0))*$B464,"")</f>
        <v/>
      </c>
      <c r="K464" s="39" t="str" cm="1">
        <f t="array" ref="K464">IFERROR(INDEX(Table_dim_price_recipe[Retail Price], MATCH(1, ("Calculator"&lt;&gt;Table_dim_price_recipe[Type.display])*($L464=Table_dim_price_recipe[Category])*($D464=Table_dim_price_recipe[Item Description]) * (K$6=Table_dim_price_recipe[Type])*(Table_dim_price_recipe[Retail Price]&lt;&gt;0)*($C464=Table_dim_price_recipe[Subcategory]), 0))*$B464,"")</f>
        <v/>
      </c>
      <c r="L464" s="39" t="str" cm="1">
        <f t="array" ref="L464">IF($A464&lt;&gt;"", $A464, LOOKUP(2, 1/((A$7:INDEX(A:A, ROW()))&lt;&gt;""), A$7:INDEX(A:A, ROW())))</f>
        <v>FLASHING</v>
      </c>
      <c r="M464" s="14"/>
    </row>
    <row r="465" spans="1:13">
      <c r="A465" s="263"/>
      <c r="B465" s="263"/>
      <c r="C465" s="263" t="s">
        <v>841</v>
      </c>
      <c r="D465" s="263"/>
      <c r="E465" s="263"/>
      <c r="F465" s="263"/>
      <c r="G465" s="39" t="str" cm="1">
        <f t="array" ref="G465">IFERROR(INDEX(Table_dim_price_recipe[Retail Price], MATCH(1, ("Calculator"&lt;&gt;Table_dim_price_recipe[Type.display])*($L465=Table_dim_price_recipe[Category])*($D465=Table_dim_price_recipe[Item Description]) * (G$6=Table_dim_price_recipe[Type])*(Table_dim_price_recipe[Retail Price]&lt;&gt;0)*($C465=Table_dim_price_recipe[Subcategory]), 0))*$B465,"")</f>
        <v/>
      </c>
      <c r="H465" s="39" t="str" cm="1">
        <f t="array" ref="H465">IFERROR(INDEX(Table_dim_price_recipe[Retail Price], MATCH(1, ("Calculator"&lt;&gt;Table_dim_price_recipe[Type.display])*($L465=Table_dim_price_recipe[Category])*($D465=Table_dim_price_recipe[Item Description]) * (H$6=Table_dim_price_recipe[Type])*(Table_dim_price_recipe[Retail Price]&lt;&gt;0)*($C465=Table_dim_price_recipe[Subcategory]), 0))*$B465,"")</f>
        <v/>
      </c>
      <c r="I465" s="39" t="str" cm="1">
        <f t="array" ref="I465">IFERROR(INDEX(Table_dim_price_recipe[Retail Price], MATCH(1, ("Calculator"&lt;&gt;Table_dim_price_recipe[Type.display])*($L465=Table_dim_price_recipe[Category])*($D465=Table_dim_price_recipe[Item Description]) * (I$6=Table_dim_price_recipe[Type])*(Table_dim_price_recipe[Retail Price]&lt;&gt;0)*($C465=Table_dim_price_recipe[Subcategory]), 0))*$B465,"")</f>
        <v/>
      </c>
      <c r="J465" s="39" t="str" cm="1">
        <f t="array" ref="J465">IFERROR(INDEX(Table_dim_price_recipe[Retail Price], MATCH(1, ("Calculator"&lt;&gt;Table_dim_price_recipe[Type.display])*($L465=Table_dim_price_recipe[Category])*($D465=Table_dim_price_recipe[Item Description]) * (J$6=Table_dim_price_recipe[Type])*(Table_dim_price_recipe[Retail Price]&lt;&gt;0)*($C465=Table_dim_price_recipe[Subcategory]), 0))*$B465,"")</f>
        <v/>
      </c>
      <c r="K465" s="39" t="str" cm="1">
        <f t="array" ref="K465">IFERROR(INDEX(Table_dim_price_recipe[Retail Price], MATCH(1, ("Calculator"&lt;&gt;Table_dim_price_recipe[Type.display])*($L465=Table_dim_price_recipe[Category])*($D465=Table_dim_price_recipe[Item Description]) * (K$6=Table_dim_price_recipe[Type])*(Table_dim_price_recipe[Retail Price]&lt;&gt;0)*($C465=Table_dim_price_recipe[Subcategory]), 0))*$B465,"")</f>
        <v/>
      </c>
      <c r="L465" s="39" t="str" cm="1">
        <f t="array" ref="L465">IF($A465&lt;&gt;"", $A465, LOOKUP(2, 1/((A$7:INDEX(A:A, ROW()))&lt;&gt;""), A$7:INDEX(A:A, ROW())))</f>
        <v>FLASHING</v>
      </c>
      <c r="M465" s="14"/>
    </row>
    <row r="466" spans="1:13">
      <c r="A466" s="260" t="s">
        <v>57</v>
      </c>
      <c r="B466" s="261"/>
      <c r="C466" s="261"/>
      <c r="D466" s="261"/>
      <c r="E466" s="261"/>
      <c r="F466" s="261"/>
      <c r="G466" s="262" t="str" cm="1">
        <f t="array" ref="G466">IFERROR(INDEX(Table_dim_price_recipe[Retail Price], MATCH(1, ("Calculator"&lt;&gt;Table_dim_price_recipe[Type.display])*($L466=Table_dim_price_recipe[Category])*($D466=Table_dim_price_recipe[Item Description]) * (G$6=Table_dim_price_recipe[Type])*(Table_dim_price_recipe[Retail Price]&lt;&gt;0)*($C466=Table_dim_price_recipe[Subcategory]), 0))*$B466,"")</f>
        <v/>
      </c>
      <c r="H466" s="262" t="str" cm="1">
        <f t="array" ref="H466">IFERROR(INDEX(Table_dim_price_recipe[Retail Price], MATCH(1, ("Calculator"&lt;&gt;Table_dim_price_recipe[Type.display])*($L466=Table_dim_price_recipe[Category])*($D466=Table_dim_price_recipe[Item Description]) * (H$6=Table_dim_price_recipe[Type])*(Table_dim_price_recipe[Retail Price]&lt;&gt;0)*($C466=Table_dim_price_recipe[Subcategory]), 0))*$B466,"")</f>
        <v/>
      </c>
      <c r="I466" s="262" t="str" cm="1">
        <f t="array" ref="I466">IFERROR(INDEX(Table_dim_price_recipe[Retail Price], MATCH(1, ("Calculator"&lt;&gt;Table_dim_price_recipe[Type.display])*($L466=Table_dim_price_recipe[Category])*($D466=Table_dim_price_recipe[Item Description]) * (I$6=Table_dim_price_recipe[Type])*(Table_dim_price_recipe[Retail Price]&lt;&gt;0)*($C466=Table_dim_price_recipe[Subcategory]), 0))*$B466,"")</f>
        <v/>
      </c>
      <c r="J466" s="262" t="str" cm="1">
        <f t="array" ref="J466">IFERROR(INDEX(Table_dim_price_recipe[Retail Price], MATCH(1, ("Calculator"&lt;&gt;Table_dim_price_recipe[Type.display])*($L466=Table_dim_price_recipe[Category])*($D466=Table_dim_price_recipe[Item Description]) * (J$6=Table_dim_price_recipe[Type])*(Table_dim_price_recipe[Retail Price]&lt;&gt;0)*($C466=Table_dim_price_recipe[Subcategory]), 0))*$B466,"")</f>
        <v/>
      </c>
      <c r="K466" s="262" t="str" cm="1">
        <f t="array" ref="K466">IFERROR(INDEX(Table_dim_price_recipe[Retail Price], MATCH(1, ("Calculator"&lt;&gt;Table_dim_price_recipe[Type.display])*($L466=Table_dim_price_recipe[Category])*($D466=Table_dim_price_recipe[Item Description]) * (K$6=Table_dim_price_recipe[Type])*(Table_dim_price_recipe[Retail Price]&lt;&gt;0)*($C466=Table_dim_price_recipe[Subcategory]), 0))*$B466,"")</f>
        <v/>
      </c>
      <c r="L466" s="262" t="str" cm="1">
        <f t="array" ref="L466">IF($A466&lt;&gt;"", $A466, LOOKUP(2, 1/((A$7:INDEX(A:A, ROW()))&lt;&gt;""), A$7:INDEX(A:A, ROW())))</f>
        <v>STORMWATER</v>
      </c>
      <c r="M466" s="14"/>
    </row>
    <row r="467" spans="1:13">
      <c r="A467" s="263"/>
      <c r="B467" s="263"/>
      <c r="C467" s="263" t="s">
        <v>640</v>
      </c>
      <c r="D467" s="263" t="s">
        <v>645</v>
      </c>
      <c r="E467" s="263"/>
      <c r="F467" s="263"/>
      <c r="G467" s="39" cm="1">
        <f t="array" ref="G467">IFERROR(INDEX(Table_dim_price_recipe[Retail Price], MATCH(1, ("Calculator"&lt;&gt;Table_dim_price_recipe[Type.display])*($L467=Table_dim_price_recipe[Category])*($D467=Table_dim_price_recipe[Item Description]) * (G$6=Table_dim_price_recipe[Type])*(Table_dim_price_recipe[Retail Price]&lt;&gt;0)*($C467=Table_dim_price_recipe[Subcategory]), 0))*$B467,"")</f>
        <v>0</v>
      </c>
      <c r="H467" s="39" t="str" cm="1">
        <f t="array" ref="H467">IFERROR(INDEX(Table_dim_price_recipe[Retail Price], MATCH(1, ("Calculator"&lt;&gt;Table_dim_price_recipe[Type.display])*($L467=Table_dim_price_recipe[Category])*($D467=Table_dim_price_recipe[Item Description]) * (H$6=Table_dim_price_recipe[Type])*(Table_dim_price_recipe[Retail Price]&lt;&gt;0)*($C467=Table_dim_price_recipe[Subcategory]), 0))*$B467,"")</f>
        <v/>
      </c>
      <c r="I467" s="39" t="str" cm="1">
        <f t="array" ref="I467">IFERROR(INDEX(Table_dim_price_recipe[Retail Price], MATCH(1, ("Calculator"&lt;&gt;Table_dim_price_recipe[Type.display])*($L467=Table_dim_price_recipe[Category])*($D467=Table_dim_price_recipe[Item Description]) * (I$6=Table_dim_price_recipe[Type])*(Table_dim_price_recipe[Retail Price]&lt;&gt;0)*($C467=Table_dim_price_recipe[Subcategory]), 0))*$B467,"")</f>
        <v/>
      </c>
      <c r="J467" s="39" t="str" cm="1">
        <f t="array" ref="J467">IFERROR(INDEX(Table_dim_price_recipe[Retail Price], MATCH(1, ("Calculator"&lt;&gt;Table_dim_price_recipe[Type.display])*($L467=Table_dim_price_recipe[Category])*($D467=Table_dim_price_recipe[Item Description]) * (J$6=Table_dim_price_recipe[Type])*(Table_dim_price_recipe[Retail Price]&lt;&gt;0)*($C467=Table_dim_price_recipe[Subcategory]), 0))*$B467,"")</f>
        <v/>
      </c>
      <c r="K467" s="39" t="str" cm="1">
        <f t="array" ref="K467">IFERROR(INDEX(Table_dim_price_recipe[Retail Price], MATCH(1, ("Calculator"&lt;&gt;Table_dim_price_recipe[Type.display])*($L467=Table_dim_price_recipe[Category])*($D467=Table_dim_price_recipe[Item Description]) * (K$6=Table_dim_price_recipe[Type])*(Table_dim_price_recipe[Retail Price]&lt;&gt;0)*($C467=Table_dim_price_recipe[Subcategory]), 0))*$B467,"")</f>
        <v/>
      </c>
      <c r="L467" s="39" t="str" cm="1">
        <f t="array" ref="L467">IF($A467&lt;&gt;"", $A467, LOOKUP(2, 1/((A$7:INDEX(A:A, ROW()))&lt;&gt;""), A$7:INDEX(A:A, ROW())))</f>
        <v>STORMWATER</v>
      </c>
      <c r="M467" s="14"/>
    </row>
    <row r="468" spans="1:13">
      <c r="A468" s="263"/>
      <c r="B468" s="263"/>
      <c r="C468" s="263" t="s">
        <v>640</v>
      </c>
      <c r="D468" s="263" t="s">
        <v>646</v>
      </c>
      <c r="E468" s="263"/>
      <c r="F468" s="263"/>
      <c r="G468" s="39" cm="1">
        <f t="array" ref="G468">IFERROR(INDEX(Table_dim_price_recipe[Retail Price], MATCH(1, ("Calculator"&lt;&gt;Table_dim_price_recipe[Type.display])*($L468=Table_dim_price_recipe[Category])*($D468=Table_dim_price_recipe[Item Description]) * (G$6=Table_dim_price_recipe[Type])*(Table_dim_price_recipe[Retail Price]&lt;&gt;0)*($C468=Table_dim_price_recipe[Subcategory]), 0))*$B468,"")</f>
        <v>0</v>
      </c>
      <c r="H468" s="39" t="str" cm="1">
        <f t="array" ref="H468">IFERROR(INDEX(Table_dim_price_recipe[Retail Price], MATCH(1, ("Calculator"&lt;&gt;Table_dim_price_recipe[Type.display])*($L468=Table_dim_price_recipe[Category])*($D468=Table_dim_price_recipe[Item Description]) * (H$6=Table_dim_price_recipe[Type])*(Table_dim_price_recipe[Retail Price]&lt;&gt;0)*($C468=Table_dim_price_recipe[Subcategory]), 0))*$B468,"")</f>
        <v/>
      </c>
      <c r="I468" s="39" t="str" cm="1">
        <f t="array" ref="I468">IFERROR(INDEX(Table_dim_price_recipe[Retail Price], MATCH(1, ("Calculator"&lt;&gt;Table_dim_price_recipe[Type.display])*($L468=Table_dim_price_recipe[Category])*($D468=Table_dim_price_recipe[Item Description]) * (I$6=Table_dim_price_recipe[Type])*(Table_dim_price_recipe[Retail Price]&lt;&gt;0)*($C468=Table_dim_price_recipe[Subcategory]), 0))*$B468,"")</f>
        <v/>
      </c>
      <c r="J468" s="39" t="str" cm="1">
        <f t="array" ref="J468">IFERROR(INDEX(Table_dim_price_recipe[Retail Price], MATCH(1, ("Calculator"&lt;&gt;Table_dim_price_recipe[Type.display])*($L468=Table_dim_price_recipe[Category])*($D468=Table_dim_price_recipe[Item Description]) * (J$6=Table_dim_price_recipe[Type])*(Table_dim_price_recipe[Retail Price]&lt;&gt;0)*($C468=Table_dim_price_recipe[Subcategory]), 0))*$B468,"")</f>
        <v/>
      </c>
      <c r="K468" s="39" t="str" cm="1">
        <f t="array" ref="K468">IFERROR(INDEX(Table_dim_price_recipe[Retail Price], MATCH(1, ("Calculator"&lt;&gt;Table_dim_price_recipe[Type.display])*($L468=Table_dim_price_recipe[Category])*($D468=Table_dim_price_recipe[Item Description]) * (K$6=Table_dim_price_recipe[Type])*(Table_dim_price_recipe[Retail Price]&lt;&gt;0)*($C468=Table_dim_price_recipe[Subcategory]), 0))*$B468,"")</f>
        <v/>
      </c>
      <c r="L468" s="39" t="str" cm="1">
        <f t="array" ref="L468">IF($A468&lt;&gt;"", $A468, LOOKUP(2, 1/((A$7:INDEX(A:A, ROW()))&lt;&gt;""), A$7:INDEX(A:A, ROW())))</f>
        <v>STORMWATER</v>
      </c>
      <c r="M468" s="14"/>
    </row>
    <row r="469" spans="1:13">
      <c r="A469" s="263"/>
      <c r="B469" s="263"/>
      <c r="C469" s="263" t="s">
        <v>640</v>
      </c>
      <c r="D469" s="263" t="s">
        <v>642</v>
      </c>
      <c r="E469" s="263"/>
      <c r="F469" s="263"/>
      <c r="G469" s="39" cm="1">
        <f t="array" ref="G469">IFERROR(INDEX(Table_dim_price_recipe[Retail Price], MATCH(1, ("Calculator"&lt;&gt;Table_dim_price_recipe[Type.display])*($L469=Table_dim_price_recipe[Category])*($D469=Table_dim_price_recipe[Item Description]) * (G$6=Table_dim_price_recipe[Type])*(Table_dim_price_recipe[Retail Price]&lt;&gt;0)*($C469=Table_dim_price_recipe[Subcategory]), 0))*$B469,"")</f>
        <v>0</v>
      </c>
      <c r="H469" s="39" t="str" cm="1">
        <f t="array" ref="H469">IFERROR(INDEX(Table_dim_price_recipe[Retail Price], MATCH(1, ("Calculator"&lt;&gt;Table_dim_price_recipe[Type.display])*($L469=Table_dim_price_recipe[Category])*($D469=Table_dim_price_recipe[Item Description]) * (H$6=Table_dim_price_recipe[Type])*(Table_dim_price_recipe[Retail Price]&lt;&gt;0)*($C469=Table_dim_price_recipe[Subcategory]), 0))*$B469,"")</f>
        <v/>
      </c>
      <c r="I469" s="39" t="str" cm="1">
        <f t="array" ref="I469">IFERROR(INDEX(Table_dim_price_recipe[Retail Price], MATCH(1, ("Calculator"&lt;&gt;Table_dim_price_recipe[Type.display])*($L469=Table_dim_price_recipe[Category])*($D469=Table_dim_price_recipe[Item Description]) * (I$6=Table_dim_price_recipe[Type])*(Table_dim_price_recipe[Retail Price]&lt;&gt;0)*($C469=Table_dim_price_recipe[Subcategory]), 0))*$B469,"")</f>
        <v/>
      </c>
      <c r="J469" s="39" t="str" cm="1">
        <f t="array" ref="J469">IFERROR(INDEX(Table_dim_price_recipe[Retail Price], MATCH(1, ("Calculator"&lt;&gt;Table_dim_price_recipe[Type.display])*($L469=Table_dim_price_recipe[Category])*($D469=Table_dim_price_recipe[Item Description]) * (J$6=Table_dim_price_recipe[Type])*(Table_dim_price_recipe[Retail Price]&lt;&gt;0)*($C469=Table_dim_price_recipe[Subcategory]), 0))*$B469,"")</f>
        <v/>
      </c>
      <c r="K469" s="39" t="str" cm="1">
        <f t="array" ref="K469">IFERROR(INDEX(Table_dim_price_recipe[Retail Price], MATCH(1, ("Calculator"&lt;&gt;Table_dim_price_recipe[Type.display])*($L469=Table_dim_price_recipe[Category])*($D469=Table_dim_price_recipe[Item Description]) * (K$6=Table_dim_price_recipe[Type])*(Table_dim_price_recipe[Retail Price]&lt;&gt;0)*($C469=Table_dim_price_recipe[Subcategory]), 0))*$B469,"")</f>
        <v/>
      </c>
      <c r="L469" s="39" t="str" cm="1">
        <f t="array" ref="L469">IF($A469&lt;&gt;"", $A469, LOOKUP(2, 1/((A$7:INDEX(A:A, ROW()))&lt;&gt;""), A$7:INDEX(A:A, ROW())))</f>
        <v>STORMWATER</v>
      </c>
      <c r="M469" s="14"/>
    </row>
    <row r="470" spans="1:13">
      <c r="A470" s="263"/>
      <c r="B470" s="263"/>
      <c r="C470" s="263" t="s">
        <v>640</v>
      </c>
      <c r="D470" s="263" t="s">
        <v>644</v>
      </c>
      <c r="E470" s="263"/>
      <c r="F470" s="263"/>
      <c r="G470" s="39" cm="1">
        <f t="array" ref="G470">IFERROR(INDEX(Table_dim_price_recipe[Retail Price], MATCH(1, ("Calculator"&lt;&gt;Table_dim_price_recipe[Type.display])*($L470=Table_dim_price_recipe[Category])*($D470=Table_dim_price_recipe[Item Description]) * (G$6=Table_dim_price_recipe[Type])*(Table_dim_price_recipe[Retail Price]&lt;&gt;0)*($C470=Table_dim_price_recipe[Subcategory]), 0))*$B470,"")</f>
        <v>0</v>
      </c>
      <c r="H470" s="39" t="str" cm="1">
        <f t="array" ref="H470">IFERROR(INDEX(Table_dim_price_recipe[Retail Price], MATCH(1, ("Calculator"&lt;&gt;Table_dim_price_recipe[Type.display])*($L470=Table_dim_price_recipe[Category])*($D470=Table_dim_price_recipe[Item Description]) * (H$6=Table_dim_price_recipe[Type])*(Table_dim_price_recipe[Retail Price]&lt;&gt;0)*($C470=Table_dim_price_recipe[Subcategory]), 0))*$B470,"")</f>
        <v/>
      </c>
      <c r="I470" s="39" t="str" cm="1">
        <f t="array" ref="I470">IFERROR(INDEX(Table_dim_price_recipe[Retail Price], MATCH(1, ("Calculator"&lt;&gt;Table_dim_price_recipe[Type.display])*($L470=Table_dim_price_recipe[Category])*($D470=Table_dim_price_recipe[Item Description]) * (I$6=Table_dim_price_recipe[Type])*(Table_dim_price_recipe[Retail Price]&lt;&gt;0)*($C470=Table_dim_price_recipe[Subcategory]), 0))*$B470,"")</f>
        <v/>
      </c>
      <c r="J470" s="39" t="str" cm="1">
        <f t="array" ref="J470">IFERROR(INDEX(Table_dim_price_recipe[Retail Price], MATCH(1, ("Calculator"&lt;&gt;Table_dim_price_recipe[Type.display])*($L470=Table_dim_price_recipe[Category])*($D470=Table_dim_price_recipe[Item Description]) * (J$6=Table_dim_price_recipe[Type])*(Table_dim_price_recipe[Retail Price]&lt;&gt;0)*($C470=Table_dim_price_recipe[Subcategory]), 0))*$B470,"")</f>
        <v/>
      </c>
      <c r="K470" s="39" t="str" cm="1">
        <f t="array" ref="K470">IFERROR(INDEX(Table_dim_price_recipe[Retail Price], MATCH(1, ("Calculator"&lt;&gt;Table_dim_price_recipe[Type.display])*($L470=Table_dim_price_recipe[Category])*($D470=Table_dim_price_recipe[Item Description]) * (K$6=Table_dim_price_recipe[Type])*(Table_dim_price_recipe[Retail Price]&lt;&gt;0)*($C470=Table_dim_price_recipe[Subcategory]), 0))*$B470,"")</f>
        <v/>
      </c>
      <c r="L470" s="39" t="str" cm="1">
        <f t="array" ref="L470">IF($A470&lt;&gt;"", $A470, LOOKUP(2, 1/((A$7:INDEX(A:A, ROW()))&lt;&gt;""), A$7:INDEX(A:A, ROW())))</f>
        <v>STORMWATER</v>
      </c>
      <c r="M470" s="14"/>
    </row>
    <row r="471" spans="1:13">
      <c r="A471" s="263"/>
      <c r="B471" s="263"/>
      <c r="C471" s="263" t="s">
        <v>640</v>
      </c>
      <c r="D471" s="263" t="s">
        <v>643</v>
      </c>
      <c r="E471" s="263"/>
      <c r="F471" s="263"/>
      <c r="G471" s="39" cm="1">
        <f t="array" ref="G471">IFERROR(INDEX(Table_dim_price_recipe[Retail Price], MATCH(1, ("Calculator"&lt;&gt;Table_dim_price_recipe[Type.display])*($L471=Table_dim_price_recipe[Category])*($D471=Table_dim_price_recipe[Item Description]) * (G$6=Table_dim_price_recipe[Type])*(Table_dim_price_recipe[Retail Price]&lt;&gt;0)*($C471=Table_dim_price_recipe[Subcategory]), 0))*$B471,"")</f>
        <v>0</v>
      </c>
      <c r="H471" s="39" t="str" cm="1">
        <f t="array" ref="H471">IFERROR(INDEX(Table_dim_price_recipe[Retail Price], MATCH(1, ("Calculator"&lt;&gt;Table_dim_price_recipe[Type.display])*($L471=Table_dim_price_recipe[Category])*($D471=Table_dim_price_recipe[Item Description]) * (H$6=Table_dim_price_recipe[Type])*(Table_dim_price_recipe[Retail Price]&lt;&gt;0)*($C471=Table_dim_price_recipe[Subcategory]), 0))*$B471,"")</f>
        <v/>
      </c>
      <c r="I471" s="39" t="str" cm="1">
        <f t="array" ref="I471">IFERROR(INDEX(Table_dim_price_recipe[Retail Price], MATCH(1, ("Calculator"&lt;&gt;Table_dim_price_recipe[Type.display])*($L471=Table_dim_price_recipe[Category])*($D471=Table_dim_price_recipe[Item Description]) * (I$6=Table_dim_price_recipe[Type])*(Table_dim_price_recipe[Retail Price]&lt;&gt;0)*($C471=Table_dim_price_recipe[Subcategory]), 0))*$B471,"")</f>
        <v/>
      </c>
      <c r="J471" s="39" t="str" cm="1">
        <f t="array" ref="J471">IFERROR(INDEX(Table_dim_price_recipe[Retail Price], MATCH(1, ("Calculator"&lt;&gt;Table_dim_price_recipe[Type.display])*($L471=Table_dim_price_recipe[Category])*($D471=Table_dim_price_recipe[Item Description]) * (J$6=Table_dim_price_recipe[Type])*(Table_dim_price_recipe[Retail Price]&lt;&gt;0)*($C471=Table_dim_price_recipe[Subcategory]), 0))*$B471,"")</f>
        <v/>
      </c>
      <c r="K471" s="39" t="str" cm="1">
        <f t="array" ref="K471">IFERROR(INDEX(Table_dim_price_recipe[Retail Price], MATCH(1, ("Calculator"&lt;&gt;Table_dim_price_recipe[Type.display])*($L471=Table_dim_price_recipe[Category])*($D471=Table_dim_price_recipe[Item Description]) * (K$6=Table_dim_price_recipe[Type])*(Table_dim_price_recipe[Retail Price]&lt;&gt;0)*($C471=Table_dim_price_recipe[Subcategory]), 0))*$B471,"")</f>
        <v/>
      </c>
      <c r="L471" s="39" t="str" cm="1">
        <f t="array" ref="L471">IF($A471&lt;&gt;"", $A471, LOOKUP(2, 1/((A$7:INDEX(A:A, ROW()))&lt;&gt;""), A$7:INDEX(A:A, ROW())))</f>
        <v>STORMWATER</v>
      </c>
      <c r="M471" s="14"/>
    </row>
    <row r="472" spans="1:13">
      <c r="A472" s="263"/>
      <c r="B472" s="263"/>
      <c r="C472" s="263" t="s">
        <v>640</v>
      </c>
      <c r="D472" s="263" t="s">
        <v>641</v>
      </c>
      <c r="E472" s="263"/>
      <c r="F472" s="263"/>
      <c r="G472" s="39" t="str" cm="1">
        <f t="array" ref="G472">IFERROR(INDEX(Table_dim_price_recipe[Retail Price], MATCH(1, ("Calculator"&lt;&gt;Table_dim_price_recipe[Type.display])*($L472=Table_dim_price_recipe[Category])*($D472=Table_dim_price_recipe[Item Description]) * (G$6=Table_dim_price_recipe[Type])*(Table_dim_price_recipe[Retail Price]&lt;&gt;0)*($C472=Table_dim_price_recipe[Subcategory]), 0))*$B472,"")</f>
        <v/>
      </c>
      <c r="H472" s="39" t="str" cm="1">
        <f t="array" ref="H472">IFERROR(INDEX(Table_dim_price_recipe[Retail Price], MATCH(1, ("Calculator"&lt;&gt;Table_dim_price_recipe[Type.display])*($L472=Table_dim_price_recipe[Category])*($D472=Table_dim_price_recipe[Item Description]) * (H$6=Table_dim_price_recipe[Type])*(Table_dim_price_recipe[Retail Price]&lt;&gt;0)*($C472=Table_dim_price_recipe[Subcategory]), 0))*$B472,"")</f>
        <v/>
      </c>
      <c r="I472" s="39" t="str" cm="1">
        <f t="array" ref="I472">IFERROR(INDEX(Table_dim_price_recipe[Retail Price], MATCH(1, ("Calculator"&lt;&gt;Table_dim_price_recipe[Type.display])*($L472=Table_dim_price_recipe[Category])*($D472=Table_dim_price_recipe[Item Description]) * (I$6=Table_dim_price_recipe[Type])*(Table_dim_price_recipe[Retail Price]&lt;&gt;0)*($C472=Table_dim_price_recipe[Subcategory]), 0))*$B472,"")</f>
        <v/>
      </c>
      <c r="J472" s="39" t="str" cm="1">
        <f t="array" ref="J472">IFERROR(INDEX(Table_dim_price_recipe[Retail Price], MATCH(1, ("Calculator"&lt;&gt;Table_dim_price_recipe[Type.display])*($L472=Table_dim_price_recipe[Category])*($D472=Table_dim_price_recipe[Item Description]) * (J$6=Table_dim_price_recipe[Type])*(Table_dim_price_recipe[Retail Price]&lt;&gt;0)*($C472=Table_dim_price_recipe[Subcategory]), 0))*$B472,"")</f>
        <v/>
      </c>
      <c r="K472" s="39" t="str" cm="1">
        <f t="array" ref="K472">IFERROR(INDEX(Table_dim_price_recipe[Retail Price], MATCH(1, ("Calculator"&lt;&gt;Table_dim_price_recipe[Type.display])*($L472=Table_dim_price_recipe[Category])*($D472=Table_dim_price_recipe[Item Description]) * (K$6=Table_dim_price_recipe[Type])*(Table_dim_price_recipe[Retail Price]&lt;&gt;0)*($C472=Table_dim_price_recipe[Subcategory]), 0))*$B472,"")</f>
        <v/>
      </c>
      <c r="L472" s="39" t="str" cm="1">
        <f t="array" ref="L472">IF($A472&lt;&gt;"", $A472, LOOKUP(2, 1/((A$7:INDEX(A:A, ROW()))&lt;&gt;""), A$7:INDEX(A:A, ROW())))</f>
        <v>STORMWATER</v>
      </c>
      <c r="M472" s="14"/>
    </row>
    <row r="473" spans="1:13">
      <c r="A473" s="263"/>
      <c r="B473" s="263"/>
      <c r="C473" s="263" t="s">
        <v>640</v>
      </c>
      <c r="D473" s="263" t="s">
        <v>647</v>
      </c>
      <c r="E473" s="263"/>
      <c r="F473" s="263"/>
      <c r="G473" s="39" cm="1">
        <f t="array" ref="G473">IFERROR(INDEX(Table_dim_price_recipe[Retail Price], MATCH(1, ("Calculator"&lt;&gt;Table_dim_price_recipe[Type.display])*($L473=Table_dim_price_recipe[Category])*($D473=Table_dim_price_recipe[Item Description]) * (G$6=Table_dim_price_recipe[Type])*(Table_dim_price_recipe[Retail Price]&lt;&gt;0)*($C473=Table_dim_price_recipe[Subcategory]), 0))*$B473,"")</f>
        <v>0</v>
      </c>
      <c r="H473" s="39" t="str" cm="1">
        <f t="array" ref="H473">IFERROR(INDEX(Table_dim_price_recipe[Retail Price], MATCH(1, ("Calculator"&lt;&gt;Table_dim_price_recipe[Type.display])*($L473=Table_dim_price_recipe[Category])*($D473=Table_dim_price_recipe[Item Description]) * (H$6=Table_dim_price_recipe[Type])*(Table_dim_price_recipe[Retail Price]&lt;&gt;0)*($C473=Table_dim_price_recipe[Subcategory]), 0))*$B473,"")</f>
        <v/>
      </c>
      <c r="I473" s="39" t="str" cm="1">
        <f t="array" ref="I473">IFERROR(INDEX(Table_dim_price_recipe[Retail Price], MATCH(1, ("Calculator"&lt;&gt;Table_dim_price_recipe[Type.display])*($L473=Table_dim_price_recipe[Category])*($D473=Table_dim_price_recipe[Item Description]) * (I$6=Table_dim_price_recipe[Type])*(Table_dim_price_recipe[Retail Price]&lt;&gt;0)*($C473=Table_dim_price_recipe[Subcategory]), 0))*$B473,"")</f>
        <v/>
      </c>
      <c r="J473" s="39" t="str" cm="1">
        <f t="array" ref="J473">IFERROR(INDEX(Table_dim_price_recipe[Retail Price], MATCH(1, ("Calculator"&lt;&gt;Table_dim_price_recipe[Type.display])*($L473=Table_dim_price_recipe[Category])*($D473=Table_dim_price_recipe[Item Description]) * (J$6=Table_dim_price_recipe[Type])*(Table_dim_price_recipe[Retail Price]&lt;&gt;0)*($C473=Table_dim_price_recipe[Subcategory]), 0))*$B473,"")</f>
        <v/>
      </c>
      <c r="K473" s="39" t="str" cm="1">
        <f t="array" ref="K473">IFERROR(INDEX(Table_dim_price_recipe[Retail Price], MATCH(1, ("Calculator"&lt;&gt;Table_dim_price_recipe[Type.display])*($L473=Table_dim_price_recipe[Category])*($D473=Table_dim_price_recipe[Item Description]) * (K$6=Table_dim_price_recipe[Type])*(Table_dim_price_recipe[Retail Price]&lt;&gt;0)*($C473=Table_dim_price_recipe[Subcategory]), 0))*$B473,"")</f>
        <v/>
      </c>
      <c r="L473" s="39" t="str" cm="1">
        <f t="array" ref="L473">IF($A473&lt;&gt;"", $A473, LOOKUP(2, 1/((A$7:INDEX(A:A, ROW()))&lt;&gt;""), A$7:INDEX(A:A, ROW())))</f>
        <v>STORMWATER</v>
      </c>
      <c r="M473" s="14"/>
    </row>
    <row r="474" spans="1:13">
      <c r="A474" s="263"/>
      <c r="B474" s="263"/>
      <c r="C474" s="263" t="s">
        <v>640</v>
      </c>
      <c r="D474" s="263"/>
      <c r="E474" s="263"/>
      <c r="F474" s="263"/>
      <c r="G474" s="39" t="str" cm="1">
        <f t="array" ref="G474">IFERROR(INDEX(Table_dim_price_recipe[Retail Price], MATCH(1, ("Calculator"&lt;&gt;Table_dim_price_recipe[Type.display])*($L474=Table_dim_price_recipe[Category])*($D474=Table_dim_price_recipe[Item Description]) * (G$6=Table_dim_price_recipe[Type])*(Table_dim_price_recipe[Retail Price]&lt;&gt;0)*($C474=Table_dim_price_recipe[Subcategory]), 0))*$B474,"")</f>
        <v/>
      </c>
      <c r="H474" s="39" t="str" cm="1">
        <f t="array" ref="H474">IFERROR(INDEX(Table_dim_price_recipe[Retail Price], MATCH(1, ("Calculator"&lt;&gt;Table_dim_price_recipe[Type.display])*($L474=Table_dim_price_recipe[Category])*($D474=Table_dim_price_recipe[Item Description]) * (H$6=Table_dim_price_recipe[Type])*(Table_dim_price_recipe[Retail Price]&lt;&gt;0)*($C474=Table_dim_price_recipe[Subcategory]), 0))*$B474,"")</f>
        <v/>
      </c>
      <c r="I474" s="39" t="str" cm="1">
        <f t="array" ref="I474">IFERROR(INDEX(Table_dim_price_recipe[Retail Price], MATCH(1, ("Calculator"&lt;&gt;Table_dim_price_recipe[Type.display])*($L474=Table_dim_price_recipe[Category])*($D474=Table_dim_price_recipe[Item Description]) * (I$6=Table_dim_price_recipe[Type])*(Table_dim_price_recipe[Retail Price]&lt;&gt;0)*($C474=Table_dim_price_recipe[Subcategory]), 0))*$B474,"")</f>
        <v/>
      </c>
      <c r="J474" s="39" t="str" cm="1">
        <f t="array" ref="J474">IFERROR(INDEX(Table_dim_price_recipe[Retail Price], MATCH(1, ("Calculator"&lt;&gt;Table_dim_price_recipe[Type.display])*($L474=Table_dim_price_recipe[Category])*($D474=Table_dim_price_recipe[Item Description]) * (J$6=Table_dim_price_recipe[Type])*(Table_dim_price_recipe[Retail Price]&lt;&gt;0)*($C474=Table_dim_price_recipe[Subcategory]), 0))*$B474,"")</f>
        <v/>
      </c>
      <c r="K474" s="39" t="str" cm="1">
        <f t="array" ref="K474">IFERROR(INDEX(Table_dim_price_recipe[Retail Price], MATCH(1, ("Calculator"&lt;&gt;Table_dim_price_recipe[Type.display])*($L474=Table_dim_price_recipe[Category])*($D474=Table_dim_price_recipe[Item Description]) * (K$6=Table_dim_price_recipe[Type])*(Table_dim_price_recipe[Retail Price]&lt;&gt;0)*($C474=Table_dim_price_recipe[Subcategory]), 0))*$B474,"")</f>
        <v/>
      </c>
      <c r="L474" s="39" t="str" cm="1">
        <f t="array" ref="L474">IF($A474&lt;&gt;"", $A474, LOOKUP(2, 1/((A$7:INDEX(A:A, ROW()))&lt;&gt;""), A$7:INDEX(A:A, ROW())))</f>
        <v>STORMWATER</v>
      </c>
      <c r="M474" s="14"/>
    </row>
    <row r="475" spans="1:13">
      <c r="A475" s="263"/>
      <c r="B475" s="263"/>
      <c r="C475" s="263" t="s">
        <v>640</v>
      </c>
      <c r="D475" s="263"/>
      <c r="E475" s="263"/>
      <c r="F475" s="263"/>
      <c r="G475" s="39" t="str" cm="1">
        <f t="array" ref="G475">IFERROR(INDEX(Table_dim_price_recipe[Retail Price], MATCH(1, ("Calculator"&lt;&gt;Table_dim_price_recipe[Type.display])*($L475=Table_dim_price_recipe[Category])*($D475=Table_dim_price_recipe[Item Description]) * (G$6=Table_dim_price_recipe[Type])*(Table_dim_price_recipe[Retail Price]&lt;&gt;0)*($C475=Table_dim_price_recipe[Subcategory]), 0))*$B475,"")</f>
        <v/>
      </c>
      <c r="H475" s="39" t="str" cm="1">
        <f t="array" ref="H475">IFERROR(INDEX(Table_dim_price_recipe[Retail Price], MATCH(1, ("Calculator"&lt;&gt;Table_dim_price_recipe[Type.display])*($L475=Table_dim_price_recipe[Category])*($D475=Table_dim_price_recipe[Item Description]) * (H$6=Table_dim_price_recipe[Type])*(Table_dim_price_recipe[Retail Price]&lt;&gt;0)*($C475=Table_dim_price_recipe[Subcategory]), 0))*$B475,"")</f>
        <v/>
      </c>
      <c r="I475" s="39" t="str" cm="1">
        <f t="array" ref="I475">IFERROR(INDEX(Table_dim_price_recipe[Retail Price], MATCH(1, ("Calculator"&lt;&gt;Table_dim_price_recipe[Type.display])*($L475=Table_dim_price_recipe[Category])*($D475=Table_dim_price_recipe[Item Description]) * (I$6=Table_dim_price_recipe[Type])*(Table_dim_price_recipe[Retail Price]&lt;&gt;0)*($C475=Table_dim_price_recipe[Subcategory]), 0))*$B475,"")</f>
        <v/>
      </c>
      <c r="J475" s="39" t="str" cm="1">
        <f t="array" ref="J475">IFERROR(INDEX(Table_dim_price_recipe[Retail Price], MATCH(1, ("Calculator"&lt;&gt;Table_dim_price_recipe[Type.display])*($L475=Table_dim_price_recipe[Category])*($D475=Table_dim_price_recipe[Item Description]) * (J$6=Table_dim_price_recipe[Type])*(Table_dim_price_recipe[Retail Price]&lt;&gt;0)*($C475=Table_dim_price_recipe[Subcategory]), 0))*$B475,"")</f>
        <v/>
      </c>
      <c r="K475" s="39" t="str" cm="1">
        <f t="array" ref="K475">IFERROR(INDEX(Table_dim_price_recipe[Retail Price], MATCH(1, ("Calculator"&lt;&gt;Table_dim_price_recipe[Type.display])*($L475=Table_dim_price_recipe[Category])*($D475=Table_dim_price_recipe[Item Description]) * (K$6=Table_dim_price_recipe[Type])*(Table_dim_price_recipe[Retail Price]&lt;&gt;0)*($C475=Table_dim_price_recipe[Subcategory]), 0))*$B475,"")</f>
        <v/>
      </c>
      <c r="L475" s="39" t="str" cm="1">
        <f t="array" ref="L475">IF($A475&lt;&gt;"", $A475, LOOKUP(2, 1/((A$7:INDEX(A:A, ROW()))&lt;&gt;""), A$7:INDEX(A:A, ROW())))</f>
        <v>STORMWATER</v>
      </c>
      <c r="M475" s="14"/>
    </row>
    <row r="476" spans="1:13">
      <c r="A476" s="263"/>
      <c r="B476" s="263"/>
      <c r="C476" s="263" t="s">
        <v>858</v>
      </c>
      <c r="D476" s="263" t="s">
        <v>860</v>
      </c>
      <c r="E476" s="263"/>
      <c r="F476" s="263"/>
      <c r="G476" s="39" t="str" cm="1">
        <f t="array" ref="G476">IFERROR(INDEX(Table_dim_price_recipe[Retail Price], MATCH(1, ("Calculator"&lt;&gt;Table_dim_price_recipe[Type.display])*($L476=Table_dim_price_recipe[Category])*($D476=Table_dim_price_recipe[Item Description]) * (G$6=Table_dim_price_recipe[Type])*(Table_dim_price_recipe[Retail Price]&lt;&gt;0)*($C476=Table_dim_price_recipe[Subcategory]), 0))*$B476,"")</f>
        <v/>
      </c>
      <c r="H476" s="39" t="str" cm="1">
        <f t="array" ref="H476">IFERROR(INDEX(Table_dim_price_recipe[Retail Price], MATCH(1, ("Calculator"&lt;&gt;Table_dim_price_recipe[Type.display])*($L476=Table_dim_price_recipe[Category])*($D476=Table_dim_price_recipe[Item Description]) * (H$6=Table_dim_price_recipe[Type])*(Table_dim_price_recipe[Retail Price]&lt;&gt;0)*($C476=Table_dim_price_recipe[Subcategory]), 0))*$B476,"")</f>
        <v/>
      </c>
      <c r="I476" s="39" t="str" cm="1">
        <f t="array" ref="I476">IFERROR(INDEX(Table_dim_price_recipe[Retail Price], MATCH(1, ("Calculator"&lt;&gt;Table_dim_price_recipe[Type.display])*($L476=Table_dim_price_recipe[Category])*($D476=Table_dim_price_recipe[Item Description]) * (I$6=Table_dim_price_recipe[Type])*(Table_dim_price_recipe[Retail Price]&lt;&gt;0)*($C476=Table_dim_price_recipe[Subcategory]), 0))*$B476,"")</f>
        <v/>
      </c>
      <c r="J476" s="39" t="str" cm="1">
        <f t="array" ref="J476">IFERROR(INDEX(Table_dim_price_recipe[Retail Price], MATCH(1, ("Calculator"&lt;&gt;Table_dim_price_recipe[Type.display])*($L476=Table_dim_price_recipe[Category])*($D476=Table_dim_price_recipe[Item Description]) * (J$6=Table_dim_price_recipe[Type])*(Table_dim_price_recipe[Retail Price]&lt;&gt;0)*($C476=Table_dim_price_recipe[Subcategory]), 0))*$B476,"")</f>
        <v/>
      </c>
      <c r="K476" s="39" cm="1">
        <f t="array" ref="K476">IFERROR(INDEX(Table_dim_price_recipe[Retail Price], MATCH(1, ("Calculator"&lt;&gt;Table_dim_price_recipe[Type.display])*($L476=Table_dim_price_recipe[Category])*($D476=Table_dim_price_recipe[Item Description]) * (K$6=Table_dim_price_recipe[Type])*(Table_dim_price_recipe[Retail Price]&lt;&gt;0)*($C476=Table_dim_price_recipe[Subcategory]), 0))*$B476,"")</f>
        <v>0</v>
      </c>
      <c r="L476" s="39" t="str" cm="1">
        <f t="array" ref="L476">IF($A476&lt;&gt;"", $A476, LOOKUP(2, 1/((A$7:INDEX(A:A, ROW()))&lt;&gt;""), A$7:INDEX(A:A, ROW())))</f>
        <v>STORMWATER</v>
      </c>
      <c r="M476" s="14"/>
    </row>
    <row r="477" spans="1:13">
      <c r="A477" s="263"/>
      <c r="B477" s="263"/>
      <c r="C477" s="263" t="s">
        <v>858</v>
      </c>
      <c r="D477" s="263" t="s">
        <v>859</v>
      </c>
      <c r="E477" s="263"/>
      <c r="F477" s="263"/>
      <c r="G477" s="39" t="str" cm="1">
        <f t="array" ref="G477">IFERROR(INDEX(Table_dim_price_recipe[Retail Price], MATCH(1, ("Calculator"&lt;&gt;Table_dim_price_recipe[Type.display])*($L477=Table_dim_price_recipe[Category])*($D477=Table_dim_price_recipe[Item Description]) * (G$6=Table_dim_price_recipe[Type])*(Table_dim_price_recipe[Retail Price]&lt;&gt;0)*($C477=Table_dim_price_recipe[Subcategory]), 0))*$B477,"")</f>
        <v/>
      </c>
      <c r="H477" s="39" t="str" cm="1">
        <f t="array" ref="H477">IFERROR(INDEX(Table_dim_price_recipe[Retail Price], MATCH(1, ("Calculator"&lt;&gt;Table_dim_price_recipe[Type.display])*($L477=Table_dim_price_recipe[Category])*($D477=Table_dim_price_recipe[Item Description]) * (H$6=Table_dim_price_recipe[Type])*(Table_dim_price_recipe[Retail Price]&lt;&gt;0)*($C477=Table_dim_price_recipe[Subcategory]), 0))*$B477,"")</f>
        <v/>
      </c>
      <c r="I477" s="39" t="str" cm="1">
        <f t="array" ref="I477">IFERROR(INDEX(Table_dim_price_recipe[Retail Price], MATCH(1, ("Calculator"&lt;&gt;Table_dim_price_recipe[Type.display])*($L477=Table_dim_price_recipe[Category])*($D477=Table_dim_price_recipe[Item Description]) * (I$6=Table_dim_price_recipe[Type])*(Table_dim_price_recipe[Retail Price]&lt;&gt;0)*($C477=Table_dim_price_recipe[Subcategory]), 0))*$B477,"")</f>
        <v/>
      </c>
      <c r="J477" s="39" t="str" cm="1">
        <f t="array" ref="J477">IFERROR(INDEX(Table_dim_price_recipe[Retail Price], MATCH(1, ("Calculator"&lt;&gt;Table_dim_price_recipe[Type.display])*($L477=Table_dim_price_recipe[Category])*($D477=Table_dim_price_recipe[Item Description]) * (J$6=Table_dim_price_recipe[Type])*(Table_dim_price_recipe[Retail Price]&lt;&gt;0)*($C477=Table_dim_price_recipe[Subcategory]), 0))*$B477,"")</f>
        <v/>
      </c>
      <c r="K477" s="39" cm="1">
        <f t="array" ref="K477">IFERROR(INDEX(Table_dim_price_recipe[Retail Price], MATCH(1, ("Calculator"&lt;&gt;Table_dim_price_recipe[Type.display])*($L477=Table_dim_price_recipe[Category])*($D477=Table_dim_price_recipe[Item Description]) * (K$6=Table_dim_price_recipe[Type])*(Table_dim_price_recipe[Retail Price]&lt;&gt;0)*($C477=Table_dim_price_recipe[Subcategory]), 0))*$B477,"")</f>
        <v>0</v>
      </c>
      <c r="L477" s="39" t="str" cm="1">
        <f t="array" ref="L477">IF($A477&lt;&gt;"", $A477, LOOKUP(2, 1/((A$7:INDEX(A:A, ROW()))&lt;&gt;""), A$7:INDEX(A:A, ROW())))</f>
        <v>STORMWATER</v>
      </c>
      <c r="M477" s="14"/>
    </row>
    <row r="478" spans="1:13">
      <c r="A478" s="263"/>
      <c r="B478" s="263"/>
      <c r="C478" s="263" t="s">
        <v>858</v>
      </c>
      <c r="D478" s="263" t="s">
        <v>863</v>
      </c>
      <c r="E478" s="263"/>
      <c r="F478" s="263"/>
      <c r="G478" s="39" t="str" cm="1">
        <f t="array" ref="G478">IFERROR(INDEX(Table_dim_price_recipe[Retail Price], MATCH(1, ("Calculator"&lt;&gt;Table_dim_price_recipe[Type.display])*($L478=Table_dim_price_recipe[Category])*($D478=Table_dim_price_recipe[Item Description]) * (G$6=Table_dim_price_recipe[Type])*(Table_dim_price_recipe[Retail Price]&lt;&gt;0)*($C478=Table_dim_price_recipe[Subcategory]), 0))*$B478,"")</f>
        <v/>
      </c>
      <c r="H478" s="39" t="str" cm="1">
        <f t="array" ref="H478">IFERROR(INDEX(Table_dim_price_recipe[Retail Price], MATCH(1, ("Calculator"&lt;&gt;Table_dim_price_recipe[Type.display])*($L478=Table_dim_price_recipe[Category])*($D478=Table_dim_price_recipe[Item Description]) * (H$6=Table_dim_price_recipe[Type])*(Table_dim_price_recipe[Retail Price]&lt;&gt;0)*($C478=Table_dim_price_recipe[Subcategory]), 0))*$B478,"")</f>
        <v/>
      </c>
      <c r="I478" s="39" t="str" cm="1">
        <f t="array" ref="I478">IFERROR(INDEX(Table_dim_price_recipe[Retail Price], MATCH(1, ("Calculator"&lt;&gt;Table_dim_price_recipe[Type.display])*($L478=Table_dim_price_recipe[Category])*($D478=Table_dim_price_recipe[Item Description]) * (I$6=Table_dim_price_recipe[Type])*(Table_dim_price_recipe[Retail Price]&lt;&gt;0)*($C478=Table_dim_price_recipe[Subcategory]), 0))*$B478,"")</f>
        <v/>
      </c>
      <c r="J478" s="39" t="str" cm="1">
        <f t="array" ref="J478">IFERROR(INDEX(Table_dim_price_recipe[Retail Price], MATCH(1, ("Calculator"&lt;&gt;Table_dim_price_recipe[Type.display])*($L478=Table_dim_price_recipe[Category])*($D478=Table_dim_price_recipe[Item Description]) * (J$6=Table_dim_price_recipe[Type])*(Table_dim_price_recipe[Retail Price]&lt;&gt;0)*($C478=Table_dim_price_recipe[Subcategory]), 0))*$B478,"")</f>
        <v/>
      </c>
      <c r="K478" s="39" cm="1">
        <f t="array" ref="K478">IFERROR(INDEX(Table_dim_price_recipe[Retail Price], MATCH(1, ("Calculator"&lt;&gt;Table_dim_price_recipe[Type.display])*($L478=Table_dim_price_recipe[Category])*($D478=Table_dim_price_recipe[Item Description]) * (K$6=Table_dim_price_recipe[Type])*(Table_dim_price_recipe[Retail Price]&lt;&gt;0)*($C478=Table_dim_price_recipe[Subcategory]), 0))*$B478,"")</f>
        <v>0</v>
      </c>
      <c r="L478" s="39" t="str" cm="1">
        <f t="array" ref="L478">IF($A478&lt;&gt;"", $A478, LOOKUP(2, 1/((A$7:INDEX(A:A, ROW()))&lt;&gt;""), A$7:INDEX(A:A, ROW())))</f>
        <v>STORMWATER</v>
      </c>
      <c r="M478" s="14"/>
    </row>
    <row r="479" spans="1:13">
      <c r="A479" s="263"/>
      <c r="B479" s="263"/>
      <c r="C479" s="263" t="s">
        <v>858</v>
      </c>
      <c r="D479" s="263" t="s">
        <v>861</v>
      </c>
      <c r="E479" s="263"/>
      <c r="F479" s="263"/>
      <c r="G479" s="39" t="str" cm="1">
        <f t="array" ref="G479">IFERROR(INDEX(Table_dim_price_recipe[Retail Price], MATCH(1, ("Calculator"&lt;&gt;Table_dim_price_recipe[Type.display])*($L479=Table_dim_price_recipe[Category])*($D479=Table_dim_price_recipe[Item Description]) * (G$6=Table_dim_price_recipe[Type])*(Table_dim_price_recipe[Retail Price]&lt;&gt;0)*($C479=Table_dim_price_recipe[Subcategory]), 0))*$B479,"")</f>
        <v/>
      </c>
      <c r="H479" s="39" t="str" cm="1">
        <f t="array" ref="H479">IFERROR(INDEX(Table_dim_price_recipe[Retail Price], MATCH(1, ("Calculator"&lt;&gt;Table_dim_price_recipe[Type.display])*($L479=Table_dim_price_recipe[Category])*($D479=Table_dim_price_recipe[Item Description]) * (H$6=Table_dim_price_recipe[Type])*(Table_dim_price_recipe[Retail Price]&lt;&gt;0)*($C479=Table_dim_price_recipe[Subcategory]), 0))*$B479,"")</f>
        <v/>
      </c>
      <c r="I479" s="39" t="str" cm="1">
        <f t="array" ref="I479">IFERROR(INDEX(Table_dim_price_recipe[Retail Price], MATCH(1, ("Calculator"&lt;&gt;Table_dim_price_recipe[Type.display])*($L479=Table_dim_price_recipe[Category])*($D479=Table_dim_price_recipe[Item Description]) * (I$6=Table_dim_price_recipe[Type])*(Table_dim_price_recipe[Retail Price]&lt;&gt;0)*($C479=Table_dim_price_recipe[Subcategory]), 0))*$B479,"")</f>
        <v/>
      </c>
      <c r="J479" s="39" t="str" cm="1">
        <f t="array" ref="J479">IFERROR(INDEX(Table_dim_price_recipe[Retail Price], MATCH(1, ("Calculator"&lt;&gt;Table_dim_price_recipe[Type.display])*($L479=Table_dim_price_recipe[Category])*($D479=Table_dim_price_recipe[Item Description]) * (J$6=Table_dim_price_recipe[Type])*(Table_dim_price_recipe[Retail Price]&lt;&gt;0)*($C479=Table_dim_price_recipe[Subcategory]), 0))*$B479,"")</f>
        <v/>
      </c>
      <c r="K479" s="39" t="str" cm="1">
        <f t="array" ref="K479">IFERROR(INDEX(Table_dim_price_recipe[Retail Price], MATCH(1, ("Calculator"&lt;&gt;Table_dim_price_recipe[Type.display])*($L479=Table_dim_price_recipe[Category])*($D479=Table_dim_price_recipe[Item Description]) * (K$6=Table_dim_price_recipe[Type])*(Table_dim_price_recipe[Retail Price]&lt;&gt;0)*($C479=Table_dim_price_recipe[Subcategory]), 0))*$B479,"")</f>
        <v/>
      </c>
      <c r="L479" s="39" t="str" cm="1">
        <f t="array" ref="L479">IF($A479&lt;&gt;"", $A479, LOOKUP(2, 1/((A$7:INDEX(A:A, ROW()))&lt;&gt;""), A$7:INDEX(A:A, ROW())))</f>
        <v>STORMWATER</v>
      </c>
      <c r="M479" s="14"/>
    </row>
    <row r="480" spans="1:13">
      <c r="A480" s="263"/>
      <c r="B480" s="263"/>
      <c r="C480" s="263" t="s">
        <v>858</v>
      </c>
      <c r="D480" s="263" t="s">
        <v>1163</v>
      </c>
      <c r="E480" s="263"/>
      <c r="F480" s="263"/>
      <c r="G480" s="39" t="str" cm="1">
        <f t="array" ref="G480">IFERROR(INDEX(Table_dim_price_recipe[Retail Price], MATCH(1, ("Calculator"&lt;&gt;Table_dim_price_recipe[Type.display])*($L480=Table_dim_price_recipe[Category])*($D480=Table_dim_price_recipe[Item Description]) * (G$6=Table_dim_price_recipe[Type])*(Table_dim_price_recipe[Retail Price]&lt;&gt;0)*($C480=Table_dim_price_recipe[Subcategory]), 0))*$B480,"")</f>
        <v/>
      </c>
      <c r="H480" s="39" t="str" cm="1">
        <f t="array" ref="H480">IFERROR(INDEX(Table_dim_price_recipe[Retail Price], MATCH(1, ("Calculator"&lt;&gt;Table_dim_price_recipe[Type.display])*($L480=Table_dim_price_recipe[Category])*($D480=Table_dim_price_recipe[Item Description]) * (H$6=Table_dim_price_recipe[Type])*(Table_dim_price_recipe[Retail Price]&lt;&gt;0)*($C480=Table_dim_price_recipe[Subcategory]), 0))*$B480,"")</f>
        <v/>
      </c>
      <c r="I480" s="39" t="str" cm="1">
        <f t="array" ref="I480">IFERROR(INDEX(Table_dim_price_recipe[Retail Price], MATCH(1, ("Calculator"&lt;&gt;Table_dim_price_recipe[Type.display])*($L480=Table_dim_price_recipe[Category])*($D480=Table_dim_price_recipe[Item Description]) * (I$6=Table_dim_price_recipe[Type])*(Table_dim_price_recipe[Retail Price]&lt;&gt;0)*($C480=Table_dim_price_recipe[Subcategory]), 0))*$B480,"")</f>
        <v/>
      </c>
      <c r="J480" s="39" t="str" cm="1">
        <f t="array" ref="J480">IFERROR(INDEX(Table_dim_price_recipe[Retail Price], MATCH(1, ("Calculator"&lt;&gt;Table_dim_price_recipe[Type.display])*($L480=Table_dim_price_recipe[Category])*($D480=Table_dim_price_recipe[Item Description]) * (J$6=Table_dim_price_recipe[Type])*(Table_dim_price_recipe[Retail Price]&lt;&gt;0)*($C480=Table_dim_price_recipe[Subcategory]), 0))*$B480,"")</f>
        <v/>
      </c>
      <c r="K480" s="39" t="str" cm="1">
        <f t="array" ref="K480">IFERROR(INDEX(Table_dim_price_recipe[Retail Price], MATCH(1, ("Calculator"&lt;&gt;Table_dim_price_recipe[Type.display])*($L480=Table_dim_price_recipe[Category])*($D480=Table_dim_price_recipe[Item Description]) * (K$6=Table_dim_price_recipe[Type])*(Table_dim_price_recipe[Retail Price]&lt;&gt;0)*($C480=Table_dim_price_recipe[Subcategory]), 0))*$B480,"")</f>
        <v/>
      </c>
      <c r="L480" s="39" t="str" cm="1">
        <f t="array" ref="L480">IF($A480&lt;&gt;"", $A480, LOOKUP(2, 1/((A$7:INDEX(A:A, ROW()))&lt;&gt;""), A$7:INDEX(A:A, ROW())))</f>
        <v>STORMWATER</v>
      </c>
      <c r="M480" s="14"/>
    </row>
    <row r="481" spans="1:13">
      <c r="A481" s="263"/>
      <c r="B481" s="263"/>
      <c r="C481" s="263" t="s">
        <v>858</v>
      </c>
      <c r="D481" s="263"/>
      <c r="E481" s="263"/>
      <c r="F481" s="263"/>
      <c r="G481" s="39" t="str" cm="1">
        <f t="array" ref="G481">IFERROR(INDEX(Table_dim_price_recipe[Retail Price], MATCH(1, ("Calculator"&lt;&gt;Table_dim_price_recipe[Type.display])*($L481=Table_dim_price_recipe[Category])*($D481=Table_dim_price_recipe[Item Description]) * (G$6=Table_dim_price_recipe[Type])*(Table_dim_price_recipe[Retail Price]&lt;&gt;0)*($C481=Table_dim_price_recipe[Subcategory]), 0))*$B481,"")</f>
        <v/>
      </c>
      <c r="H481" s="39" t="str" cm="1">
        <f t="array" ref="H481">IFERROR(INDEX(Table_dim_price_recipe[Retail Price], MATCH(1, ("Calculator"&lt;&gt;Table_dim_price_recipe[Type.display])*($L481=Table_dim_price_recipe[Category])*($D481=Table_dim_price_recipe[Item Description]) * (H$6=Table_dim_price_recipe[Type])*(Table_dim_price_recipe[Retail Price]&lt;&gt;0)*($C481=Table_dim_price_recipe[Subcategory]), 0))*$B481,"")</f>
        <v/>
      </c>
      <c r="I481" s="39" t="str" cm="1">
        <f t="array" ref="I481">IFERROR(INDEX(Table_dim_price_recipe[Retail Price], MATCH(1, ("Calculator"&lt;&gt;Table_dim_price_recipe[Type.display])*($L481=Table_dim_price_recipe[Category])*($D481=Table_dim_price_recipe[Item Description]) * (I$6=Table_dim_price_recipe[Type])*(Table_dim_price_recipe[Retail Price]&lt;&gt;0)*($C481=Table_dim_price_recipe[Subcategory]), 0))*$B481,"")</f>
        <v/>
      </c>
      <c r="J481" s="39" t="str" cm="1">
        <f t="array" ref="J481">IFERROR(INDEX(Table_dim_price_recipe[Retail Price], MATCH(1, ("Calculator"&lt;&gt;Table_dim_price_recipe[Type.display])*($L481=Table_dim_price_recipe[Category])*($D481=Table_dim_price_recipe[Item Description]) * (J$6=Table_dim_price_recipe[Type])*(Table_dim_price_recipe[Retail Price]&lt;&gt;0)*($C481=Table_dim_price_recipe[Subcategory]), 0))*$B481,"")</f>
        <v/>
      </c>
      <c r="K481" s="39" t="str" cm="1">
        <f t="array" ref="K481">IFERROR(INDEX(Table_dim_price_recipe[Retail Price], MATCH(1, ("Calculator"&lt;&gt;Table_dim_price_recipe[Type.display])*($L481=Table_dim_price_recipe[Category])*($D481=Table_dim_price_recipe[Item Description]) * (K$6=Table_dim_price_recipe[Type])*(Table_dim_price_recipe[Retail Price]&lt;&gt;0)*($C481=Table_dim_price_recipe[Subcategory]), 0))*$B481,"")</f>
        <v/>
      </c>
      <c r="L481" s="39" t="str" cm="1">
        <f t="array" ref="L481">IF($A481&lt;&gt;"", $A481, LOOKUP(2, 1/((A$7:INDEX(A:A, ROW()))&lt;&gt;""), A$7:INDEX(A:A, ROW())))</f>
        <v>STORMWATER</v>
      </c>
      <c r="M481" s="14"/>
    </row>
    <row r="482" spans="1:13">
      <c r="A482" s="263"/>
      <c r="B482" s="263"/>
      <c r="C482" s="263" t="s">
        <v>858</v>
      </c>
      <c r="D482" s="263"/>
      <c r="E482" s="263"/>
      <c r="F482" s="263"/>
      <c r="G482" s="39" t="str" cm="1">
        <f t="array" ref="G482">IFERROR(INDEX(Table_dim_price_recipe[Retail Price], MATCH(1, ("Calculator"&lt;&gt;Table_dim_price_recipe[Type.display])*($L482=Table_dim_price_recipe[Category])*($D482=Table_dim_price_recipe[Item Description]) * (G$6=Table_dim_price_recipe[Type])*(Table_dim_price_recipe[Retail Price]&lt;&gt;0)*($C482=Table_dim_price_recipe[Subcategory]), 0))*$B482,"")</f>
        <v/>
      </c>
      <c r="H482" s="39" t="str" cm="1">
        <f t="array" ref="H482">IFERROR(INDEX(Table_dim_price_recipe[Retail Price], MATCH(1, ("Calculator"&lt;&gt;Table_dim_price_recipe[Type.display])*($L482=Table_dim_price_recipe[Category])*($D482=Table_dim_price_recipe[Item Description]) * (H$6=Table_dim_price_recipe[Type])*(Table_dim_price_recipe[Retail Price]&lt;&gt;0)*($C482=Table_dim_price_recipe[Subcategory]), 0))*$B482,"")</f>
        <v/>
      </c>
      <c r="I482" s="39" t="str" cm="1">
        <f t="array" ref="I482">IFERROR(INDEX(Table_dim_price_recipe[Retail Price], MATCH(1, ("Calculator"&lt;&gt;Table_dim_price_recipe[Type.display])*($L482=Table_dim_price_recipe[Category])*($D482=Table_dim_price_recipe[Item Description]) * (I$6=Table_dim_price_recipe[Type])*(Table_dim_price_recipe[Retail Price]&lt;&gt;0)*($C482=Table_dim_price_recipe[Subcategory]), 0))*$B482,"")</f>
        <v/>
      </c>
      <c r="J482" s="39" t="str" cm="1">
        <f t="array" ref="J482">IFERROR(INDEX(Table_dim_price_recipe[Retail Price], MATCH(1, ("Calculator"&lt;&gt;Table_dim_price_recipe[Type.display])*($L482=Table_dim_price_recipe[Category])*($D482=Table_dim_price_recipe[Item Description]) * (J$6=Table_dim_price_recipe[Type])*(Table_dim_price_recipe[Retail Price]&lt;&gt;0)*($C482=Table_dim_price_recipe[Subcategory]), 0))*$B482,"")</f>
        <v/>
      </c>
      <c r="K482" s="39" t="str" cm="1">
        <f t="array" ref="K482">IFERROR(INDEX(Table_dim_price_recipe[Retail Price], MATCH(1, ("Calculator"&lt;&gt;Table_dim_price_recipe[Type.display])*($L482=Table_dim_price_recipe[Category])*($D482=Table_dim_price_recipe[Item Description]) * (K$6=Table_dim_price_recipe[Type])*(Table_dim_price_recipe[Retail Price]&lt;&gt;0)*($C482=Table_dim_price_recipe[Subcategory]), 0))*$B482,"")</f>
        <v/>
      </c>
      <c r="L482" s="39" t="str" cm="1">
        <f t="array" ref="L482">IF($A482&lt;&gt;"", $A482, LOOKUP(2, 1/((A$7:INDEX(A:A, ROW()))&lt;&gt;""), A$7:INDEX(A:A, ROW())))</f>
        <v>STORMWATER</v>
      </c>
      <c r="M482" s="14"/>
    </row>
    <row r="483" spans="1:13">
      <c r="A483" s="260" t="s">
        <v>58</v>
      </c>
      <c r="B483" s="261"/>
      <c r="C483" s="261"/>
      <c r="D483" s="261"/>
      <c r="E483" s="261"/>
      <c r="F483" s="261"/>
      <c r="G483" s="262" t="str" cm="1">
        <f t="array" ref="G483">IFERROR(INDEX(Table_dim_price_recipe[Retail Price], MATCH(1, ("Calculator"&lt;&gt;Table_dim_price_recipe[Type.display])*($L483=Table_dim_price_recipe[Category])*($D483=Table_dim_price_recipe[Item Description]) * (G$6=Table_dim_price_recipe[Type])*(Table_dim_price_recipe[Retail Price]&lt;&gt;0)*($C483=Table_dim_price_recipe[Subcategory]), 0))*$B483,"")</f>
        <v/>
      </c>
      <c r="H483" s="262" t="str" cm="1">
        <f t="array" ref="H483">IFERROR(INDEX(Table_dim_price_recipe[Retail Price], MATCH(1, ("Calculator"&lt;&gt;Table_dim_price_recipe[Type.display])*($L483=Table_dim_price_recipe[Category])*($D483=Table_dim_price_recipe[Item Description]) * (H$6=Table_dim_price_recipe[Type])*(Table_dim_price_recipe[Retail Price]&lt;&gt;0)*($C483=Table_dim_price_recipe[Subcategory]), 0))*$B483,"")</f>
        <v/>
      </c>
      <c r="I483" s="262" t="str" cm="1">
        <f t="array" ref="I483">IFERROR(INDEX(Table_dim_price_recipe[Retail Price], MATCH(1, ("Calculator"&lt;&gt;Table_dim_price_recipe[Type.display])*($L483=Table_dim_price_recipe[Category])*($D483=Table_dim_price_recipe[Item Description]) * (I$6=Table_dim_price_recipe[Type])*(Table_dim_price_recipe[Retail Price]&lt;&gt;0)*($C483=Table_dim_price_recipe[Subcategory]), 0))*$B483,"")</f>
        <v/>
      </c>
      <c r="J483" s="262" t="str" cm="1">
        <f t="array" ref="J483">IFERROR(INDEX(Table_dim_price_recipe[Retail Price], MATCH(1, ("Calculator"&lt;&gt;Table_dim_price_recipe[Type.display])*($L483=Table_dim_price_recipe[Category])*($D483=Table_dim_price_recipe[Item Description]) * (J$6=Table_dim_price_recipe[Type])*(Table_dim_price_recipe[Retail Price]&lt;&gt;0)*($C483=Table_dim_price_recipe[Subcategory]), 0))*$B483,"")</f>
        <v/>
      </c>
      <c r="K483" s="262" t="str" cm="1">
        <f t="array" ref="K483">IFERROR(INDEX(Table_dim_price_recipe[Retail Price], MATCH(1, ("Calculator"&lt;&gt;Table_dim_price_recipe[Type.display])*($L483=Table_dim_price_recipe[Category])*($D483=Table_dim_price_recipe[Item Description]) * (K$6=Table_dim_price_recipe[Type])*(Table_dim_price_recipe[Retail Price]&lt;&gt;0)*($C483=Table_dim_price_recipe[Subcategory]), 0))*$B483,"")</f>
        <v/>
      </c>
      <c r="L483" s="262" t="str" cm="1">
        <f t="array" ref="L483">IF($A483&lt;&gt;"", $A483, LOOKUP(2, 1/((A$7:INDEX(A:A, ROW()))&lt;&gt;""), A$7:INDEX(A:A, ROW())))</f>
        <v>ROOFING PRODUCTS</v>
      </c>
      <c r="M483" s="14"/>
    </row>
    <row r="484" spans="1:13">
      <c r="A484" s="263"/>
      <c r="B484" s="263"/>
      <c r="C484" s="263" t="s">
        <v>607</v>
      </c>
      <c r="D484" s="263" t="s">
        <v>612</v>
      </c>
      <c r="E484" s="263"/>
      <c r="F484" s="263"/>
      <c r="G484" s="39" cm="1">
        <f t="array" ref="G484">IFERROR(INDEX(Table_dim_price_recipe[Retail Price], MATCH(1, ("Calculator"&lt;&gt;Table_dim_price_recipe[Type.display])*($L484=Table_dim_price_recipe[Category])*($D484=Table_dim_price_recipe[Item Description]) * (G$6=Table_dim_price_recipe[Type])*(Table_dim_price_recipe[Retail Price]&lt;&gt;0)*($C484=Table_dim_price_recipe[Subcategory]), 0))*$B484,"")</f>
        <v>0</v>
      </c>
      <c r="H484" s="39" t="str" cm="1">
        <f t="array" ref="H484">IFERROR(INDEX(Table_dim_price_recipe[Retail Price], MATCH(1, ("Calculator"&lt;&gt;Table_dim_price_recipe[Type.display])*($L484=Table_dim_price_recipe[Category])*($D484=Table_dim_price_recipe[Item Description]) * (H$6=Table_dim_price_recipe[Type])*(Table_dim_price_recipe[Retail Price]&lt;&gt;0)*($C484=Table_dim_price_recipe[Subcategory]), 0))*$B484,"")</f>
        <v/>
      </c>
      <c r="I484" s="39" t="str" cm="1">
        <f t="array" ref="I484">IFERROR(INDEX(Table_dim_price_recipe[Retail Price], MATCH(1, ("Calculator"&lt;&gt;Table_dim_price_recipe[Type.display])*($L484=Table_dim_price_recipe[Category])*($D484=Table_dim_price_recipe[Item Description]) * (I$6=Table_dim_price_recipe[Type])*(Table_dim_price_recipe[Retail Price]&lt;&gt;0)*($C484=Table_dim_price_recipe[Subcategory]), 0))*$B484,"")</f>
        <v/>
      </c>
      <c r="J484" s="39" t="str" cm="1">
        <f t="array" ref="J484">IFERROR(INDEX(Table_dim_price_recipe[Retail Price], MATCH(1, ("Calculator"&lt;&gt;Table_dim_price_recipe[Type.display])*($L484=Table_dim_price_recipe[Category])*($D484=Table_dim_price_recipe[Item Description]) * (J$6=Table_dim_price_recipe[Type])*(Table_dim_price_recipe[Retail Price]&lt;&gt;0)*($C484=Table_dim_price_recipe[Subcategory]), 0))*$B484,"")</f>
        <v/>
      </c>
      <c r="K484" s="39" t="str" cm="1">
        <f t="array" ref="K484">IFERROR(INDEX(Table_dim_price_recipe[Retail Price], MATCH(1, ("Calculator"&lt;&gt;Table_dim_price_recipe[Type.display])*($L484=Table_dim_price_recipe[Category])*($D484=Table_dim_price_recipe[Item Description]) * (K$6=Table_dim_price_recipe[Type])*(Table_dim_price_recipe[Retail Price]&lt;&gt;0)*($C484=Table_dim_price_recipe[Subcategory]), 0))*$B484,"")</f>
        <v/>
      </c>
      <c r="L484" s="39" t="str" cm="1">
        <f t="array" ref="L484">IF($A484&lt;&gt;"", $A484, LOOKUP(2, 1/((A$7:INDEX(A:A, ROW()))&lt;&gt;""), A$7:INDEX(A:A, ROW())))</f>
        <v>ROOFING PRODUCTS</v>
      </c>
      <c r="M484" s="14"/>
    </row>
    <row r="485" spans="1:13">
      <c r="A485" s="263"/>
      <c r="B485" s="263"/>
      <c r="C485" s="263" t="s">
        <v>607</v>
      </c>
      <c r="D485" s="263" t="s">
        <v>611</v>
      </c>
      <c r="E485" s="263"/>
      <c r="F485" s="263"/>
      <c r="G485" s="39" t="str" cm="1">
        <f t="array" ref="G485">IFERROR(INDEX(Table_dim_price_recipe[Retail Price], MATCH(1, ("Calculator"&lt;&gt;Table_dim_price_recipe[Type.display])*($L485=Table_dim_price_recipe[Category])*($D485=Table_dim_price_recipe[Item Description]) * (G$6=Table_dim_price_recipe[Type])*(Table_dim_price_recipe[Retail Price]&lt;&gt;0)*($C485=Table_dim_price_recipe[Subcategory]), 0))*$B485,"")</f>
        <v/>
      </c>
      <c r="H485" s="39" t="str" cm="1">
        <f t="array" ref="H485">IFERROR(INDEX(Table_dim_price_recipe[Retail Price], MATCH(1, ("Calculator"&lt;&gt;Table_dim_price_recipe[Type.display])*($L485=Table_dim_price_recipe[Category])*($D485=Table_dim_price_recipe[Item Description]) * (H$6=Table_dim_price_recipe[Type])*(Table_dim_price_recipe[Retail Price]&lt;&gt;0)*($C485=Table_dim_price_recipe[Subcategory]), 0))*$B485,"")</f>
        <v/>
      </c>
      <c r="I485" s="39" t="str" cm="1">
        <f t="array" ref="I485">IFERROR(INDEX(Table_dim_price_recipe[Retail Price], MATCH(1, ("Calculator"&lt;&gt;Table_dim_price_recipe[Type.display])*($L485=Table_dim_price_recipe[Category])*($D485=Table_dim_price_recipe[Item Description]) * (I$6=Table_dim_price_recipe[Type])*(Table_dim_price_recipe[Retail Price]&lt;&gt;0)*($C485=Table_dim_price_recipe[Subcategory]), 0))*$B485,"")</f>
        <v/>
      </c>
      <c r="J485" s="39" t="str" cm="1">
        <f t="array" ref="J485">IFERROR(INDEX(Table_dim_price_recipe[Retail Price], MATCH(1, ("Calculator"&lt;&gt;Table_dim_price_recipe[Type.display])*($L485=Table_dim_price_recipe[Category])*($D485=Table_dim_price_recipe[Item Description]) * (J$6=Table_dim_price_recipe[Type])*(Table_dim_price_recipe[Retail Price]&lt;&gt;0)*($C485=Table_dim_price_recipe[Subcategory]), 0))*$B485,"")</f>
        <v/>
      </c>
      <c r="K485" s="39" t="str" cm="1">
        <f t="array" ref="K485">IFERROR(INDEX(Table_dim_price_recipe[Retail Price], MATCH(1, ("Calculator"&lt;&gt;Table_dim_price_recipe[Type.display])*($L485=Table_dim_price_recipe[Category])*($D485=Table_dim_price_recipe[Item Description]) * (K$6=Table_dim_price_recipe[Type])*(Table_dim_price_recipe[Retail Price]&lt;&gt;0)*($C485=Table_dim_price_recipe[Subcategory]), 0))*$B485,"")</f>
        <v/>
      </c>
      <c r="L485" s="39" t="str" cm="1">
        <f t="array" ref="L485">IF($A485&lt;&gt;"", $A485, LOOKUP(2, 1/((A$7:INDEX(A:A, ROW()))&lt;&gt;""), A$7:INDEX(A:A, ROW())))</f>
        <v>ROOFING PRODUCTS</v>
      </c>
      <c r="M485" s="14"/>
    </row>
    <row r="486" spans="1:13">
      <c r="A486" s="263"/>
      <c r="B486" s="263"/>
      <c r="C486" s="263" t="s">
        <v>607</v>
      </c>
      <c r="D486" s="263" t="s">
        <v>610</v>
      </c>
      <c r="E486" s="263"/>
      <c r="F486" s="263"/>
      <c r="G486" s="39" t="str" cm="1">
        <f t="array" ref="G486">IFERROR(INDEX(Table_dim_price_recipe[Retail Price], MATCH(1, ("Calculator"&lt;&gt;Table_dim_price_recipe[Type.display])*($L486=Table_dim_price_recipe[Category])*($D486=Table_dim_price_recipe[Item Description]) * (G$6=Table_dim_price_recipe[Type])*(Table_dim_price_recipe[Retail Price]&lt;&gt;0)*($C486=Table_dim_price_recipe[Subcategory]), 0))*$B486,"")</f>
        <v/>
      </c>
      <c r="H486" s="39" t="str" cm="1">
        <f t="array" ref="H486">IFERROR(INDEX(Table_dim_price_recipe[Retail Price], MATCH(1, ("Calculator"&lt;&gt;Table_dim_price_recipe[Type.display])*($L486=Table_dim_price_recipe[Category])*($D486=Table_dim_price_recipe[Item Description]) * (H$6=Table_dim_price_recipe[Type])*(Table_dim_price_recipe[Retail Price]&lt;&gt;0)*($C486=Table_dim_price_recipe[Subcategory]), 0))*$B486,"")</f>
        <v/>
      </c>
      <c r="I486" s="39" t="str" cm="1">
        <f t="array" ref="I486">IFERROR(INDEX(Table_dim_price_recipe[Retail Price], MATCH(1, ("Calculator"&lt;&gt;Table_dim_price_recipe[Type.display])*($L486=Table_dim_price_recipe[Category])*($D486=Table_dim_price_recipe[Item Description]) * (I$6=Table_dim_price_recipe[Type])*(Table_dim_price_recipe[Retail Price]&lt;&gt;0)*($C486=Table_dim_price_recipe[Subcategory]), 0))*$B486,"")</f>
        <v/>
      </c>
      <c r="J486" s="39" t="str" cm="1">
        <f t="array" ref="J486">IFERROR(INDEX(Table_dim_price_recipe[Retail Price], MATCH(1, ("Calculator"&lt;&gt;Table_dim_price_recipe[Type.display])*($L486=Table_dim_price_recipe[Category])*($D486=Table_dim_price_recipe[Item Description]) * (J$6=Table_dim_price_recipe[Type])*(Table_dim_price_recipe[Retail Price]&lt;&gt;0)*($C486=Table_dim_price_recipe[Subcategory]), 0))*$B486,"")</f>
        <v/>
      </c>
      <c r="K486" s="39" t="str" cm="1">
        <f t="array" ref="K486">IFERROR(INDEX(Table_dim_price_recipe[Retail Price], MATCH(1, ("Calculator"&lt;&gt;Table_dim_price_recipe[Type.display])*($L486=Table_dim_price_recipe[Category])*($D486=Table_dim_price_recipe[Item Description]) * (K$6=Table_dim_price_recipe[Type])*(Table_dim_price_recipe[Retail Price]&lt;&gt;0)*($C486=Table_dim_price_recipe[Subcategory]), 0))*$B486,"")</f>
        <v/>
      </c>
      <c r="L486" s="39" t="str" cm="1">
        <f t="array" ref="L486">IF($A486&lt;&gt;"", $A486, LOOKUP(2, 1/((A$7:INDEX(A:A, ROW()))&lt;&gt;""), A$7:INDEX(A:A, ROW())))</f>
        <v>ROOFING PRODUCTS</v>
      </c>
      <c r="M486" s="14"/>
    </row>
    <row r="487" spans="1:13">
      <c r="A487" s="263"/>
      <c r="B487" s="263"/>
      <c r="C487" s="263" t="s">
        <v>607</v>
      </c>
      <c r="D487" s="263" t="s">
        <v>59</v>
      </c>
      <c r="E487" s="263"/>
      <c r="F487" s="263"/>
      <c r="G487" s="39" cm="1">
        <f t="array" ref="G487">IFERROR(INDEX(Table_dim_price_recipe[Retail Price], MATCH(1, ("Calculator"&lt;&gt;Table_dim_price_recipe[Type.display])*($L487=Table_dim_price_recipe[Category])*($D487=Table_dim_price_recipe[Item Description]) * (G$6=Table_dim_price_recipe[Type])*(Table_dim_price_recipe[Retail Price]&lt;&gt;0)*($C487=Table_dim_price_recipe[Subcategory]), 0))*$B487,"")</f>
        <v>0</v>
      </c>
      <c r="H487" s="39" t="str" cm="1">
        <f t="array" ref="H487">IFERROR(INDEX(Table_dim_price_recipe[Retail Price], MATCH(1, ("Calculator"&lt;&gt;Table_dim_price_recipe[Type.display])*($L487=Table_dim_price_recipe[Category])*($D487=Table_dim_price_recipe[Item Description]) * (H$6=Table_dim_price_recipe[Type])*(Table_dim_price_recipe[Retail Price]&lt;&gt;0)*($C487=Table_dim_price_recipe[Subcategory]), 0))*$B487,"")</f>
        <v/>
      </c>
      <c r="I487" s="39" t="str" cm="1">
        <f t="array" ref="I487">IFERROR(INDEX(Table_dim_price_recipe[Retail Price], MATCH(1, ("Calculator"&lt;&gt;Table_dim_price_recipe[Type.display])*($L487=Table_dim_price_recipe[Category])*($D487=Table_dim_price_recipe[Item Description]) * (I$6=Table_dim_price_recipe[Type])*(Table_dim_price_recipe[Retail Price]&lt;&gt;0)*($C487=Table_dim_price_recipe[Subcategory]), 0))*$B487,"")</f>
        <v/>
      </c>
      <c r="J487" s="39" t="str" cm="1">
        <f t="array" ref="J487">IFERROR(INDEX(Table_dim_price_recipe[Retail Price], MATCH(1, ("Calculator"&lt;&gt;Table_dim_price_recipe[Type.display])*($L487=Table_dim_price_recipe[Category])*($D487=Table_dim_price_recipe[Item Description]) * (J$6=Table_dim_price_recipe[Type])*(Table_dim_price_recipe[Retail Price]&lt;&gt;0)*($C487=Table_dim_price_recipe[Subcategory]), 0))*$B487,"")</f>
        <v/>
      </c>
      <c r="K487" s="39" t="str" cm="1">
        <f t="array" ref="K487">IFERROR(INDEX(Table_dim_price_recipe[Retail Price], MATCH(1, ("Calculator"&lt;&gt;Table_dim_price_recipe[Type.display])*($L487=Table_dim_price_recipe[Category])*($D487=Table_dim_price_recipe[Item Description]) * (K$6=Table_dim_price_recipe[Type])*(Table_dim_price_recipe[Retail Price]&lt;&gt;0)*($C487=Table_dim_price_recipe[Subcategory]), 0))*$B487,"")</f>
        <v/>
      </c>
      <c r="L487" s="39" t="str" cm="1">
        <f t="array" ref="L487">IF($A487&lt;&gt;"", $A487, LOOKUP(2, 1/((A$7:INDEX(A:A, ROW()))&lt;&gt;""), A$7:INDEX(A:A, ROW())))</f>
        <v>ROOFING PRODUCTS</v>
      </c>
      <c r="M487" s="14"/>
    </row>
    <row r="488" spans="1:13">
      <c r="A488" s="263"/>
      <c r="B488" s="263"/>
      <c r="C488" s="263" t="s">
        <v>607</v>
      </c>
      <c r="D488" s="263" t="s">
        <v>608</v>
      </c>
      <c r="E488" s="263"/>
      <c r="F488" s="263"/>
      <c r="G488" s="39" t="str" cm="1">
        <f t="array" ref="G488">IFERROR(INDEX(Table_dim_price_recipe[Retail Price], MATCH(1, ("Calculator"&lt;&gt;Table_dim_price_recipe[Type.display])*($L488=Table_dim_price_recipe[Category])*($D488=Table_dim_price_recipe[Item Description]) * (G$6=Table_dim_price_recipe[Type])*(Table_dim_price_recipe[Retail Price]&lt;&gt;0)*($C488=Table_dim_price_recipe[Subcategory]), 0))*$B488,"")</f>
        <v/>
      </c>
      <c r="H488" s="39" t="str" cm="1">
        <f t="array" ref="H488">IFERROR(INDEX(Table_dim_price_recipe[Retail Price], MATCH(1, ("Calculator"&lt;&gt;Table_dim_price_recipe[Type.display])*($L488=Table_dim_price_recipe[Category])*($D488=Table_dim_price_recipe[Item Description]) * (H$6=Table_dim_price_recipe[Type])*(Table_dim_price_recipe[Retail Price]&lt;&gt;0)*($C488=Table_dim_price_recipe[Subcategory]), 0))*$B488,"")</f>
        <v/>
      </c>
      <c r="I488" s="39" t="str" cm="1">
        <f t="array" ref="I488">IFERROR(INDEX(Table_dim_price_recipe[Retail Price], MATCH(1, ("Calculator"&lt;&gt;Table_dim_price_recipe[Type.display])*($L488=Table_dim_price_recipe[Category])*($D488=Table_dim_price_recipe[Item Description]) * (I$6=Table_dim_price_recipe[Type])*(Table_dim_price_recipe[Retail Price]&lt;&gt;0)*($C488=Table_dim_price_recipe[Subcategory]), 0))*$B488,"")</f>
        <v/>
      </c>
      <c r="J488" s="39" t="str" cm="1">
        <f t="array" ref="J488">IFERROR(INDEX(Table_dim_price_recipe[Retail Price], MATCH(1, ("Calculator"&lt;&gt;Table_dim_price_recipe[Type.display])*($L488=Table_dim_price_recipe[Category])*($D488=Table_dim_price_recipe[Item Description]) * (J$6=Table_dim_price_recipe[Type])*(Table_dim_price_recipe[Retail Price]&lt;&gt;0)*($C488=Table_dim_price_recipe[Subcategory]), 0))*$B488,"")</f>
        <v/>
      </c>
      <c r="K488" s="39" t="str" cm="1">
        <f t="array" ref="K488">IFERROR(INDEX(Table_dim_price_recipe[Retail Price], MATCH(1, ("Calculator"&lt;&gt;Table_dim_price_recipe[Type.display])*($L488=Table_dim_price_recipe[Category])*($D488=Table_dim_price_recipe[Item Description]) * (K$6=Table_dim_price_recipe[Type])*(Table_dim_price_recipe[Retail Price]&lt;&gt;0)*($C488=Table_dim_price_recipe[Subcategory]), 0))*$B488,"")</f>
        <v/>
      </c>
      <c r="L488" s="39" t="str" cm="1">
        <f t="array" ref="L488">IF($A488&lt;&gt;"", $A488, LOOKUP(2, 1/((A$7:INDEX(A:A, ROW()))&lt;&gt;""), A$7:INDEX(A:A, ROW())))</f>
        <v>ROOFING PRODUCTS</v>
      </c>
      <c r="M488" s="14"/>
    </row>
    <row r="489" spans="1:13">
      <c r="A489" s="263"/>
      <c r="B489" s="263"/>
      <c r="C489" s="263" t="s">
        <v>607</v>
      </c>
      <c r="D489" s="263" t="s">
        <v>614</v>
      </c>
      <c r="E489" s="263"/>
      <c r="F489" s="263"/>
      <c r="G489" s="39" cm="1">
        <f t="array" ref="G489">IFERROR(INDEX(Table_dim_price_recipe[Retail Price], MATCH(1, ("Calculator"&lt;&gt;Table_dim_price_recipe[Type.display])*($L489=Table_dim_price_recipe[Category])*($D489=Table_dim_price_recipe[Item Description]) * (G$6=Table_dim_price_recipe[Type])*(Table_dim_price_recipe[Retail Price]&lt;&gt;0)*($C489=Table_dim_price_recipe[Subcategory]), 0))*$B489,"")</f>
        <v>0</v>
      </c>
      <c r="H489" s="39" t="str" cm="1">
        <f t="array" ref="H489">IFERROR(INDEX(Table_dim_price_recipe[Retail Price], MATCH(1, ("Calculator"&lt;&gt;Table_dim_price_recipe[Type.display])*($L489=Table_dim_price_recipe[Category])*($D489=Table_dim_price_recipe[Item Description]) * (H$6=Table_dim_price_recipe[Type])*(Table_dim_price_recipe[Retail Price]&lt;&gt;0)*($C489=Table_dim_price_recipe[Subcategory]), 0))*$B489,"")</f>
        <v/>
      </c>
      <c r="I489" s="39" t="str" cm="1">
        <f t="array" ref="I489">IFERROR(INDEX(Table_dim_price_recipe[Retail Price], MATCH(1, ("Calculator"&lt;&gt;Table_dim_price_recipe[Type.display])*($L489=Table_dim_price_recipe[Category])*($D489=Table_dim_price_recipe[Item Description]) * (I$6=Table_dim_price_recipe[Type])*(Table_dim_price_recipe[Retail Price]&lt;&gt;0)*($C489=Table_dim_price_recipe[Subcategory]), 0))*$B489,"")</f>
        <v/>
      </c>
      <c r="J489" s="39" t="str" cm="1">
        <f t="array" ref="J489">IFERROR(INDEX(Table_dim_price_recipe[Retail Price], MATCH(1, ("Calculator"&lt;&gt;Table_dim_price_recipe[Type.display])*($L489=Table_dim_price_recipe[Category])*($D489=Table_dim_price_recipe[Item Description]) * (J$6=Table_dim_price_recipe[Type])*(Table_dim_price_recipe[Retail Price]&lt;&gt;0)*($C489=Table_dim_price_recipe[Subcategory]), 0))*$B489,"")</f>
        <v/>
      </c>
      <c r="K489" s="39" t="str" cm="1">
        <f t="array" ref="K489">IFERROR(INDEX(Table_dim_price_recipe[Retail Price], MATCH(1, ("Calculator"&lt;&gt;Table_dim_price_recipe[Type.display])*($L489=Table_dim_price_recipe[Category])*($D489=Table_dim_price_recipe[Item Description]) * (K$6=Table_dim_price_recipe[Type])*(Table_dim_price_recipe[Retail Price]&lt;&gt;0)*($C489=Table_dim_price_recipe[Subcategory]), 0))*$B489,"")</f>
        <v/>
      </c>
      <c r="L489" s="39" t="str" cm="1">
        <f t="array" ref="L489">IF($A489&lt;&gt;"", $A489, LOOKUP(2, 1/((A$7:INDEX(A:A, ROW()))&lt;&gt;""), A$7:INDEX(A:A, ROW())))</f>
        <v>ROOFING PRODUCTS</v>
      </c>
      <c r="M489" s="14"/>
    </row>
    <row r="490" spans="1:13">
      <c r="A490" s="263"/>
      <c r="B490" s="263"/>
      <c r="C490" s="263" t="s">
        <v>607</v>
      </c>
      <c r="D490" s="263" t="s">
        <v>613</v>
      </c>
      <c r="E490" s="263"/>
      <c r="F490" s="263"/>
      <c r="G490" s="39" cm="1">
        <f t="array" ref="G490">IFERROR(INDEX(Table_dim_price_recipe[Retail Price], MATCH(1, ("Calculator"&lt;&gt;Table_dim_price_recipe[Type.display])*($L490=Table_dim_price_recipe[Category])*($D490=Table_dim_price_recipe[Item Description]) * (G$6=Table_dim_price_recipe[Type])*(Table_dim_price_recipe[Retail Price]&lt;&gt;0)*($C490=Table_dim_price_recipe[Subcategory]), 0))*$B490,"")</f>
        <v>0</v>
      </c>
      <c r="H490" s="39" t="str" cm="1">
        <f t="array" ref="H490">IFERROR(INDEX(Table_dim_price_recipe[Retail Price], MATCH(1, ("Calculator"&lt;&gt;Table_dim_price_recipe[Type.display])*($L490=Table_dim_price_recipe[Category])*($D490=Table_dim_price_recipe[Item Description]) * (H$6=Table_dim_price_recipe[Type])*(Table_dim_price_recipe[Retail Price]&lt;&gt;0)*($C490=Table_dim_price_recipe[Subcategory]), 0))*$B490,"")</f>
        <v/>
      </c>
      <c r="I490" s="39" t="str" cm="1">
        <f t="array" ref="I490">IFERROR(INDEX(Table_dim_price_recipe[Retail Price], MATCH(1, ("Calculator"&lt;&gt;Table_dim_price_recipe[Type.display])*($L490=Table_dim_price_recipe[Category])*($D490=Table_dim_price_recipe[Item Description]) * (I$6=Table_dim_price_recipe[Type])*(Table_dim_price_recipe[Retail Price]&lt;&gt;0)*($C490=Table_dim_price_recipe[Subcategory]), 0))*$B490,"")</f>
        <v/>
      </c>
      <c r="J490" s="39" t="str" cm="1">
        <f t="array" ref="J490">IFERROR(INDEX(Table_dim_price_recipe[Retail Price], MATCH(1, ("Calculator"&lt;&gt;Table_dim_price_recipe[Type.display])*($L490=Table_dim_price_recipe[Category])*($D490=Table_dim_price_recipe[Item Description]) * (J$6=Table_dim_price_recipe[Type])*(Table_dim_price_recipe[Retail Price]&lt;&gt;0)*($C490=Table_dim_price_recipe[Subcategory]), 0))*$B490,"")</f>
        <v/>
      </c>
      <c r="K490" s="39" t="str" cm="1">
        <f t="array" ref="K490">IFERROR(INDEX(Table_dim_price_recipe[Retail Price], MATCH(1, ("Calculator"&lt;&gt;Table_dim_price_recipe[Type.display])*($L490=Table_dim_price_recipe[Category])*($D490=Table_dim_price_recipe[Item Description]) * (K$6=Table_dim_price_recipe[Type])*(Table_dim_price_recipe[Retail Price]&lt;&gt;0)*($C490=Table_dim_price_recipe[Subcategory]), 0))*$B490,"")</f>
        <v/>
      </c>
      <c r="L490" s="39" t="str" cm="1">
        <f t="array" ref="L490">IF($A490&lt;&gt;"", $A490, LOOKUP(2, 1/((A$7:INDEX(A:A, ROW()))&lt;&gt;""), A$7:INDEX(A:A, ROW())))</f>
        <v>ROOFING PRODUCTS</v>
      </c>
      <c r="M490" s="14"/>
    </row>
    <row r="491" spans="1:13">
      <c r="A491" s="263"/>
      <c r="B491" s="263"/>
      <c r="C491" s="263" t="s">
        <v>607</v>
      </c>
      <c r="D491" s="263"/>
      <c r="E491" s="263"/>
      <c r="F491" s="263"/>
      <c r="G491" s="39" t="str" cm="1">
        <f t="array" ref="G491">IFERROR(INDEX(Table_dim_price_recipe[Retail Price], MATCH(1, ("Calculator"&lt;&gt;Table_dim_price_recipe[Type.display])*($L491=Table_dim_price_recipe[Category])*($D491=Table_dim_price_recipe[Item Description]) * (G$6=Table_dim_price_recipe[Type])*(Table_dim_price_recipe[Retail Price]&lt;&gt;0)*($C491=Table_dim_price_recipe[Subcategory]), 0))*$B491,"")</f>
        <v/>
      </c>
      <c r="H491" s="39" t="str" cm="1">
        <f t="array" ref="H491">IFERROR(INDEX(Table_dim_price_recipe[Retail Price], MATCH(1, ("Calculator"&lt;&gt;Table_dim_price_recipe[Type.display])*($L491=Table_dim_price_recipe[Category])*($D491=Table_dim_price_recipe[Item Description]) * (H$6=Table_dim_price_recipe[Type])*(Table_dim_price_recipe[Retail Price]&lt;&gt;0)*($C491=Table_dim_price_recipe[Subcategory]), 0))*$B491,"")</f>
        <v/>
      </c>
      <c r="I491" s="39" t="str" cm="1">
        <f t="array" ref="I491">IFERROR(INDEX(Table_dim_price_recipe[Retail Price], MATCH(1, ("Calculator"&lt;&gt;Table_dim_price_recipe[Type.display])*($L491=Table_dim_price_recipe[Category])*($D491=Table_dim_price_recipe[Item Description]) * (I$6=Table_dim_price_recipe[Type])*(Table_dim_price_recipe[Retail Price]&lt;&gt;0)*($C491=Table_dim_price_recipe[Subcategory]), 0))*$B491,"")</f>
        <v/>
      </c>
      <c r="J491" s="39" t="str" cm="1">
        <f t="array" ref="J491">IFERROR(INDEX(Table_dim_price_recipe[Retail Price], MATCH(1, ("Calculator"&lt;&gt;Table_dim_price_recipe[Type.display])*($L491=Table_dim_price_recipe[Category])*($D491=Table_dim_price_recipe[Item Description]) * (J$6=Table_dim_price_recipe[Type])*(Table_dim_price_recipe[Retail Price]&lt;&gt;0)*($C491=Table_dim_price_recipe[Subcategory]), 0))*$B491,"")</f>
        <v/>
      </c>
      <c r="K491" s="39" t="str" cm="1">
        <f t="array" ref="K491">IFERROR(INDEX(Table_dim_price_recipe[Retail Price], MATCH(1, ("Calculator"&lt;&gt;Table_dim_price_recipe[Type.display])*($L491=Table_dim_price_recipe[Category])*($D491=Table_dim_price_recipe[Item Description]) * (K$6=Table_dim_price_recipe[Type])*(Table_dim_price_recipe[Retail Price]&lt;&gt;0)*($C491=Table_dim_price_recipe[Subcategory]), 0))*$B491,"")</f>
        <v/>
      </c>
      <c r="L491" s="39" t="str" cm="1">
        <f t="array" ref="L491">IF($A491&lt;&gt;"", $A491, LOOKUP(2, 1/((A$7:INDEX(A:A, ROW()))&lt;&gt;""), A$7:INDEX(A:A, ROW())))</f>
        <v>ROOFING PRODUCTS</v>
      </c>
      <c r="M491" s="14"/>
    </row>
    <row r="492" spans="1:13">
      <c r="A492" s="263"/>
      <c r="B492" s="263"/>
      <c r="C492" s="263" t="s">
        <v>607</v>
      </c>
      <c r="D492" s="263"/>
      <c r="E492" s="263"/>
      <c r="F492" s="263"/>
      <c r="G492" s="39" t="str" cm="1">
        <f t="array" ref="G492">IFERROR(INDEX(Table_dim_price_recipe[Retail Price], MATCH(1, ("Calculator"&lt;&gt;Table_dim_price_recipe[Type.display])*($L492=Table_dim_price_recipe[Category])*($D492=Table_dim_price_recipe[Item Description]) * (G$6=Table_dim_price_recipe[Type])*(Table_dim_price_recipe[Retail Price]&lt;&gt;0)*($C492=Table_dim_price_recipe[Subcategory]), 0))*$B492,"")</f>
        <v/>
      </c>
      <c r="H492" s="39" t="str" cm="1">
        <f t="array" ref="H492">IFERROR(INDEX(Table_dim_price_recipe[Retail Price], MATCH(1, ("Calculator"&lt;&gt;Table_dim_price_recipe[Type.display])*($L492=Table_dim_price_recipe[Category])*($D492=Table_dim_price_recipe[Item Description]) * (H$6=Table_dim_price_recipe[Type])*(Table_dim_price_recipe[Retail Price]&lt;&gt;0)*($C492=Table_dim_price_recipe[Subcategory]), 0))*$B492,"")</f>
        <v/>
      </c>
      <c r="I492" s="39" t="str" cm="1">
        <f t="array" ref="I492">IFERROR(INDEX(Table_dim_price_recipe[Retail Price], MATCH(1, ("Calculator"&lt;&gt;Table_dim_price_recipe[Type.display])*($L492=Table_dim_price_recipe[Category])*($D492=Table_dim_price_recipe[Item Description]) * (I$6=Table_dim_price_recipe[Type])*(Table_dim_price_recipe[Retail Price]&lt;&gt;0)*($C492=Table_dim_price_recipe[Subcategory]), 0))*$B492,"")</f>
        <v/>
      </c>
      <c r="J492" s="39" t="str" cm="1">
        <f t="array" ref="J492">IFERROR(INDEX(Table_dim_price_recipe[Retail Price], MATCH(1, ("Calculator"&lt;&gt;Table_dim_price_recipe[Type.display])*($L492=Table_dim_price_recipe[Category])*($D492=Table_dim_price_recipe[Item Description]) * (J$6=Table_dim_price_recipe[Type])*(Table_dim_price_recipe[Retail Price]&lt;&gt;0)*($C492=Table_dim_price_recipe[Subcategory]), 0))*$B492,"")</f>
        <v/>
      </c>
      <c r="K492" s="39" t="str" cm="1">
        <f t="array" ref="K492">IFERROR(INDEX(Table_dim_price_recipe[Retail Price], MATCH(1, ("Calculator"&lt;&gt;Table_dim_price_recipe[Type.display])*($L492=Table_dim_price_recipe[Category])*($D492=Table_dim_price_recipe[Item Description]) * (K$6=Table_dim_price_recipe[Type])*(Table_dim_price_recipe[Retail Price]&lt;&gt;0)*($C492=Table_dim_price_recipe[Subcategory]), 0))*$B492,"")</f>
        <v/>
      </c>
      <c r="L492" s="39" t="str" cm="1">
        <f t="array" ref="L492">IF($A492&lt;&gt;"", $A492, LOOKUP(2, 1/((A$7:INDEX(A:A, ROW()))&lt;&gt;""), A$7:INDEX(A:A, ROW())))</f>
        <v>ROOFING PRODUCTS</v>
      </c>
      <c r="M492" s="14"/>
    </row>
    <row r="493" spans="1:13">
      <c r="A493" s="263"/>
      <c r="B493" s="263"/>
      <c r="C493" s="263" t="s">
        <v>60</v>
      </c>
      <c r="D493" s="263" t="s">
        <v>61</v>
      </c>
      <c r="E493" s="263"/>
      <c r="F493" s="263"/>
      <c r="G493" s="39" cm="1">
        <f t="array" ref="G493">IFERROR(INDEX(Table_dim_price_recipe[Retail Price], MATCH(1, ("Calculator"&lt;&gt;Table_dim_price_recipe[Type.display])*($L493=Table_dim_price_recipe[Category])*($D493=Table_dim_price_recipe[Item Description]) * (G$6=Table_dim_price_recipe[Type])*(Table_dim_price_recipe[Retail Price]&lt;&gt;0)*($C493=Table_dim_price_recipe[Subcategory]), 0))*$B493,"")</f>
        <v>0</v>
      </c>
      <c r="H493" s="39" t="str" cm="1">
        <f t="array" ref="H493">IFERROR(INDEX(Table_dim_price_recipe[Retail Price], MATCH(1, ("Calculator"&lt;&gt;Table_dim_price_recipe[Type.display])*($L493=Table_dim_price_recipe[Category])*($D493=Table_dim_price_recipe[Item Description]) * (H$6=Table_dim_price_recipe[Type])*(Table_dim_price_recipe[Retail Price]&lt;&gt;0)*($C493=Table_dim_price_recipe[Subcategory]), 0))*$B493,"")</f>
        <v/>
      </c>
      <c r="I493" s="39" t="str" cm="1">
        <f t="array" ref="I493">IFERROR(INDEX(Table_dim_price_recipe[Retail Price], MATCH(1, ("Calculator"&lt;&gt;Table_dim_price_recipe[Type.display])*($L493=Table_dim_price_recipe[Category])*($D493=Table_dim_price_recipe[Item Description]) * (I$6=Table_dim_price_recipe[Type])*(Table_dim_price_recipe[Retail Price]&lt;&gt;0)*($C493=Table_dim_price_recipe[Subcategory]), 0))*$B493,"")</f>
        <v/>
      </c>
      <c r="J493" s="39" t="str" cm="1">
        <f t="array" ref="J493">IFERROR(INDEX(Table_dim_price_recipe[Retail Price], MATCH(1, ("Calculator"&lt;&gt;Table_dim_price_recipe[Type.display])*($L493=Table_dim_price_recipe[Category])*($D493=Table_dim_price_recipe[Item Description]) * (J$6=Table_dim_price_recipe[Type])*(Table_dim_price_recipe[Retail Price]&lt;&gt;0)*($C493=Table_dim_price_recipe[Subcategory]), 0))*$B493,"")</f>
        <v/>
      </c>
      <c r="K493" s="39" t="str" cm="1">
        <f t="array" ref="K493">IFERROR(INDEX(Table_dim_price_recipe[Retail Price], MATCH(1, ("Calculator"&lt;&gt;Table_dim_price_recipe[Type.display])*($L493=Table_dim_price_recipe[Category])*($D493=Table_dim_price_recipe[Item Description]) * (K$6=Table_dim_price_recipe[Type])*(Table_dim_price_recipe[Retail Price]&lt;&gt;0)*($C493=Table_dim_price_recipe[Subcategory]), 0))*$B493,"")</f>
        <v/>
      </c>
      <c r="L493" s="39" t="str" cm="1">
        <f t="array" ref="L493">IF($A493&lt;&gt;"", $A493, LOOKUP(2, 1/((A$7:INDEX(A:A, ROW()))&lt;&gt;""), A$7:INDEX(A:A, ROW())))</f>
        <v>ROOFING PRODUCTS</v>
      </c>
      <c r="M493" s="14"/>
    </row>
    <row r="494" spans="1:13">
      <c r="A494" s="263"/>
      <c r="B494" s="263"/>
      <c r="C494" s="263" t="s">
        <v>60</v>
      </c>
      <c r="D494" s="263" t="s">
        <v>569</v>
      </c>
      <c r="E494" s="263"/>
      <c r="F494" s="263"/>
      <c r="G494" s="39" cm="1">
        <f t="array" ref="G494">IFERROR(INDEX(Table_dim_price_recipe[Retail Price], MATCH(1, ("Calculator"&lt;&gt;Table_dim_price_recipe[Type.display])*($L494=Table_dim_price_recipe[Category])*($D494=Table_dim_price_recipe[Item Description]) * (G$6=Table_dim_price_recipe[Type])*(Table_dim_price_recipe[Retail Price]&lt;&gt;0)*($C494=Table_dim_price_recipe[Subcategory]), 0))*$B494,"")</f>
        <v>0</v>
      </c>
      <c r="H494" s="39" t="str" cm="1">
        <f t="array" ref="H494">IFERROR(INDEX(Table_dim_price_recipe[Retail Price], MATCH(1, ("Calculator"&lt;&gt;Table_dim_price_recipe[Type.display])*($L494=Table_dim_price_recipe[Category])*($D494=Table_dim_price_recipe[Item Description]) * (H$6=Table_dim_price_recipe[Type])*(Table_dim_price_recipe[Retail Price]&lt;&gt;0)*($C494=Table_dim_price_recipe[Subcategory]), 0))*$B494,"")</f>
        <v/>
      </c>
      <c r="I494" s="39" t="str" cm="1">
        <f t="array" ref="I494">IFERROR(INDEX(Table_dim_price_recipe[Retail Price], MATCH(1, ("Calculator"&lt;&gt;Table_dim_price_recipe[Type.display])*($L494=Table_dim_price_recipe[Category])*($D494=Table_dim_price_recipe[Item Description]) * (I$6=Table_dim_price_recipe[Type])*(Table_dim_price_recipe[Retail Price]&lt;&gt;0)*($C494=Table_dim_price_recipe[Subcategory]), 0))*$B494,"")</f>
        <v/>
      </c>
      <c r="J494" s="39" t="str" cm="1">
        <f t="array" ref="J494">IFERROR(INDEX(Table_dim_price_recipe[Retail Price], MATCH(1, ("Calculator"&lt;&gt;Table_dim_price_recipe[Type.display])*($L494=Table_dim_price_recipe[Category])*($D494=Table_dim_price_recipe[Item Description]) * (J$6=Table_dim_price_recipe[Type])*(Table_dim_price_recipe[Retail Price]&lt;&gt;0)*($C494=Table_dim_price_recipe[Subcategory]), 0))*$B494,"")</f>
        <v/>
      </c>
      <c r="K494" s="39" t="str" cm="1">
        <f t="array" ref="K494">IFERROR(INDEX(Table_dim_price_recipe[Retail Price], MATCH(1, ("Calculator"&lt;&gt;Table_dim_price_recipe[Type.display])*($L494=Table_dim_price_recipe[Category])*($D494=Table_dim_price_recipe[Item Description]) * (K$6=Table_dim_price_recipe[Type])*(Table_dim_price_recipe[Retail Price]&lt;&gt;0)*($C494=Table_dim_price_recipe[Subcategory]), 0))*$B494,"")</f>
        <v/>
      </c>
      <c r="L494" s="39" t="str" cm="1">
        <f t="array" ref="L494">IF($A494&lt;&gt;"", $A494, LOOKUP(2, 1/((A$7:INDEX(A:A, ROW()))&lt;&gt;""), A$7:INDEX(A:A, ROW())))</f>
        <v>ROOFING PRODUCTS</v>
      </c>
      <c r="M494" s="14"/>
    </row>
    <row r="495" spans="1:13">
      <c r="A495" s="263"/>
      <c r="B495" s="263"/>
      <c r="C495" s="263" t="s">
        <v>60</v>
      </c>
      <c r="D495" s="263" t="s">
        <v>594</v>
      </c>
      <c r="E495" s="263"/>
      <c r="F495" s="263"/>
      <c r="G495" s="39" t="str" cm="1">
        <f t="array" ref="G495">IFERROR(INDEX(Table_dim_price_recipe[Retail Price], MATCH(1, ("Calculator"&lt;&gt;Table_dim_price_recipe[Type.display])*($L495=Table_dim_price_recipe[Category])*($D495=Table_dim_price_recipe[Item Description]) * (G$6=Table_dim_price_recipe[Type])*(Table_dim_price_recipe[Retail Price]&lt;&gt;0)*($C495=Table_dim_price_recipe[Subcategory]), 0))*$B495,"")</f>
        <v/>
      </c>
      <c r="H495" s="39" t="str" cm="1">
        <f t="array" ref="H495">IFERROR(INDEX(Table_dim_price_recipe[Retail Price], MATCH(1, ("Calculator"&lt;&gt;Table_dim_price_recipe[Type.display])*($L495=Table_dim_price_recipe[Category])*($D495=Table_dim_price_recipe[Item Description]) * (H$6=Table_dim_price_recipe[Type])*(Table_dim_price_recipe[Retail Price]&lt;&gt;0)*($C495=Table_dim_price_recipe[Subcategory]), 0))*$B495,"")</f>
        <v/>
      </c>
      <c r="I495" s="39" t="str" cm="1">
        <f t="array" ref="I495">IFERROR(INDEX(Table_dim_price_recipe[Retail Price], MATCH(1, ("Calculator"&lt;&gt;Table_dim_price_recipe[Type.display])*($L495=Table_dim_price_recipe[Category])*($D495=Table_dim_price_recipe[Item Description]) * (I$6=Table_dim_price_recipe[Type])*(Table_dim_price_recipe[Retail Price]&lt;&gt;0)*($C495=Table_dim_price_recipe[Subcategory]), 0))*$B495,"")</f>
        <v/>
      </c>
      <c r="J495" s="39" t="str" cm="1">
        <f t="array" ref="J495">IFERROR(INDEX(Table_dim_price_recipe[Retail Price], MATCH(1, ("Calculator"&lt;&gt;Table_dim_price_recipe[Type.display])*($L495=Table_dim_price_recipe[Category])*($D495=Table_dim_price_recipe[Item Description]) * (J$6=Table_dim_price_recipe[Type])*(Table_dim_price_recipe[Retail Price]&lt;&gt;0)*($C495=Table_dim_price_recipe[Subcategory]), 0))*$B495,"")</f>
        <v/>
      </c>
      <c r="K495" s="39" t="str" cm="1">
        <f t="array" ref="K495">IFERROR(INDEX(Table_dim_price_recipe[Retail Price], MATCH(1, ("Calculator"&lt;&gt;Table_dim_price_recipe[Type.display])*($L495=Table_dim_price_recipe[Category])*($D495=Table_dim_price_recipe[Item Description]) * (K$6=Table_dim_price_recipe[Type])*(Table_dim_price_recipe[Retail Price]&lt;&gt;0)*($C495=Table_dim_price_recipe[Subcategory]), 0))*$B495,"")</f>
        <v/>
      </c>
      <c r="L495" s="39" t="str" cm="1">
        <f t="array" ref="L495">IF($A495&lt;&gt;"", $A495, LOOKUP(2, 1/((A$7:INDEX(A:A, ROW()))&lt;&gt;""), A$7:INDEX(A:A, ROW())))</f>
        <v>ROOFING PRODUCTS</v>
      </c>
      <c r="M495" s="14"/>
    </row>
    <row r="496" spans="1:13">
      <c r="A496" s="263"/>
      <c r="B496" s="263"/>
      <c r="C496" s="263" t="s">
        <v>60</v>
      </c>
      <c r="D496" s="263" t="s">
        <v>595</v>
      </c>
      <c r="E496" s="263"/>
      <c r="F496" s="263"/>
      <c r="G496" s="39" cm="1">
        <f t="array" ref="G496">IFERROR(INDEX(Table_dim_price_recipe[Retail Price], MATCH(1, ("Calculator"&lt;&gt;Table_dim_price_recipe[Type.display])*($L496=Table_dim_price_recipe[Category])*($D496=Table_dim_price_recipe[Item Description]) * (G$6=Table_dim_price_recipe[Type])*(Table_dim_price_recipe[Retail Price]&lt;&gt;0)*($C496=Table_dim_price_recipe[Subcategory]), 0))*$B496,"")</f>
        <v>0</v>
      </c>
      <c r="H496" s="39" t="str" cm="1">
        <f t="array" ref="H496">IFERROR(INDEX(Table_dim_price_recipe[Retail Price], MATCH(1, ("Calculator"&lt;&gt;Table_dim_price_recipe[Type.display])*($L496=Table_dim_price_recipe[Category])*($D496=Table_dim_price_recipe[Item Description]) * (H$6=Table_dim_price_recipe[Type])*(Table_dim_price_recipe[Retail Price]&lt;&gt;0)*($C496=Table_dim_price_recipe[Subcategory]), 0))*$B496,"")</f>
        <v/>
      </c>
      <c r="I496" s="39" t="str" cm="1">
        <f t="array" ref="I496">IFERROR(INDEX(Table_dim_price_recipe[Retail Price], MATCH(1, ("Calculator"&lt;&gt;Table_dim_price_recipe[Type.display])*($L496=Table_dim_price_recipe[Category])*($D496=Table_dim_price_recipe[Item Description]) * (I$6=Table_dim_price_recipe[Type])*(Table_dim_price_recipe[Retail Price]&lt;&gt;0)*($C496=Table_dim_price_recipe[Subcategory]), 0))*$B496,"")</f>
        <v/>
      </c>
      <c r="J496" s="39" t="str" cm="1">
        <f t="array" ref="J496">IFERROR(INDEX(Table_dim_price_recipe[Retail Price], MATCH(1, ("Calculator"&lt;&gt;Table_dim_price_recipe[Type.display])*($L496=Table_dim_price_recipe[Category])*($D496=Table_dim_price_recipe[Item Description]) * (J$6=Table_dim_price_recipe[Type])*(Table_dim_price_recipe[Retail Price]&lt;&gt;0)*($C496=Table_dim_price_recipe[Subcategory]), 0))*$B496,"")</f>
        <v/>
      </c>
      <c r="K496" s="39" t="str" cm="1">
        <f t="array" ref="K496">IFERROR(INDEX(Table_dim_price_recipe[Retail Price], MATCH(1, ("Calculator"&lt;&gt;Table_dim_price_recipe[Type.display])*($L496=Table_dim_price_recipe[Category])*($D496=Table_dim_price_recipe[Item Description]) * (K$6=Table_dim_price_recipe[Type])*(Table_dim_price_recipe[Retail Price]&lt;&gt;0)*($C496=Table_dim_price_recipe[Subcategory]), 0))*$B496,"")</f>
        <v/>
      </c>
      <c r="L496" s="39" t="str" cm="1">
        <f t="array" ref="L496">IF($A496&lt;&gt;"", $A496, LOOKUP(2, 1/((A$7:INDEX(A:A, ROW()))&lt;&gt;""), A$7:INDEX(A:A, ROW())))</f>
        <v>ROOFING PRODUCTS</v>
      </c>
      <c r="M496" s="14"/>
    </row>
    <row r="497" spans="1:13">
      <c r="A497" s="263"/>
      <c r="B497" s="263"/>
      <c r="C497" s="263" t="s">
        <v>60</v>
      </c>
      <c r="D497" s="263"/>
      <c r="E497" s="263"/>
      <c r="F497" s="263"/>
      <c r="G497" s="39" t="str" cm="1">
        <f t="array" ref="G497">IFERROR(INDEX(Table_dim_price_recipe[Retail Price], MATCH(1, ("Calculator"&lt;&gt;Table_dim_price_recipe[Type.display])*($L497=Table_dim_price_recipe[Category])*($D497=Table_dim_price_recipe[Item Description]) * (G$6=Table_dim_price_recipe[Type])*(Table_dim_price_recipe[Retail Price]&lt;&gt;0)*($C497=Table_dim_price_recipe[Subcategory]), 0))*$B497,"")</f>
        <v/>
      </c>
      <c r="H497" s="39" t="str" cm="1">
        <f t="array" ref="H497">IFERROR(INDEX(Table_dim_price_recipe[Retail Price], MATCH(1, ("Calculator"&lt;&gt;Table_dim_price_recipe[Type.display])*($L497=Table_dim_price_recipe[Category])*($D497=Table_dim_price_recipe[Item Description]) * (H$6=Table_dim_price_recipe[Type])*(Table_dim_price_recipe[Retail Price]&lt;&gt;0)*($C497=Table_dim_price_recipe[Subcategory]), 0))*$B497,"")</f>
        <v/>
      </c>
      <c r="I497" s="39" t="str" cm="1">
        <f t="array" ref="I497">IFERROR(INDEX(Table_dim_price_recipe[Retail Price], MATCH(1, ("Calculator"&lt;&gt;Table_dim_price_recipe[Type.display])*($L497=Table_dim_price_recipe[Category])*($D497=Table_dim_price_recipe[Item Description]) * (I$6=Table_dim_price_recipe[Type])*(Table_dim_price_recipe[Retail Price]&lt;&gt;0)*($C497=Table_dim_price_recipe[Subcategory]), 0))*$B497,"")</f>
        <v/>
      </c>
      <c r="J497" s="39" t="str" cm="1">
        <f t="array" ref="J497">IFERROR(INDEX(Table_dim_price_recipe[Retail Price], MATCH(1, ("Calculator"&lt;&gt;Table_dim_price_recipe[Type.display])*($L497=Table_dim_price_recipe[Category])*($D497=Table_dim_price_recipe[Item Description]) * (J$6=Table_dim_price_recipe[Type])*(Table_dim_price_recipe[Retail Price]&lt;&gt;0)*($C497=Table_dim_price_recipe[Subcategory]), 0))*$B497,"")</f>
        <v/>
      </c>
      <c r="K497" s="39" t="str" cm="1">
        <f t="array" ref="K497">IFERROR(INDEX(Table_dim_price_recipe[Retail Price], MATCH(1, ("Calculator"&lt;&gt;Table_dim_price_recipe[Type.display])*($L497=Table_dim_price_recipe[Category])*($D497=Table_dim_price_recipe[Item Description]) * (K$6=Table_dim_price_recipe[Type])*(Table_dim_price_recipe[Retail Price]&lt;&gt;0)*($C497=Table_dim_price_recipe[Subcategory]), 0))*$B497,"")</f>
        <v/>
      </c>
      <c r="L497" s="39" t="str" cm="1">
        <f t="array" ref="L497">IF($A497&lt;&gt;"", $A497, LOOKUP(2, 1/((A$7:INDEX(A:A, ROW()))&lt;&gt;""), A$7:INDEX(A:A, ROW())))</f>
        <v>ROOFING PRODUCTS</v>
      </c>
      <c r="M497" s="14"/>
    </row>
    <row r="498" spans="1:13">
      <c r="A498" s="263"/>
      <c r="B498" s="263"/>
      <c r="C498" s="263" t="s">
        <v>60</v>
      </c>
      <c r="D498" s="263"/>
      <c r="E498" s="263"/>
      <c r="F498" s="263"/>
      <c r="G498" s="39" t="str" cm="1">
        <f t="array" ref="G498">IFERROR(INDEX(Table_dim_price_recipe[Retail Price], MATCH(1, ("Calculator"&lt;&gt;Table_dim_price_recipe[Type.display])*($L498=Table_dim_price_recipe[Category])*($D498=Table_dim_price_recipe[Item Description]) * (G$6=Table_dim_price_recipe[Type])*(Table_dim_price_recipe[Retail Price]&lt;&gt;0)*($C498=Table_dim_price_recipe[Subcategory]), 0))*$B498,"")</f>
        <v/>
      </c>
      <c r="H498" s="39" t="str" cm="1">
        <f t="array" ref="H498">IFERROR(INDEX(Table_dim_price_recipe[Retail Price], MATCH(1, ("Calculator"&lt;&gt;Table_dim_price_recipe[Type.display])*($L498=Table_dim_price_recipe[Category])*($D498=Table_dim_price_recipe[Item Description]) * (H$6=Table_dim_price_recipe[Type])*(Table_dim_price_recipe[Retail Price]&lt;&gt;0)*($C498=Table_dim_price_recipe[Subcategory]), 0))*$B498,"")</f>
        <v/>
      </c>
      <c r="I498" s="39" t="str" cm="1">
        <f t="array" ref="I498">IFERROR(INDEX(Table_dim_price_recipe[Retail Price], MATCH(1, ("Calculator"&lt;&gt;Table_dim_price_recipe[Type.display])*($L498=Table_dim_price_recipe[Category])*($D498=Table_dim_price_recipe[Item Description]) * (I$6=Table_dim_price_recipe[Type])*(Table_dim_price_recipe[Retail Price]&lt;&gt;0)*($C498=Table_dim_price_recipe[Subcategory]), 0))*$B498,"")</f>
        <v/>
      </c>
      <c r="J498" s="39" t="str" cm="1">
        <f t="array" ref="J498">IFERROR(INDEX(Table_dim_price_recipe[Retail Price], MATCH(1, ("Calculator"&lt;&gt;Table_dim_price_recipe[Type.display])*($L498=Table_dim_price_recipe[Category])*($D498=Table_dim_price_recipe[Item Description]) * (J$6=Table_dim_price_recipe[Type])*(Table_dim_price_recipe[Retail Price]&lt;&gt;0)*($C498=Table_dim_price_recipe[Subcategory]), 0))*$B498,"")</f>
        <v/>
      </c>
      <c r="K498" s="39" t="str" cm="1">
        <f t="array" ref="K498">IFERROR(INDEX(Table_dim_price_recipe[Retail Price], MATCH(1, ("Calculator"&lt;&gt;Table_dim_price_recipe[Type.display])*($L498=Table_dim_price_recipe[Category])*($D498=Table_dim_price_recipe[Item Description]) * (K$6=Table_dim_price_recipe[Type])*(Table_dim_price_recipe[Retail Price]&lt;&gt;0)*($C498=Table_dim_price_recipe[Subcategory]), 0))*$B498,"")</f>
        <v/>
      </c>
      <c r="L498" s="39" t="str" cm="1">
        <f t="array" ref="L498">IF($A498&lt;&gt;"", $A498, LOOKUP(2, 1/((A$7:INDEX(A:A, ROW()))&lt;&gt;""), A$7:INDEX(A:A, ROW())))</f>
        <v>ROOFING PRODUCTS</v>
      </c>
      <c r="M498" s="14"/>
    </row>
    <row r="499" spans="1:13">
      <c r="A499" s="263"/>
      <c r="B499" s="263"/>
      <c r="C499" s="263" t="s">
        <v>597</v>
      </c>
      <c r="D499" s="263" t="s">
        <v>602</v>
      </c>
      <c r="E499" s="263"/>
      <c r="F499" s="263"/>
      <c r="G499" s="39" t="str" cm="1">
        <f t="array" ref="G499">IFERROR(INDEX(Table_dim_price_recipe[Retail Price], MATCH(1, ("Calculator"&lt;&gt;Table_dim_price_recipe[Type.display])*($L499=Table_dim_price_recipe[Category])*($D499=Table_dim_price_recipe[Item Description]) * (G$6=Table_dim_price_recipe[Type])*(Table_dim_price_recipe[Retail Price]&lt;&gt;0)*($C499=Table_dim_price_recipe[Subcategory]), 0))*$B499,"")</f>
        <v/>
      </c>
      <c r="H499" s="39" t="str" cm="1">
        <f t="array" ref="H499">IFERROR(INDEX(Table_dim_price_recipe[Retail Price], MATCH(1, ("Calculator"&lt;&gt;Table_dim_price_recipe[Type.display])*($L499=Table_dim_price_recipe[Category])*($D499=Table_dim_price_recipe[Item Description]) * (H$6=Table_dim_price_recipe[Type])*(Table_dim_price_recipe[Retail Price]&lt;&gt;0)*($C499=Table_dim_price_recipe[Subcategory]), 0))*$B499,"")</f>
        <v/>
      </c>
      <c r="I499" s="39" t="str" cm="1">
        <f t="array" ref="I499">IFERROR(INDEX(Table_dim_price_recipe[Retail Price], MATCH(1, ("Calculator"&lt;&gt;Table_dim_price_recipe[Type.display])*($L499=Table_dim_price_recipe[Category])*($D499=Table_dim_price_recipe[Item Description]) * (I$6=Table_dim_price_recipe[Type])*(Table_dim_price_recipe[Retail Price]&lt;&gt;0)*($C499=Table_dim_price_recipe[Subcategory]), 0))*$B499,"")</f>
        <v/>
      </c>
      <c r="J499" s="39" t="str" cm="1">
        <f t="array" ref="J499">IFERROR(INDEX(Table_dim_price_recipe[Retail Price], MATCH(1, ("Calculator"&lt;&gt;Table_dim_price_recipe[Type.display])*($L499=Table_dim_price_recipe[Category])*($D499=Table_dim_price_recipe[Item Description]) * (J$6=Table_dim_price_recipe[Type])*(Table_dim_price_recipe[Retail Price]&lt;&gt;0)*($C499=Table_dim_price_recipe[Subcategory]), 0))*$B499,"")</f>
        <v/>
      </c>
      <c r="K499" s="39" t="str" cm="1">
        <f t="array" ref="K499">IFERROR(INDEX(Table_dim_price_recipe[Retail Price], MATCH(1, ("Calculator"&lt;&gt;Table_dim_price_recipe[Type.display])*($L499=Table_dim_price_recipe[Category])*($D499=Table_dim_price_recipe[Item Description]) * (K$6=Table_dim_price_recipe[Type])*(Table_dim_price_recipe[Retail Price]&lt;&gt;0)*($C499=Table_dim_price_recipe[Subcategory]), 0))*$B499,"")</f>
        <v/>
      </c>
      <c r="L499" s="39" t="str" cm="1">
        <f t="array" ref="L499">IF($A499&lt;&gt;"", $A499, LOOKUP(2, 1/((A$7:INDEX(A:A, ROW()))&lt;&gt;""), A$7:INDEX(A:A, ROW())))</f>
        <v>ROOFING PRODUCTS</v>
      </c>
      <c r="M499" s="14"/>
    </row>
    <row r="500" spans="1:13">
      <c r="A500" s="263"/>
      <c r="B500" s="263"/>
      <c r="C500" s="263" t="s">
        <v>597</v>
      </c>
      <c r="D500" s="263" t="s">
        <v>600</v>
      </c>
      <c r="E500" s="263"/>
      <c r="F500" s="263"/>
      <c r="G500" s="39" cm="1">
        <f t="array" ref="G500">IFERROR(INDEX(Table_dim_price_recipe[Retail Price], MATCH(1, ("Calculator"&lt;&gt;Table_dim_price_recipe[Type.display])*($L500=Table_dim_price_recipe[Category])*($D500=Table_dim_price_recipe[Item Description]) * (G$6=Table_dim_price_recipe[Type])*(Table_dim_price_recipe[Retail Price]&lt;&gt;0)*($C500=Table_dim_price_recipe[Subcategory]), 0))*$B500,"")</f>
        <v>0</v>
      </c>
      <c r="H500" s="39" t="str" cm="1">
        <f t="array" ref="H500">IFERROR(INDEX(Table_dim_price_recipe[Retail Price], MATCH(1, ("Calculator"&lt;&gt;Table_dim_price_recipe[Type.display])*($L500=Table_dim_price_recipe[Category])*($D500=Table_dim_price_recipe[Item Description]) * (H$6=Table_dim_price_recipe[Type])*(Table_dim_price_recipe[Retail Price]&lt;&gt;0)*($C500=Table_dim_price_recipe[Subcategory]), 0))*$B500,"")</f>
        <v/>
      </c>
      <c r="I500" s="39" t="str" cm="1">
        <f t="array" ref="I500">IFERROR(INDEX(Table_dim_price_recipe[Retail Price], MATCH(1, ("Calculator"&lt;&gt;Table_dim_price_recipe[Type.display])*($L500=Table_dim_price_recipe[Category])*($D500=Table_dim_price_recipe[Item Description]) * (I$6=Table_dim_price_recipe[Type])*(Table_dim_price_recipe[Retail Price]&lt;&gt;0)*($C500=Table_dim_price_recipe[Subcategory]), 0))*$B500,"")</f>
        <v/>
      </c>
      <c r="J500" s="39" t="str" cm="1">
        <f t="array" ref="J500">IFERROR(INDEX(Table_dim_price_recipe[Retail Price], MATCH(1, ("Calculator"&lt;&gt;Table_dim_price_recipe[Type.display])*($L500=Table_dim_price_recipe[Category])*($D500=Table_dim_price_recipe[Item Description]) * (J$6=Table_dim_price_recipe[Type])*(Table_dim_price_recipe[Retail Price]&lt;&gt;0)*($C500=Table_dim_price_recipe[Subcategory]), 0))*$B500,"")</f>
        <v/>
      </c>
      <c r="K500" s="39" t="str" cm="1">
        <f t="array" ref="K500">IFERROR(INDEX(Table_dim_price_recipe[Retail Price], MATCH(1, ("Calculator"&lt;&gt;Table_dim_price_recipe[Type.display])*($L500=Table_dim_price_recipe[Category])*($D500=Table_dim_price_recipe[Item Description]) * (K$6=Table_dim_price_recipe[Type])*(Table_dim_price_recipe[Retail Price]&lt;&gt;0)*($C500=Table_dim_price_recipe[Subcategory]), 0))*$B500,"")</f>
        <v/>
      </c>
      <c r="L500" s="39" t="str" cm="1">
        <f t="array" ref="L500">IF($A500&lt;&gt;"", $A500, LOOKUP(2, 1/((A$7:INDEX(A:A, ROW()))&lt;&gt;""), A$7:INDEX(A:A, ROW())))</f>
        <v>ROOFING PRODUCTS</v>
      </c>
      <c r="M500" s="14"/>
    </row>
    <row r="501" spans="1:13">
      <c r="A501" s="263"/>
      <c r="B501" s="263"/>
      <c r="C501" s="263" t="s">
        <v>597</v>
      </c>
      <c r="D501" s="263" t="s">
        <v>601</v>
      </c>
      <c r="E501" s="263"/>
      <c r="F501" s="263"/>
      <c r="G501" s="39" t="str" cm="1">
        <f t="array" ref="G501">IFERROR(INDEX(Table_dim_price_recipe[Retail Price], MATCH(1, ("Calculator"&lt;&gt;Table_dim_price_recipe[Type.display])*($L501=Table_dim_price_recipe[Category])*($D501=Table_dim_price_recipe[Item Description]) * (G$6=Table_dim_price_recipe[Type])*(Table_dim_price_recipe[Retail Price]&lt;&gt;0)*($C501=Table_dim_price_recipe[Subcategory]), 0))*$B501,"")</f>
        <v/>
      </c>
      <c r="H501" s="39" t="str" cm="1">
        <f t="array" ref="H501">IFERROR(INDEX(Table_dim_price_recipe[Retail Price], MATCH(1, ("Calculator"&lt;&gt;Table_dim_price_recipe[Type.display])*($L501=Table_dim_price_recipe[Category])*($D501=Table_dim_price_recipe[Item Description]) * (H$6=Table_dim_price_recipe[Type])*(Table_dim_price_recipe[Retail Price]&lt;&gt;0)*($C501=Table_dim_price_recipe[Subcategory]), 0))*$B501,"")</f>
        <v/>
      </c>
      <c r="I501" s="39" t="str" cm="1">
        <f t="array" ref="I501">IFERROR(INDEX(Table_dim_price_recipe[Retail Price], MATCH(1, ("Calculator"&lt;&gt;Table_dim_price_recipe[Type.display])*($L501=Table_dim_price_recipe[Category])*($D501=Table_dim_price_recipe[Item Description]) * (I$6=Table_dim_price_recipe[Type])*(Table_dim_price_recipe[Retail Price]&lt;&gt;0)*($C501=Table_dim_price_recipe[Subcategory]), 0))*$B501,"")</f>
        <v/>
      </c>
      <c r="J501" s="39" t="str" cm="1">
        <f t="array" ref="J501">IFERROR(INDEX(Table_dim_price_recipe[Retail Price], MATCH(1, ("Calculator"&lt;&gt;Table_dim_price_recipe[Type.display])*($L501=Table_dim_price_recipe[Category])*($D501=Table_dim_price_recipe[Item Description]) * (J$6=Table_dim_price_recipe[Type])*(Table_dim_price_recipe[Retail Price]&lt;&gt;0)*($C501=Table_dim_price_recipe[Subcategory]), 0))*$B501,"")</f>
        <v/>
      </c>
      <c r="K501" s="39" t="str" cm="1">
        <f t="array" ref="K501">IFERROR(INDEX(Table_dim_price_recipe[Retail Price], MATCH(1, ("Calculator"&lt;&gt;Table_dim_price_recipe[Type.display])*($L501=Table_dim_price_recipe[Category])*($D501=Table_dim_price_recipe[Item Description]) * (K$6=Table_dim_price_recipe[Type])*(Table_dim_price_recipe[Retail Price]&lt;&gt;0)*($C501=Table_dim_price_recipe[Subcategory]), 0))*$B501,"")</f>
        <v/>
      </c>
      <c r="L501" s="39" t="str" cm="1">
        <f t="array" ref="L501">IF($A501&lt;&gt;"", $A501, LOOKUP(2, 1/((A$7:INDEX(A:A, ROW()))&lt;&gt;""), A$7:INDEX(A:A, ROW())))</f>
        <v>ROOFING PRODUCTS</v>
      </c>
      <c r="M501" s="14"/>
    </row>
    <row r="502" spans="1:13">
      <c r="A502" s="263"/>
      <c r="B502" s="263"/>
      <c r="C502" s="263" t="s">
        <v>597</v>
      </c>
      <c r="D502" s="263" t="s">
        <v>598</v>
      </c>
      <c r="E502" s="263"/>
      <c r="F502" s="263"/>
      <c r="G502" s="39" cm="1">
        <f t="array" ref="G502">IFERROR(INDEX(Table_dim_price_recipe[Retail Price], MATCH(1, ("Calculator"&lt;&gt;Table_dim_price_recipe[Type.display])*($L502=Table_dim_price_recipe[Category])*($D502=Table_dim_price_recipe[Item Description]) * (G$6=Table_dim_price_recipe[Type])*(Table_dim_price_recipe[Retail Price]&lt;&gt;0)*($C502=Table_dim_price_recipe[Subcategory]), 0))*$B502,"")</f>
        <v>0</v>
      </c>
      <c r="H502" s="39" t="str" cm="1">
        <f t="array" ref="H502">IFERROR(INDEX(Table_dim_price_recipe[Retail Price], MATCH(1, ("Calculator"&lt;&gt;Table_dim_price_recipe[Type.display])*($L502=Table_dim_price_recipe[Category])*($D502=Table_dim_price_recipe[Item Description]) * (H$6=Table_dim_price_recipe[Type])*(Table_dim_price_recipe[Retail Price]&lt;&gt;0)*($C502=Table_dim_price_recipe[Subcategory]), 0))*$B502,"")</f>
        <v/>
      </c>
      <c r="I502" s="39" t="str" cm="1">
        <f t="array" ref="I502">IFERROR(INDEX(Table_dim_price_recipe[Retail Price], MATCH(1, ("Calculator"&lt;&gt;Table_dim_price_recipe[Type.display])*($L502=Table_dim_price_recipe[Category])*($D502=Table_dim_price_recipe[Item Description]) * (I$6=Table_dim_price_recipe[Type])*(Table_dim_price_recipe[Retail Price]&lt;&gt;0)*($C502=Table_dim_price_recipe[Subcategory]), 0))*$B502,"")</f>
        <v/>
      </c>
      <c r="J502" s="39" t="str" cm="1">
        <f t="array" ref="J502">IFERROR(INDEX(Table_dim_price_recipe[Retail Price], MATCH(1, ("Calculator"&lt;&gt;Table_dim_price_recipe[Type.display])*($L502=Table_dim_price_recipe[Category])*($D502=Table_dim_price_recipe[Item Description]) * (J$6=Table_dim_price_recipe[Type])*(Table_dim_price_recipe[Retail Price]&lt;&gt;0)*($C502=Table_dim_price_recipe[Subcategory]), 0))*$B502,"")</f>
        <v/>
      </c>
      <c r="K502" s="39" t="str" cm="1">
        <f t="array" ref="K502">IFERROR(INDEX(Table_dim_price_recipe[Retail Price], MATCH(1, ("Calculator"&lt;&gt;Table_dim_price_recipe[Type.display])*($L502=Table_dim_price_recipe[Category])*($D502=Table_dim_price_recipe[Item Description]) * (K$6=Table_dim_price_recipe[Type])*(Table_dim_price_recipe[Retail Price]&lt;&gt;0)*($C502=Table_dim_price_recipe[Subcategory]), 0))*$B502,"")</f>
        <v/>
      </c>
      <c r="L502" s="39" t="str" cm="1">
        <f t="array" ref="L502">IF($A502&lt;&gt;"", $A502, LOOKUP(2, 1/((A$7:INDEX(A:A, ROW()))&lt;&gt;""), A$7:INDEX(A:A, ROW())))</f>
        <v>ROOFING PRODUCTS</v>
      </c>
      <c r="M502" s="14"/>
    </row>
    <row r="503" spans="1:13">
      <c r="A503" s="263"/>
      <c r="B503" s="263"/>
      <c r="C503" s="263" t="s">
        <v>597</v>
      </c>
      <c r="D503" s="263" t="s">
        <v>603</v>
      </c>
      <c r="E503" s="263"/>
      <c r="F503" s="263"/>
      <c r="G503" s="39" t="str" cm="1">
        <f t="array" ref="G503">IFERROR(INDEX(Table_dim_price_recipe[Retail Price], MATCH(1, ("Calculator"&lt;&gt;Table_dim_price_recipe[Type.display])*($L503=Table_dim_price_recipe[Category])*($D503=Table_dim_price_recipe[Item Description]) * (G$6=Table_dim_price_recipe[Type])*(Table_dim_price_recipe[Retail Price]&lt;&gt;0)*($C503=Table_dim_price_recipe[Subcategory]), 0))*$B503,"")</f>
        <v/>
      </c>
      <c r="H503" s="39" t="str" cm="1">
        <f t="array" ref="H503">IFERROR(INDEX(Table_dim_price_recipe[Retail Price], MATCH(1, ("Calculator"&lt;&gt;Table_dim_price_recipe[Type.display])*($L503=Table_dim_price_recipe[Category])*($D503=Table_dim_price_recipe[Item Description]) * (H$6=Table_dim_price_recipe[Type])*(Table_dim_price_recipe[Retail Price]&lt;&gt;0)*($C503=Table_dim_price_recipe[Subcategory]), 0))*$B503,"")</f>
        <v/>
      </c>
      <c r="I503" s="39" t="str" cm="1">
        <f t="array" ref="I503">IFERROR(INDEX(Table_dim_price_recipe[Retail Price], MATCH(1, ("Calculator"&lt;&gt;Table_dim_price_recipe[Type.display])*($L503=Table_dim_price_recipe[Category])*($D503=Table_dim_price_recipe[Item Description]) * (I$6=Table_dim_price_recipe[Type])*(Table_dim_price_recipe[Retail Price]&lt;&gt;0)*($C503=Table_dim_price_recipe[Subcategory]), 0))*$B503,"")</f>
        <v/>
      </c>
      <c r="J503" s="39" t="str" cm="1">
        <f t="array" ref="J503">IFERROR(INDEX(Table_dim_price_recipe[Retail Price], MATCH(1, ("Calculator"&lt;&gt;Table_dim_price_recipe[Type.display])*($L503=Table_dim_price_recipe[Category])*($D503=Table_dim_price_recipe[Item Description]) * (J$6=Table_dim_price_recipe[Type])*(Table_dim_price_recipe[Retail Price]&lt;&gt;0)*($C503=Table_dim_price_recipe[Subcategory]), 0))*$B503,"")</f>
        <v/>
      </c>
      <c r="K503" s="39" t="str" cm="1">
        <f t="array" ref="K503">IFERROR(INDEX(Table_dim_price_recipe[Retail Price], MATCH(1, ("Calculator"&lt;&gt;Table_dim_price_recipe[Type.display])*($L503=Table_dim_price_recipe[Category])*($D503=Table_dim_price_recipe[Item Description]) * (K$6=Table_dim_price_recipe[Type])*(Table_dim_price_recipe[Retail Price]&lt;&gt;0)*($C503=Table_dim_price_recipe[Subcategory]), 0))*$B503,"")</f>
        <v/>
      </c>
      <c r="L503" s="39" t="str" cm="1">
        <f t="array" ref="L503">IF($A503&lt;&gt;"", $A503, LOOKUP(2, 1/((A$7:INDEX(A:A, ROW()))&lt;&gt;""), A$7:INDEX(A:A, ROW())))</f>
        <v>ROOFING PRODUCTS</v>
      </c>
      <c r="M503" s="14"/>
    </row>
    <row r="504" spans="1:13">
      <c r="A504" s="263"/>
      <c r="B504" s="263"/>
      <c r="C504" s="263" t="s">
        <v>597</v>
      </c>
      <c r="D504" s="263" t="s">
        <v>604</v>
      </c>
      <c r="E504" s="263"/>
      <c r="F504" s="263"/>
      <c r="G504" s="39" t="str" cm="1">
        <f t="array" ref="G504">IFERROR(INDEX(Table_dim_price_recipe[Retail Price], MATCH(1, ("Calculator"&lt;&gt;Table_dim_price_recipe[Type.display])*($L504=Table_dim_price_recipe[Category])*($D504=Table_dim_price_recipe[Item Description]) * (G$6=Table_dim_price_recipe[Type])*(Table_dim_price_recipe[Retail Price]&lt;&gt;0)*($C504=Table_dim_price_recipe[Subcategory]), 0))*$B504,"")</f>
        <v/>
      </c>
      <c r="H504" s="39" t="str" cm="1">
        <f t="array" ref="H504">IFERROR(INDEX(Table_dim_price_recipe[Retail Price], MATCH(1, ("Calculator"&lt;&gt;Table_dim_price_recipe[Type.display])*($L504=Table_dim_price_recipe[Category])*($D504=Table_dim_price_recipe[Item Description]) * (H$6=Table_dim_price_recipe[Type])*(Table_dim_price_recipe[Retail Price]&lt;&gt;0)*($C504=Table_dim_price_recipe[Subcategory]), 0))*$B504,"")</f>
        <v/>
      </c>
      <c r="I504" s="39" t="str" cm="1">
        <f t="array" ref="I504">IFERROR(INDEX(Table_dim_price_recipe[Retail Price], MATCH(1, ("Calculator"&lt;&gt;Table_dim_price_recipe[Type.display])*($L504=Table_dim_price_recipe[Category])*($D504=Table_dim_price_recipe[Item Description]) * (I$6=Table_dim_price_recipe[Type])*(Table_dim_price_recipe[Retail Price]&lt;&gt;0)*($C504=Table_dim_price_recipe[Subcategory]), 0))*$B504,"")</f>
        <v/>
      </c>
      <c r="J504" s="39" t="str" cm="1">
        <f t="array" ref="J504">IFERROR(INDEX(Table_dim_price_recipe[Retail Price], MATCH(1, ("Calculator"&lt;&gt;Table_dim_price_recipe[Type.display])*($L504=Table_dim_price_recipe[Category])*($D504=Table_dim_price_recipe[Item Description]) * (J$6=Table_dim_price_recipe[Type])*(Table_dim_price_recipe[Retail Price]&lt;&gt;0)*($C504=Table_dim_price_recipe[Subcategory]), 0))*$B504,"")</f>
        <v/>
      </c>
      <c r="K504" s="39" t="str" cm="1">
        <f t="array" ref="K504">IFERROR(INDEX(Table_dim_price_recipe[Retail Price], MATCH(1, ("Calculator"&lt;&gt;Table_dim_price_recipe[Type.display])*($L504=Table_dim_price_recipe[Category])*($D504=Table_dim_price_recipe[Item Description]) * (K$6=Table_dim_price_recipe[Type])*(Table_dim_price_recipe[Retail Price]&lt;&gt;0)*($C504=Table_dim_price_recipe[Subcategory]), 0))*$B504,"")</f>
        <v/>
      </c>
      <c r="L504" s="39" t="str" cm="1">
        <f t="array" ref="L504">IF($A504&lt;&gt;"", $A504, LOOKUP(2, 1/((A$7:INDEX(A:A, ROW()))&lt;&gt;""), A$7:INDEX(A:A, ROW())))</f>
        <v>ROOFING PRODUCTS</v>
      </c>
      <c r="M504" s="14"/>
    </row>
    <row r="505" spans="1:13">
      <c r="A505" s="263"/>
      <c r="B505" s="263"/>
      <c r="C505" s="263" t="s">
        <v>597</v>
      </c>
      <c r="D505" s="263" t="s">
        <v>606</v>
      </c>
      <c r="E505" s="263"/>
      <c r="F505" s="263"/>
      <c r="G505" s="39" t="str" cm="1">
        <f t="array" ref="G505">IFERROR(INDEX(Table_dim_price_recipe[Retail Price], MATCH(1, ("Calculator"&lt;&gt;Table_dim_price_recipe[Type.display])*($L505=Table_dim_price_recipe[Category])*($D505=Table_dim_price_recipe[Item Description]) * (G$6=Table_dim_price_recipe[Type])*(Table_dim_price_recipe[Retail Price]&lt;&gt;0)*($C505=Table_dim_price_recipe[Subcategory]), 0))*$B505,"")</f>
        <v/>
      </c>
      <c r="H505" s="39" t="str" cm="1">
        <f t="array" ref="H505">IFERROR(INDEX(Table_dim_price_recipe[Retail Price], MATCH(1, ("Calculator"&lt;&gt;Table_dim_price_recipe[Type.display])*($L505=Table_dim_price_recipe[Category])*($D505=Table_dim_price_recipe[Item Description]) * (H$6=Table_dim_price_recipe[Type])*(Table_dim_price_recipe[Retail Price]&lt;&gt;0)*($C505=Table_dim_price_recipe[Subcategory]), 0))*$B505,"")</f>
        <v/>
      </c>
      <c r="I505" s="39" t="str" cm="1">
        <f t="array" ref="I505">IFERROR(INDEX(Table_dim_price_recipe[Retail Price], MATCH(1, ("Calculator"&lt;&gt;Table_dim_price_recipe[Type.display])*($L505=Table_dim_price_recipe[Category])*($D505=Table_dim_price_recipe[Item Description]) * (I$6=Table_dim_price_recipe[Type])*(Table_dim_price_recipe[Retail Price]&lt;&gt;0)*($C505=Table_dim_price_recipe[Subcategory]), 0))*$B505,"")</f>
        <v/>
      </c>
      <c r="J505" s="39" t="str" cm="1">
        <f t="array" ref="J505">IFERROR(INDEX(Table_dim_price_recipe[Retail Price], MATCH(1, ("Calculator"&lt;&gt;Table_dim_price_recipe[Type.display])*($L505=Table_dim_price_recipe[Category])*($D505=Table_dim_price_recipe[Item Description]) * (J$6=Table_dim_price_recipe[Type])*(Table_dim_price_recipe[Retail Price]&lt;&gt;0)*($C505=Table_dim_price_recipe[Subcategory]), 0))*$B505,"")</f>
        <v/>
      </c>
      <c r="K505" s="39" t="str" cm="1">
        <f t="array" ref="K505">IFERROR(INDEX(Table_dim_price_recipe[Retail Price], MATCH(1, ("Calculator"&lt;&gt;Table_dim_price_recipe[Type.display])*($L505=Table_dim_price_recipe[Category])*($D505=Table_dim_price_recipe[Item Description]) * (K$6=Table_dim_price_recipe[Type])*(Table_dim_price_recipe[Retail Price]&lt;&gt;0)*($C505=Table_dim_price_recipe[Subcategory]), 0))*$B505,"")</f>
        <v/>
      </c>
      <c r="L505" s="39" t="str" cm="1">
        <f t="array" ref="L505">IF($A505&lt;&gt;"", $A505, LOOKUP(2, 1/((A$7:INDEX(A:A, ROW()))&lt;&gt;""), A$7:INDEX(A:A, ROW())))</f>
        <v>ROOFING PRODUCTS</v>
      </c>
      <c r="M505" s="14"/>
    </row>
    <row r="506" spans="1:13">
      <c r="A506" s="263"/>
      <c r="B506" s="263"/>
      <c r="C506" s="263" t="s">
        <v>597</v>
      </c>
      <c r="D506" s="263" t="s">
        <v>599</v>
      </c>
      <c r="E506" s="263"/>
      <c r="F506" s="263"/>
      <c r="G506" s="39" cm="1">
        <f t="array" ref="G506">IFERROR(INDEX(Table_dim_price_recipe[Retail Price], MATCH(1, ("Calculator"&lt;&gt;Table_dim_price_recipe[Type.display])*($L506=Table_dim_price_recipe[Category])*($D506=Table_dim_price_recipe[Item Description]) * (G$6=Table_dim_price_recipe[Type])*(Table_dim_price_recipe[Retail Price]&lt;&gt;0)*($C506=Table_dim_price_recipe[Subcategory]), 0))*$B506,"")</f>
        <v>0</v>
      </c>
      <c r="H506" s="39" t="str" cm="1">
        <f t="array" ref="H506">IFERROR(INDEX(Table_dim_price_recipe[Retail Price], MATCH(1, ("Calculator"&lt;&gt;Table_dim_price_recipe[Type.display])*($L506=Table_dim_price_recipe[Category])*($D506=Table_dim_price_recipe[Item Description]) * (H$6=Table_dim_price_recipe[Type])*(Table_dim_price_recipe[Retail Price]&lt;&gt;0)*($C506=Table_dim_price_recipe[Subcategory]), 0))*$B506,"")</f>
        <v/>
      </c>
      <c r="I506" s="39" t="str" cm="1">
        <f t="array" ref="I506">IFERROR(INDEX(Table_dim_price_recipe[Retail Price], MATCH(1, ("Calculator"&lt;&gt;Table_dim_price_recipe[Type.display])*($L506=Table_dim_price_recipe[Category])*($D506=Table_dim_price_recipe[Item Description]) * (I$6=Table_dim_price_recipe[Type])*(Table_dim_price_recipe[Retail Price]&lt;&gt;0)*($C506=Table_dim_price_recipe[Subcategory]), 0))*$B506,"")</f>
        <v/>
      </c>
      <c r="J506" s="39" t="str" cm="1">
        <f t="array" ref="J506">IFERROR(INDEX(Table_dim_price_recipe[Retail Price], MATCH(1, ("Calculator"&lt;&gt;Table_dim_price_recipe[Type.display])*($L506=Table_dim_price_recipe[Category])*($D506=Table_dim_price_recipe[Item Description]) * (J$6=Table_dim_price_recipe[Type])*(Table_dim_price_recipe[Retail Price]&lt;&gt;0)*($C506=Table_dim_price_recipe[Subcategory]), 0))*$B506,"")</f>
        <v/>
      </c>
      <c r="K506" s="39" t="str" cm="1">
        <f t="array" ref="K506">IFERROR(INDEX(Table_dim_price_recipe[Retail Price], MATCH(1, ("Calculator"&lt;&gt;Table_dim_price_recipe[Type.display])*($L506=Table_dim_price_recipe[Category])*($D506=Table_dim_price_recipe[Item Description]) * (K$6=Table_dim_price_recipe[Type])*(Table_dim_price_recipe[Retail Price]&lt;&gt;0)*($C506=Table_dim_price_recipe[Subcategory]), 0))*$B506,"")</f>
        <v/>
      </c>
      <c r="L506" s="39" t="str" cm="1">
        <f t="array" ref="L506">IF($A506&lt;&gt;"", $A506, LOOKUP(2, 1/((A$7:INDEX(A:A, ROW()))&lt;&gt;""), A$7:INDEX(A:A, ROW())))</f>
        <v>ROOFING PRODUCTS</v>
      </c>
      <c r="M506" s="14"/>
    </row>
    <row r="507" spans="1:13">
      <c r="A507" s="263"/>
      <c r="B507" s="263"/>
      <c r="C507" s="263" t="s">
        <v>597</v>
      </c>
      <c r="D507" s="263"/>
      <c r="E507" s="263"/>
      <c r="F507" s="263"/>
      <c r="G507" s="39" t="str" cm="1">
        <f t="array" ref="G507">IFERROR(INDEX(Table_dim_price_recipe[Retail Price], MATCH(1, ("Calculator"&lt;&gt;Table_dim_price_recipe[Type.display])*($L507=Table_dim_price_recipe[Category])*($D507=Table_dim_price_recipe[Item Description]) * (G$6=Table_dim_price_recipe[Type])*(Table_dim_price_recipe[Retail Price]&lt;&gt;0)*($C507=Table_dim_price_recipe[Subcategory]), 0))*$B507,"")</f>
        <v/>
      </c>
      <c r="H507" s="39" t="str" cm="1">
        <f t="array" ref="H507">IFERROR(INDEX(Table_dim_price_recipe[Retail Price], MATCH(1, ("Calculator"&lt;&gt;Table_dim_price_recipe[Type.display])*($L507=Table_dim_price_recipe[Category])*($D507=Table_dim_price_recipe[Item Description]) * (H$6=Table_dim_price_recipe[Type])*(Table_dim_price_recipe[Retail Price]&lt;&gt;0)*($C507=Table_dim_price_recipe[Subcategory]), 0))*$B507,"")</f>
        <v/>
      </c>
      <c r="I507" s="39" t="str" cm="1">
        <f t="array" ref="I507">IFERROR(INDEX(Table_dim_price_recipe[Retail Price], MATCH(1, ("Calculator"&lt;&gt;Table_dim_price_recipe[Type.display])*($L507=Table_dim_price_recipe[Category])*($D507=Table_dim_price_recipe[Item Description]) * (I$6=Table_dim_price_recipe[Type])*(Table_dim_price_recipe[Retail Price]&lt;&gt;0)*($C507=Table_dim_price_recipe[Subcategory]), 0))*$B507,"")</f>
        <v/>
      </c>
      <c r="J507" s="39" t="str" cm="1">
        <f t="array" ref="J507">IFERROR(INDEX(Table_dim_price_recipe[Retail Price], MATCH(1, ("Calculator"&lt;&gt;Table_dim_price_recipe[Type.display])*($L507=Table_dim_price_recipe[Category])*($D507=Table_dim_price_recipe[Item Description]) * (J$6=Table_dim_price_recipe[Type])*(Table_dim_price_recipe[Retail Price]&lt;&gt;0)*($C507=Table_dim_price_recipe[Subcategory]), 0))*$B507,"")</f>
        <v/>
      </c>
      <c r="K507" s="39" t="str" cm="1">
        <f t="array" ref="K507">IFERROR(INDEX(Table_dim_price_recipe[Retail Price], MATCH(1, ("Calculator"&lt;&gt;Table_dim_price_recipe[Type.display])*($L507=Table_dim_price_recipe[Category])*($D507=Table_dim_price_recipe[Item Description]) * (K$6=Table_dim_price_recipe[Type])*(Table_dim_price_recipe[Retail Price]&lt;&gt;0)*($C507=Table_dim_price_recipe[Subcategory]), 0))*$B507,"")</f>
        <v/>
      </c>
      <c r="L507" s="39" t="str" cm="1">
        <f t="array" ref="L507">IF($A507&lt;&gt;"", $A507, LOOKUP(2, 1/((A$7:INDEX(A:A, ROW()))&lt;&gt;""), A$7:INDEX(A:A, ROW())))</f>
        <v>ROOFING PRODUCTS</v>
      </c>
      <c r="M507" s="14"/>
    </row>
    <row r="508" spans="1:13">
      <c r="A508" s="263"/>
      <c r="B508" s="263"/>
      <c r="C508" s="263" t="s">
        <v>597</v>
      </c>
      <c r="D508" s="263"/>
      <c r="E508" s="263"/>
      <c r="F508" s="263"/>
      <c r="G508" s="39" t="str" cm="1">
        <f t="array" ref="G508">IFERROR(INDEX(Table_dim_price_recipe[Retail Price], MATCH(1, ("Calculator"&lt;&gt;Table_dim_price_recipe[Type.display])*($L508=Table_dim_price_recipe[Category])*($D508=Table_dim_price_recipe[Item Description]) * (G$6=Table_dim_price_recipe[Type])*(Table_dim_price_recipe[Retail Price]&lt;&gt;0)*($C508=Table_dim_price_recipe[Subcategory]), 0))*$B508,"")</f>
        <v/>
      </c>
      <c r="H508" s="39" t="str" cm="1">
        <f t="array" ref="H508">IFERROR(INDEX(Table_dim_price_recipe[Retail Price], MATCH(1, ("Calculator"&lt;&gt;Table_dim_price_recipe[Type.display])*($L508=Table_dim_price_recipe[Category])*($D508=Table_dim_price_recipe[Item Description]) * (H$6=Table_dim_price_recipe[Type])*(Table_dim_price_recipe[Retail Price]&lt;&gt;0)*($C508=Table_dim_price_recipe[Subcategory]), 0))*$B508,"")</f>
        <v/>
      </c>
      <c r="I508" s="39" t="str" cm="1">
        <f t="array" ref="I508">IFERROR(INDEX(Table_dim_price_recipe[Retail Price], MATCH(1, ("Calculator"&lt;&gt;Table_dim_price_recipe[Type.display])*($L508=Table_dim_price_recipe[Category])*($D508=Table_dim_price_recipe[Item Description]) * (I$6=Table_dim_price_recipe[Type])*(Table_dim_price_recipe[Retail Price]&lt;&gt;0)*($C508=Table_dim_price_recipe[Subcategory]), 0))*$B508,"")</f>
        <v/>
      </c>
      <c r="J508" s="39" t="str" cm="1">
        <f t="array" ref="J508">IFERROR(INDEX(Table_dim_price_recipe[Retail Price], MATCH(1, ("Calculator"&lt;&gt;Table_dim_price_recipe[Type.display])*($L508=Table_dim_price_recipe[Category])*($D508=Table_dim_price_recipe[Item Description]) * (J$6=Table_dim_price_recipe[Type])*(Table_dim_price_recipe[Retail Price]&lt;&gt;0)*($C508=Table_dim_price_recipe[Subcategory]), 0))*$B508,"")</f>
        <v/>
      </c>
      <c r="K508" s="39" t="str" cm="1">
        <f t="array" ref="K508">IFERROR(INDEX(Table_dim_price_recipe[Retail Price], MATCH(1, ("Calculator"&lt;&gt;Table_dim_price_recipe[Type.display])*($L508=Table_dim_price_recipe[Category])*($D508=Table_dim_price_recipe[Item Description]) * (K$6=Table_dim_price_recipe[Type])*(Table_dim_price_recipe[Retail Price]&lt;&gt;0)*($C508=Table_dim_price_recipe[Subcategory]), 0))*$B508,"")</f>
        <v/>
      </c>
      <c r="L508" s="39" t="str" cm="1">
        <f t="array" ref="L508">IF($A508&lt;&gt;"", $A508, LOOKUP(2, 1/((A$7:INDEX(A:A, ROW()))&lt;&gt;""), A$7:INDEX(A:A, ROW())))</f>
        <v>ROOFING PRODUCTS</v>
      </c>
      <c r="M508" s="14"/>
    </row>
    <row r="509" spans="1:13">
      <c r="A509" s="263"/>
      <c r="B509" s="263"/>
      <c r="C509" s="263" t="s">
        <v>596</v>
      </c>
      <c r="D509" s="263"/>
      <c r="E509" s="263"/>
      <c r="F509" s="263"/>
      <c r="G509" s="39" t="str" cm="1">
        <f t="array" ref="G509">IFERROR(INDEX(Table_dim_price_recipe[Retail Price], MATCH(1, ("Calculator"&lt;&gt;Table_dim_price_recipe[Type.display])*($L509=Table_dim_price_recipe[Category])*($D509=Table_dim_price_recipe[Item Description]) * (G$6=Table_dim_price_recipe[Type])*(Table_dim_price_recipe[Retail Price]&lt;&gt;0)*($C509=Table_dim_price_recipe[Subcategory]), 0))*$B509,"")</f>
        <v/>
      </c>
      <c r="H509" s="39" t="str" cm="1">
        <f t="array" ref="H509">IFERROR(INDEX(Table_dim_price_recipe[Retail Price], MATCH(1, ("Calculator"&lt;&gt;Table_dim_price_recipe[Type.display])*($L509=Table_dim_price_recipe[Category])*($D509=Table_dim_price_recipe[Item Description]) * (H$6=Table_dim_price_recipe[Type])*(Table_dim_price_recipe[Retail Price]&lt;&gt;0)*($C509=Table_dim_price_recipe[Subcategory]), 0))*$B509,"")</f>
        <v/>
      </c>
      <c r="I509" s="39" t="str" cm="1">
        <f t="array" ref="I509">IFERROR(INDEX(Table_dim_price_recipe[Retail Price], MATCH(1, ("Calculator"&lt;&gt;Table_dim_price_recipe[Type.display])*($L509=Table_dim_price_recipe[Category])*($D509=Table_dim_price_recipe[Item Description]) * (I$6=Table_dim_price_recipe[Type])*(Table_dim_price_recipe[Retail Price]&lt;&gt;0)*($C509=Table_dim_price_recipe[Subcategory]), 0))*$B509,"")</f>
        <v/>
      </c>
      <c r="J509" s="39" t="str" cm="1">
        <f t="array" ref="J509">IFERROR(INDEX(Table_dim_price_recipe[Retail Price], MATCH(1, ("Calculator"&lt;&gt;Table_dim_price_recipe[Type.display])*($L509=Table_dim_price_recipe[Category])*($D509=Table_dim_price_recipe[Item Description]) * (J$6=Table_dim_price_recipe[Type])*(Table_dim_price_recipe[Retail Price]&lt;&gt;0)*($C509=Table_dim_price_recipe[Subcategory]), 0))*$B509,"")</f>
        <v/>
      </c>
      <c r="K509" s="39" t="str" cm="1">
        <f t="array" ref="K509">IFERROR(INDEX(Table_dim_price_recipe[Retail Price], MATCH(1, ("Calculator"&lt;&gt;Table_dim_price_recipe[Type.display])*($L509=Table_dim_price_recipe[Category])*($D509=Table_dim_price_recipe[Item Description]) * (K$6=Table_dim_price_recipe[Type])*(Table_dim_price_recipe[Retail Price]&lt;&gt;0)*($C509=Table_dim_price_recipe[Subcategory]), 0))*$B509,"")</f>
        <v/>
      </c>
      <c r="L509" s="39" t="str" cm="1">
        <f t="array" ref="L509">IF($A509&lt;&gt;"", $A509, LOOKUP(2, 1/((A$7:INDEX(A:A, ROW()))&lt;&gt;""), A$7:INDEX(A:A, ROW())))</f>
        <v>ROOFING PRODUCTS</v>
      </c>
      <c r="M509" s="14"/>
    </row>
    <row r="510" spans="1:13">
      <c r="A510" s="263"/>
      <c r="B510" s="263"/>
      <c r="C510" s="263" t="s">
        <v>596</v>
      </c>
      <c r="D510" s="263"/>
      <c r="E510" s="263"/>
      <c r="F510" s="263"/>
      <c r="G510" s="39" t="str" cm="1">
        <f t="array" ref="G510">IFERROR(INDEX(Table_dim_price_recipe[Retail Price], MATCH(1, ("Calculator"&lt;&gt;Table_dim_price_recipe[Type.display])*($L510=Table_dim_price_recipe[Category])*($D510=Table_dim_price_recipe[Item Description]) * (G$6=Table_dim_price_recipe[Type])*(Table_dim_price_recipe[Retail Price]&lt;&gt;0)*($C510=Table_dim_price_recipe[Subcategory]), 0))*$B510,"")</f>
        <v/>
      </c>
      <c r="H510" s="39" t="str" cm="1">
        <f t="array" ref="H510">IFERROR(INDEX(Table_dim_price_recipe[Retail Price], MATCH(1, ("Calculator"&lt;&gt;Table_dim_price_recipe[Type.display])*($L510=Table_dim_price_recipe[Category])*($D510=Table_dim_price_recipe[Item Description]) * (H$6=Table_dim_price_recipe[Type])*(Table_dim_price_recipe[Retail Price]&lt;&gt;0)*($C510=Table_dim_price_recipe[Subcategory]), 0))*$B510,"")</f>
        <v/>
      </c>
      <c r="I510" s="39" t="str" cm="1">
        <f t="array" ref="I510">IFERROR(INDEX(Table_dim_price_recipe[Retail Price], MATCH(1, ("Calculator"&lt;&gt;Table_dim_price_recipe[Type.display])*($L510=Table_dim_price_recipe[Category])*($D510=Table_dim_price_recipe[Item Description]) * (I$6=Table_dim_price_recipe[Type])*(Table_dim_price_recipe[Retail Price]&lt;&gt;0)*($C510=Table_dim_price_recipe[Subcategory]), 0))*$B510,"")</f>
        <v/>
      </c>
      <c r="J510" s="39" t="str" cm="1">
        <f t="array" ref="J510">IFERROR(INDEX(Table_dim_price_recipe[Retail Price], MATCH(1, ("Calculator"&lt;&gt;Table_dim_price_recipe[Type.display])*($L510=Table_dim_price_recipe[Category])*($D510=Table_dim_price_recipe[Item Description]) * (J$6=Table_dim_price_recipe[Type])*(Table_dim_price_recipe[Retail Price]&lt;&gt;0)*($C510=Table_dim_price_recipe[Subcategory]), 0))*$B510,"")</f>
        <v/>
      </c>
      <c r="K510" s="39" t="str" cm="1">
        <f t="array" ref="K510">IFERROR(INDEX(Table_dim_price_recipe[Retail Price], MATCH(1, ("Calculator"&lt;&gt;Table_dim_price_recipe[Type.display])*($L510=Table_dim_price_recipe[Category])*($D510=Table_dim_price_recipe[Item Description]) * (K$6=Table_dim_price_recipe[Type])*(Table_dim_price_recipe[Retail Price]&lt;&gt;0)*($C510=Table_dim_price_recipe[Subcategory]), 0))*$B510,"")</f>
        <v/>
      </c>
      <c r="L510" s="39" t="str" cm="1">
        <f t="array" ref="L510">IF($A510&lt;&gt;"", $A510, LOOKUP(2, 1/((A$7:INDEX(A:A, ROW()))&lt;&gt;""), A$7:INDEX(A:A, ROW())))</f>
        <v>ROOFING PRODUCTS</v>
      </c>
      <c r="M510" s="14"/>
    </row>
    <row r="511" spans="1:13">
      <c r="A511" s="263"/>
      <c r="B511" s="263"/>
      <c r="C511" s="263" t="s">
        <v>622</v>
      </c>
      <c r="D511" s="263" t="s">
        <v>628</v>
      </c>
      <c r="E511" s="263"/>
      <c r="F511" s="263"/>
      <c r="G511" s="39" cm="1">
        <f t="array" ref="G511">IFERROR(INDEX(Table_dim_price_recipe[Retail Price], MATCH(1, ("Calculator"&lt;&gt;Table_dim_price_recipe[Type.display])*($L511=Table_dim_price_recipe[Category])*($D511=Table_dim_price_recipe[Item Description]) * (G$6=Table_dim_price_recipe[Type])*(Table_dim_price_recipe[Retail Price]&lt;&gt;0)*($C511=Table_dim_price_recipe[Subcategory]), 0))*$B511,"")</f>
        <v>0</v>
      </c>
      <c r="H511" s="39" t="str" cm="1">
        <f t="array" ref="H511">IFERROR(INDEX(Table_dim_price_recipe[Retail Price], MATCH(1, ("Calculator"&lt;&gt;Table_dim_price_recipe[Type.display])*($L511=Table_dim_price_recipe[Category])*($D511=Table_dim_price_recipe[Item Description]) * (H$6=Table_dim_price_recipe[Type])*(Table_dim_price_recipe[Retail Price]&lt;&gt;0)*($C511=Table_dim_price_recipe[Subcategory]), 0))*$B511,"")</f>
        <v/>
      </c>
      <c r="I511" s="39" t="str" cm="1">
        <f t="array" ref="I511">IFERROR(INDEX(Table_dim_price_recipe[Retail Price], MATCH(1, ("Calculator"&lt;&gt;Table_dim_price_recipe[Type.display])*($L511=Table_dim_price_recipe[Category])*($D511=Table_dim_price_recipe[Item Description]) * (I$6=Table_dim_price_recipe[Type])*(Table_dim_price_recipe[Retail Price]&lt;&gt;0)*($C511=Table_dim_price_recipe[Subcategory]), 0))*$B511,"")</f>
        <v/>
      </c>
      <c r="J511" s="39" t="str" cm="1">
        <f t="array" ref="J511">IFERROR(INDEX(Table_dim_price_recipe[Retail Price], MATCH(1, ("Calculator"&lt;&gt;Table_dim_price_recipe[Type.display])*($L511=Table_dim_price_recipe[Category])*($D511=Table_dim_price_recipe[Item Description]) * (J$6=Table_dim_price_recipe[Type])*(Table_dim_price_recipe[Retail Price]&lt;&gt;0)*($C511=Table_dim_price_recipe[Subcategory]), 0))*$B511,"")</f>
        <v/>
      </c>
      <c r="K511" s="39" t="str" cm="1">
        <f t="array" ref="K511">IFERROR(INDEX(Table_dim_price_recipe[Retail Price], MATCH(1, ("Calculator"&lt;&gt;Table_dim_price_recipe[Type.display])*($L511=Table_dim_price_recipe[Category])*($D511=Table_dim_price_recipe[Item Description]) * (K$6=Table_dim_price_recipe[Type])*(Table_dim_price_recipe[Retail Price]&lt;&gt;0)*($C511=Table_dim_price_recipe[Subcategory]), 0))*$B511,"")</f>
        <v/>
      </c>
      <c r="L511" s="39" t="str" cm="1">
        <f t="array" ref="L511">IF($A511&lt;&gt;"", $A511, LOOKUP(2, 1/((A$7:INDEX(A:A, ROW()))&lt;&gt;""), A$7:INDEX(A:A, ROW())))</f>
        <v>ROOFING PRODUCTS</v>
      </c>
      <c r="M511" s="14"/>
    </row>
    <row r="512" spans="1:13">
      <c r="A512" s="263"/>
      <c r="B512" s="263"/>
      <c r="C512" s="263" t="s">
        <v>622</v>
      </c>
      <c r="D512" s="263" t="s">
        <v>627</v>
      </c>
      <c r="E512" s="263"/>
      <c r="F512" s="263"/>
      <c r="G512" s="39" cm="1">
        <f t="array" ref="G512">IFERROR(INDEX(Table_dim_price_recipe[Retail Price], MATCH(1, ("Calculator"&lt;&gt;Table_dim_price_recipe[Type.display])*($L512=Table_dim_price_recipe[Category])*($D512=Table_dim_price_recipe[Item Description]) * (G$6=Table_dim_price_recipe[Type])*(Table_dim_price_recipe[Retail Price]&lt;&gt;0)*($C512=Table_dim_price_recipe[Subcategory]), 0))*$B512,"")</f>
        <v>0</v>
      </c>
      <c r="H512" s="39" t="str" cm="1">
        <f t="array" ref="H512">IFERROR(INDEX(Table_dim_price_recipe[Retail Price], MATCH(1, ("Calculator"&lt;&gt;Table_dim_price_recipe[Type.display])*($L512=Table_dim_price_recipe[Category])*($D512=Table_dim_price_recipe[Item Description]) * (H$6=Table_dim_price_recipe[Type])*(Table_dim_price_recipe[Retail Price]&lt;&gt;0)*($C512=Table_dim_price_recipe[Subcategory]), 0))*$B512,"")</f>
        <v/>
      </c>
      <c r="I512" s="39" t="str" cm="1">
        <f t="array" ref="I512">IFERROR(INDEX(Table_dim_price_recipe[Retail Price], MATCH(1, ("Calculator"&lt;&gt;Table_dim_price_recipe[Type.display])*($L512=Table_dim_price_recipe[Category])*($D512=Table_dim_price_recipe[Item Description]) * (I$6=Table_dim_price_recipe[Type])*(Table_dim_price_recipe[Retail Price]&lt;&gt;0)*($C512=Table_dim_price_recipe[Subcategory]), 0))*$B512,"")</f>
        <v/>
      </c>
      <c r="J512" s="39" t="str" cm="1">
        <f t="array" ref="J512">IFERROR(INDEX(Table_dim_price_recipe[Retail Price], MATCH(1, ("Calculator"&lt;&gt;Table_dim_price_recipe[Type.display])*($L512=Table_dim_price_recipe[Category])*($D512=Table_dim_price_recipe[Item Description]) * (J$6=Table_dim_price_recipe[Type])*(Table_dim_price_recipe[Retail Price]&lt;&gt;0)*($C512=Table_dim_price_recipe[Subcategory]), 0))*$B512,"")</f>
        <v/>
      </c>
      <c r="K512" s="39" t="str" cm="1">
        <f t="array" ref="K512">IFERROR(INDEX(Table_dim_price_recipe[Retail Price], MATCH(1, ("Calculator"&lt;&gt;Table_dim_price_recipe[Type.display])*($L512=Table_dim_price_recipe[Category])*($D512=Table_dim_price_recipe[Item Description]) * (K$6=Table_dim_price_recipe[Type])*(Table_dim_price_recipe[Retail Price]&lt;&gt;0)*($C512=Table_dim_price_recipe[Subcategory]), 0))*$B512,"")</f>
        <v/>
      </c>
      <c r="L512" s="39" t="str" cm="1">
        <f t="array" ref="L512">IF($A512&lt;&gt;"", $A512, LOOKUP(2, 1/((A$7:INDEX(A:A, ROW()))&lt;&gt;""), A$7:INDEX(A:A, ROW())))</f>
        <v>ROOFING PRODUCTS</v>
      </c>
      <c r="M512" s="14"/>
    </row>
    <row r="513" spans="1:13">
      <c r="A513" s="263"/>
      <c r="B513" s="263"/>
      <c r="C513" s="263" t="s">
        <v>622</v>
      </c>
      <c r="D513" s="263" t="s">
        <v>626</v>
      </c>
      <c r="E513" s="263"/>
      <c r="F513" s="263"/>
      <c r="G513" s="39" cm="1">
        <f t="array" ref="G513">IFERROR(INDEX(Table_dim_price_recipe[Retail Price], MATCH(1, ("Calculator"&lt;&gt;Table_dim_price_recipe[Type.display])*($L513=Table_dim_price_recipe[Category])*($D513=Table_dim_price_recipe[Item Description]) * (G$6=Table_dim_price_recipe[Type])*(Table_dim_price_recipe[Retail Price]&lt;&gt;0)*($C513=Table_dim_price_recipe[Subcategory]), 0))*$B513,"")</f>
        <v>0</v>
      </c>
      <c r="H513" s="39" t="str" cm="1">
        <f t="array" ref="H513">IFERROR(INDEX(Table_dim_price_recipe[Retail Price], MATCH(1, ("Calculator"&lt;&gt;Table_dim_price_recipe[Type.display])*($L513=Table_dim_price_recipe[Category])*($D513=Table_dim_price_recipe[Item Description]) * (H$6=Table_dim_price_recipe[Type])*(Table_dim_price_recipe[Retail Price]&lt;&gt;0)*($C513=Table_dim_price_recipe[Subcategory]), 0))*$B513,"")</f>
        <v/>
      </c>
      <c r="I513" s="39" t="str" cm="1">
        <f t="array" ref="I513">IFERROR(INDEX(Table_dim_price_recipe[Retail Price], MATCH(1, ("Calculator"&lt;&gt;Table_dim_price_recipe[Type.display])*($L513=Table_dim_price_recipe[Category])*($D513=Table_dim_price_recipe[Item Description]) * (I$6=Table_dim_price_recipe[Type])*(Table_dim_price_recipe[Retail Price]&lt;&gt;0)*($C513=Table_dim_price_recipe[Subcategory]), 0))*$B513,"")</f>
        <v/>
      </c>
      <c r="J513" s="39" t="str" cm="1">
        <f t="array" ref="J513">IFERROR(INDEX(Table_dim_price_recipe[Retail Price], MATCH(1, ("Calculator"&lt;&gt;Table_dim_price_recipe[Type.display])*($L513=Table_dim_price_recipe[Category])*($D513=Table_dim_price_recipe[Item Description]) * (J$6=Table_dim_price_recipe[Type])*(Table_dim_price_recipe[Retail Price]&lt;&gt;0)*($C513=Table_dim_price_recipe[Subcategory]), 0))*$B513,"")</f>
        <v/>
      </c>
      <c r="K513" s="39" t="str" cm="1">
        <f t="array" ref="K513">IFERROR(INDEX(Table_dim_price_recipe[Retail Price], MATCH(1, ("Calculator"&lt;&gt;Table_dim_price_recipe[Type.display])*($L513=Table_dim_price_recipe[Category])*($D513=Table_dim_price_recipe[Item Description]) * (K$6=Table_dim_price_recipe[Type])*(Table_dim_price_recipe[Retail Price]&lt;&gt;0)*($C513=Table_dim_price_recipe[Subcategory]), 0))*$B513,"")</f>
        <v/>
      </c>
      <c r="L513" s="39" t="str" cm="1">
        <f t="array" ref="L513">IF($A513&lt;&gt;"", $A513, LOOKUP(2, 1/((A$7:INDEX(A:A, ROW()))&lt;&gt;""), A$7:INDEX(A:A, ROW())))</f>
        <v>ROOFING PRODUCTS</v>
      </c>
      <c r="M513" s="14"/>
    </row>
    <row r="514" spans="1:13">
      <c r="A514" s="263"/>
      <c r="B514" s="263"/>
      <c r="C514" s="263" t="s">
        <v>622</v>
      </c>
      <c r="D514" s="263" t="s">
        <v>624</v>
      </c>
      <c r="E514" s="263"/>
      <c r="F514" s="263"/>
      <c r="G514" s="39" cm="1">
        <f t="array" ref="G514">IFERROR(INDEX(Table_dim_price_recipe[Retail Price], MATCH(1, ("Calculator"&lt;&gt;Table_dim_price_recipe[Type.display])*($L514=Table_dim_price_recipe[Category])*($D514=Table_dim_price_recipe[Item Description]) * (G$6=Table_dim_price_recipe[Type])*(Table_dim_price_recipe[Retail Price]&lt;&gt;0)*($C514=Table_dim_price_recipe[Subcategory]), 0))*$B514,"")</f>
        <v>0</v>
      </c>
      <c r="H514" s="39" t="str" cm="1">
        <f t="array" ref="H514">IFERROR(INDEX(Table_dim_price_recipe[Retail Price], MATCH(1, ("Calculator"&lt;&gt;Table_dim_price_recipe[Type.display])*($L514=Table_dim_price_recipe[Category])*($D514=Table_dim_price_recipe[Item Description]) * (H$6=Table_dim_price_recipe[Type])*(Table_dim_price_recipe[Retail Price]&lt;&gt;0)*($C514=Table_dim_price_recipe[Subcategory]), 0))*$B514,"")</f>
        <v/>
      </c>
      <c r="I514" s="39" t="str" cm="1">
        <f t="array" ref="I514">IFERROR(INDEX(Table_dim_price_recipe[Retail Price], MATCH(1, ("Calculator"&lt;&gt;Table_dim_price_recipe[Type.display])*($L514=Table_dim_price_recipe[Category])*($D514=Table_dim_price_recipe[Item Description]) * (I$6=Table_dim_price_recipe[Type])*(Table_dim_price_recipe[Retail Price]&lt;&gt;0)*($C514=Table_dim_price_recipe[Subcategory]), 0))*$B514,"")</f>
        <v/>
      </c>
      <c r="J514" s="39" t="str" cm="1">
        <f t="array" ref="J514">IFERROR(INDEX(Table_dim_price_recipe[Retail Price], MATCH(1, ("Calculator"&lt;&gt;Table_dim_price_recipe[Type.display])*($L514=Table_dim_price_recipe[Category])*($D514=Table_dim_price_recipe[Item Description]) * (J$6=Table_dim_price_recipe[Type])*(Table_dim_price_recipe[Retail Price]&lt;&gt;0)*($C514=Table_dim_price_recipe[Subcategory]), 0))*$B514,"")</f>
        <v/>
      </c>
      <c r="K514" s="39" t="str" cm="1">
        <f t="array" ref="K514">IFERROR(INDEX(Table_dim_price_recipe[Retail Price], MATCH(1, ("Calculator"&lt;&gt;Table_dim_price_recipe[Type.display])*($L514=Table_dim_price_recipe[Category])*($D514=Table_dim_price_recipe[Item Description]) * (K$6=Table_dim_price_recipe[Type])*(Table_dim_price_recipe[Retail Price]&lt;&gt;0)*($C514=Table_dim_price_recipe[Subcategory]), 0))*$B514,"")</f>
        <v/>
      </c>
      <c r="L514" s="39" t="str" cm="1">
        <f t="array" ref="L514">IF($A514&lt;&gt;"", $A514, LOOKUP(2, 1/((A$7:INDEX(A:A, ROW()))&lt;&gt;""), A$7:INDEX(A:A, ROW())))</f>
        <v>ROOFING PRODUCTS</v>
      </c>
      <c r="M514" s="14"/>
    </row>
    <row r="515" spans="1:13">
      <c r="A515" s="263"/>
      <c r="B515" s="263"/>
      <c r="C515" s="263" t="s">
        <v>622</v>
      </c>
      <c r="D515" s="263" t="s">
        <v>623</v>
      </c>
      <c r="E515" s="263"/>
      <c r="F515" s="263"/>
      <c r="G515" s="39" cm="1">
        <f t="array" ref="G515">IFERROR(INDEX(Table_dim_price_recipe[Retail Price], MATCH(1, ("Calculator"&lt;&gt;Table_dim_price_recipe[Type.display])*($L515=Table_dim_price_recipe[Category])*($D515=Table_dim_price_recipe[Item Description]) * (G$6=Table_dim_price_recipe[Type])*(Table_dim_price_recipe[Retail Price]&lt;&gt;0)*($C515=Table_dim_price_recipe[Subcategory]), 0))*$B515,"")</f>
        <v>0</v>
      </c>
      <c r="H515" s="39" t="str" cm="1">
        <f t="array" ref="H515">IFERROR(INDEX(Table_dim_price_recipe[Retail Price], MATCH(1, ("Calculator"&lt;&gt;Table_dim_price_recipe[Type.display])*($L515=Table_dim_price_recipe[Category])*($D515=Table_dim_price_recipe[Item Description]) * (H$6=Table_dim_price_recipe[Type])*(Table_dim_price_recipe[Retail Price]&lt;&gt;0)*($C515=Table_dim_price_recipe[Subcategory]), 0))*$B515,"")</f>
        <v/>
      </c>
      <c r="I515" s="39" t="str" cm="1">
        <f t="array" ref="I515">IFERROR(INDEX(Table_dim_price_recipe[Retail Price], MATCH(1, ("Calculator"&lt;&gt;Table_dim_price_recipe[Type.display])*($L515=Table_dim_price_recipe[Category])*($D515=Table_dim_price_recipe[Item Description]) * (I$6=Table_dim_price_recipe[Type])*(Table_dim_price_recipe[Retail Price]&lt;&gt;0)*($C515=Table_dim_price_recipe[Subcategory]), 0))*$B515,"")</f>
        <v/>
      </c>
      <c r="J515" s="39" t="str" cm="1">
        <f t="array" ref="J515">IFERROR(INDEX(Table_dim_price_recipe[Retail Price], MATCH(1, ("Calculator"&lt;&gt;Table_dim_price_recipe[Type.display])*($L515=Table_dim_price_recipe[Category])*($D515=Table_dim_price_recipe[Item Description]) * (J$6=Table_dim_price_recipe[Type])*(Table_dim_price_recipe[Retail Price]&lt;&gt;0)*($C515=Table_dim_price_recipe[Subcategory]), 0))*$B515,"")</f>
        <v/>
      </c>
      <c r="K515" s="39" t="str" cm="1">
        <f t="array" ref="K515">IFERROR(INDEX(Table_dim_price_recipe[Retail Price], MATCH(1, ("Calculator"&lt;&gt;Table_dim_price_recipe[Type.display])*($L515=Table_dim_price_recipe[Category])*($D515=Table_dim_price_recipe[Item Description]) * (K$6=Table_dim_price_recipe[Type])*(Table_dim_price_recipe[Retail Price]&lt;&gt;0)*($C515=Table_dim_price_recipe[Subcategory]), 0))*$B515,"")</f>
        <v/>
      </c>
      <c r="L515" s="39" t="str" cm="1">
        <f t="array" ref="L515">IF($A515&lt;&gt;"", $A515, LOOKUP(2, 1/((A$7:INDEX(A:A, ROW()))&lt;&gt;""), A$7:INDEX(A:A, ROW())))</f>
        <v>ROOFING PRODUCTS</v>
      </c>
      <c r="M515" s="14"/>
    </row>
    <row r="516" spans="1:13">
      <c r="A516" s="263"/>
      <c r="B516" s="263"/>
      <c r="C516" s="263" t="s">
        <v>622</v>
      </c>
      <c r="D516" s="263" t="s">
        <v>625</v>
      </c>
      <c r="E516" s="263"/>
      <c r="F516" s="263"/>
      <c r="G516" s="39" cm="1">
        <f t="array" ref="G516">IFERROR(INDEX(Table_dim_price_recipe[Retail Price], MATCH(1, ("Calculator"&lt;&gt;Table_dim_price_recipe[Type.display])*($L516=Table_dim_price_recipe[Category])*($D516=Table_dim_price_recipe[Item Description]) * (G$6=Table_dim_price_recipe[Type])*(Table_dim_price_recipe[Retail Price]&lt;&gt;0)*($C516=Table_dim_price_recipe[Subcategory]), 0))*$B516,"")</f>
        <v>0</v>
      </c>
      <c r="H516" s="39" t="str" cm="1">
        <f t="array" ref="H516">IFERROR(INDEX(Table_dim_price_recipe[Retail Price], MATCH(1, ("Calculator"&lt;&gt;Table_dim_price_recipe[Type.display])*($L516=Table_dim_price_recipe[Category])*($D516=Table_dim_price_recipe[Item Description]) * (H$6=Table_dim_price_recipe[Type])*(Table_dim_price_recipe[Retail Price]&lt;&gt;0)*($C516=Table_dim_price_recipe[Subcategory]), 0))*$B516,"")</f>
        <v/>
      </c>
      <c r="I516" s="39" t="str" cm="1">
        <f t="array" ref="I516">IFERROR(INDEX(Table_dim_price_recipe[Retail Price], MATCH(1, ("Calculator"&lt;&gt;Table_dim_price_recipe[Type.display])*($L516=Table_dim_price_recipe[Category])*($D516=Table_dim_price_recipe[Item Description]) * (I$6=Table_dim_price_recipe[Type])*(Table_dim_price_recipe[Retail Price]&lt;&gt;0)*($C516=Table_dim_price_recipe[Subcategory]), 0))*$B516,"")</f>
        <v/>
      </c>
      <c r="J516" s="39" t="str" cm="1">
        <f t="array" ref="J516">IFERROR(INDEX(Table_dim_price_recipe[Retail Price], MATCH(1, ("Calculator"&lt;&gt;Table_dim_price_recipe[Type.display])*($L516=Table_dim_price_recipe[Category])*($D516=Table_dim_price_recipe[Item Description]) * (J$6=Table_dim_price_recipe[Type])*(Table_dim_price_recipe[Retail Price]&lt;&gt;0)*($C516=Table_dim_price_recipe[Subcategory]), 0))*$B516,"")</f>
        <v/>
      </c>
      <c r="K516" s="39" t="str" cm="1">
        <f t="array" ref="K516">IFERROR(INDEX(Table_dim_price_recipe[Retail Price], MATCH(1, ("Calculator"&lt;&gt;Table_dim_price_recipe[Type.display])*($L516=Table_dim_price_recipe[Category])*($D516=Table_dim_price_recipe[Item Description]) * (K$6=Table_dim_price_recipe[Type])*(Table_dim_price_recipe[Retail Price]&lt;&gt;0)*($C516=Table_dim_price_recipe[Subcategory]), 0))*$B516,"")</f>
        <v/>
      </c>
      <c r="L516" s="39" t="str" cm="1">
        <f t="array" ref="L516">IF($A516&lt;&gt;"", $A516, LOOKUP(2, 1/((A$7:INDEX(A:A, ROW()))&lt;&gt;""), A$7:INDEX(A:A, ROW())))</f>
        <v>ROOFING PRODUCTS</v>
      </c>
      <c r="M516" s="14"/>
    </row>
    <row r="517" spans="1:13">
      <c r="A517" s="263"/>
      <c r="B517" s="263"/>
      <c r="C517" s="263" t="s">
        <v>622</v>
      </c>
      <c r="D517" s="263"/>
      <c r="E517" s="263"/>
      <c r="F517" s="263"/>
      <c r="G517" s="39" t="str" cm="1">
        <f t="array" ref="G517">IFERROR(INDEX(Table_dim_price_recipe[Retail Price], MATCH(1, ("Calculator"&lt;&gt;Table_dim_price_recipe[Type.display])*($L517=Table_dim_price_recipe[Category])*($D517=Table_dim_price_recipe[Item Description]) * (G$6=Table_dim_price_recipe[Type])*(Table_dim_price_recipe[Retail Price]&lt;&gt;0)*($C517=Table_dim_price_recipe[Subcategory]), 0))*$B517,"")</f>
        <v/>
      </c>
      <c r="H517" s="39" t="str" cm="1">
        <f t="array" ref="H517">IFERROR(INDEX(Table_dim_price_recipe[Retail Price], MATCH(1, ("Calculator"&lt;&gt;Table_dim_price_recipe[Type.display])*($L517=Table_dim_price_recipe[Category])*($D517=Table_dim_price_recipe[Item Description]) * (H$6=Table_dim_price_recipe[Type])*(Table_dim_price_recipe[Retail Price]&lt;&gt;0)*($C517=Table_dim_price_recipe[Subcategory]), 0))*$B517,"")</f>
        <v/>
      </c>
      <c r="I517" s="39" t="str" cm="1">
        <f t="array" ref="I517">IFERROR(INDEX(Table_dim_price_recipe[Retail Price], MATCH(1, ("Calculator"&lt;&gt;Table_dim_price_recipe[Type.display])*($L517=Table_dim_price_recipe[Category])*($D517=Table_dim_price_recipe[Item Description]) * (I$6=Table_dim_price_recipe[Type])*(Table_dim_price_recipe[Retail Price]&lt;&gt;0)*($C517=Table_dim_price_recipe[Subcategory]), 0))*$B517,"")</f>
        <v/>
      </c>
      <c r="J517" s="39" t="str" cm="1">
        <f t="array" ref="J517">IFERROR(INDEX(Table_dim_price_recipe[Retail Price], MATCH(1, ("Calculator"&lt;&gt;Table_dim_price_recipe[Type.display])*($L517=Table_dim_price_recipe[Category])*($D517=Table_dim_price_recipe[Item Description]) * (J$6=Table_dim_price_recipe[Type])*(Table_dim_price_recipe[Retail Price]&lt;&gt;0)*($C517=Table_dim_price_recipe[Subcategory]), 0))*$B517,"")</f>
        <v/>
      </c>
      <c r="K517" s="39" t="str" cm="1">
        <f t="array" ref="K517">IFERROR(INDEX(Table_dim_price_recipe[Retail Price], MATCH(1, ("Calculator"&lt;&gt;Table_dim_price_recipe[Type.display])*($L517=Table_dim_price_recipe[Category])*($D517=Table_dim_price_recipe[Item Description]) * (K$6=Table_dim_price_recipe[Type])*(Table_dim_price_recipe[Retail Price]&lt;&gt;0)*($C517=Table_dim_price_recipe[Subcategory]), 0))*$B517,"")</f>
        <v/>
      </c>
      <c r="L517" s="39" t="str" cm="1">
        <f t="array" ref="L517">IF($A517&lt;&gt;"", $A517, LOOKUP(2, 1/((A$7:INDEX(A:A, ROW()))&lt;&gt;""), A$7:INDEX(A:A, ROW())))</f>
        <v>ROOFING PRODUCTS</v>
      </c>
      <c r="M517" s="14"/>
    </row>
    <row r="518" spans="1:13">
      <c r="A518" s="263"/>
      <c r="B518" s="263"/>
      <c r="C518" s="263" t="s">
        <v>622</v>
      </c>
      <c r="D518" s="263"/>
      <c r="E518" s="263"/>
      <c r="F518" s="263"/>
      <c r="G518" s="39" t="str" cm="1">
        <f t="array" ref="G518">IFERROR(INDEX(Table_dim_price_recipe[Retail Price], MATCH(1, ("Calculator"&lt;&gt;Table_dim_price_recipe[Type.display])*($L518=Table_dim_price_recipe[Category])*($D518=Table_dim_price_recipe[Item Description]) * (G$6=Table_dim_price_recipe[Type])*(Table_dim_price_recipe[Retail Price]&lt;&gt;0)*($C518=Table_dim_price_recipe[Subcategory]), 0))*$B518,"")</f>
        <v/>
      </c>
      <c r="H518" s="39" t="str" cm="1">
        <f t="array" ref="H518">IFERROR(INDEX(Table_dim_price_recipe[Retail Price], MATCH(1, ("Calculator"&lt;&gt;Table_dim_price_recipe[Type.display])*($L518=Table_dim_price_recipe[Category])*($D518=Table_dim_price_recipe[Item Description]) * (H$6=Table_dim_price_recipe[Type])*(Table_dim_price_recipe[Retail Price]&lt;&gt;0)*($C518=Table_dim_price_recipe[Subcategory]), 0))*$B518,"")</f>
        <v/>
      </c>
      <c r="I518" s="39" t="str" cm="1">
        <f t="array" ref="I518">IFERROR(INDEX(Table_dim_price_recipe[Retail Price], MATCH(1, ("Calculator"&lt;&gt;Table_dim_price_recipe[Type.display])*($L518=Table_dim_price_recipe[Category])*($D518=Table_dim_price_recipe[Item Description]) * (I$6=Table_dim_price_recipe[Type])*(Table_dim_price_recipe[Retail Price]&lt;&gt;0)*($C518=Table_dim_price_recipe[Subcategory]), 0))*$B518,"")</f>
        <v/>
      </c>
      <c r="J518" s="39" t="str" cm="1">
        <f t="array" ref="J518">IFERROR(INDEX(Table_dim_price_recipe[Retail Price], MATCH(1, ("Calculator"&lt;&gt;Table_dim_price_recipe[Type.display])*($L518=Table_dim_price_recipe[Category])*($D518=Table_dim_price_recipe[Item Description]) * (J$6=Table_dim_price_recipe[Type])*(Table_dim_price_recipe[Retail Price]&lt;&gt;0)*($C518=Table_dim_price_recipe[Subcategory]), 0))*$B518,"")</f>
        <v/>
      </c>
      <c r="K518" s="39" t="str" cm="1">
        <f t="array" ref="K518">IFERROR(INDEX(Table_dim_price_recipe[Retail Price], MATCH(1, ("Calculator"&lt;&gt;Table_dim_price_recipe[Type.display])*($L518=Table_dim_price_recipe[Category])*($D518=Table_dim_price_recipe[Item Description]) * (K$6=Table_dim_price_recipe[Type])*(Table_dim_price_recipe[Retail Price]&lt;&gt;0)*($C518=Table_dim_price_recipe[Subcategory]), 0))*$B518,"")</f>
        <v/>
      </c>
      <c r="L518" s="39" t="str" cm="1">
        <f t="array" ref="L518">IF($A518&lt;&gt;"", $A518, LOOKUP(2, 1/((A$7:INDEX(A:A, ROW()))&lt;&gt;""), A$7:INDEX(A:A, ROW())))</f>
        <v>ROOFING PRODUCTS</v>
      </c>
      <c r="M518" s="14"/>
    </row>
    <row r="519" spans="1:13">
      <c r="A519" s="263"/>
      <c r="B519" s="263"/>
      <c r="C519" s="263" t="s">
        <v>616</v>
      </c>
      <c r="D519" s="263"/>
      <c r="E519" s="263"/>
      <c r="F519" s="263"/>
      <c r="G519" s="39" t="str" cm="1">
        <f t="array" ref="G519">IFERROR(INDEX(Table_dim_price_recipe[Retail Price], MATCH(1, ("Calculator"&lt;&gt;Table_dim_price_recipe[Type.display])*($L519=Table_dim_price_recipe[Category])*($D519=Table_dim_price_recipe[Item Description]) * (G$6=Table_dim_price_recipe[Type])*(Table_dim_price_recipe[Retail Price]&lt;&gt;0)*($C519=Table_dim_price_recipe[Subcategory]), 0))*$B519,"")</f>
        <v/>
      </c>
      <c r="H519" s="39" t="str" cm="1">
        <f t="array" ref="H519">IFERROR(INDEX(Table_dim_price_recipe[Retail Price], MATCH(1, ("Calculator"&lt;&gt;Table_dim_price_recipe[Type.display])*($L519=Table_dim_price_recipe[Category])*($D519=Table_dim_price_recipe[Item Description]) * (H$6=Table_dim_price_recipe[Type])*(Table_dim_price_recipe[Retail Price]&lt;&gt;0)*($C519=Table_dim_price_recipe[Subcategory]), 0))*$B519,"")</f>
        <v/>
      </c>
      <c r="I519" s="39" t="str" cm="1">
        <f t="array" ref="I519">IFERROR(INDEX(Table_dim_price_recipe[Retail Price], MATCH(1, ("Calculator"&lt;&gt;Table_dim_price_recipe[Type.display])*($L519=Table_dim_price_recipe[Category])*($D519=Table_dim_price_recipe[Item Description]) * (I$6=Table_dim_price_recipe[Type])*(Table_dim_price_recipe[Retail Price]&lt;&gt;0)*($C519=Table_dim_price_recipe[Subcategory]), 0))*$B519,"")</f>
        <v/>
      </c>
      <c r="J519" s="39" t="str" cm="1">
        <f t="array" ref="J519">IFERROR(INDEX(Table_dim_price_recipe[Retail Price], MATCH(1, ("Calculator"&lt;&gt;Table_dim_price_recipe[Type.display])*($L519=Table_dim_price_recipe[Category])*($D519=Table_dim_price_recipe[Item Description]) * (J$6=Table_dim_price_recipe[Type])*(Table_dim_price_recipe[Retail Price]&lt;&gt;0)*($C519=Table_dim_price_recipe[Subcategory]), 0))*$B519,"")</f>
        <v/>
      </c>
      <c r="K519" s="39" t="str" cm="1">
        <f t="array" ref="K519">IFERROR(INDEX(Table_dim_price_recipe[Retail Price], MATCH(1, ("Calculator"&lt;&gt;Table_dim_price_recipe[Type.display])*($L519=Table_dim_price_recipe[Category])*($D519=Table_dim_price_recipe[Item Description]) * (K$6=Table_dim_price_recipe[Type])*(Table_dim_price_recipe[Retail Price]&lt;&gt;0)*($C519=Table_dim_price_recipe[Subcategory]), 0))*$B519,"")</f>
        <v/>
      </c>
      <c r="L519" s="39" t="str" cm="1">
        <f t="array" ref="L519">IF($A519&lt;&gt;"", $A519, LOOKUP(2, 1/((A$7:INDEX(A:A, ROW()))&lt;&gt;""), A$7:INDEX(A:A, ROW())))</f>
        <v>ROOFING PRODUCTS</v>
      </c>
      <c r="M519" s="14"/>
    </row>
    <row r="520" spans="1:13">
      <c r="A520" s="263"/>
      <c r="B520" s="263"/>
      <c r="C520" s="263" t="s">
        <v>616</v>
      </c>
      <c r="D520" s="263"/>
      <c r="E520" s="263"/>
      <c r="F520" s="263"/>
      <c r="G520" s="39" t="str" cm="1">
        <f t="array" ref="G520">IFERROR(INDEX(Table_dim_price_recipe[Retail Price], MATCH(1, ("Calculator"&lt;&gt;Table_dim_price_recipe[Type.display])*($L520=Table_dim_price_recipe[Category])*($D520=Table_dim_price_recipe[Item Description]) * (G$6=Table_dim_price_recipe[Type])*(Table_dim_price_recipe[Retail Price]&lt;&gt;0)*($C520=Table_dim_price_recipe[Subcategory]), 0))*$B520,"")</f>
        <v/>
      </c>
      <c r="H520" s="39" t="str" cm="1">
        <f t="array" ref="H520">IFERROR(INDEX(Table_dim_price_recipe[Retail Price], MATCH(1, ("Calculator"&lt;&gt;Table_dim_price_recipe[Type.display])*($L520=Table_dim_price_recipe[Category])*($D520=Table_dim_price_recipe[Item Description]) * (H$6=Table_dim_price_recipe[Type])*(Table_dim_price_recipe[Retail Price]&lt;&gt;0)*($C520=Table_dim_price_recipe[Subcategory]), 0))*$B520,"")</f>
        <v/>
      </c>
      <c r="I520" s="39" t="str" cm="1">
        <f t="array" ref="I520">IFERROR(INDEX(Table_dim_price_recipe[Retail Price], MATCH(1, ("Calculator"&lt;&gt;Table_dim_price_recipe[Type.display])*($L520=Table_dim_price_recipe[Category])*($D520=Table_dim_price_recipe[Item Description]) * (I$6=Table_dim_price_recipe[Type])*(Table_dim_price_recipe[Retail Price]&lt;&gt;0)*($C520=Table_dim_price_recipe[Subcategory]), 0))*$B520,"")</f>
        <v/>
      </c>
      <c r="J520" s="39" t="str" cm="1">
        <f t="array" ref="J520">IFERROR(INDEX(Table_dim_price_recipe[Retail Price], MATCH(1, ("Calculator"&lt;&gt;Table_dim_price_recipe[Type.display])*($L520=Table_dim_price_recipe[Category])*($D520=Table_dim_price_recipe[Item Description]) * (J$6=Table_dim_price_recipe[Type])*(Table_dim_price_recipe[Retail Price]&lt;&gt;0)*($C520=Table_dim_price_recipe[Subcategory]), 0))*$B520,"")</f>
        <v/>
      </c>
      <c r="K520" s="39" t="str" cm="1">
        <f t="array" ref="K520">IFERROR(INDEX(Table_dim_price_recipe[Retail Price], MATCH(1, ("Calculator"&lt;&gt;Table_dim_price_recipe[Type.display])*($L520=Table_dim_price_recipe[Category])*($D520=Table_dim_price_recipe[Item Description]) * (K$6=Table_dim_price_recipe[Type])*(Table_dim_price_recipe[Retail Price]&lt;&gt;0)*($C520=Table_dim_price_recipe[Subcategory]), 0))*$B520,"")</f>
        <v/>
      </c>
      <c r="L520" s="39" t="str" cm="1">
        <f t="array" ref="L520">IF($A520&lt;&gt;"", $A520, LOOKUP(2, 1/((A$7:INDEX(A:A, ROW()))&lt;&gt;""), A$7:INDEX(A:A, ROW())))</f>
        <v>ROOFING PRODUCTS</v>
      </c>
      <c r="M520" s="14"/>
    </row>
    <row r="521" spans="1:13">
      <c r="A521" s="263"/>
      <c r="B521" s="263"/>
      <c r="C521" s="263" t="s">
        <v>617</v>
      </c>
      <c r="D521" s="263" t="s">
        <v>618</v>
      </c>
      <c r="E521" s="263"/>
      <c r="F521" s="263"/>
      <c r="G521" s="39" cm="1">
        <f t="array" ref="G521">IFERROR(INDEX(Table_dim_price_recipe[Retail Price], MATCH(1, ("Calculator"&lt;&gt;Table_dim_price_recipe[Type.display])*($L521=Table_dim_price_recipe[Category])*($D521=Table_dim_price_recipe[Item Description]) * (G$6=Table_dim_price_recipe[Type])*(Table_dim_price_recipe[Retail Price]&lt;&gt;0)*($C521=Table_dim_price_recipe[Subcategory]), 0))*$B521,"")</f>
        <v>0</v>
      </c>
      <c r="H521" s="39" t="str" cm="1">
        <f t="array" ref="H521">IFERROR(INDEX(Table_dim_price_recipe[Retail Price], MATCH(1, ("Calculator"&lt;&gt;Table_dim_price_recipe[Type.display])*($L521=Table_dim_price_recipe[Category])*($D521=Table_dim_price_recipe[Item Description]) * (H$6=Table_dim_price_recipe[Type])*(Table_dim_price_recipe[Retail Price]&lt;&gt;0)*($C521=Table_dim_price_recipe[Subcategory]), 0))*$B521,"")</f>
        <v/>
      </c>
      <c r="I521" s="39" t="str" cm="1">
        <f t="array" ref="I521">IFERROR(INDEX(Table_dim_price_recipe[Retail Price], MATCH(1, ("Calculator"&lt;&gt;Table_dim_price_recipe[Type.display])*($L521=Table_dim_price_recipe[Category])*($D521=Table_dim_price_recipe[Item Description]) * (I$6=Table_dim_price_recipe[Type])*(Table_dim_price_recipe[Retail Price]&lt;&gt;0)*($C521=Table_dim_price_recipe[Subcategory]), 0))*$B521,"")</f>
        <v/>
      </c>
      <c r="J521" s="39" t="str" cm="1">
        <f t="array" ref="J521">IFERROR(INDEX(Table_dim_price_recipe[Retail Price], MATCH(1, ("Calculator"&lt;&gt;Table_dim_price_recipe[Type.display])*($L521=Table_dim_price_recipe[Category])*($D521=Table_dim_price_recipe[Item Description]) * (J$6=Table_dim_price_recipe[Type])*(Table_dim_price_recipe[Retail Price]&lt;&gt;0)*($C521=Table_dim_price_recipe[Subcategory]), 0))*$B521,"")</f>
        <v/>
      </c>
      <c r="K521" s="39" t="str" cm="1">
        <f t="array" ref="K521">IFERROR(INDEX(Table_dim_price_recipe[Retail Price], MATCH(1, ("Calculator"&lt;&gt;Table_dim_price_recipe[Type.display])*($L521=Table_dim_price_recipe[Category])*($D521=Table_dim_price_recipe[Item Description]) * (K$6=Table_dim_price_recipe[Type])*(Table_dim_price_recipe[Retail Price]&lt;&gt;0)*($C521=Table_dim_price_recipe[Subcategory]), 0))*$B521,"")</f>
        <v/>
      </c>
      <c r="L521" s="39" t="str" cm="1">
        <f t="array" ref="L521">IF($A521&lt;&gt;"", $A521, LOOKUP(2, 1/((A$7:INDEX(A:A, ROW()))&lt;&gt;""), A$7:INDEX(A:A, ROW())))</f>
        <v>ROOFING PRODUCTS</v>
      </c>
      <c r="M521" s="14"/>
    </row>
    <row r="522" spans="1:13">
      <c r="A522" s="263"/>
      <c r="B522" s="263"/>
      <c r="C522" s="263" t="s">
        <v>617</v>
      </c>
      <c r="D522" s="263" t="s">
        <v>619</v>
      </c>
      <c r="E522" s="263"/>
      <c r="F522" s="263"/>
      <c r="G522" s="39" cm="1">
        <f t="array" ref="G522">IFERROR(INDEX(Table_dim_price_recipe[Retail Price], MATCH(1, ("Calculator"&lt;&gt;Table_dim_price_recipe[Type.display])*($L522=Table_dim_price_recipe[Category])*($D522=Table_dim_price_recipe[Item Description]) * (G$6=Table_dim_price_recipe[Type])*(Table_dim_price_recipe[Retail Price]&lt;&gt;0)*($C522=Table_dim_price_recipe[Subcategory]), 0))*$B522,"")</f>
        <v>0</v>
      </c>
      <c r="H522" s="39" t="str" cm="1">
        <f t="array" ref="H522">IFERROR(INDEX(Table_dim_price_recipe[Retail Price], MATCH(1, ("Calculator"&lt;&gt;Table_dim_price_recipe[Type.display])*($L522=Table_dim_price_recipe[Category])*($D522=Table_dim_price_recipe[Item Description]) * (H$6=Table_dim_price_recipe[Type])*(Table_dim_price_recipe[Retail Price]&lt;&gt;0)*($C522=Table_dim_price_recipe[Subcategory]), 0))*$B522,"")</f>
        <v/>
      </c>
      <c r="I522" s="39" t="str" cm="1">
        <f t="array" ref="I522">IFERROR(INDEX(Table_dim_price_recipe[Retail Price], MATCH(1, ("Calculator"&lt;&gt;Table_dim_price_recipe[Type.display])*($L522=Table_dim_price_recipe[Category])*($D522=Table_dim_price_recipe[Item Description]) * (I$6=Table_dim_price_recipe[Type])*(Table_dim_price_recipe[Retail Price]&lt;&gt;0)*($C522=Table_dim_price_recipe[Subcategory]), 0))*$B522,"")</f>
        <v/>
      </c>
      <c r="J522" s="39" t="str" cm="1">
        <f t="array" ref="J522">IFERROR(INDEX(Table_dim_price_recipe[Retail Price], MATCH(1, ("Calculator"&lt;&gt;Table_dim_price_recipe[Type.display])*($L522=Table_dim_price_recipe[Category])*($D522=Table_dim_price_recipe[Item Description]) * (J$6=Table_dim_price_recipe[Type])*(Table_dim_price_recipe[Retail Price]&lt;&gt;0)*($C522=Table_dim_price_recipe[Subcategory]), 0))*$B522,"")</f>
        <v/>
      </c>
      <c r="K522" s="39" t="str" cm="1">
        <f t="array" ref="K522">IFERROR(INDEX(Table_dim_price_recipe[Retail Price], MATCH(1, ("Calculator"&lt;&gt;Table_dim_price_recipe[Type.display])*($L522=Table_dim_price_recipe[Category])*($D522=Table_dim_price_recipe[Item Description]) * (K$6=Table_dim_price_recipe[Type])*(Table_dim_price_recipe[Retail Price]&lt;&gt;0)*($C522=Table_dim_price_recipe[Subcategory]), 0))*$B522,"")</f>
        <v/>
      </c>
      <c r="L522" s="39" t="str" cm="1">
        <f t="array" ref="L522">IF($A522&lt;&gt;"", $A522, LOOKUP(2, 1/((A$7:INDEX(A:A, ROW()))&lt;&gt;""), A$7:INDEX(A:A, ROW())))</f>
        <v>ROOFING PRODUCTS</v>
      </c>
      <c r="M522" s="14"/>
    </row>
    <row r="523" spans="1:13">
      <c r="A523" s="263"/>
      <c r="B523" s="263"/>
      <c r="C523" s="263" t="s">
        <v>617</v>
      </c>
      <c r="D523" s="263" t="s">
        <v>621</v>
      </c>
      <c r="E523" s="263"/>
      <c r="F523" s="263"/>
      <c r="G523" s="39" cm="1">
        <f t="array" ref="G523">IFERROR(INDEX(Table_dim_price_recipe[Retail Price], MATCH(1, ("Calculator"&lt;&gt;Table_dim_price_recipe[Type.display])*($L523=Table_dim_price_recipe[Category])*($D523=Table_dim_price_recipe[Item Description]) * (G$6=Table_dim_price_recipe[Type])*(Table_dim_price_recipe[Retail Price]&lt;&gt;0)*($C523=Table_dim_price_recipe[Subcategory]), 0))*$B523,"")</f>
        <v>0</v>
      </c>
      <c r="H523" s="39" t="str" cm="1">
        <f t="array" ref="H523">IFERROR(INDEX(Table_dim_price_recipe[Retail Price], MATCH(1, ("Calculator"&lt;&gt;Table_dim_price_recipe[Type.display])*($L523=Table_dim_price_recipe[Category])*($D523=Table_dim_price_recipe[Item Description]) * (H$6=Table_dim_price_recipe[Type])*(Table_dim_price_recipe[Retail Price]&lt;&gt;0)*($C523=Table_dim_price_recipe[Subcategory]), 0))*$B523,"")</f>
        <v/>
      </c>
      <c r="I523" s="39" t="str" cm="1">
        <f t="array" ref="I523">IFERROR(INDEX(Table_dim_price_recipe[Retail Price], MATCH(1, ("Calculator"&lt;&gt;Table_dim_price_recipe[Type.display])*($L523=Table_dim_price_recipe[Category])*($D523=Table_dim_price_recipe[Item Description]) * (I$6=Table_dim_price_recipe[Type])*(Table_dim_price_recipe[Retail Price]&lt;&gt;0)*($C523=Table_dim_price_recipe[Subcategory]), 0))*$B523,"")</f>
        <v/>
      </c>
      <c r="J523" s="39" t="str" cm="1">
        <f t="array" ref="J523">IFERROR(INDEX(Table_dim_price_recipe[Retail Price], MATCH(1, ("Calculator"&lt;&gt;Table_dim_price_recipe[Type.display])*($L523=Table_dim_price_recipe[Category])*($D523=Table_dim_price_recipe[Item Description]) * (J$6=Table_dim_price_recipe[Type])*(Table_dim_price_recipe[Retail Price]&lt;&gt;0)*($C523=Table_dim_price_recipe[Subcategory]), 0))*$B523,"")</f>
        <v/>
      </c>
      <c r="K523" s="39" t="str" cm="1">
        <f t="array" ref="K523">IFERROR(INDEX(Table_dim_price_recipe[Retail Price], MATCH(1, ("Calculator"&lt;&gt;Table_dim_price_recipe[Type.display])*($L523=Table_dim_price_recipe[Category])*($D523=Table_dim_price_recipe[Item Description]) * (K$6=Table_dim_price_recipe[Type])*(Table_dim_price_recipe[Retail Price]&lt;&gt;0)*($C523=Table_dim_price_recipe[Subcategory]), 0))*$B523,"")</f>
        <v/>
      </c>
      <c r="L523" s="39" t="str" cm="1">
        <f t="array" ref="L523">IF($A523&lt;&gt;"", $A523, LOOKUP(2, 1/((A$7:INDEX(A:A, ROW()))&lt;&gt;""), A$7:INDEX(A:A, ROW())))</f>
        <v>ROOFING PRODUCTS</v>
      </c>
      <c r="M523" s="14"/>
    </row>
    <row r="524" spans="1:13">
      <c r="A524" s="263"/>
      <c r="B524" s="263"/>
      <c r="C524" s="263" t="s">
        <v>617</v>
      </c>
      <c r="D524" s="263" t="s">
        <v>620</v>
      </c>
      <c r="E524" s="263"/>
      <c r="F524" s="263"/>
      <c r="G524" s="39" cm="1">
        <f t="array" ref="G524">IFERROR(INDEX(Table_dim_price_recipe[Retail Price], MATCH(1, ("Calculator"&lt;&gt;Table_dim_price_recipe[Type.display])*($L524=Table_dim_price_recipe[Category])*($D524=Table_dim_price_recipe[Item Description]) * (G$6=Table_dim_price_recipe[Type])*(Table_dim_price_recipe[Retail Price]&lt;&gt;0)*($C524=Table_dim_price_recipe[Subcategory]), 0))*$B524,"")</f>
        <v>0</v>
      </c>
      <c r="H524" s="39" t="str" cm="1">
        <f t="array" ref="H524">IFERROR(INDEX(Table_dim_price_recipe[Retail Price], MATCH(1, ("Calculator"&lt;&gt;Table_dim_price_recipe[Type.display])*($L524=Table_dim_price_recipe[Category])*($D524=Table_dim_price_recipe[Item Description]) * (H$6=Table_dim_price_recipe[Type])*(Table_dim_price_recipe[Retail Price]&lt;&gt;0)*($C524=Table_dim_price_recipe[Subcategory]), 0))*$B524,"")</f>
        <v/>
      </c>
      <c r="I524" s="39" t="str" cm="1">
        <f t="array" ref="I524">IFERROR(INDEX(Table_dim_price_recipe[Retail Price], MATCH(1, ("Calculator"&lt;&gt;Table_dim_price_recipe[Type.display])*($L524=Table_dim_price_recipe[Category])*($D524=Table_dim_price_recipe[Item Description]) * (I$6=Table_dim_price_recipe[Type])*(Table_dim_price_recipe[Retail Price]&lt;&gt;0)*($C524=Table_dim_price_recipe[Subcategory]), 0))*$B524,"")</f>
        <v/>
      </c>
      <c r="J524" s="39" t="str" cm="1">
        <f t="array" ref="J524">IFERROR(INDEX(Table_dim_price_recipe[Retail Price], MATCH(1, ("Calculator"&lt;&gt;Table_dim_price_recipe[Type.display])*($L524=Table_dim_price_recipe[Category])*($D524=Table_dim_price_recipe[Item Description]) * (J$6=Table_dim_price_recipe[Type])*(Table_dim_price_recipe[Retail Price]&lt;&gt;0)*($C524=Table_dim_price_recipe[Subcategory]), 0))*$B524,"")</f>
        <v/>
      </c>
      <c r="K524" s="39" t="str" cm="1">
        <f t="array" ref="K524">IFERROR(INDEX(Table_dim_price_recipe[Retail Price], MATCH(1, ("Calculator"&lt;&gt;Table_dim_price_recipe[Type.display])*($L524=Table_dim_price_recipe[Category])*($D524=Table_dim_price_recipe[Item Description]) * (K$6=Table_dim_price_recipe[Type])*(Table_dim_price_recipe[Retail Price]&lt;&gt;0)*($C524=Table_dim_price_recipe[Subcategory]), 0))*$B524,"")</f>
        <v/>
      </c>
      <c r="L524" s="39" t="str" cm="1">
        <f t="array" ref="L524">IF($A524&lt;&gt;"", $A524, LOOKUP(2, 1/((A$7:INDEX(A:A, ROW()))&lt;&gt;""), A$7:INDEX(A:A, ROW())))</f>
        <v>ROOFING PRODUCTS</v>
      </c>
      <c r="M524" s="14"/>
    </row>
    <row r="525" spans="1:13">
      <c r="A525" s="263"/>
      <c r="B525" s="263"/>
      <c r="C525" s="263" t="s">
        <v>617</v>
      </c>
      <c r="D525" s="263"/>
      <c r="E525" s="263"/>
      <c r="F525" s="263"/>
      <c r="G525" s="39" t="str" cm="1">
        <f t="array" ref="G525">IFERROR(INDEX(Table_dim_price_recipe[Retail Price], MATCH(1, ("Calculator"&lt;&gt;Table_dim_price_recipe[Type.display])*($L525=Table_dim_price_recipe[Category])*($D525=Table_dim_price_recipe[Item Description]) * (G$6=Table_dim_price_recipe[Type])*(Table_dim_price_recipe[Retail Price]&lt;&gt;0)*($C525=Table_dim_price_recipe[Subcategory]), 0))*$B525,"")</f>
        <v/>
      </c>
      <c r="H525" s="39" t="str" cm="1">
        <f t="array" ref="H525">IFERROR(INDEX(Table_dim_price_recipe[Retail Price], MATCH(1, ("Calculator"&lt;&gt;Table_dim_price_recipe[Type.display])*($L525=Table_dim_price_recipe[Category])*($D525=Table_dim_price_recipe[Item Description]) * (H$6=Table_dim_price_recipe[Type])*(Table_dim_price_recipe[Retail Price]&lt;&gt;0)*($C525=Table_dim_price_recipe[Subcategory]), 0))*$B525,"")</f>
        <v/>
      </c>
      <c r="I525" s="39" t="str" cm="1">
        <f t="array" ref="I525">IFERROR(INDEX(Table_dim_price_recipe[Retail Price], MATCH(1, ("Calculator"&lt;&gt;Table_dim_price_recipe[Type.display])*($L525=Table_dim_price_recipe[Category])*($D525=Table_dim_price_recipe[Item Description]) * (I$6=Table_dim_price_recipe[Type])*(Table_dim_price_recipe[Retail Price]&lt;&gt;0)*($C525=Table_dim_price_recipe[Subcategory]), 0))*$B525,"")</f>
        <v/>
      </c>
      <c r="J525" s="39" t="str" cm="1">
        <f t="array" ref="J525">IFERROR(INDEX(Table_dim_price_recipe[Retail Price], MATCH(1, ("Calculator"&lt;&gt;Table_dim_price_recipe[Type.display])*($L525=Table_dim_price_recipe[Category])*($D525=Table_dim_price_recipe[Item Description]) * (J$6=Table_dim_price_recipe[Type])*(Table_dim_price_recipe[Retail Price]&lt;&gt;0)*($C525=Table_dim_price_recipe[Subcategory]), 0))*$B525,"")</f>
        <v/>
      </c>
      <c r="K525" s="39" t="str" cm="1">
        <f t="array" ref="K525">IFERROR(INDEX(Table_dim_price_recipe[Retail Price], MATCH(1, ("Calculator"&lt;&gt;Table_dim_price_recipe[Type.display])*($L525=Table_dim_price_recipe[Category])*($D525=Table_dim_price_recipe[Item Description]) * (K$6=Table_dim_price_recipe[Type])*(Table_dim_price_recipe[Retail Price]&lt;&gt;0)*($C525=Table_dim_price_recipe[Subcategory]), 0))*$B525,"")</f>
        <v/>
      </c>
      <c r="L525" s="39" t="str" cm="1">
        <f t="array" ref="L525">IF($A525&lt;&gt;"", $A525, LOOKUP(2, 1/((A$7:INDEX(A:A, ROW()))&lt;&gt;""), A$7:INDEX(A:A, ROW())))</f>
        <v>ROOFING PRODUCTS</v>
      </c>
      <c r="M525" s="14"/>
    </row>
    <row r="526" spans="1:13">
      <c r="A526" s="263"/>
      <c r="B526" s="263"/>
      <c r="C526" s="263" t="s">
        <v>617</v>
      </c>
      <c r="D526" s="263"/>
      <c r="E526" s="263"/>
      <c r="F526" s="263"/>
      <c r="G526" s="39" t="str" cm="1">
        <f t="array" ref="G526">IFERROR(INDEX(Table_dim_price_recipe[Retail Price], MATCH(1, ("Calculator"&lt;&gt;Table_dim_price_recipe[Type.display])*($L526=Table_dim_price_recipe[Category])*($D526=Table_dim_price_recipe[Item Description]) * (G$6=Table_dim_price_recipe[Type])*(Table_dim_price_recipe[Retail Price]&lt;&gt;0)*($C526=Table_dim_price_recipe[Subcategory]), 0))*$B526,"")</f>
        <v/>
      </c>
      <c r="H526" s="39" t="str" cm="1">
        <f t="array" ref="H526">IFERROR(INDEX(Table_dim_price_recipe[Retail Price], MATCH(1, ("Calculator"&lt;&gt;Table_dim_price_recipe[Type.display])*($L526=Table_dim_price_recipe[Category])*($D526=Table_dim_price_recipe[Item Description]) * (H$6=Table_dim_price_recipe[Type])*(Table_dim_price_recipe[Retail Price]&lt;&gt;0)*($C526=Table_dim_price_recipe[Subcategory]), 0))*$B526,"")</f>
        <v/>
      </c>
      <c r="I526" s="39" t="str" cm="1">
        <f t="array" ref="I526">IFERROR(INDEX(Table_dim_price_recipe[Retail Price], MATCH(1, ("Calculator"&lt;&gt;Table_dim_price_recipe[Type.display])*($L526=Table_dim_price_recipe[Category])*($D526=Table_dim_price_recipe[Item Description]) * (I$6=Table_dim_price_recipe[Type])*(Table_dim_price_recipe[Retail Price]&lt;&gt;0)*($C526=Table_dim_price_recipe[Subcategory]), 0))*$B526,"")</f>
        <v/>
      </c>
      <c r="J526" s="39" t="str" cm="1">
        <f t="array" ref="J526">IFERROR(INDEX(Table_dim_price_recipe[Retail Price], MATCH(1, ("Calculator"&lt;&gt;Table_dim_price_recipe[Type.display])*($L526=Table_dim_price_recipe[Category])*($D526=Table_dim_price_recipe[Item Description]) * (J$6=Table_dim_price_recipe[Type])*(Table_dim_price_recipe[Retail Price]&lt;&gt;0)*($C526=Table_dim_price_recipe[Subcategory]), 0))*$B526,"")</f>
        <v/>
      </c>
      <c r="K526" s="39" t="str" cm="1">
        <f t="array" ref="K526">IFERROR(INDEX(Table_dim_price_recipe[Retail Price], MATCH(1, ("Calculator"&lt;&gt;Table_dim_price_recipe[Type.display])*($L526=Table_dim_price_recipe[Category])*($D526=Table_dim_price_recipe[Item Description]) * (K$6=Table_dim_price_recipe[Type])*(Table_dim_price_recipe[Retail Price]&lt;&gt;0)*($C526=Table_dim_price_recipe[Subcategory]), 0))*$B526,"")</f>
        <v/>
      </c>
      <c r="L526" s="39" t="str" cm="1">
        <f t="array" ref="L526">IF($A526&lt;&gt;"", $A526, LOOKUP(2, 1/((A$7:INDEX(A:A, ROW()))&lt;&gt;""), A$7:INDEX(A:A, ROW())))</f>
        <v>ROOFING PRODUCTS</v>
      </c>
      <c r="M526" s="14"/>
    </row>
    <row r="527" spans="1:13">
      <c r="A527" s="260" t="s">
        <v>922</v>
      </c>
      <c r="B527" s="261"/>
      <c r="C527" s="261"/>
      <c r="D527" s="261"/>
      <c r="E527" s="261"/>
      <c r="F527" s="261"/>
      <c r="G527" s="262" t="str" cm="1">
        <f t="array" ref="G527">IFERROR(INDEX(Table_dim_price_recipe[Retail Price], MATCH(1, ("Calculator"&lt;&gt;Table_dim_price_recipe[Type.display])*($L527=Table_dim_price_recipe[Category])*($D527=Table_dim_price_recipe[Item Description]) * (G$6=Table_dim_price_recipe[Type])*(Table_dim_price_recipe[Retail Price]&lt;&gt;0)*($C527=Table_dim_price_recipe[Subcategory]), 0))*$B527,"")</f>
        <v/>
      </c>
      <c r="H527" s="262" t="str" cm="1">
        <f t="array" ref="H527">IFERROR(INDEX(Table_dim_price_recipe[Retail Price], MATCH(1, ("Calculator"&lt;&gt;Table_dim_price_recipe[Type.display])*($L527=Table_dim_price_recipe[Category])*($D527=Table_dim_price_recipe[Item Description]) * (H$6=Table_dim_price_recipe[Type])*(Table_dim_price_recipe[Retail Price]&lt;&gt;0)*($C527=Table_dim_price_recipe[Subcategory]), 0))*$B527,"")</f>
        <v/>
      </c>
      <c r="I527" s="262" t="str" cm="1">
        <f t="array" ref="I527">IFERROR(INDEX(Table_dim_price_recipe[Retail Price], MATCH(1, ("Calculator"&lt;&gt;Table_dim_price_recipe[Type.display])*($L527=Table_dim_price_recipe[Category])*($D527=Table_dim_price_recipe[Item Description]) * (I$6=Table_dim_price_recipe[Type])*(Table_dim_price_recipe[Retail Price]&lt;&gt;0)*($C527=Table_dim_price_recipe[Subcategory]), 0))*$B527,"")</f>
        <v/>
      </c>
      <c r="J527" s="262" t="str" cm="1">
        <f t="array" ref="J527">IFERROR(INDEX(Table_dim_price_recipe[Retail Price], MATCH(1, ("Calculator"&lt;&gt;Table_dim_price_recipe[Type.display])*($L527=Table_dim_price_recipe[Category])*($D527=Table_dim_price_recipe[Item Description]) * (J$6=Table_dim_price_recipe[Type])*(Table_dim_price_recipe[Retail Price]&lt;&gt;0)*($C527=Table_dim_price_recipe[Subcategory]), 0))*$B527,"")</f>
        <v/>
      </c>
      <c r="K527" s="262" t="str" cm="1">
        <f t="array" ref="K527">IFERROR(INDEX(Table_dim_price_recipe[Retail Price], MATCH(1, ("Calculator"&lt;&gt;Table_dim_price_recipe[Type.display])*($L527=Table_dim_price_recipe[Category])*($D527=Table_dim_price_recipe[Item Description]) * (K$6=Table_dim_price_recipe[Type])*(Table_dim_price_recipe[Retail Price]&lt;&gt;0)*($C527=Table_dim_price_recipe[Subcategory]), 0))*$B527,"")</f>
        <v/>
      </c>
      <c r="L527" s="262" t="str" cm="1">
        <f t="array" ref="L527">IF($A527&lt;&gt;"", $A527, LOOKUP(2, 1/((A$7:INDEX(A:A, ROW()))&lt;&gt;""), A$7:INDEX(A:A, ROW())))</f>
        <v>SHADECLOTH</v>
      </c>
      <c r="M527" s="14"/>
    </row>
    <row r="528" spans="1:13">
      <c r="A528" s="263"/>
      <c r="B528" s="263"/>
      <c r="C528" s="263" t="s">
        <v>915</v>
      </c>
      <c r="D528" s="263" t="s">
        <v>923</v>
      </c>
      <c r="E528" s="263"/>
      <c r="F528" s="263"/>
      <c r="G528" s="39" t="str" cm="1">
        <f t="array" ref="G528">IFERROR(INDEX(Table_dim_price_recipe[Retail Price], MATCH(1, ("Calculator"&lt;&gt;Table_dim_price_recipe[Type.display])*($L528=Table_dim_price_recipe[Category])*($D528=Table_dim_price_recipe[Item Description]) * (G$6=Table_dim_price_recipe[Type])*(Table_dim_price_recipe[Retail Price]&lt;&gt;0)*($C528=Table_dim_price_recipe[Subcategory]), 0))*$B528,"")</f>
        <v/>
      </c>
      <c r="H528" s="39" cm="1">
        <f t="array" ref="H528">IFERROR(INDEX(Table_dim_price_recipe[Retail Price], MATCH(1, ("Calculator"&lt;&gt;Table_dim_price_recipe[Type.display])*($L528=Table_dim_price_recipe[Category])*($D528=Table_dim_price_recipe[Item Description]) * (H$6=Table_dim_price_recipe[Type])*(Table_dim_price_recipe[Retail Price]&lt;&gt;0)*($C528=Table_dim_price_recipe[Subcategory]), 0))*$B528,"")</f>
        <v>0</v>
      </c>
      <c r="I528" s="39" t="str" cm="1">
        <f t="array" ref="I528">IFERROR(INDEX(Table_dim_price_recipe[Retail Price], MATCH(1, ("Calculator"&lt;&gt;Table_dim_price_recipe[Type.display])*($L528=Table_dim_price_recipe[Category])*($D528=Table_dim_price_recipe[Item Description]) * (I$6=Table_dim_price_recipe[Type])*(Table_dim_price_recipe[Retail Price]&lt;&gt;0)*($C528=Table_dim_price_recipe[Subcategory]), 0))*$B528,"")</f>
        <v/>
      </c>
      <c r="J528" s="39" t="str" cm="1">
        <f t="array" ref="J528">IFERROR(INDEX(Table_dim_price_recipe[Retail Price], MATCH(1, ("Calculator"&lt;&gt;Table_dim_price_recipe[Type.display])*($L528=Table_dim_price_recipe[Category])*($D528=Table_dim_price_recipe[Item Description]) * (J$6=Table_dim_price_recipe[Type])*(Table_dim_price_recipe[Retail Price]&lt;&gt;0)*($C528=Table_dim_price_recipe[Subcategory]), 0))*$B528,"")</f>
        <v/>
      </c>
      <c r="K528" s="39" t="str" cm="1">
        <f t="array" ref="K528">IFERROR(INDEX(Table_dim_price_recipe[Retail Price], MATCH(1, ("Calculator"&lt;&gt;Table_dim_price_recipe[Type.display])*($L528=Table_dim_price_recipe[Category])*($D528=Table_dim_price_recipe[Item Description]) * (K$6=Table_dim_price_recipe[Type])*(Table_dim_price_recipe[Retail Price]&lt;&gt;0)*($C528=Table_dim_price_recipe[Subcategory]), 0))*$B528,"")</f>
        <v/>
      </c>
      <c r="L528" s="39" t="str" cm="1">
        <f t="array" ref="L528">IF($A528&lt;&gt;"", $A528, LOOKUP(2, 1/((A$7:INDEX(A:A, ROW()))&lt;&gt;""), A$7:INDEX(A:A, ROW())))</f>
        <v>SHADECLOTH</v>
      </c>
      <c r="M528" s="14"/>
    </row>
    <row r="529" spans="1:13">
      <c r="A529" s="263"/>
      <c r="B529" s="263"/>
      <c r="C529" s="263" t="s">
        <v>915</v>
      </c>
      <c r="D529" s="263"/>
      <c r="E529" s="263"/>
      <c r="F529" s="263"/>
      <c r="G529" s="39" t="str" cm="1">
        <f t="array" ref="G529">IFERROR(INDEX(Table_dim_price_recipe[Retail Price], MATCH(1, ("Calculator"&lt;&gt;Table_dim_price_recipe[Type.display])*($L529=Table_dim_price_recipe[Category])*($D529=Table_dim_price_recipe[Item Description]) * (G$6=Table_dim_price_recipe[Type])*(Table_dim_price_recipe[Retail Price]&lt;&gt;0)*($C529=Table_dim_price_recipe[Subcategory]), 0))*$B529,"")</f>
        <v/>
      </c>
      <c r="H529" s="39" t="str" cm="1">
        <f t="array" ref="H529">IFERROR(INDEX(Table_dim_price_recipe[Retail Price], MATCH(1, ("Calculator"&lt;&gt;Table_dim_price_recipe[Type.display])*($L529=Table_dim_price_recipe[Category])*($D529=Table_dim_price_recipe[Item Description]) * (H$6=Table_dim_price_recipe[Type])*(Table_dim_price_recipe[Retail Price]&lt;&gt;0)*($C529=Table_dim_price_recipe[Subcategory]), 0))*$B529,"")</f>
        <v/>
      </c>
      <c r="I529" s="39" t="str" cm="1">
        <f t="array" ref="I529">IFERROR(INDEX(Table_dim_price_recipe[Retail Price], MATCH(1, ("Calculator"&lt;&gt;Table_dim_price_recipe[Type.display])*($L529=Table_dim_price_recipe[Category])*($D529=Table_dim_price_recipe[Item Description]) * (I$6=Table_dim_price_recipe[Type])*(Table_dim_price_recipe[Retail Price]&lt;&gt;0)*($C529=Table_dim_price_recipe[Subcategory]), 0))*$B529,"")</f>
        <v/>
      </c>
      <c r="J529" s="39" t="str" cm="1">
        <f t="array" ref="J529">IFERROR(INDEX(Table_dim_price_recipe[Retail Price], MATCH(1, ("Calculator"&lt;&gt;Table_dim_price_recipe[Type.display])*($L529=Table_dim_price_recipe[Category])*($D529=Table_dim_price_recipe[Item Description]) * (J$6=Table_dim_price_recipe[Type])*(Table_dim_price_recipe[Retail Price]&lt;&gt;0)*($C529=Table_dim_price_recipe[Subcategory]), 0))*$B529,"")</f>
        <v/>
      </c>
      <c r="K529" s="39" t="str" cm="1">
        <f t="array" ref="K529">IFERROR(INDEX(Table_dim_price_recipe[Retail Price], MATCH(1, ("Calculator"&lt;&gt;Table_dim_price_recipe[Type.display])*($L529=Table_dim_price_recipe[Category])*($D529=Table_dim_price_recipe[Item Description]) * (K$6=Table_dim_price_recipe[Type])*(Table_dim_price_recipe[Retail Price]&lt;&gt;0)*($C529=Table_dim_price_recipe[Subcategory]), 0))*$B529,"")</f>
        <v/>
      </c>
      <c r="L529" s="39" t="str" cm="1">
        <f t="array" ref="L529">IF($A529&lt;&gt;"", $A529, LOOKUP(2, 1/((A$7:INDEX(A:A, ROW()))&lt;&gt;""), A$7:INDEX(A:A, ROW())))</f>
        <v>SHADECLOTH</v>
      </c>
      <c r="M529" s="14"/>
    </row>
    <row r="530" spans="1:13">
      <c r="A530" s="263"/>
      <c r="B530" s="263"/>
      <c r="C530" s="263" t="s">
        <v>915</v>
      </c>
      <c r="D530" s="263"/>
      <c r="E530" s="263"/>
      <c r="F530" s="263"/>
      <c r="G530" s="39" t="str" cm="1">
        <f t="array" ref="G530">IFERROR(INDEX(Table_dim_price_recipe[Retail Price], MATCH(1, ("Calculator"&lt;&gt;Table_dim_price_recipe[Type.display])*($L530=Table_dim_price_recipe[Category])*($D530=Table_dim_price_recipe[Item Description]) * (G$6=Table_dim_price_recipe[Type])*(Table_dim_price_recipe[Retail Price]&lt;&gt;0)*($C530=Table_dim_price_recipe[Subcategory]), 0))*$B530,"")</f>
        <v/>
      </c>
      <c r="H530" s="39" t="str" cm="1">
        <f t="array" ref="H530">IFERROR(INDEX(Table_dim_price_recipe[Retail Price], MATCH(1, ("Calculator"&lt;&gt;Table_dim_price_recipe[Type.display])*($L530=Table_dim_price_recipe[Category])*($D530=Table_dim_price_recipe[Item Description]) * (H$6=Table_dim_price_recipe[Type])*(Table_dim_price_recipe[Retail Price]&lt;&gt;0)*($C530=Table_dim_price_recipe[Subcategory]), 0))*$B530,"")</f>
        <v/>
      </c>
      <c r="I530" s="39" t="str" cm="1">
        <f t="array" ref="I530">IFERROR(INDEX(Table_dim_price_recipe[Retail Price], MATCH(1, ("Calculator"&lt;&gt;Table_dim_price_recipe[Type.display])*($L530=Table_dim_price_recipe[Category])*($D530=Table_dim_price_recipe[Item Description]) * (I$6=Table_dim_price_recipe[Type])*(Table_dim_price_recipe[Retail Price]&lt;&gt;0)*($C530=Table_dim_price_recipe[Subcategory]), 0))*$B530,"")</f>
        <v/>
      </c>
      <c r="J530" s="39" t="str" cm="1">
        <f t="array" ref="J530">IFERROR(INDEX(Table_dim_price_recipe[Retail Price], MATCH(1, ("Calculator"&lt;&gt;Table_dim_price_recipe[Type.display])*($L530=Table_dim_price_recipe[Category])*($D530=Table_dim_price_recipe[Item Description]) * (J$6=Table_dim_price_recipe[Type])*(Table_dim_price_recipe[Retail Price]&lt;&gt;0)*($C530=Table_dim_price_recipe[Subcategory]), 0))*$B530,"")</f>
        <v/>
      </c>
      <c r="K530" s="39" t="str" cm="1">
        <f t="array" ref="K530">IFERROR(INDEX(Table_dim_price_recipe[Retail Price], MATCH(1, ("Calculator"&lt;&gt;Table_dim_price_recipe[Type.display])*($L530=Table_dim_price_recipe[Category])*($D530=Table_dim_price_recipe[Item Description]) * (K$6=Table_dim_price_recipe[Type])*(Table_dim_price_recipe[Retail Price]&lt;&gt;0)*($C530=Table_dim_price_recipe[Subcategory]), 0))*$B530,"")</f>
        <v/>
      </c>
      <c r="L530" s="39" t="str" cm="1">
        <f t="array" ref="L530">IF($A530&lt;&gt;"", $A530, LOOKUP(2, 1/((A$7:INDEX(A:A, ROW()))&lt;&gt;""), A$7:INDEX(A:A, ROW())))</f>
        <v>SHADECLOTH</v>
      </c>
      <c r="M530" s="14"/>
    </row>
    <row r="531" spans="1:13">
      <c r="A531" s="263"/>
      <c r="B531" s="263"/>
      <c r="C531" s="263" t="s">
        <v>707</v>
      </c>
      <c r="D531" s="263" t="s">
        <v>708</v>
      </c>
      <c r="E531" s="263"/>
      <c r="F531" s="263"/>
      <c r="G531" s="39" cm="1">
        <f t="array" ref="G531">IFERROR(INDEX(Table_dim_price_recipe[Retail Price], MATCH(1, ("Calculator"&lt;&gt;Table_dim_price_recipe[Type.display])*($L531=Table_dim_price_recipe[Category])*($D531=Table_dim_price_recipe[Item Description]) * (G$6=Table_dim_price_recipe[Type])*(Table_dim_price_recipe[Retail Price]&lt;&gt;0)*($C531=Table_dim_price_recipe[Subcategory]), 0))*$B531,"")</f>
        <v>0</v>
      </c>
      <c r="H531" s="39" t="str" cm="1">
        <f t="array" ref="H531">IFERROR(INDEX(Table_dim_price_recipe[Retail Price], MATCH(1, ("Calculator"&lt;&gt;Table_dim_price_recipe[Type.display])*($L531=Table_dim_price_recipe[Category])*($D531=Table_dim_price_recipe[Item Description]) * (H$6=Table_dim_price_recipe[Type])*(Table_dim_price_recipe[Retail Price]&lt;&gt;0)*($C531=Table_dim_price_recipe[Subcategory]), 0))*$B531,"")</f>
        <v/>
      </c>
      <c r="I531" s="39" t="str" cm="1">
        <f t="array" ref="I531">IFERROR(INDEX(Table_dim_price_recipe[Retail Price], MATCH(1, ("Calculator"&lt;&gt;Table_dim_price_recipe[Type.display])*($L531=Table_dim_price_recipe[Category])*($D531=Table_dim_price_recipe[Item Description]) * (I$6=Table_dim_price_recipe[Type])*(Table_dim_price_recipe[Retail Price]&lt;&gt;0)*($C531=Table_dim_price_recipe[Subcategory]), 0))*$B531,"")</f>
        <v/>
      </c>
      <c r="J531" s="39" t="str" cm="1">
        <f t="array" ref="J531">IFERROR(INDEX(Table_dim_price_recipe[Retail Price], MATCH(1, ("Calculator"&lt;&gt;Table_dim_price_recipe[Type.display])*($L531=Table_dim_price_recipe[Category])*($D531=Table_dim_price_recipe[Item Description]) * (J$6=Table_dim_price_recipe[Type])*(Table_dim_price_recipe[Retail Price]&lt;&gt;0)*($C531=Table_dim_price_recipe[Subcategory]), 0))*$B531,"")</f>
        <v/>
      </c>
      <c r="K531" s="39" t="str" cm="1">
        <f t="array" ref="K531">IFERROR(INDEX(Table_dim_price_recipe[Retail Price], MATCH(1, ("Calculator"&lt;&gt;Table_dim_price_recipe[Type.display])*($L531=Table_dim_price_recipe[Category])*($D531=Table_dim_price_recipe[Item Description]) * (K$6=Table_dim_price_recipe[Type])*(Table_dim_price_recipe[Retail Price]&lt;&gt;0)*($C531=Table_dim_price_recipe[Subcategory]), 0))*$B531,"")</f>
        <v/>
      </c>
      <c r="L531" s="39" t="str" cm="1">
        <f t="array" ref="L531">IF($A531&lt;&gt;"", $A531, LOOKUP(2, 1/((A$7:INDEX(A:A, ROW()))&lt;&gt;""), A$7:INDEX(A:A, ROW())))</f>
        <v>SHADECLOTH</v>
      </c>
      <c r="M531" s="14"/>
    </row>
    <row r="532" spans="1:13">
      <c r="A532" s="263"/>
      <c r="B532" s="263"/>
      <c r="C532" s="263" t="s">
        <v>707</v>
      </c>
      <c r="D532" s="263"/>
      <c r="E532" s="263"/>
      <c r="F532" s="263"/>
      <c r="G532" s="39" t="str" cm="1">
        <f t="array" ref="G532">IFERROR(INDEX(Table_dim_price_recipe[Retail Price], MATCH(1, ("Calculator"&lt;&gt;Table_dim_price_recipe[Type.display])*($L532=Table_dim_price_recipe[Category])*($D532=Table_dim_price_recipe[Item Description]) * (G$6=Table_dim_price_recipe[Type])*(Table_dim_price_recipe[Retail Price]&lt;&gt;0)*($C532=Table_dim_price_recipe[Subcategory]), 0))*$B532,"")</f>
        <v/>
      </c>
      <c r="H532" s="39" t="str" cm="1">
        <f t="array" ref="H532">IFERROR(INDEX(Table_dim_price_recipe[Retail Price], MATCH(1, ("Calculator"&lt;&gt;Table_dim_price_recipe[Type.display])*($L532=Table_dim_price_recipe[Category])*($D532=Table_dim_price_recipe[Item Description]) * (H$6=Table_dim_price_recipe[Type])*(Table_dim_price_recipe[Retail Price]&lt;&gt;0)*($C532=Table_dim_price_recipe[Subcategory]), 0))*$B532,"")</f>
        <v/>
      </c>
      <c r="I532" s="39" t="str" cm="1">
        <f t="array" ref="I532">IFERROR(INDEX(Table_dim_price_recipe[Retail Price], MATCH(1, ("Calculator"&lt;&gt;Table_dim_price_recipe[Type.display])*($L532=Table_dim_price_recipe[Category])*($D532=Table_dim_price_recipe[Item Description]) * (I$6=Table_dim_price_recipe[Type])*(Table_dim_price_recipe[Retail Price]&lt;&gt;0)*($C532=Table_dim_price_recipe[Subcategory]), 0))*$B532,"")</f>
        <v/>
      </c>
      <c r="J532" s="39" t="str" cm="1">
        <f t="array" ref="J532">IFERROR(INDEX(Table_dim_price_recipe[Retail Price], MATCH(1, ("Calculator"&lt;&gt;Table_dim_price_recipe[Type.display])*($L532=Table_dim_price_recipe[Category])*($D532=Table_dim_price_recipe[Item Description]) * (J$6=Table_dim_price_recipe[Type])*(Table_dim_price_recipe[Retail Price]&lt;&gt;0)*($C532=Table_dim_price_recipe[Subcategory]), 0))*$B532,"")</f>
        <v/>
      </c>
      <c r="K532" s="39" t="str" cm="1">
        <f t="array" ref="K532">IFERROR(INDEX(Table_dim_price_recipe[Retail Price], MATCH(1, ("Calculator"&lt;&gt;Table_dim_price_recipe[Type.display])*($L532=Table_dim_price_recipe[Category])*($D532=Table_dim_price_recipe[Item Description]) * (K$6=Table_dim_price_recipe[Type])*(Table_dim_price_recipe[Retail Price]&lt;&gt;0)*($C532=Table_dim_price_recipe[Subcategory]), 0))*$B532,"")</f>
        <v/>
      </c>
      <c r="L532" s="39" t="str" cm="1">
        <f t="array" ref="L532">IF($A532&lt;&gt;"", $A532, LOOKUP(2, 1/((A$7:INDEX(A:A, ROW()))&lt;&gt;""), A$7:INDEX(A:A, ROW())))</f>
        <v>SHADECLOTH</v>
      </c>
      <c r="M532" s="14"/>
    </row>
    <row r="533" spans="1:13">
      <c r="A533" s="263"/>
      <c r="B533" s="263"/>
      <c r="C533" s="263" t="s">
        <v>707</v>
      </c>
      <c r="D533" s="263"/>
      <c r="E533" s="263"/>
      <c r="F533" s="263"/>
      <c r="G533" s="39" t="str" cm="1">
        <f t="array" ref="G533">IFERROR(INDEX(Table_dim_price_recipe[Retail Price], MATCH(1, ("Calculator"&lt;&gt;Table_dim_price_recipe[Type.display])*($L533=Table_dim_price_recipe[Category])*($D533=Table_dim_price_recipe[Item Description]) * (G$6=Table_dim_price_recipe[Type])*(Table_dim_price_recipe[Retail Price]&lt;&gt;0)*($C533=Table_dim_price_recipe[Subcategory]), 0))*$B533,"")</f>
        <v/>
      </c>
      <c r="H533" s="39" t="str" cm="1">
        <f t="array" ref="H533">IFERROR(INDEX(Table_dim_price_recipe[Retail Price], MATCH(1, ("Calculator"&lt;&gt;Table_dim_price_recipe[Type.display])*($L533=Table_dim_price_recipe[Category])*($D533=Table_dim_price_recipe[Item Description]) * (H$6=Table_dim_price_recipe[Type])*(Table_dim_price_recipe[Retail Price]&lt;&gt;0)*($C533=Table_dim_price_recipe[Subcategory]), 0))*$B533,"")</f>
        <v/>
      </c>
      <c r="I533" s="39" t="str" cm="1">
        <f t="array" ref="I533">IFERROR(INDEX(Table_dim_price_recipe[Retail Price], MATCH(1, ("Calculator"&lt;&gt;Table_dim_price_recipe[Type.display])*($L533=Table_dim_price_recipe[Category])*($D533=Table_dim_price_recipe[Item Description]) * (I$6=Table_dim_price_recipe[Type])*(Table_dim_price_recipe[Retail Price]&lt;&gt;0)*($C533=Table_dim_price_recipe[Subcategory]), 0))*$B533,"")</f>
        <v/>
      </c>
      <c r="J533" s="39" t="str" cm="1">
        <f t="array" ref="J533">IFERROR(INDEX(Table_dim_price_recipe[Retail Price], MATCH(1, ("Calculator"&lt;&gt;Table_dim_price_recipe[Type.display])*($L533=Table_dim_price_recipe[Category])*($D533=Table_dim_price_recipe[Item Description]) * (J$6=Table_dim_price_recipe[Type])*(Table_dim_price_recipe[Retail Price]&lt;&gt;0)*($C533=Table_dim_price_recipe[Subcategory]), 0))*$B533,"")</f>
        <v/>
      </c>
      <c r="K533" s="39" t="str" cm="1">
        <f t="array" ref="K533">IFERROR(INDEX(Table_dim_price_recipe[Retail Price], MATCH(1, ("Calculator"&lt;&gt;Table_dim_price_recipe[Type.display])*($L533=Table_dim_price_recipe[Category])*($D533=Table_dim_price_recipe[Item Description]) * (K$6=Table_dim_price_recipe[Type])*(Table_dim_price_recipe[Retail Price]&lt;&gt;0)*($C533=Table_dim_price_recipe[Subcategory]), 0))*$B533,"")</f>
        <v/>
      </c>
      <c r="L533" s="39" t="str" cm="1">
        <f t="array" ref="L533">IF($A533&lt;&gt;"", $A533, LOOKUP(2, 1/((A$7:INDEX(A:A, ROW()))&lt;&gt;""), A$7:INDEX(A:A, ROW())))</f>
        <v>SHADECLOTH</v>
      </c>
      <c r="M533" s="14"/>
    </row>
    <row r="534" spans="1:13">
      <c r="A534" s="260" t="s">
        <v>63</v>
      </c>
      <c r="B534" s="261"/>
      <c r="C534" s="261"/>
      <c r="D534" s="261"/>
      <c r="E534" s="261"/>
      <c r="F534" s="261"/>
      <c r="G534" s="262" t="str" cm="1">
        <f t="array" ref="G534">IFERROR(INDEX(Table_dim_price_recipe[Retail Price], MATCH(1, ("Calculator"&lt;&gt;Table_dim_price_recipe[Type.display])*($L534=Table_dim_price_recipe[Category])*($D534=Table_dim_price_recipe[Item Description]) * (G$6=Table_dim_price_recipe[Type])*(Table_dim_price_recipe[Retail Price]&lt;&gt;0)*($C534=Table_dim_price_recipe[Subcategory]), 0))*$B534,"")</f>
        <v/>
      </c>
      <c r="H534" s="262" t="str" cm="1">
        <f t="array" ref="H534">IFERROR(INDEX(Table_dim_price_recipe[Retail Price], MATCH(1, ("Calculator"&lt;&gt;Table_dim_price_recipe[Type.display])*($L534=Table_dim_price_recipe[Category])*($D534=Table_dim_price_recipe[Item Description]) * (H$6=Table_dim_price_recipe[Type])*(Table_dim_price_recipe[Retail Price]&lt;&gt;0)*($C534=Table_dim_price_recipe[Subcategory]), 0))*$B534,"")</f>
        <v/>
      </c>
      <c r="I534" s="262" t="str" cm="1">
        <f t="array" ref="I534">IFERROR(INDEX(Table_dim_price_recipe[Retail Price], MATCH(1, ("Calculator"&lt;&gt;Table_dim_price_recipe[Type.display])*($L534=Table_dim_price_recipe[Category])*($D534=Table_dim_price_recipe[Item Description]) * (I$6=Table_dim_price_recipe[Type])*(Table_dim_price_recipe[Retail Price]&lt;&gt;0)*($C534=Table_dim_price_recipe[Subcategory]), 0))*$B534,"")</f>
        <v/>
      </c>
      <c r="J534" s="262" t="str" cm="1">
        <f t="array" ref="J534">IFERROR(INDEX(Table_dim_price_recipe[Retail Price], MATCH(1, ("Calculator"&lt;&gt;Table_dim_price_recipe[Type.display])*($L534=Table_dim_price_recipe[Category])*($D534=Table_dim_price_recipe[Item Description]) * (J$6=Table_dim_price_recipe[Type])*(Table_dim_price_recipe[Retail Price]&lt;&gt;0)*($C534=Table_dim_price_recipe[Subcategory]), 0))*$B534,"")</f>
        <v/>
      </c>
      <c r="K534" s="262" t="str" cm="1">
        <f t="array" ref="K534">IFERROR(INDEX(Table_dim_price_recipe[Retail Price], MATCH(1, ("Calculator"&lt;&gt;Table_dim_price_recipe[Type.display])*($L534=Table_dim_price_recipe[Category])*($D534=Table_dim_price_recipe[Item Description]) * (K$6=Table_dim_price_recipe[Type])*(Table_dim_price_recipe[Retail Price]&lt;&gt;0)*($C534=Table_dim_price_recipe[Subcategory]), 0))*$B534,"")</f>
        <v/>
      </c>
      <c r="L534" s="262" t="str" cm="1">
        <f t="array" ref="L534">IF($A534&lt;&gt;"", $A534, LOOKUP(2, 1/((A$7:INDEX(A:A, ROW()))&lt;&gt;""), A$7:INDEX(A:A, ROW())))</f>
        <v>SHADE BATTEN</v>
      </c>
      <c r="M534" s="14"/>
    </row>
    <row r="535" spans="1:13">
      <c r="A535" s="263"/>
      <c r="B535" s="263"/>
      <c r="C535" s="263" t="s">
        <v>915</v>
      </c>
      <c r="D535" s="263" t="s">
        <v>924</v>
      </c>
      <c r="E535" s="263"/>
      <c r="F535" s="263"/>
      <c r="G535" s="39" t="str" cm="1">
        <f t="array" ref="G535">IFERROR(INDEX(Table_dim_price_recipe[Retail Price], MATCH(1, ("Calculator"&lt;&gt;Table_dim_price_recipe[Type.display])*($L535=Table_dim_price_recipe[Category])*($D535=Table_dim_price_recipe[Item Description]) * (G$6=Table_dim_price_recipe[Type])*(Table_dim_price_recipe[Retail Price]&lt;&gt;0)*($C535=Table_dim_price_recipe[Subcategory]), 0))*$B535,"")</f>
        <v/>
      </c>
      <c r="H535" s="39" cm="1">
        <f t="array" ref="H535">IFERROR(INDEX(Table_dim_price_recipe[Retail Price], MATCH(1, ("Calculator"&lt;&gt;Table_dim_price_recipe[Type.display])*($L535=Table_dim_price_recipe[Category])*($D535=Table_dim_price_recipe[Item Description]) * (H$6=Table_dim_price_recipe[Type])*(Table_dim_price_recipe[Retail Price]&lt;&gt;0)*($C535=Table_dim_price_recipe[Subcategory]), 0))*$B535,"")</f>
        <v>0</v>
      </c>
      <c r="I535" s="39" t="str" cm="1">
        <f t="array" ref="I535">IFERROR(INDEX(Table_dim_price_recipe[Retail Price], MATCH(1, ("Calculator"&lt;&gt;Table_dim_price_recipe[Type.display])*($L535=Table_dim_price_recipe[Category])*($D535=Table_dim_price_recipe[Item Description]) * (I$6=Table_dim_price_recipe[Type])*(Table_dim_price_recipe[Retail Price]&lt;&gt;0)*($C535=Table_dim_price_recipe[Subcategory]), 0))*$B535,"")</f>
        <v/>
      </c>
      <c r="J535" s="39" t="str" cm="1">
        <f t="array" ref="J535">IFERROR(INDEX(Table_dim_price_recipe[Retail Price], MATCH(1, ("Calculator"&lt;&gt;Table_dim_price_recipe[Type.display])*($L535=Table_dim_price_recipe[Category])*($D535=Table_dim_price_recipe[Item Description]) * (J$6=Table_dim_price_recipe[Type])*(Table_dim_price_recipe[Retail Price]&lt;&gt;0)*($C535=Table_dim_price_recipe[Subcategory]), 0))*$B535,"")</f>
        <v/>
      </c>
      <c r="K535" s="39" t="str" cm="1">
        <f t="array" ref="K535">IFERROR(INDEX(Table_dim_price_recipe[Retail Price], MATCH(1, ("Calculator"&lt;&gt;Table_dim_price_recipe[Type.display])*($L535=Table_dim_price_recipe[Category])*($D535=Table_dim_price_recipe[Item Description]) * (K$6=Table_dim_price_recipe[Type])*(Table_dim_price_recipe[Retail Price]&lt;&gt;0)*($C535=Table_dim_price_recipe[Subcategory]), 0))*$B535,"")</f>
        <v/>
      </c>
      <c r="L535" s="39" t="str" cm="1">
        <f t="array" ref="L535">IF($A535&lt;&gt;"", $A535, LOOKUP(2, 1/((A$7:INDEX(A:A, ROW()))&lt;&gt;""), A$7:INDEX(A:A, ROW())))</f>
        <v>SHADE BATTEN</v>
      </c>
      <c r="M535" s="14"/>
    </row>
    <row r="536" spans="1:13">
      <c r="A536" s="263"/>
      <c r="B536" s="263"/>
      <c r="C536" s="263" t="s">
        <v>915</v>
      </c>
      <c r="D536" s="263"/>
      <c r="E536" s="263"/>
      <c r="F536" s="263"/>
      <c r="G536" s="39" t="str" cm="1">
        <f t="array" ref="G536">IFERROR(INDEX(Table_dim_price_recipe[Retail Price], MATCH(1, ("Calculator"&lt;&gt;Table_dim_price_recipe[Type.display])*($L536=Table_dim_price_recipe[Category])*($D536=Table_dim_price_recipe[Item Description]) * (G$6=Table_dim_price_recipe[Type])*(Table_dim_price_recipe[Retail Price]&lt;&gt;0)*($C536=Table_dim_price_recipe[Subcategory]), 0))*$B536,"")</f>
        <v/>
      </c>
      <c r="H536" s="39" t="str" cm="1">
        <f t="array" ref="H536">IFERROR(INDEX(Table_dim_price_recipe[Retail Price], MATCH(1, ("Calculator"&lt;&gt;Table_dim_price_recipe[Type.display])*($L536=Table_dim_price_recipe[Category])*($D536=Table_dim_price_recipe[Item Description]) * (H$6=Table_dim_price_recipe[Type])*(Table_dim_price_recipe[Retail Price]&lt;&gt;0)*($C536=Table_dim_price_recipe[Subcategory]), 0))*$B536,"")</f>
        <v/>
      </c>
      <c r="I536" s="39" t="str" cm="1">
        <f t="array" ref="I536">IFERROR(INDEX(Table_dim_price_recipe[Retail Price], MATCH(1, ("Calculator"&lt;&gt;Table_dim_price_recipe[Type.display])*($L536=Table_dim_price_recipe[Category])*($D536=Table_dim_price_recipe[Item Description]) * (I$6=Table_dim_price_recipe[Type])*(Table_dim_price_recipe[Retail Price]&lt;&gt;0)*($C536=Table_dim_price_recipe[Subcategory]), 0))*$B536,"")</f>
        <v/>
      </c>
      <c r="J536" s="39" t="str" cm="1">
        <f t="array" ref="J536">IFERROR(INDEX(Table_dim_price_recipe[Retail Price], MATCH(1, ("Calculator"&lt;&gt;Table_dim_price_recipe[Type.display])*($L536=Table_dim_price_recipe[Category])*($D536=Table_dim_price_recipe[Item Description]) * (J$6=Table_dim_price_recipe[Type])*(Table_dim_price_recipe[Retail Price]&lt;&gt;0)*($C536=Table_dim_price_recipe[Subcategory]), 0))*$B536,"")</f>
        <v/>
      </c>
      <c r="K536" s="39" t="str" cm="1">
        <f t="array" ref="K536">IFERROR(INDEX(Table_dim_price_recipe[Retail Price], MATCH(1, ("Calculator"&lt;&gt;Table_dim_price_recipe[Type.display])*($L536=Table_dim_price_recipe[Category])*($D536=Table_dim_price_recipe[Item Description]) * (K$6=Table_dim_price_recipe[Type])*(Table_dim_price_recipe[Retail Price]&lt;&gt;0)*($C536=Table_dim_price_recipe[Subcategory]), 0))*$B536,"")</f>
        <v/>
      </c>
      <c r="L536" s="39" t="str" cm="1">
        <f t="array" ref="L536">IF($A536&lt;&gt;"", $A536, LOOKUP(2, 1/((A$7:INDEX(A:A, ROW()))&lt;&gt;""), A$7:INDEX(A:A, ROW())))</f>
        <v>SHADE BATTEN</v>
      </c>
      <c r="M536" s="14"/>
    </row>
    <row r="537" spans="1:13">
      <c r="A537" s="263"/>
      <c r="B537" s="263"/>
      <c r="C537" s="263" t="s">
        <v>915</v>
      </c>
      <c r="D537" s="263"/>
      <c r="E537" s="263"/>
      <c r="F537" s="263"/>
      <c r="G537" s="39" t="str" cm="1">
        <f t="array" ref="G537">IFERROR(INDEX(Table_dim_price_recipe[Retail Price], MATCH(1, ("Calculator"&lt;&gt;Table_dim_price_recipe[Type.display])*($L537=Table_dim_price_recipe[Category])*($D537=Table_dim_price_recipe[Item Description]) * (G$6=Table_dim_price_recipe[Type])*(Table_dim_price_recipe[Retail Price]&lt;&gt;0)*($C537=Table_dim_price_recipe[Subcategory]), 0))*$B537,"")</f>
        <v/>
      </c>
      <c r="H537" s="39" t="str" cm="1">
        <f t="array" ref="H537">IFERROR(INDEX(Table_dim_price_recipe[Retail Price], MATCH(1, ("Calculator"&lt;&gt;Table_dim_price_recipe[Type.display])*($L537=Table_dim_price_recipe[Category])*($D537=Table_dim_price_recipe[Item Description]) * (H$6=Table_dim_price_recipe[Type])*(Table_dim_price_recipe[Retail Price]&lt;&gt;0)*($C537=Table_dim_price_recipe[Subcategory]), 0))*$B537,"")</f>
        <v/>
      </c>
      <c r="I537" s="39" t="str" cm="1">
        <f t="array" ref="I537">IFERROR(INDEX(Table_dim_price_recipe[Retail Price], MATCH(1, ("Calculator"&lt;&gt;Table_dim_price_recipe[Type.display])*($L537=Table_dim_price_recipe[Category])*($D537=Table_dim_price_recipe[Item Description]) * (I$6=Table_dim_price_recipe[Type])*(Table_dim_price_recipe[Retail Price]&lt;&gt;0)*($C537=Table_dim_price_recipe[Subcategory]), 0))*$B537,"")</f>
        <v/>
      </c>
      <c r="J537" s="39" t="str" cm="1">
        <f t="array" ref="J537">IFERROR(INDEX(Table_dim_price_recipe[Retail Price], MATCH(1, ("Calculator"&lt;&gt;Table_dim_price_recipe[Type.display])*($L537=Table_dim_price_recipe[Category])*($D537=Table_dim_price_recipe[Item Description]) * (J$6=Table_dim_price_recipe[Type])*(Table_dim_price_recipe[Retail Price]&lt;&gt;0)*($C537=Table_dim_price_recipe[Subcategory]), 0))*$B537,"")</f>
        <v/>
      </c>
      <c r="K537" s="39" t="str" cm="1">
        <f t="array" ref="K537">IFERROR(INDEX(Table_dim_price_recipe[Retail Price], MATCH(1, ("Calculator"&lt;&gt;Table_dim_price_recipe[Type.display])*($L537=Table_dim_price_recipe[Category])*($D537=Table_dim_price_recipe[Item Description]) * (K$6=Table_dim_price_recipe[Type])*(Table_dim_price_recipe[Retail Price]&lt;&gt;0)*($C537=Table_dim_price_recipe[Subcategory]), 0))*$B537,"")</f>
        <v/>
      </c>
      <c r="L537" s="39" t="str" cm="1">
        <f t="array" ref="L537">IF($A537&lt;&gt;"", $A537, LOOKUP(2, 1/((A$7:INDEX(A:A, ROW()))&lt;&gt;""), A$7:INDEX(A:A, ROW())))</f>
        <v>SHADE BATTEN</v>
      </c>
      <c r="M537" s="14"/>
    </row>
    <row r="538" spans="1:13">
      <c r="A538" s="260" t="s">
        <v>64</v>
      </c>
      <c r="B538" s="261"/>
      <c r="C538" s="261"/>
      <c r="D538" s="261"/>
      <c r="E538" s="261"/>
      <c r="F538" s="261"/>
      <c r="G538" s="262" t="str" cm="1">
        <f t="array" ref="G538">IFERROR(INDEX(Table_dim_price_recipe[Retail Price], MATCH(1, ("Calculator"&lt;&gt;Table_dim_price_recipe[Type.display])*($L538=Table_dim_price_recipe[Category])*($D538=Table_dim_price_recipe[Item Description]) * (G$6=Table_dim_price_recipe[Type])*(Table_dim_price_recipe[Retail Price]&lt;&gt;0)*($C538=Table_dim_price_recipe[Subcategory]), 0))*$B538,"")</f>
        <v/>
      </c>
      <c r="H538" s="262" t="str" cm="1">
        <f t="array" ref="H538">IFERROR(INDEX(Table_dim_price_recipe[Retail Price], MATCH(1, ("Calculator"&lt;&gt;Table_dim_price_recipe[Type.display])*($L538=Table_dim_price_recipe[Category])*($D538=Table_dim_price_recipe[Item Description]) * (H$6=Table_dim_price_recipe[Type])*(Table_dim_price_recipe[Retail Price]&lt;&gt;0)*($C538=Table_dim_price_recipe[Subcategory]), 0))*$B538,"")</f>
        <v/>
      </c>
      <c r="I538" s="262" t="str" cm="1">
        <f t="array" ref="I538">IFERROR(INDEX(Table_dim_price_recipe[Retail Price], MATCH(1, ("Calculator"&lt;&gt;Table_dim_price_recipe[Type.display])*($L538=Table_dim_price_recipe[Category])*($D538=Table_dim_price_recipe[Item Description]) * (I$6=Table_dim_price_recipe[Type])*(Table_dim_price_recipe[Retail Price]&lt;&gt;0)*($C538=Table_dim_price_recipe[Subcategory]), 0))*$B538,"")</f>
        <v/>
      </c>
      <c r="J538" s="262" t="str" cm="1">
        <f t="array" ref="J538">IFERROR(INDEX(Table_dim_price_recipe[Retail Price], MATCH(1, ("Calculator"&lt;&gt;Table_dim_price_recipe[Type.display])*($L538=Table_dim_price_recipe[Category])*($D538=Table_dim_price_recipe[Item Description]) * (J$6=Table_dim_price_recipe[Type])*(Table_dim_price_recipe[Retail Price]&lt;&gt;0)*($C538=Table_dim_price_recipe[Subcategory]), 0))*$B538,"")</f>
        <v/>
      </c>
      <c r="K538" s="262" t="str" cm="1">
        <f t="array" ref="K538">IFERROR(INDEX(Table_dim_price_recipe[Retail Price], MATCH(1, ("Calculator"&lt;&gt;Table_dim_price_recipe[Type.display])*($L538=Table_dim_price_recipe[Category])*($D538=Table_dim_price_recipe[Item Description]) * (K$6=Table_dim_price_recipe[Type])*(Table_dim_price_recipe[Retail Price]&lt;&gt;0)*($C538=Table_dim_price_recipe[Subcategory]), 0))*$B538,"")</f>
        <v/>
      </c>
      <c r="L538" s="262" t="str" cm="1">
        <f t="array" ref="L538">IF($A538&lt;&gt;"", $A538, LOOKUP(2, 1/((A$7:INDEX(A:A, ROW()))&lt;&gt;""), A$7:INDEX(A:A, ROW())))</f>
        <v>DELIVERY &amp; ROOFING COMPLIANCE</v>
      </c>
      <c r="M538" s="14"/>
    </row>
    <row r="539" spans="1:13">
      <c r="A539" s="263"/>
      <c r="B539" s="263"/>
      <c r="C539" s="263" t="s">
        <v>65</v>
      </c>
      <c r="D539" s="263" t="s">
        <v>703</v>
      </c>
      <c r="E539" s="263"/>
      <c r="F539" s="263"/>
      <c r="G539" s="39" cm="1">
        <f t="array" ref="G539">IFERROR(INDEX(Table_dim_price_recipe[Retail Price], MATCH(1, ("Calculator"&lt;&gt;Table_dim_price_recipe[Type.display])*($L539=Table_dim_price_recipe[Category])*($D539=Table_dim_price_recipe[Item Description]) * (G$6=Table_dim_price_recipe[Type])*(Table_dim_price_recipe[Retail Price]&lt;&gt;0)*($C539=Table_dim_price_recipe[Subcategory]), 0))*$B539,"")</f>
        <v>0</v>
      </c>
      <c r="H539" s="39" t="str" cm="1">
        <f t="array" ref="H539">IFERROR(INDEX(Table_dim_price_recipe[Retail Price], MATCH(1, ("Calculator"&lt;&gt;Table_dim_price_recipe[Type.display])*($L539=Table_dim_price_recipe[Category])*($D539=Table_dim_price_recipe[Item Description]) * (H$6=Table_dim_price_recipe[Type])*(Table_dim_price_recipe[Retail Price]&lt;&gt;0)*($C539=Table_dim_price_recipe[Subcategory]), 0))*$B539,"")</f>
        <v/>
      </c>
      <c r="I539" s="39" t="str" cm="1">
        <f t="array" ref="I539">IFERROR(INDEX(Table_dim_price_recipe[Retail Price], MATCH(1, ("Calculator"&lt;&gt;Table_dim_price_recipe[Type.display])*($L539=Table_dim_price_recipe[Category])*($D539=Table_dim_price_recipe[Item Description]) * (I$6=Table_dim_price_recipe[Type])*(Table_dim_price_recipe[Retail Price]&lt;&gt;0)*($C539=Table_dim_price_recipe[Subcategory]), 0))*$B539,"")</f>
        <v/>
      </c>
      <c r="J539" s="39" t="str" cm="1">
        <f t="array" ref="J539">IFERROR(INDEX(Table_dim_price_recipe[Retail Price], MATCH(1, ("Calculator"&lt;&gt;Table_dim_price_recipe[Type.display])*($L539=Table_dim_price_recipe[Category])*($D539=Table_dim_price_recipe[Item Description]) * (J$6=Table_dim_price_recipe[Type])*(Table_dim_price_recipe[Retail Price]&lt;&gt;0)*($C539=Table_dim_price_recipe[Subcategory]), 0))*$B539,"")</f>
        <v/>
      </c>
      <c r="K539" s="39" t="str" cm="1">
        <f t="array" ref="K539">IFERROR(INDEX(Table_dim_price_recipe[Retail Price], MATCH(1, ("Calculator"&lt;&gt;Table_dim_price_recipe[Type.display])*($L539=Table_dim_price_recipe[Category])*($D539=Table_dim_price_recipe[Item Description]) * (K$6=Table_dim_price_recipe[Type])*(Table_dim_price_recipe[Retail Price]&lt;&gt;0)*($C539=Table_dim_price_recipe[Subcategory]), 0))*$B539,"")</f>
        <v/>
      </c>
      <c r="L539" s="39" t="str" cm="1">
        <f t="array" ref="L539">IF($A539&lt;&gt;"", $A539, LOOKUP(2, 1/((A$7:INDEX(A:A, ROW()))&lt;&gt;""), A$7:INDEX(A:A, ROW())))</f>
        <v>DELIVERY &amp; ROOFING COMPLIANCE</v>
      </c>
      <c r="M539" s="14"/>
    </row>
    <row r="540" spans="1:13">
      <c r="A540" s="263"/>
      <c r="B540" s="263"/>
      <c r="C540" s="263" t="s">
        <v>65</v>
      </c>
      <c r="D540" s="263" t="s">
        <v>701</v>
      </c>
      <c r="E540" s="263"/>
      <c r="F540" s="263"/>
      <c r="G540" s="39" cm="1">
        <f t="array" ref="G540">IFERROR(INDEX(Table_dim_price_recipe[Retail Price], MATCH(1, ("Calculator"&lt;&gt;Table_dim_price_recipe[Type.display])*($L540=Table_dim_price_recipe[Category])*($D540=Table_dim_price_recipe[Item Description]) * (G$6=Table_dim_price_recipe[Type])*(Table_dim_price_recipe[Retail Price]&lt;&gt;0)*($C540=Table_dim_price_recipe[Subcategory]), 0))*$B540,"")</f>
        <v>0</v>
      </c>
      <c r="H540" s="39" t="str" cm="1">
        <f t="array" ref="H540">IFERROR(INDEX(Table_dim_price_recipe[Retail Price], MATCH(1, ("Calculator"&lt;&gt;Table_dim_price_recipe[Type.display])*($L540=Table_dim_price_recipe[Category])*($D540=Table_dim_price_recipe[Item Description]) * (H$6=Table_dim_price_recipe[Type])*(Table_dim_price_recipe[Retail Price]&lt;&gt;0)*($C540=Table_dim_price_recipe[Subcategory]), 0))*$B540,"")</f>
        <v/>
      </c>
      <c r="I540" s="39" t="str" cm="1">
        <f t="array" ref="I540">IFERROR(INDEX(Table_dim_price_recipe[Retail Price], MATCH(1, ("Calculator"&lt;&gt;Table_dim_price_recipe[Type.display])*($L540=Table_dim_price_recipe[Category])*($D540=Table_dim_price_recipe[Item Description]) * (I$6=Table_dim_price_recipe[Type])*(Table_dim_price_recipe[Retail Price]&lt;&gt;0)*($C540=Table_dim_price_recipe[Subcategory]), 0))*$B540,"")</f>
        <v/>
      </c>
      <c r="J540" s="39" t="str" cm="1">
        <f t="array" ref="J540">IFERROR(INDEX(Table_dim_price_recipe[Retail Price], MATCH(1, ("Calculator"&lt;&gt;Table_dim_price_recipe[Type.display])*($L540=Table_dim_price_recipe[Category])*($D540=Table_dim_price_recipe[Item Description]) * (J$6=Table_dim_price_recipe[Type])*(Table_dim_price_recipe[Retail Price]&lt;&gt;0)*($C540=Table_dim_price_recipe[Subcategory]), 0))*$B540,"")</f>
        <v/>
      </c>
      <c r="K540" s="39" t="str" cm="1">
        <f t="array" ref="K540">IFERROR(INDEX(Table_dim_price_recipe[Retail Price], MATCH(1, ("Calculator"&lt;&gt;Table_dim_price_recipe[Type.display])*($L540=Table_dim_price_recipe[Category])*($D540=Table_dim_price_recipe[Item Description]) * (K$6=Table_dim_price_recipe[Type])*(Table_dim_price_recipe[Retail Price]&lt;&gt;0)*($C540=Table_dim_price_recipe[Subcategory]), 0))*$B540,"")</f>
        <v/>
      </c>
      <c r="L540" s="39" t="str" cm="1">
        <f t="array" ref="L540">IF($A540&lt;&gt;"", $A540, LOOKUP(2, 1/((A$7:INDEX(A:A, ROW()))&lt;&gt;""), A$7:INDEX(A:A, ROW())))</f>
        <v>DELIVERY &amp; ROOFING COMPLIANCE</v>
      </c>
      <c r="M540" s="14"/>
    </row>
    <row r="541" spans="1:13">
      <c r="A541" s="263"/>
      <c r="B541" s="263"/>
      <c r="C541" s="263" t="s">
        <v>65</v>
      </c>
      <c r="D541" s="263" t="s">
        <v>704</v>
      </c>
      <c r="E541" s="263"/>
      <c r="F541" s="263"/>
      <c r="G541" s="39" cm="1">
        <f t="array" ref="G541">IFERROR(INDEX(Table_dim_price_recipe[Retail Price], MATCH(1, ("Calculator"&lt;&gt;Table_dim_price_recipe[Type.display])*($L541=Table_dim_price_recipe[Category])*($D541=Table_dim_price_recipe[Item Description]) * (G$6=Table_dim_price_recipe[Type])*(Table_dim_price_recipe[Retail Price]&lt;&gt;0)*($C541=Table_dim_price_recipe[Subcategory]), 0))*$B541,"")</f>
        <v>0</v>
      </c>
      <c r="H541" s="39" t="str" cm="1">
        <f t="array" ref="H541">IFERROR(INDEX(Table_dim_price_recipe[Retail Price], MATCH(1, ("Calculator"&lt;&gt;Table_dim_price_recipe[Type.display])*($L541=Table_dim_price_recipe[Category])*($D541=Table_dim_price_recipe[Item Description]) * (H$6=Table_dim_price_recipe[Type])*(Table_dim_price_recipe[Retail Price]&lt;&gt;0)*($C541=Table_dim_price_recipe[Subcategory]), 0))*$B541,"")</f>
        <v/>
      </c>
      <c r="I541" s="39" t="str" cm="1">
        <f t="array" ref="I541">IFERROR(INDEX(Table_dim_price_recipe[Retail Price], MATCH(1, ("Calculator"&lt;&gt;Table_dim_price_recipe[Type.display])*($L541=Table_dim_price_recipe[Category])*($D541=Table_dim_price_recipe[Item Description]) * (I$6=Table_dim_price_recipe[Type])*(Table_dim_price_recipe[Retail Price]&lt;&gt;0)*($C541=Table_dim_price_recipe[Subcategory]), 0))*$B541,"")</f>
        <v/>
      </c>
      <c r="J541" s="39" t="str" cm="1">
        <f t="array" ref="J541">IFERROR(INDEX(Table_dim_price_recipe[Retail Price], MATCH(1, ("Calculator"&lt;&gt;Table_dim_price_recipe[Type.display])*($L541=Table_dim_price_recipe[Category])*($D541=Table_dim_price_recipe[Item Description]) * (J$6=Table_dim_price_recipe[Type])*(Table_dim_price_recipe[Retail Price]&lt;&gt;0)*($C541=Table_dim_price_recipe[Subcategory]), 0))*$B541,"")</f>
        <v/>
      </c>
      <c r="K541" s="39" t="str" cm="1">
        <f t="array" ref="K541">IFERROR(INDEX(Table_dim_price_recipe[Retail Price], MATCH(1, ("Calculator"&lt;&gt;Table_dim_price_recipe[Type.display])*($L541=Table_dim_price_recipe[Category])*($D541=Table_dim_price_recipe[Item Description]) * (K$6=Table_dim_price_recipe[Type])*(Table_dim_price_recipe[Retail Price]&lt;&gt;0)*($C541=Table_dim_price_recipe[Subcategory]), 0))*$B541,"")</f>
        <v/>
      </c>
      <c r="L541" s="39" t="str" cm="1">
        <f t="array" ref="L541">IF($A541&lt;&gt;"", $A541, LOOKUP(2, 1/((A$7:INDEX(A:A, ROW()))&lt;&gt;""), A$7:INDEX(A:A, ROW())))</f>
        <v>DELIVERY &amp; ROOFING COMPLIANCE</v>
      </c>
      <c r="M541" s="14"/>
    </row>
    <row r="542" spans="1:13">
      <c r="A542" s="263"/>
      <c r="B542" s="263"/>
      <c r="C542" s="263" t="s">
        <v>65</v>
      </c>
      <c r="D542" s="263" t="s">
        <v>705</v>
      </c>
      <c r="E542" s="263"/>
      <c r="F542" s="263"/>
      <c r="G542" s="39" cm="1">
        <f t="array" ref="G542">IFERROR(INDEX(Table_dim_price_recipe[Retail Price], MATCH(1, ("Calculator"&lt;&gt;Table_dim_price_recipe[Type.display])*($L542=Table_dim_price_recipe[Category])*($D542=Table_dim_price_recipe[Item Description]) * (G$6=Table_dim_price_recipe[Type])*(Table_dim_price_recipe[Retail Price]&lt;&gt;0)*($C542=Table_dim_price_recipe[Subcategory]), 0))*$B542,"")</f>
        <v>0</v>
      </c>
      <c r="H542" s="39" t="str" cm="1">
        <f t="array" ref="H542">IFERROR(INDEX(Table_dim_price_recipe[Retail Price], MATCH(1, ("Calculator"&lt;&gt;Table_dim_price_recipe[Type.display])*($L542=Table_dim_price_recipe[Category])*($D542=Table_dim_price_recipe[Item Description]) * (H$6=Table_dim_price_recipe[Type])*(Table_dim_price_recipe[Retail Price]&lt;&gt;0)*($C542=Table_dim_price_recipe[Subcategory]), 0))*$B542,"")</f>
        <v/>
      </c>
      <c r="I542" s="39" t="str" cm="1">
        <f t="array" ref="I542">IFERROR(INDEX(Table_dim_price_recipe[Retail Price], MATCH(1, ("Calculator"&lt;&gt;Table_dim_price_recipe[Type.display])*($L542=Table_dim_price_recipe[Category])*($D542=Table_dim_price_recipe[Item Description]) * (I$6=Table_dim_price_recipe[Type])*(Table_dim_price_recipe[Retail Price]&lt;&gt;0)*($C542=Table_dim_price_recipe[Subcategory]), 0))*$B542,"")</f>
        <v/>
      </c>
      <c r="J542" s="39" t="str" cm="1">
        <f t="array" ref="J542">IFERROR(INDEX(Table_dim_price_recipe[Retail Price], MATCH(1, ("Calculator"&lt;&gt;Table_dim_price_recipe[Type.display])*($L542=Table_dim_price_recipe[Category])*($D542=Table_dim_price_recipe[Item Description]) * (J$6=Table_dim_price_recipe[Type])*(Table_dim_price_recipe[Retail Price]&lt;&gt;0)*($C542=Table_dim_price_recipe[Subcategory]), 0))*$B542,"")</f>
        <v/>
      </c>
      <c r="K542" s="39" t="str" cm="1">
        <f t="array" ref="K542">IFERROR(INDEX(Table_dim_price_recipe[Retail Price], MATCH(1, ("Calculator"&lt;&gt;Table_dim_price_recipe[Type.display])*($L542=Table_dim_price_recipe[Category])*($D542=Table_dim_price_recipe[Item Description]) * (K$6=Table_dim_price_recipe[Type])*(Table_dim_price_recipe[Retail Price]&lt;&gt;0)*($C542=Table_dim_price_recipe[Subcategory]), 0))*$B542,"")</f>
        <v/>
      </c>
      <c r="L542" s="39" t="str" cm="1">
        <f t="array" ref="L542">IF($A542&lt;&gt;"", $A542, LOOKUP(2, 1/((A$7:INDEX(A:A, ROW()))&lt;&gt;""), A$7:INDEX(A:A, ROW())))</f>
        <v>DELIVERY &amp; ROOFING COMPLIANCE</v>
      </c>
      <c r="M542" s="14"/>
    </row>
    <row r="543" spans="1:13">
      <c r="A543" s="263"/>
      <c r="B543" s="263"/>
      <c r="C543" s="263" t="s">
        <v>65</v>
      </c>
      <c r="D543" s="263" t="s">
        <v>706</v>
      </c>
      <c r="E543" s="263"/>
      <c r="F543" s="263"/>
      <c r="G543" s="39" cm="1">
        <f t="array" ref="G543">IFERROR(INDEX(Table_dim_price_recipe[Retail Price], MATCH(1, ("Calculator"&lt;&gt;Table_dim_price_recipe[Type.display])*($L543=Table_dim_price_recipe[Category])*($D543=Table_dim_price_recipe[Item Description]) * (G$6=Table_dim_price_recipe[Type])*(Table_dim_price_recipe[Retail Price]&lt;&gt;0)*($C543=Table_dim_price_recipe[Subcategory]), 0))*$B543,"")</f>
        <v>0</v>
      </c>
      <c r="H543" s="39" t="str" cm="1">
        <f t="array" ref="H543">IFERROR(INDEX(Table_dim_price_recipe[Retail Price], MATCH(1, ("Calculator"&lt;&gt;Table_dim_price_recipe[Type.display])*($L543=Table_dim_price_recipe[Category])*($D543=Table_dim_price_recipe[Item Description]) * (H$6=Table_dim_price_recipe[Type])*(Table_dim_price_recipe[Retail Price]&lt;&gt;0)*($C543=Table_dim_price_recipe[Subcategory]), 0))*$B543,"")</f>
        <v/>
      </c>
      <c r="I543" s="39" t="str" cm="1">
        <f t="array" ref="I543">IFERROR(INDEX(Table_dim_price_recipe[Retail Price], MATCH(1, ("Calculator"&lt;&gt;Table_dim_price_recipe[Type.display])*($L543=Table_dim_price_recipe[Category])*($D543=Table_dim_price_recipe[Item Description]) * (I$6=Table_dim_price_recipe[Type])*(Table_dim_price_recipe[Retail Price]&lt;&gt;0)*($C543=Table_dim_price_recipe[Subcategory]), 0))*$B543,"")</f>
        <v/>
      </c>
      <c r="J543" s="39" t="str" cm="1">
        <f t="array" ref="J543">IFERROR(INDEX(Table_dim_price_recipe[Retail Price], MATCH(1, ("Calculator"&lt;&gt;Table_dim_price_recipe[Type.display])*($L543=Table_dim_price_recipe[Category])*($D543=Table_dim_price_recipe[Item Description]) * (J$6=Table_dim_price_recipe[Type])*(Table_dim_price_recipe[Retail Price]&lt;&gt;0)*($C543=Table_dim_price_recipe[Subcategory]), 0))*$B543,"")</f>
        <v/>
      </c>
      <c r="K543" s="39" t="str" cm="1">
        <f t="array" ref="K543">IFERROR(INDEX(Table_dim_price_recipe[Retail Price], MATCH(1, ("Calculator"&lt;&gt;Table_dim_price_recipe[Type.display])*($L543=Table_dim_price_recipe[Category])*($D543=Table_dim_price_recipe[Item Description]) * (K$6=Table_dim_price_recipe[Type])*(Table_dim_price_recipe[Retail Price]&lt;&gt;0)*($C543=Table_dim_price_recipe[Subcategory]), 0))*$B543,"")</f>
        <v/>
      </c>
      <c r="L543" s="39" t="str" cm="1">
        <f t="array" ref="L543">IF($A543&lt;&gt;"", $A543, LOOKUP(2, 1/((A$7:INDEX(A:A, ROW()))&lt;&gt;""), A$7:INDEX(A:A, ROW())))</f>
        <v>DELIVERY &amp; ROOFING COMPLIANCE</v>
      </c>
      <c r="M543" s="14"/>
    </row>
    <row r="544" spans="1:13">
      <c r="A544" s="263"/>
      <c r="B544" s="263"/>
      <c r="C544" s="263" t="s">
        <v>65</v>
      </c>
      <c r="D544" s="263" t="s">
        <v>702</v>
      </c>
      <c r="E544" s="263"/>
      <c r="F544" s="263"/>
      <c r="G544" s="39" cm="1">
        <f t="array" ref="G544">IFERROR(INDEX(Table_dim_price_recipe[Retail Price], MATCH(1, ("Calculator"&lt;&gt;Table_dim_price_recipe[Type.display])*($L544=Table_dim_price_recipe[Category])*($D544=Table_dim_price_recipe[Item Description]) * (G$6=Table_dim_price_recipe[Type])*(Table_dim_price_recipe[Retail Price]&lt;&gt;0)*($C544=Table_dim_price_recipe[Subcategory]), 0))*$B544,"")</f>
        <v>0</v>
      </c>
      <c r="H544" s="39" t="str" cm="1">
        <f t="array" ref="H544">IFERROR(INDEX(Table_dim_price_recipe[Retail Price], MATCH(1, ("Calculator"&lt;&gt;Table_dim_price_recipe[Type.display])*($L544=Table_dim_price_recipe[Category])*($D544=Table_dim_price_recipe[Item Description]) * (H$6=Table_dim_price_recipe[Type])*(Table_dim_price_recipe[Retail Price]&lt;&gt;0)*($C544=Table_dim_price_recipe[Subcategory]), 0))*$B544,"")</f>
        <v/>
      </c>
      <c r="I544" s="39" t="str" cm="1">
        <f t="array" ref="I544">IFERROR(INDEX(Table_dim_price_recipe[Retail Price], MATCH(1, ("Calculator"&lt;&gt;Table_dim_price_recipe[Type.display])*($L544=Table_dim_price_recipe[Category])*($D544=Table_dim_price_recipe[Item Description]) * (I$6=Table_dim_price_recipe[Type])*(Table_dim_price_recipe[Retail Price]&lt;&gt;0)*($C544=Table_dim_price_recipe[Subcategory]), 0))*$B544,"")</f>
        <v/>
      </c>
      <c r="J544" s="39" t="str" cm="1">
        <f t="array" ref="J544">IFERROR(INDEX(Table_dim_price_recipe[Retail Price], MATCH(1, ("Calculator"&lt;&gt;Table_dim_price_recipe[Type.display])*($L544=Table_dim_price_recipe[Category])*($D544=Table_dim_price_recipe[Item Description]) * (J$6=Table_dim_price_recipe[Type])*(Table_dim_price_recipe[Retail Price]&lt;&gt;0)*($C544=Table_dim_price_recipe[Subcategory]), 0))*$B544,"")</f>
        <v/>
      </c>
      <c r="K544" s="39" t="str" cm="1">
        <f t="array" ref="K544">IFERROR(INDEX(Table_dim_price_recipe[Retail Price], MATCH(1, ("Calculator"&lt;&gt;Table_dim_price_recipe[Type.display])*($L544=Table_dim_price_recipe[Category])*($D544=Table_dim_price_recipe[Item Description]) * (K$6=Table_dim_price_recipe[Type])*(Table_dim_price_recipe[Retail Price]&lt;&gt;0)*($C544=Table_dim_price_recipe[Subcategory]), 0))*$B544,"")</f>
        <v/>
      </c>
      <c r="L544" s="39" t="str" cm="1">
        <f t="array" ref="L544">IF($A544&lt;&gt;"", $A544, LOOKUP(2, 1/((A$7:INDEX(A:A, ROW()))&lt;&gt;""), A$7:INDEX(A:A, ROW())))</f>
        <v>DELIVERY &amp; ROOFING COMPLIANCE</v>
      </c>
      <c r="M544" s="14"/>
    </row>
    <row r="545" spans="1:13">
      <c r="A545" s="263"/>
      <c r="B545" s="263"/>
      <c r="C545" s="263" t="s">
        <v>65</v>
      </c>
      <c r="D545" s="263"/>
      <c r="E545" s="263"/>
      <c r="F545" s="263"/>
      <c r="G545" s="39" t="str" cm="1">
        <f t="array" ref="G545">IFERROR(INDEX(Table_dim_price_recipe[Retail Price], MATCH(1, ("Calculator"&lt;&gt;Table_dim_price_recipe[Type.display])*($L545=Table_dim_price_recipe[Category])*($D545=Table_dim_price_recipe[Item Description]) * (G$6=Table_dim_price_recipe[Type])*(Table_dim_price_recipe[Retail Price]&lt;&gt;0)*($C545=Table_dim_price_recipe[Subcategory]), 0))*$B545,"")</f>
        <v/>
      </c>
      <c r="H545" s="39" t="str" cm="1">
        <f t="array" ref="H545">IFERROR(INDEX(Table_dim_price_recipe[Retail Price], MATCH(1, ("Calculator"&lt;&gt;Table_dim_price_recipe[Type.display])*($L545=Table_dim_price_recipe[Category])*($D545=Table_dim_price_recipe[Item Description]) * (H$6=Table_dim_price_recipe[Type])*(Table_dim_price_recipe[Retail Price]&lt;&gt;0)*($C545=Table_dim_price_recipe[Subcategory]), 0))*$B545,"")</f>
        <v/>
      </c>
      <c r="I545" s="39" t="str" cm="1">
        <f t="array" ref="I545">IFERROR(INDEX(Table_dim_price_recipe[Retail Price], MATCH(1, ("Calculator"&lt;&gt;Table_dim_price_recipe[Type.display])*($L545=Table_dim_price_recipe[Category])*($D545=Table_dim_price_recipe[Item Description]) * (I$6=Table_dim_price_recipe[Type])*(Table_dim_price_recipe[Retail Price]&lt;&gt;0)*($C545=Table_dim_price_recipe[Subcategory]), 0))*$B545,"")</f>
        <v/>
      </c>
      <c r="J545" s="39" t="str" cm="1">
        <f t="array" ref="J545">IFERROR(INDEX(Table_dim_price_recipe[Retail Price], MATCH(1, ("Calculator"&lt;&gt;Table_dim_price_recipe[Type.display])*($L545=Table_dim_price_recipe[Category])*($D545=Table_dim_price_recipe[Item Description]) * (J$6=Table_dim_price_recipe[Type])*(Table_dim_price_recipe[Retail Price]&lt;&gt;0)*($C545=Table_dim_price_recipe[Subcategory]), 0))*$B545,"")</f>
        <v/>
      </c>
      <c r="K545" s="39" t="str" cm="1">
        <f t="array" ref="K545">IFERROR(INDEX(Table_dim_price_recipe[Retail Price], MATCH(1, ("Calculator"&lt;&gt;Table_dim_price_recipe[Type.display])*($L545=Table_dim_price_recipe[Category])*($D545=Table_dim_price_recipe[Item Description]) * (K$6=Table_dim_price_recipe[Type])*(Table_dim_price_recipe[Retail Price]&lt;&gt;0)*($C545=Table_dim_price_recipe[Subcategory]), 0))*$B545,"")</f>
        <v/>
      </c>
      <c r="L545" s="39" t="str" cm="1">
        <f t="array" ref="L545">IF($A545&lt;&gt;"", $A545, LOOKUP(2, 1/((A$7:INDEX(A:A, ROW()))&lt;&gt;""), A$7:INDEX(A:A, ROW())))</f>
        <v>DELIVERY &amp; ROOFING COMPLIANCE</v>
      </c>
      <c r="M545" s="14"/>
    </row>
    <row r="546" spans="1:13">
      <c r="A546" s="263"/>
      <c r="B546" s="263"/>
      <c r="C546" s="263" t="s">
        <v>65</v>
      </c>
      <c r="D546" s="263"/>
      <c r="E546" s="263"/>
      <c r="F546" s="263"/>
      <c r="G546" s="39" t="str" cm="1">
        <f t="array" ref="G546">IFERROR(INDEX(Table_dim_price_recipe[Retail Price], MATCH(1, ("Calculator"&lt;&gt;Table_dim_price_recipe[Type.display])*($L546=Table_dim_price_recipe[Category])*($D546=Table_dim_price_recipe[Item Description]) * (G$6=Table_dim_price_recipe[Type])*(Table_dim_price_recipe[Retail Price]&lt;&gt;0)*($C546=Table_dim_price_recipe[Subcategory]), 0))*$B546,"")</f>
        <v/>
      </c>
      <c r="H546" s="39" t="str" cm="1">
        <f t="array" ref="H546">IFERROR(INDEX(Table_dim_price_recipe[Retail Price], MATCH(1, ("Calculator"&lt;&gt;Table_dim_price_recipe[Type.display])*($L546=Table_dim_price_recipe[Category])*($D546=Table_dim_price_recipe[Item Description]) * (H$6=Table_dim_price_recipe[Type])*(Table_dim_price_recipe[Retail Price]&lt;&gt;0)*($C546=Table_dim_price_recipe[Subcategory]), 0))*$B546,"")</f>
        <v/>
      </c>
      <c r="I546" s="39" t="str" cm="1">
        <f t="array" ref="I546">IFERROR(INDEX(Table_dim_price_recipe[Retail Price], MATCH(1, ("Calculator"&lt;&gt;Table_dim_price_recipe[Type.display])*($L546=Table_dim_price_recipe[Category])*($D546=Table_dim_price_recipe[Item Description]) * (I$6=Table_dim_price_recipe[Type])*(Table_dim_price_recipe[Retail Price]&lt;&gt;0)*($C546=Table_dim_price_recipe[Subcategory]), 0))*$B546,"")</f>
        <v/>
      </c>
      <c r="J546" s="39" t="str" cm="1">
        <f t="array" ref="J546">IFERROR(INDEX(Table_dim_price_recipe[Retail Price], MATCH(1, ("Calculator"&lt;&gt;Table_dim_price_recipe[Type.display])*($L546=Table_dim_price_recipe[Category])*($D546=Table_dim_price_recipe[Item Description]) * (J$6=Table_dim_price_recipe[Type])*(Table_dim_price_recipe[Retail Price]&lt;&gt;0)*($C546=Table_dim_price_recipe[Subcategory]), 0))*$B546,"")</f>
        <v/>
      </c>
      <c r="K546" s="39" t="str" cm="1">
        <f t="array" ref="K546">IFERROR(INDEX(Table_dim_price_recipe[Retail Price], MATCH(1, ("Calculator"&lt;&gt;Table_dim_price_recipe[Type.display])*($L546=Table_dim_price_recipe[Category])*($D546=Table_dim_price_recipe[Item Description]) * (K$6=Table_dim_price_recipe[Type])*(Table_dim_price_recipe[Retail Price]&lt;&gt;0)*($C546=Table_dim_price_recipe[Subcategory]), 0))*$B546,"")</f>
        <v/>
      </c>
      <c r="L546" s="39" t="str" cm="1">
        <f t="array" ref="L546">IF($A546&lt;&gt;"", $A546, LOOKUP(2, 1/((A$7:INDEX(A:A, ROW()))&lt;&gt;""), A$7:INDEX(A:A, ROW())))</f>
        <v>DELIVERY &amp; ROOFING COMPLIANCE</v>
      </c>
      <c r="M546" s="14"/>
    </row>
    <row r="547" spans="1:13">
      <c r="A547" s="260" t="s">
        <v>353</v>
      </c>
      <c r="B547" s="261"/>
      <c r="C547" s="261"/>
      <c r="D547" s="261"/>
      <c r="E547" s="261"/>
      <c r="F547" s="261"/>
      <c r="G547" s="262" t="str" cm="1">
        <f t="array" ref="G547">IFERROR(INDEX(Table_dim_price_recipe[Retail Price], MATCH(1, ("Calculator"&lt;&gt;Table_dim_price_recipe[Type.display])*($L547=Table_dim_price_recipe[Category])*($D547=Table_dim_price_recipe[Item Description]) * (G$6=Table_dim_price_recipe[Type])*(Table_dim_price_recipe[Retail Price]&lt;&gt;0)*($C547=Table_dim_price_recipe[Subcategory]), 0))*$B547,"")</f>
        <v/>
      </c>
      <c r="H547" s="262" t="str" cm="1">
        <f t="array" ref="H547">IFERROR(INDEX(Table_dim_price_recipe[Retail Price], MATCH(1, ("Calculator"&lt;&gt;Table_dim_price_recipe[Type.display])*($L547=Table_dim_price_recipe[Category])*($D547=Table_dim_price_recipe[Item Description]) * (H$6=Table_dim_price_recipe[Type])*(Table_dim_price_recipe[Retail Price]&lt;&gt;0)*($C547=Table_dim_price_recipe[Subcategory]), 0))*$B547,"")</f>
        <v/>
      </c>
      <c r="I547" s="262" t="str" cm="1">
        <f t="array" ref="I547">IFERROR(INDEX(Table_dim_price_recipe[Retail Price], MATCH(1, ("Calculator"&lt;&gt;Table_dim_price_recipe[Type.display])*($L547=Table_dim_price_recipe[Category])*($D547=Table_dim_price_recipe[Item Description]) * (I$6=Table_dim_price_recipe[Type])*(Table_dim_price_recipe[Retail Price]&lt;&gt;0)*($C547=Table_dim_price_recipe[Subcategory]), 0))*$B547,"")</f>
        <v/>
      </c>
      <c r="J547" s="262" t="str" cm="1">
        <f t="array" ref="J547">IFERROR(INDEX(Table_dim_price_recipe[Retail Price], MATCH(1, ("Calculator"&lt;&gt;Table_dim_price_recipe[Type.display])*($L547=Table_dim_price_recipe[Category])*($D547=Table_dim_price_recipe[Item Description]) * (J$6=Table_dim_price_recipe[Type])*(Table_dim_price_recipe[Retail Price]&lt;&gt;0)*($C547=Table_dim_price_recipe[Subcategory]), 0))*$B547,"")</f>
        <v/>
      </c>
      <c r="K547" s="262" t="str" cm="1">
        <f t="array" ref="K547">IFERROR(INDEX(Table_dim_price_recipe[Retail Price], MATCH(1, ("Calculator"&lt;&gt;Table_dim_price_recipe[Type.display])*($L547=Table_dim_price_recipe[Category])*($D547=Table_dim_price_recipe[Item Description]) * (K$6=Table_dim_price_recipe[Type])*(Table_dim_price_recipe[Retail Price]&lt;&gt;0)*($C547=Table_dim_price_recipe[Subcategory]), 0))*$B547,"")</f>
        <v/>
      </c>
      <c r="L547" s="262" t="str" cm="1">
        <f t="array" ref="L547">IF($A547&lt;&gt;"", $A547, LOOKUP(2, 1/((A$7:INDEX(A:A, ROW()))&lt;&gt;""), A$7:INDEX(A:A, ROW())))</f>
        <v>WIRE HAND RAIL</v>
      </c>
      <c r="M547" s="14"/>
    </row>
    <row r="548" spans="1:13">
      <c r="A548" s="263"/>
      <c r="B548" s="263"/>
      <c r="C548" s="263" t="s">
        <v>354</v>
      </c>
      <c r="D548" s="263" t="s">
        <v>355</v>
      </c>
      <c r="E548" s="263"/>
      <c r="F548" s="263"/>
      <c r="G548" s="39" t="str" cm="1">
        <f t="array" ref="G548">IFERROR(INDEX(Table_dim_price_recipe[Retail Price], MATCH(1, ("Calculator"&lt;&gt;Table_dim_price_recipe[Type.display])*($L548=Table_dim_price_recipe[Category])*($D548=Table_dim_price_recipe[Item Description]) * (G$6=Table_dim_price_recipe[Type])*(Table_dim_price_recipe[Retail Price]&lt;&gt;0)*($C548=Table_dim_price_recipe[Subcategory]), 0))*$B548,"")</f>
        <v/>
      </c>
      <c r="H548" s="39" t="str" cm="1">
        <f t="array" ref="H548">IFERROR(INDEX(Table_dim_price_recipe[Retail Price], MATCH(1, ("Calculator"&lt;&gt;Table_dim_price_recipe[Type.display])*($L548=Table_dim_price_recipe[Category])*($D548=Table_dim_price_recipe[Item Description]) * (H$6=Table_dim_price_recipe[Type])*(Table_dim_price_recipe[Retail Price]&lt;&gt;0)*($C548=Table_dim_price_recipe[Subcategory]), 0))*$B548,"")</f>
        <v/>
      </c>
      <c r="I548" s="39" t="str" cm="1">
        <f t="array" ref="I548">IFERROR(INDEX(Table_dim_price_recipe[Retail Price], MATCH(1, ("Calculator"&lt;&gt;Table_dim_price_recipe[Type.display])*($L548=Table_dim_price_recipe[Category])*($D548=Table_dim_price_recipe[Item Description]) * (I$6=Table_dim_price_recipe[Type])*(Table_dim_price_recipe[Retail Price]&lt;&gt;0)*($C548=Table_dim_price_recipe[Subcategory]), 0))*$B548,"")</f>
        <v/>
      </c>
      <c r="J548" s="39" t="str" cm="1">
        <f t="array" ref="J548">IFERROR(INDEX(Table_dim_price_recipe[Retail Price], MATCH(1, ("Calculator"&lt;&gt;Table_dim_price_recipe[Type.display])*($L548=Table_dim_price_recipe[Category])*($D548=Table_dim_price_recipe[Item Description]) * (J$6=Table_dim_price_recipe[Type])*(Table_dim_price_recipe[Retail Price]&lt;&gt;0)*($C548=Table_dim_price_recipe[Subcategory]), 0))*$B548,"")</f>
        <v/>
      </c>
      <c r="K548" s="39" t="str" cm="1">
        <f t="array" ref="K548">IFERROR(INDEX(Table_dim_price_recipe[Retail Price], MATCH(1, ("Calculator"&lt;&gt;Table_dim_price_recipe[Type.display])*($L548=Table_dim_price_recipe[Category])*($D548=Table_dim_price_recipe[Item Description]) * (K$6=Table_dim_price_recipe[Type])*(Table_dim_price_recipe[Retail Price]&lt;&gt;0)*($C548=Table_dim_price_recipe[Subcategory]), 0))*$B548,"")</f>
        <v/>
      </c>
      <c r="L548" s="39" t="str" cm="1">
        <f t="array" ref="L548">IF($A548&lt;&gt;"", $A548, LOOKUP(2, 1/((A$7:INDEX(A:A, ROW()))&lt;&gt;""), A$7:INDEX(A:A, ROW())))</f>
        <v>WIRE HAND RAIL</v>
      </c>
      <c r="M548" s="14"/>
    </row>
    <row r="549" spans="1:13">
      <c r="A549" s="263"/>
      <c r="B549" s="263"/>
      <c r="C549" s="263" t="s">
        <v>354</v>
      </c>
      <c r="D549" s="263" t="s">
        <v>357</v>
      </c>
      <c r="E549" s="263"/>
      <c r="F549" s="263"/>
      <c r="G549" s="39" t="str" cm="1">
        <f t="array" ref="G549">IFERROR(INDEX(Table_dim_price_recipe[Retail Price], MATCH(1, ("Calculator"&lt;&gt;Table_dim_price_recipe[Type.display])*($L549=Table_dim_price_recipe[Category])*($D549=Table_dim_price_recipe[Item Description]) * (G$6=Table_dim_price_recipe[Type])*(Table_dim_price_recipe[Retail Price]&lt;&gt;0)*($C549=Table_dim_price_recipe[Subcategory]), 0))*$B549,"")</f>
        <v/>
      </c>
      <c r="H549" s="39" t="str" cm="1">
        <f t="array" ref="H549">IFERROR(INDEX(Table_dim_price_recipe[Retail Price], MATCH(1, ("Calculator"&lt;&gt;Table_dim_price_recipe[Type.display])*($L549=Table_dim_price_recipe[Category])*($D549=Table_dim_price_recipe[Item Description]) * (H$6=Table_dim_price_recipe[Type])*(Table_dim_price_recipe[Retail Price]&lt;&gt;0)*($C549=Table_dim_price_recipe[Subcategory]), 0))*$B549,"")</f>
        <v/>
      </c>
      <c r="I549" s="39" t="str" cm="1">
        <f t="array" ref="I549">IFERROR(INDEX(Table_dim_price_recipe[Retail Price], MATCH(1, ("Calculator"&lt;&gt;Table_dim_price_recipe[Type.display])*($L549=Table_dim_price_recipe[Category])*($D549=Table_dim_price_recipe[Item Description]) * (I$6=Table_dim_price_recipe[Type])*(Table_dim_price_recipe[Retail Price]&lt;&gt;0)*($C549=Table_dim_price_recipe[Subcategory]), 0))*$B549,"")</f>
        <v/>
      </c>
      <c r="J549" s="39" t="str" cm="1">
        <f t="array" ref="J549">IFERROR(INDEX(Table_dim_price_recipe[Retail Price], MATCH(1, ("Calculator"&lt;&gt;Table_dim_price_recipe[Type.display])*($L549=Table_dim_price_recipe[Category])*($D549=Table_dim_price_recipe[Item Description]) * (J$6=Table_dim_price_recipe[Type])*(Table_dim_price_recipe[Retail Price]&lt;&gt;0)*($C549=Table_dim_price_recipe[Subcategory]), 0))*$B549,"")</f>
        <v/>
      </c>
      <c r="K549" s="39" t="str" cm="1">
        <f t="array" ref="K549">IFERROR(INDEX(Table_dim_price_recipe[Retail Price], MATCH(1, ("Calculator"&lt;&gt;Table_dim_price_recipe[Type.display])*($L549=Table_dim_price_recipe[Category])*($D549=Table_dim_price_recipe[Item Description]) * (K$6=Table_dim_price_recipe[Type])*(Table_dim_price_recipe[Retail Price]&lt;&gt;0)*($C549=Table_dim_price_recipe[Subcategory]), 0))*$B549,"")</f>
        <v/>
      </c>
      <c r="L549" s="39" t="str" cm="1">
        <f t="array" ref="L549">IF($A549&lt;&gt;"", $A549, LOOKUP(2, 1/((A$7:INDEX(A:A, ROW()))&lt;&gt;""), A$7:INDEX(A:A, ROW())))</f>
        <v>WIRE HAND RAIL</v>
      </c>
      <c r="M549" s="14"/>
    </row>
    <row r="550" spans="1:13">
      <c r="A550" s="263"/>
      <c r="B550" s="263"/>
      <c r="C550" s="263" t="s">
        <v>354</v>
      </c>
      <c r="D550" s="263" t="s">
        <v>356</v>
      </c>
      <c r="E550" s="263"/>
      <c r="F550" s="263"/>
      <c r="G550" s="39" t="str" cm="1">
        <f t="array" ref="G550">IFERROR(INDEX(Table_dim_price_recipe[Retail Price], MATCH(1, ("Calculator"&lt;&gt;Table_dim_price_recipe[Type.display])*($L550=Table_dim_price_recipe[Category])*($D550=Table_dim_price_recipe[Item Description]) * (G$6=Table_dim_price_recipe[Type])*(Table_dim_price_recipe[Retail Price]&lt;&gt;0)*($C550=Table_dim_price_recipe[Subcategory]), 0))*$B550,"")</f>
        <v/>
      </c>
      <c r="H550" s="39" t="str" cm="1">
        <f t="array" ref="H550">IFERROR(INDEX(Table_dim_price_recipe[Retail Price], MATCH(1, ("Calculator"&lt;&gt;Table_dim_price_recipe[Type.display])*($L550=Table_dim_price_recipe[Category])*($D550=Table_dim_price_recipe[Item Description]) * (H$6=Table_dim_price_recipe[Type])*(Table_dim_price_recipe[Retail Price]&lt;&gt;0)*($C550=Table_dim_price_recipe[Subcategory]), 0))*$B550,"")</f>
        <v/>
      </c>
      <c r="I550" s="39" t="str" cm="1">
        <f t="array" ref="I550">IFERROR(INDEX(Table_dim_price_recipe[Retail Price], MATCH(1, ("Calculator"&lt;&gt;Table_dim_price_recipe[Type.display])*($L550=Table_dim_price_recipe[Category])*($D550=Table_dim_price_recipe[Item Description]) * (I$6=Table_dim_price_recipe[Type])*(Table_dim_price_recipe[Retail Price]&lt;&gt;0)*($C550=Table_dim_price_recipe[Subcategory]), 0))*$B550,"")</f>
        <v/>
      </c>
      <c r="J550" s="39" t="str" cm="1">
        <f t="array" ref="J550">IFERROR(INDEX(Table_dim_price_recipe[Retail Price], MATCH(1, ("Calculator"&lt;&gt;Table_dim_price_recipe[Type.display])*($L550=Table_dim_price_recipe[Category])*($D550=Table_dim_price_recipe[Item Description]) * (J$6=Table_dim_price_recipe[Type])*(Table_dim_price_recipe[Retail Price]&lt;&gt;0)*($C550=Table_dim_price_recipe[Subcategory]), 0))*$B550,"")</f>
        <v/>
      </c>
      <c r="K550" s="39" t="str" cm="1">
        <f t="array" ref="K550">IFERROR(INDEX(Table_dim_price_recipe[Retail Price], MATCH(1, ("Calculator"&lt;&gt;Table_dim_price_recipe[Type.display])*($L550=Table_dim_price_recipe[Category])*($D550=Table_dim_price_recipe[Item Description]) * (K$6=Table_dim_price_recipe[Type])*(Table_dim_price_recipe[Retail Price]&lt;&gt;0)*($C550=Table_dim_price_recipe[Subcategory]), 0))*$B550,"")</f>
        <v/>
      </c>
      <c r="L550" s="39" t="str" cm="1">
        <f t="array" ref="L550">IF($A550&lt;&gt;"", $A550, LOOKUP(2, 1/((A$7:INDEX(A:A, ROW()))&lt;&gt;""), A$7:INDEX(A:A, ROW())))</f>
        <v>WIRE HAND RAIL</v>
      </c>
      <c r="M550" s="14"/>
    </row>
    <row r="551" spans="1:13">
      <c r="A551" s="263"/>
      <c r="B551" s="263"/>
      <c r="C551" s="263" t="s">
        <v>354</v>
      </c>
      <c r="D551" s="263"/>
      <c r="E551" s="263"/>
      <c r="F551" s="263"/>
      <c r="G551" s="39" t="str" cm="1">
        <f t="array" ref="G551">IFERROR(INDEX(Table_dim_price_recipe[Retail Price], MATCH(1, ("Calculator"&lt;&gt;Table_dim_price_recipe[Type.display])*($L551=Table_dim_price_recipe[Category])*($D551=Table_dim_price_recipe[Item Description]) * (G$6=Table_dim_price_recipe[Type])*(Table_dim_price_recipe[Retail Price]&lt;&gt;0)*($C551=Table_dim_price_recipe[Subcategory]), 0))*$B551,"")</f>
        <v/>
      </c>
      <c r="H551" s="39" t="str" cm="1">
        <f t="array" ref="H551">IFERROR(INDEX(Table_dim_price_recipe[Retail Price], MATCH(1, ("Calculator"&lt;&gt;Table_dim_price_recipe[Type.display])*($L551=Table_dim_price_recipe[Category])*($D551=Table_dim_price_recipe[Item Description]) * (H$6=Table_dim_price_recipe[Type])*(Table_dim_price_recipe[Retail Price]&lt;&gt;0)*($C551=Table_dim_price_recipe[Subcategory]), 0))*$B551,"")</f>
        <v/>
      </c>
      <c r="I551" s="39" t="str" cm="1">
        <f t="array" ref="I551">IFERROR(INDEX(Table_dim_price_recipe[Retail Price], MATCH(1, ("Calculator"&lt;&gt;Table_dim_price_recipe[Type.display])*($L551=Table_dim_price_recipe[Category])*($D551=Table_dim_price_recipe[Item Description]) * (I$6=Table_dim_price_recipe[Type])*(Table_dim_price_recipe[Retail Price]&lt;&gt;0)*($C551=Table_dim_price_recipe[Subcategory]), 0))*$B551,"")</f>
        <v/>
      </c>
      <c r="J551" s="39" t="str" cm="1">
        <f t="array" ref="J551">IFERROR(INDEX(Table_dim_price_recipe[Retail Price], MATCH(1, ("Calculator"&lt;&gt;Table_dim_price_recipe[Type.display])*($L551=Table_dim_price_recipe[Category])*($D551=Table_dim_price_recipe[Item Description]) * (J$6=Table_dim_price_recipe[Type])*(Table_dim_price_recipe[Retail Price]&lt;&gt;0)*($C551=Table_dim_price_recipe[Subcategory]), 0))*$B551,"")</f>
        <v/>
      </c>
      <c r="K551" s="39" t="str" cm="1">
        <f t="array" ref="K551">IFERROR(INDEX(Table_dim_price_recipe[Retail Price], MATCH(1, ("Calculator"&lt;&gt;Table_dim_price_recipe[Type.display])*($L551=Table_dim_price_recipe[Category])*($D551=Table_dim_price_recipe[Item Description]) * (K$6=Table_dim_price_recipe[Type])*(Table_dim_price_recipe[Retail Price]&lt;&gt;0)*($C551=Table_dim_price_recipe[Subcategory]), 0))*$B551,"")</f>
        <v/>
      </c>
      <c r="L551" s="39" t="str" cm="1">
        <f t="array" ref="L551">IF($A551&lt;&gt;"", $A551, LOOKUP(2, 1/((A$7:INDEX(A:A, ROW()))&lt;&gt;""), A$7:INDEX(A:A, ROW())))</f>
        <v>WIRE HAND RAIL</v>
      </c>
      <c r="M551" s="14"/>
    </row>
    <row r="552" spans="1:13">
      <c r="A552" s="263"/>
      <c r="B552" s="263"/>
      <c r="C552" s="263" t="s">
        <v>354</v>
      </c>
      <c r="D552" s="263"/>
      <c r="E552" s="263"/>
      <c r="F552" s="263"/>
      <c r="G552" s="39" t="str" cm="1">
        <f t="array" ref="G552">IFERROR(INDEX(Table_dim_price_recipe[Retail Price], MATCH(1, ("Calculator"&lt;&gt;Table_dim_price_recipe[Type.display])*($L552=Table_dim_price_recipe[Category])*($D552=Table_dim_price_recipe[Item Description]) * (G$6=Table_dim_price_recipe[Type])*(Table_dim_price_recipe[Retail Price]&lt;&gt;0)*($C552=Table_dim_price_recipe[Subcategory]), 0))*$B552,"")</f>
        <v/>
      </c>
      <c r="H552" s="39" t="str" cm="1">
        <f t="array" ref="H552">IFERROR(INDEX(Table_dim_price_recipe[Retail Price], MATCH(1, ("Calculator"&lt;&gt;Table_dim_price_recipe[Type.display])*($L552=Table_dim_price_recipe[Category])*($D552=Table_dim_price_recipe[Item Description]) * (H$6=Table_dim_price_recipe[Type])*(Table_dim_price_recipe[Retail Price]&lt;&gt;0)*($C552=Table_dim_price_recipe[Subcategory]), 0))*$B552,"")</f>
        <v/>
      </c>
      <c r="I552" s="39" t="str" cm="1">
        <f t="array" ref="I552">IFERROR(INDEX(Table_dim_price_recipe[Retail Price], MATCH(1, ("Calculator"&lt;&gt;Table_dim_price_recipe[Type.display])*($L552=Table_dim_price_recipe[Category])*($D552=Table_dim_price_recipe[Item Description]) * (I$6=Table_dim_price_recipe[Type])*(Table_dim_price_recipe[Retail Price]&lt;&gt;0)*($C552=Table_dim_price_recipe[Subcategory]), 0))*$B552,"")</f>
        <v/>
      </c>
      <c r="J552" s="39" t="str" cm="1">
        <f t="array" ref="J552">IFERROR(INDEX(Table_dim_price_recipe[Retail Price], MATCH(1, ("Calculator"&lt;&gt;Table_dim_price_recipe[Type.display])*($L552=Table_dim_price_recipe[Category])*($D552=Table_dim_price_recipe[Item Description]) * (J$6=Table_dim_price_recipe[Type])*(Table_dim_price_recipe[Retail Price]&lt;&gt;0)*($C552=Table_dim_price_recipe[Subcategory]), 0))*$B552,"")</f>
        <v/>
      </c>
      <c r="K552" s="39" t="str" cm="1">
        <f t="array" ref="K552">IFERROR(INDEX(Table_dim_price_recipe[Retail Price], MATCH(1, ("Calculator"&lt;&gt;Table_dim_price_recipe[Type.display])*($L552=Table_dim_price_recipe[Category])*($D552=Table_dim_price_recipe[Item Description]) * (K$6=Table_dim_price_recipe[Type])*(Table_dim_price_recipe[Retail Price]&lt;&gt;0)*($C552=Table_dim_price_recipe[Subcategory]), 0))*$B552,"")</f>
        <v/>
      </c>
      <c r="L552" s="39" t="str" cm="1">
        <f t="array" ref="L552">IF($A552&lt;&gt;"", $A552, LOOKUP(2, 1/((A$7:INDEX(A:A, ROW()))&lt;&gt;""), A$7:INDEX(A:A, ROW())))</f>
        <v>WIRE HAND RAIL</v>
      </c>
      <c r="M552" s="14"/>
    </row>
    <row r="553" spans="1:13">
      <c r="A553" s="263"/>
      <c r="B553" s="263"/>
      <c r="C553" s="263" t="s">
        <v>358</v>
      </c>
      <c r="D553" s="263" t="s">
        <v>359</v>
      </c>
      <c r="E553" s="263"/>
      <c r="F553" s="263"/>
      <c r="G553" s="39" t="str" cm="1">
        <f t="array" ref="G553">IFERROR(INDEX(Table_dim_price_recipe[Retail Price], MATCH(1, ("Calculator"&lt;&gt;Table_dim_price_recipe[Type.display])*($L553=Table_dim_price_recipe[Category])*($D553=Table_dim_price_recipe[Item Description]) * (G$6=Table_dim_price_recipe[Type])*(Table_dim_price_recipe[Retail Price]&lt;&gt;0)*($C553=Table_dim_price_recipe[Subcategory]), 0))*$B553,"")</f>
        <v/>
      </c>
      <c r="H553" s="39" t="str" cm="1">
        <f t="array" ref="H553">IFERROR(INDEX(Table_dim_price_recipe[Retail Price], MATCH(1, ("Calculator"&lt;&gt;Table_dim_price_recipe[Type.display])*($L553=Table_dim_price_recipe[Category])*($D553=Table_dim_price_recipe[Item Description]) * (H$6=Table_dim_price_recipe[Type])*(Table_dim_price_recipe[Retail Price]&lt;&gt;0)*($C553=Table_dim_price_recipe[Subcategory]), 0))*$B553,"")</f>
        <v/>
      </c>
      <c r="I553" s="39" t="str" cm="1">
        <f t="array" ref="I553">IFERROR(INDEX(Table_dim_price_recipe[Retail Price], MATCH(1, ("Calculator"&lt;&gt;Table_dim_price_recipe[Type.display])*($L553=Table_dim_price_recipe[Category])*($D553=Table_dim_price_recipe[Item Description]) * (I$6=Table_dim_price_recipe[Type])*(Table_dim_price_recipe[Retail Price]&lt;&gt;0)*($C553=Table_dim_price_recipe[Subcategory]), 0))*$B553,"")</f>
        <v/>
      </c>
      <c r="J553" s="39" t="str" cm="1">
        <f t="array" ref="J553">IFERROR(INDEX(Table_dim_price_recipe[Retail Price], MATCH(1, ("Calculator"&lt;&gt;Table_dim_price_recipe[Type.display])*($L553=Table_dim_price_recipe[Category])*($D553=Table_dim_price_recipe[Item Description]) * (J$6=Table_dim_price_recipe[Type])*(Table_dim_price_recipe[Retail Price]&lt;&gt;0)*($C553=Table_dim_price_recipe[Subcategory]), 0))*$B553,"")</f>
        <v/>
      </c>
      <c r="K553" s="39" t="str" cm="1">
        <f t="array" ref="K553">IFERROR(INDEX(Table_dim_price_recipe[Retail Price], MATCH(1, ("Calculator"&lt;&gt;Table_dim_price_recipe[Type.display])*($L553=Table_dim_price_recipe[Category])*($D553=Table_dim_price_recipe[Item Description]) * (K$6=Table_dim_price_recipe[Type])*(Table_dim_price_recipe[Retail Price]&lt;&gt;0)*($C553=Table_dim_price_recipe[Subcategory]), 0))*$B553,"")</f>
        <v/>
      </c>
      <c r="L553" s="39" t="str" cm="1">
        <f t="array" ref="L553">IF($A553&lt;&gt;"", $A553, LOOKUP(2, 1/((A$7:INDEX(A:A, ROW()))&lt;&gt;""), A$7:INDEX(A:A, ROW())))</f>
        <v>WIRE HAND RAIL</v>
      </c>
      <c r="M553" s="14"/>
    </row>
    <row r="554" spans="1:13">
      <c r="A554" s="263"/>
      <c r="B554" s="263"/>
      <c r="C554" s="263" t="s">
        <v>358</v>
      </c>
      <c r="D554" s="263" t="s">
        <v>360</v>
      </c>
      <c r="E554" s="263"/>
      <c r="F554" s="263"/>
      <c r="G554" s="39" t="str" cm="1">
        <f t="array" ref="G554">IFERROR(INDEX(Table_dim_price_recipe[Retail Price], MATCH(1, ("Calculator"&lt;&gt;Table_dim_price_recipe[Type.display])*($L554=Table_dim_price_recipe[Category])*($D554=Table_dim_price_recipe[Item Description]) * (G$6=Table_dim_price_recipe[Type])*(Table_dim_price_recipe[Retail Price]&lt;&gt;0)*($C554=Table_dim_price_recipe[Subcategory]), 0))*$B554,"")</f>
        <v/>
      </c>
      <c r="H554" s="39" t="str" cm="1">
        <f t="array" ref="H554">IFERROR(INDEX(Table_dim_price_recipe[Retail Price], MATCH(1, ("Calculator"&lt;&gt;Table_dim_price_recipe[Type.display])*($L554=Table_dim_price_recipe[Category])*($D554=Table_dim_price_recipe[Item Description]) * (H$6=Table_dim_price_recipe[Type])*(Table_dim_price_recipe[Retail Price]&lt;&gt;0)*($C554=Table_dim_price_recipe[Subcategory]), 0))*$B554,"")</f>
        <v/>
      </c>
      <c r="I554" s="39" t="str" cm="1">
        <f t="array" ref="I554">IFERROR(INDEX(Table_dim_price_recipe[Retail Price], MATCH(1, ("Calculator"&lt;&gt;Table_dim_price_recipe[Type.display])*($L554=Table_dim_price_recipe[Category])*($D554=Table_dim_price_recipe[Item Description]) * (I$6=Table_dim_price_recipe[Type])*(Table_dim_price_recipe[Retail Price]&lt;&gt;0)*($C554=Table_dim_price_recipe[Subcategory]), 0))*$B554,"")</f>
        <v/>
      </c>
      <c r="J554" s="39" t="str" cm="1">
        <f t="array" ref="J554">IFERROR(INDEX(Table_dim_price_recipe[Retail Price], MATCH(1, ("Calculator"&lt;&gt;Table_dim_price_recipe[Type.display])*($L554=Table_dim_price_recipe[Category])*($D554=Table_dim_price_recipe[Item Description]) * (J$6=Table_dim_price_recipe[Type])*(Table_dim_price_recipe[Retail Price]&lt;&gt;0)*($C554=Table_dim_price_recipe[Subcategory]), 0))*$B554,"")</f>
        <v/>
      </c>
      <c r="K554" s="39" t="str" cm="1">
        <f t="array" ref="K554">IFERROR(INDEX(Table_dim_price_recipe[Retail Price], MATCH(1, ("Calculator"&lt;&gt;Table_dim_price_recipe[Type.display])*($L554=Table_dim_price_recipe[Category])*($D554=Table_dim_price_recipe[Item Description]) * (K$6=Table_dim_price_recipe[Type])*(Table_dim_price_recipe[Retail Price]&lt;&gt;0)*($C554=Table_dim_price_recipe[Subcategory]), 0))*$B554,"")</f>
        <v/>
      </c>
      <c r="L554" s="39" t="str" cm="1">
        <f t="array" ref="L554">IF($A554&lt;&gt;"", $A554, LOOKUP(2, 1/((A$7:INDEX(A:A, ROW()))&lt;&gt;""), A$7:INDEX(A:A, ROW())))</f>
        <v>WIRE HAND RAIL</v>
      </c>
      <c r="M554" s="14"/>
    </row>
    <row r="555" spans="1:13">
      <c r="A555" s="263"/>
      <c r="B555" s="263"/>
      <c r="C555" s="263" t="s">
        <v>358</v>
      </c>
      <c r="D555" s="263" t="s">
        <v>361</v>
      </c>
      <c r="E555" s="263"/>
      <c r="F555" s="263"/>
      <c r="G555" s="39" t="str" cm="1">
        <f t="array" ref="G555">IFERROR(INDEX(Table_dim_price_recipe[Retail Price], MATCH(1, ("Calculator"&lt;&gt;Table_dim_price_recipe[Type.display])*($L555=Table_dim_price_recipe[Category])*($D555=Table_dim_price_recipe[Item Description]) * (G$6=Table_dim_price_recipe[Type])*(Table_dim_price_recipe[Retail Price]&lt;&gt;0)*($C555=Table_dim_price_recipe[Subcategory]), 0))*$B555,"")</f>
        <v/>
      </c>
      <c r="H555" s="39" t="str" cm="1">
        <f t="array" ref="H555">IFERROR(INDEX(Table_dim_price_recipe[Retail Price], MATCH(1, ("Calculator"&lt;&gt;Table_dim_price_recipe[Type.display])*($L555=Table_dim_price_recipe[Category])*($D555=Table_dim_price_recipe[Item Description]) * (H$6=Table_dim_price_recipe[Type])*(Table_dim_price_recipe[Retail Price]&lt;&gt;0)*($C555=Table_dim_price_recipe[Subcategory]), 0))*$B555,"")</f>
        <v/>
      </c>
      <c r="I555" s="39" t="str" cm="1">
        <f t="array" ref="I555">IFERROR(INDEX(Table_dim_price_recipe[Retail Price], MATCH(1, ("Calculator"&lt;&gt;Table_dim_price_recipe[Type.display])*($L555=Table_dim_price_recipe[Category])*($D555=Table_dim_price_recipe[Item Description]) * (I$6=Table_dim_price_recipe[Type])*(Table_dim_price_recipe[Retail Price]&lt;&gt;0)*($C555=Table_dim_price_recipe[Subcategory]), 0))*$B555,"")</f>
        <v/>
      </c>
      <c r="J555" s="39" t="str" cm="1">
        <f t="array" ref="J555">IFERROR(INDEX(Table_dim_price_recipe[Retail Price], MATCH(1, ("Calculator"&lt;&gt;Table_dim_price_recipe[Type.display])*($L555=Table_dim_price_recipe[Category])*($D555=Table_dim_price_recipe[Item Description]) * (J$6=Table_dim_price_recipe[Type])*(Table_dim_price_recipe[Retail Price]&lt;&gt;0)*($C555=Table_dim_price_recipe[Subcategory]), 0))*$B555,"")</f>
        <v/>
      </c>
      <c r="K555" s="39" t="str" cm="1">
        <f t="array" ref="K555">IFERROR(INDEX(Table_dim_price_recipe[Retail Price], MATCH(1, ("Calculator"&lt;&gt;Table_dim_price_recipe[Type.display])*($L555=Table_dim_price_recipe[Category])*($D555=Table_dim_price_recipe[Item Description]) * (K$6=Table_dim_price_recipe[Type])*(Table_dim_price_recipe[Retail Price]&lt;&gt;0)*($C555=Table_dim_price_recipe[Subcategory]), 0))*$B555,"")</f>
        <v/>
      </c>
      <c r="L555" s="39" t="str" cm="1">
        <f t="array" ref="L555">IF($A555&lt;&gt;"", $A555, LOOKUP(2, 1/((A$7:INDEX(A:A, ROW()))&lt;&gt;""), A$7:INDEX(A:A, ROW())))</f>
        <v>WIRE HAND RAIL</v>
      </c>
      <c r="M555" s="14"/>
    </row>
    <row r="556" spans="1:13">
      <c r="A556" s="263"/>
      <c r="B556" s="263"/>
      <c r="C556" s="263" t="s">
        <v>358</v>
      </c>
      <c r="D556" s="263"/>
      <c r="E556" s="263"/>
      <c r="F556" s="263"/>
      <c r="G556" s="39" t="str" cm="1">
        <f t="array" ref="G556">IFERROR(INDEX(Table_dim_price_recipe[Retail Price], MATCH(1, ("Calculator"&lt;&gt;Table_dim_price_recipe[Type.display])*($L556=Table_dim_price_recipe[Category])*($D556=Table_dim_price_recipe[Item Description]) * (G$6=Table_dim_price_recipe[Type])*(Table_dim_price_recipe[Retail Price]&lt;&gt;0)*($C556=Table_dim_price_recipe[Subcategory]), 0))*$B556,"")</f>
        <v/>
      </c>
      <c r="H556" s="39" t="str" cm="1">
        <f t="array" ref="H556">IFERROR(INDEX(Table_dim_price_recipe[Retail Price], MATCH(1, ("Calculator"&lt;&gt;Table_dim_price_recipe[Type.display])*($L556=Table_dim_price_recipe[Category])*($D556=Table_dim_price_recipe[Item Description]) * (H$6=Table_dim_price_recipe[Type])*(Table_dim_price_recipe[Retail Price]&lt;&gt;0)*($C556=Table_dim_price_recipe[Subcategory]), 0))*$B556,"")</f>
        <v/>
      </c>
      <c r="I556" s="39" t="str" cm="1">
        <f t="array" ref="I556">IFERROR(INDEX(Table_dim_price_recipe[Retail Price], MATCH(1, ("Calculator"&lt;&gt;Table_dim_price_recipe[Type.display])*($L556=Table_dim_price_recipe[Category])*($D556=Table_dim_price_recipe[Item Description]) * (I$6=Table_dim_price_recipe[Type])*(Table_dim_price_recipe[Retail Price]&lt;&gt;0)*($C556=Table_dim_price_recipe[Subcategory]), 0))*$B556,"")</f>
        <v/>
      </c>
      <c r="J556" s="39" t="str" cm="1">
        <f t="array" ref="J556">IFERROR(INDEX(Table_dim_price_recipe[Retail Price], MATCH(1, ("Calculator"&lt;&gt;Table_dim_price_recipe[Type.display])*($L556=Table_dim_price_recipe[Category])*($D556=Table_dim_price_recipe[Item Description]) * (J$6=Table_dim_price_recipe[Type])*(Table_dim_price_recipe[Retail Price]&lt;&gt;0)*($C556=Table_dim_price_recipe[Subcategory]), 0))*$B556,"")</f>
        <v/>
      </c>
      <c r="K556" s="39" t="str" cm="1">
        <f t="array" ref="K556">IFERROR(INDEX(Table_dim_price_recipe[Retail Price], MATCH(1, ("Calculator"&lt;&gt;Table_dim_price_recipe[Type.display])*($L556=Table_dim_price_recipe[Category])*($D556=Table_dim_price_recipe[Item Description]) * (K$6=Table_dim_price_recipe[Type])*(Table_dim_price_recipe[Retail Price]&lt;&gt;0)*($C556=Table_dim_price_recipe[Subcategory]), 0))*$B556,"")</f>
        <v/>
      </c>
      <c r="L556" s="39" t="str" cm="1">
        <f t="array" ref="L556">IF($A556&lt;&gt;"", $A556, LOOKUP(2, 1/((A$7:INDEX(A:A, ROW()))&lt;&gt;""), A$7:INDEX(A:A, ROW())))</f>
        <v>WIRE HAND RAIL</v>
      </c>
      <c r="M556" s="14"/>
    </row>
    <row r="557" spans="1:13">
      <c r="A557" s="263"/>
      <c r="B557" s="263"/>
      <c r="C557" s="263" t="s">
        <v>358</v>
      </c>
      <c r="D557" s="263"/>
      <c r="E557" s="263"/>
      <c r="F557" s="263"/>
      <c r="G557" s="39" t="str" cm="1">
        <f t="array" ref="G557">IFERROR(INDEX(Table_dim_price_recipe[Retail Price], MATCH(1, ("Calculator"&lt;&gt;Table_dim_price_recipe[Type.display])*($L557=Table_dim_price_recipe[Category])*($D557=Table_dim_price_recipe[Item Description]) * (G$6=Table_dim_price_recipe[Type])*(Table_dim_price_recipe[Retail Price]&lt;&gt;0)*($C557=Table_dim_price_recipe[Subcategory]), 0))*$B557,"")</f>
        <v/>
      </c>
      <c r="H557" s="39" t="str" cm="1">
        <f t="array" ref="H557">IFERROR(INDEX(Table_dim_price_recipe[Retail Price], MATCH(1, ("Calculator"&lt;&gt;Table_dim_price_recipe[Type.display])*($L557=Table_dim_price_recipe[Category])*($D557=Table_dim_price_recipe[Item Description]) * (H$6=Table_dim_price_recipe[Type])*(Table_dim_price_recipe[Retail Price]&lt;&gt;0)*($C557=Table_dim_price_recipe[Subcategory]), 0))*$B557,"")</f>
        <v/>
      </c>
      <c r="I557" s="39" t="str" cm="1">
        <f t="array" ref="I557">IFERROR(INDEX(Table_dim_price_recipe[Retail Price], MATCH(1, ("Calculator"&lt;&gt;Table_dim_price_recipe[Type.display])*($L557=Table_dim_price_recipe[Category])*($D557=Table_dim_price_recipe[Item Description]) * (I$6=Table_dim_price_recipe[Type])*(Table_dim_price_recipe[Retail Price]&lt;&gt;0)*($C557=Table_dim_price_recipe[Subcategory]), 0))*$B557,"")</f>
        <v/>
      </c>
      <c r="J557" s="39" t="str" cm="1">
        <f t="array" ref="J557">IFERROR(INDEX(Table_dim_price_recipe[Retail Price], MATCH(1, ("Calculator"&lt;&gt;Table_dim_price_recipe[Type.display])*($L557=Table_dim_price_recipe[Category])*($D557=Table_dim_price_recipe[Item Description]) * (J$6=Table_dim_price_recipe[Type])*(Table_dim_price_recipe[Retail Price]&lt;&gt;0)*($C557=Table_dim_price_recipe[Subcategory]), 0))*$B557,"")</f>
        <v/>
      </c>
      <c r="K557" s="39" t="str" cm="1">
        <f t="array" ref="K557">IFERROR(INDEX(Table_dim_price_recipe[Retail Price], MATCH(1, ("Calculator"&lt;&gt;Table_dim_price_recipe[Type.display])*($L557=Table_dim_price_recipe[Category])*($D557=Table_dim_price_recipe[Item Description]) * (K$6=Table_dim_price_recipe[Type])*(Table_dim_price_recipe[Retail Price]&lt;&gt;0)*($C557=Table_dim_price_recipe[Subcategory]), 0))*$B557,"")</f>
        <v/>
      </c>
      <c r="L557" s="39" t="str" cm="1">
        <f t="array" ref="L557">IF($A557&lt;&gt;"", $A557, LOOKUP(2, 1/((A$7:INDEX(A:A, ROW()))&lt;&gt;""), A$7:INDEX(A:A, ROW())))</f>
        <v>WIRE HAND RAIL</v>
      </c>
      <c r="M557" s="14"/>
    </row>
    <row r="558" spans="1:13">
      <c r="A558" s="263"/>
      <c r="B558" s="263"/>
      <c r="C558" s="263" t="s">
        <v>726</v>
      </c>
      <c r="D558" s="263" t="s">
        <v>733</v>
      </c>
      <c r="E558" s="263"/>
      <c r="F558" s="263"/>
      <c r="G558" s="39" cm="1">
        <f t="array" ref="G558">IFERROR(INDEX(Table_dim_price_recipe[Retail Price], MATCH(1, ("Calculator"&lt;&gt;Table_dim_price_recipe[Type.display])*($L558=Table_dim_price_recipe[Category])*($D558=Table_dim_price_recipe[Item Description]) * (G$6=Table_dim_price_recipe[Type])*(Table_dim_price_recipe[Retail Price]&lt;&gt;0)*($C558=Table_dim_price_recipe[Subcategory]), 0))*$B558,"")</f>
        <v>0</v>
      </c>
      <c r="H558" s="39" t="str" cm="1">
        <f t="array" ref="H558">IFERROR(INDEX(Table_dim_price_recipe[Retail Price], MATCH(1, ("Calculator"&lt;&gt;Table_dim_price_recipe[Type.display])*($L558=Table_dim_price_recipe[Category])*($D558=Table_dim_price_recipe[Item Description]) * (H$6=Table_dim_price_recipe[Type])*(Table_dim_price_recipe[Retail Price]&lt;&gt;0)*($C558=Table_dim_price_recipe[Subcategory]), 0))*$B558,"")</f>
        <v/>
      </c>
      <c r="I558" s="39" t="str" cm="1">
        <f t="array" ref="I558">IFERROR(INDEX(Table_dim_price_recipe[Retail Price], MATCH(1, ("Calculator"&lt;&gt;Table_dim_price_recipe[Type.display])*($L558=Table_dim_price_recipe[Category])*($D558=Table_dim_price_recipe[Item Description]) * (I$6=Table_dim_price_recipe[Type])*(Table_dim_price_recipe[Retail Price]&lt;&gt;0)*($C558=Table_dim_price_recipe[Subcategory]), 0))*$B558,"")</f>
        <v/>
      </c>
      <c r="J558" s="39" t="str" cm="1">
        <f t="array" ref="J558">IFERROR(INDEX(Table_dim_price_recipe[Retail Price], MATCH(1, ("Calculator"&lt;&gt;Table_dim_price_recipe[Type.display])*($L558=Table_dim_price_recipe[Category])*($D558=Table_dim_price_recipe[Item Description]) * (J$6=Table_dim_price_recipe[Type])*(Table_dim_price_recipe[Retail Price]&lt;&gt;0)*($C558=Table_dim_price_recipe[Subcategory]), 0))*$B558,"")</f>
        <v/>
      </c>
      <c r="K558" s="39" t="str" cm="1">
        <f t="array" ref="K558">IFERROR(INDEX(Table_dim_price_recipe[Retail Price], MATCH(1, ("Calculator"&lt;&gt;Table_dim_price_recipe[Type.display])*($L558=Table_dim_price_recipe[Category])*($D558=Table_dim_price_recipe[Item Description]) * (K$6=Table_dim_price_recipe[Type])*(Table_dim_price_recipe[Retail Price]&lt;&gt;0)*($C558=Table_dim_price_recipe[Subcategory]), 0))*$B558,"")</f>
        <v/>
      </c>
      <c r="L558" s="39" t="str" cm="1">
        <f t="array" ref="L558">IF($A558&lt;&gt;"", $A558, LOOKUP(2, 1/((A$7:INDEX(A:A, ROW()))&lt;&gt;""), A$7:INDEX(A:A, ROW())))</f>
        <v>WIRE HAND RAIL</v>
      </c>
      <c r="M558" s="14"/>
    </row>
    <row r="559" spans="1:13">
      <c r="A559" s="263"/>
      <c r="B559" s="263"/>
      <c r="C559" s="263" t="s">
        <v>726</v>
      </c>
      <c r="D559" s="263" t="s">
        <v>735</v>
      </c>
      <c r="E559" s="263"/>
      <c r="F559" s="263"/>
      <c r="G559" s="39" cm="1">
        <f t="array" ref="G559">IFERROR(INDEX(Table_dim_price_recipe[Retail Price], MATCH(1, ("Calculator"&lt;&gt;Table_dim_price_recipe[Type.display])*($L559=Table_dim_price_recipe[Category])*($D559=Table_dim_price_recipe[Item Description]) * (G$6=Table_dim_price_recipe[Type])*(Table_dim_price_recipe[Retail Price]&lt;&gt;0)*($C559=Table_dim_price_recipe[Subcategory]), 0))*$B559,"")</f>
        <v>0</v>
      </c>
      <c r="H559" s="39" t="str" cm="1">
        <f t="array" ref="H559">IFERROR(INDEX(Table_dim_price_recipe[Retail Price], MATCH(1, ("Calculator"&lt;&gt;Table_dim_price_recipe[Type.display])*($L559=Table_dim_price_recipe[Category])*($D559=Table_dim_price_recipe[Item Description]) * (H$6=Table_dim_price_recipe[Type])*(Table_dim_price_recipe[Retail Price]&lt;&gt;0)*($C559=Table_dim_price_recipe[Subcategory]), 0))*$B559,"")</f>
        <v/>
      </c>
      <c r="I559" s="39" t="str" cm="1">
        <f t="array" ref="I559">IFERROR(INDEX(Table_dim_price_recipe[Retail Price], MATCH(1, ("Calculator"&lt;&gt;Table_dim_price_recipe[Type.display])*($L559=Table_dim_price_recipe[Category])*($D559=Table_dim_price_recipe[Item Description]) * (I$6=Table_dim_price_recipe[Type])*(Table_dim_price_recipe[Retail Price]&lt;&gt;0)*($C559=Table_dim_price_recipe[Subcategory]), 0))*$B559,"")</f>
        <v/>
      </c>
      <c r="J559" s="39" t="str" cm="1">
        <f t="array" ref="J559">IFERROR(INDEX(Table_dim_price_recipe[Retail Price], MATCH(1, ("Calculator"&lt;&gt;Table_dim_price_recipe[Type.display])*($L559=Table_dim_price_recipe[Category])*($D559=Table_dim_price_recipe[Item Description]) * (J$6=Table_dim_price_recipe[Type])*(Table_dim_price_recipe[Retail Price]&lt;&gt;0)*($C559=Table_dim_price_recipe[Subcategory]), 0))*$B559,"")</f>
        <v/>
      </c>
      <c r="K559" s="39" t="str" cm="1">
        <f t="array" ref="K559">IFERROR(INDEX(Table_dim_price_recipe[Retail Price], MATCH(1, ("Calculator"&lt;&gt;Table_dim_price_recipe[Type.display])*($L559=Table_dim_price_recipe[Category])*($D559=Table_dim_price_recipe[Item Description]) * (K$6=Table_dim_price_recipe[Type])*(Table_dim_price_recipe[Retail Price]&lt;&gt;0)*($C559=Table_dim_price_recipe[Subcategory]), 0))*$B559,"")</f>
        <v/>
      </c>
      <c r="L559" s="39" t="str" cm="1">
        <f t="array" ref="L559">IF($A559&lt;&gt;"", $A559, LOOKUP(2, 1/((A$7:INDEX(A:A, ROW()))&lt;&gt;""), A$7:INDEX(A:A, ROW())))</f>
        <v>WIRE HAND RAIL</v>
      </c>
      <c r="M559" s="14"/>
    </row>
    <row r="560" spans="1:13">
      <c r="A560" s="263"/>
      <c r="B560" s="263"/>
      <c r="C560" s="263" t="s">
        <v>726</v>
      </c>
      <c r="D560" s="263" t="s">
        <v>738</v>
      </c>
      <c r="E560" s="263"/>
      <c r="F560" s="263"/>
      <c r="G560" s="39" cm="1">
        <f t="array" ref="G560">IFERROR(INDEX(Table_dim_price_recipe[Retail Price], MATCH(1, ("Calculator"&lt;&gt;Table_dim_price_recipe[Type.display])*($L560=Table_dim_price_recipe[Category])*($D560=Table_dim_price_recipe[Item Description]) * (G$6=Table_dim_price_recipe[Type])*(Table_dim_price_recipe[Retail Price]&lt;&gt;0)*($C560=Table_dim_price_recipe[Subcategory]), 0))*$B560,"")</f>
        <v>0</v>
      </c>
      <c r="H560" s="39" t="str" cm="1">
        <f t="array" ref="H560">IFERROR(INDEX(Table_dim_price_recipe[Retail Price], MATCH(1, ("Calculator"&lt;&gt;Table_dim_price_recipe[Type.display])*($L560=Table_dim_price_recipe[Category])*($D560=Table_dim_price_recipe[Item Description]) * (H$6=Table_dim_price_recipe[Type])*(Table_dim_price_recipe[Retail Price]&lt;&gt;0)*($C560=Table_dim_price_recipe[Subcategory]), 0))*$B560,"")</f>
        <v/>
      </c>
      <c r="I560" s="39" t="str" cm="1">
        <f t="array" ref="I560">IFERROR(INDEX(Table_dim_price_recipe[Retail Price], MATCH(1, ("Calculator"&lt;&gt;Table_dim_price_recipe[Type.display])*($L560=Table_dim_price_recipe[Category])*($D560=Table_dim_price_recipe[Item Description]) * (I$6=Table_dim_price_recipe[Type])*(Table_dim_price_recipe[Retail Price]&lt;&gt;0)*($C560=Table_dim_price_recipe[Subcategory]), 0))*$B560,"")</f>
        <v/>
      </c>
      <c r="J560" s="39" t="str" cm="1">
        <f t="array" ref="J560">IFERROR(INDEX(Table_dim_price_recipe[Retail Price], MATCH(1, ("Calculator"&lt;&gt;Table_dim_price_recipe[Type.display])*($L560=Table_dim_price_recipe[Category])*($D560=Table_dim_price_recipe[Item Description]) * (J$6=Table_dim_price_recipe[Type])*(Table_dim_price_recipe[Retail Price]&lt;&gt;0)*($C560=Table_dim_price_recipe[Subcategory]), 0))*$B560,"")</f>
        <v/>
      </c>
      <c r="K560" s="39" t="str" cm="1">
        <f t="array" ref="K560">IFERROR(INDEX(Table_dim_price_recipe[Retail Price], MATCH(1, ("Calculator"&lt;&gt;Table_dim_price_recipe[Type.display])*($L560=Table_dim_price_recipe[Category])*($D560=Table_dim_price_recipe[Item Description]) * (K$6=Table_dim_price_recipe[Type])*(Table_dim_price_recipe[Retail Price]&lt;&gt;0)*($C560=Table_dim_price_recipe[Subcategory]), 0))*$B560,"")</f>
        <v/>
      </c>
      <c r="L560" s="39" t="str" cm="1">
        <f t="array" ref="L560">IF($A560&lt;&gt;"", $A560, LOOKUP(2, 1/((A$7:INDEX(A:A, ROW()))&lt;&gt;""), A$7:INDEX(A:A, ROW())))</f>
        <v>WIRE HAND RAIL</v>
      </c>
      <c r="M560" s="14"/>
    </row>
    <row r="561" spans="1:13">
      <c r="A561" s="263"/>
      <c r="B561" s="263"/>
      <c r="C561" s="263" t="s">
        <v>726</v>
      </c>
      <c r="D561" s="263" t="s">
        <v>734</v>
      </c>
      <c r="E561" s="263"/>
      <c r="F561" s="263"/>
      <c r="G561" s="39" cm="1">
        <f t="array" ref="G561">IFERROR(INDEX(Table_dim_price_recipe[Retail Price], MATCH(1, ("Calculator"&lt;&gt;Table_dim_price_recipe[Type.display])*($L561=Table_dim_price_recipe[Category])*($D561=Table_dim_price_recipe[Item Description]) * (G$6=Table_dim_price_recipe[Type])*(Table_dim_price_recipe[Retail Price]&lt;&gt;0)*($C561=Table_dim_price_recipe[Subcategory]), 0))*$B561,"")</f>
        <v>0</v>
      </c>
      <c r="H561" s="39" t="str" cm="1">
        <f t="array" ref="H561">IFERROR(INDEX(Table_dim_price_recipe[Retail Price], MATCH(1, ("Calculator"&lt;&gt;Table_dim_price_recipe[Type.display])*($L561=Table_dim_price_recipe[Category])*($D561=Table_dim_price_recipe[Item Description]) * (H$6=Table_dim_price_recipe[Type])*(Table_dim_price_recipe[Retail Price]&lt;&gt;0)*($C561=Table_dim_price_recipe[Subcategory]), 0))*$B561,"")</f>
        <v/>
      </c>
      <c r="I561" s="39" t="str" cm="1">
        <f t="array" ref="I561">IFERROR(INDEX(Table_dim_price_recipe[Retail Price], MATCH(1, ("Calculator"&lt;&gt;Table_dim_price_recipe[Type.display])*($L561=Table_dim_price_recipe[Category])*($D561=Table_dim_price_recipe[Item Description]) * (I$6=Table_dim_price_recipe[Type])*(Table_dim_price_recipe[Retail Price]&lt;&gt;0)*($C561=Table_dim_price_recipe[Subcategory]), 0))*$B561,"")</f>
        <v/>
      </c>
      <c r="J561" s="39" t="str" cm="1">
        <f t="array" ref="J561">IFERROR(INDEX(Table_dim_price_recipe[Retail Price], MATCH(1, ("Calculator"&lt;&gt;Table_dim_price_recipe[Type.display])*($L561=Table_dim_price_recipe[Category])*($D561=Table_dim_price_recipe[Item Description]) * (J$6=Table_dim_price_recipe[Type])*(Table_dim_price_recipe[Retail Price]&lt;&gt;0)*($C561=Table_dim_price_recipe[Subcategory]), 0))*$B561,"")</f>
        <v/>
      </c>
      <c r="K561" s="39" t="str" cm="1">
        <f t="array" ref="K561">IFERROR(INDEX(Table_dim_price_recipe[Retail Price], MATCH(1, ("Calculator"&lt;&gt;Table_dim_price_recipe[Type.display])*($L561=Table_dim_price_recipe[Category])*($D561=Table_dim_price_recipe[Item Description]) * (K$6=Table_dim_price_recipe[Type])*(Table_dim_price_recipe[Retail Price]&lt;&gt;0)*($C561=Table_dim_price_recipe[Subcategory]), 0))*$B561,"")</f>
        <v/>
      </c>
      <c r="L561" s="39" t="str" cm="1">
        <f t="array" ref="L561">IF($A561&lt;&gt;"", $A561, LOOKUP(2, 1/((A$7:INDEX(A:A, ROW()))&lt;&gt;""), A$7:INDEX(A:A, ROW())))</f>
        <v>WIRE HAND RAIL</v>
      </c>
      <c r="M561" s="14"/>
    </row>
    <row r="562" spans="1:13">
      <c r="A562" s="263"/>
      <c r="B562" s="263"/>
      <c r="C562" s="263" t="s">
        <v>726</v>
      </c>
      <c r="D562" s="263" t="s">
        <v>739</v>
      </c>
      <c r="E562" s="263"/>
      <c r="F562" s="263"/>
      <c r="G562" s="39" cm="1">
        <f t="array" ref="G562">IFERROR(INDEX(Table_dim_price_recipe[Retail Price], MATCH(1, ("Calculator"&lt;&gt;Table_dim_price_recipe[Type.display])*($L562=Table_dim_price_recipe[Category])*($D562=Table_dim_price_recipe[Item Description]) * (G$6=Table_dim_price_recipe[Type])*(Table_dim_price_recipe[Retail Price]&lt;&gt;0)*($C562=Table_dim_price_recipe[Subcategory]), 0))*$B562,"")</f>
        <v>0</v>
      </c>
      <c r="H562" s="39" t="str" cm="1">
        <f t="array" ref="H562">IFERROR(INDEX(Table_dim_price_recipe[Retail Price], MATCH(1, ("Calculator"&lt;&gt;Table_dim_price_recipe[Type.display])*($L562=Table_dim_price_recipe[Category])*($D562=Table_dim_price_recipe[Item Description]) * (H$6=Table_dim_price_recipe[Type])*(Table_dim_price_recipe[Retail Price]&lt;&gt;0)*($C562=Table_dim_price_recipe[Subcategory]), 0))*$B562,"")</f>
        <v/>
      </c>
      <c r="I562" s="39" t="str" cm="1">
        <f t="array" ref="I562">IFERROR(INDEX(Table_dim_price_recipe[Retail Price], MATCH(1, ("Calculator"&lt;&gt;Table_dim_price_recipe[Type.display])*($L562=Table_dim_price_recipe[Category])*($D562=Table_dim_price_recipe[Item Description]) * (I$6=Table_dim_price_recipe[Type])*(Table_dim_price_recipe[Retail Price]&lt;&gt;0)*($C562=Table_dim_price_recipe[Subcategory]), 0))*$B562,"")</f>
        <v/>
      </c>
      <c r="J562" s="39" t="str" cm="1">
        <f t="array" ref="J562">IFERROR(INDEX(Table_dim_price_recipe[Retail Price], MATCH(1, ("Calculator"&lt;&gt;Table_dim_price_recipe[Type.display])*($L562=Table_dim_price_recipe[Category])*($D562=Table_dim_price_recipe[Item Description]) * (J$6=Table_dim_price_recipe[Type])*(Table_dim_price_recipe[Retail Price]&lt;&gt;0)*($C562=Table_dim_price_recipe[Subcategory]), 0))*$B562,"")</f>
        <v/>
      </c>
      <c r="K562" s="39" t="str" cm="1">
        <f t="array" ref="K562">IFERROR(INDEX(Table_dim_price_recipe[Retail Price], MATCH(1, ("Calculator"&lt;&gt;Table_dim_price_recipe[Type.display])*($L562=Table_dim_price_recipe[Category])*($D562=Table_dim_price_recipe[Item Description]) * (K$6=Table_dim_price_recipe[Type])*(Table_dim_price_recipe[Retail Price]&lt;&gt;0)*($C562=Table_dim_price_recipe[Subcategory]), 0))*$B562,"")</f>
        <v/>
      </c>
      <c r="L562" s="39" t="str" cm="1">
        <f t="array" ref="L562">IF($A562&lt;&gt;"", $A562, LOOKUP(2, 1/((A$7:INDEX(A:A, ROW()))&lt;&gt;""), A$7:INDEX(A:A, ROW())))</f>
        <v>WIRE HAND RAIL</v>
      </c>
      <c r="M562" s="14"/>
    </row>
    <row r="563" spans="1:13">
      <c r="A563" s="263"/>
      <c r="B563" s="263"/>
      <c r="C563" s="263" t="s">
        <v>726</v>
      </c>
      <c r="D563" s="263" t="s">
        <v>736</v>
      </c>
      <c r="E563" s="263"/>
      <c r="F563" s="263"/>
      <c r="G563" s="39" cm="1">
        <f t="array" ref="G563">IFERROR(INDEX(Table_dim_price_recipe[Retail Price], MATCH(1, ("Calculator"&lt;&gt;Table_dim_price_recipe[Type.display])*($L563=Table_dim_price_recipe[Category])*($D563=Table_dim_price_recipe[Item Description]) * (G$6=Table_dim_price_recipe[Type])*(Table_dim_price_recipe[Retail Price]&lt;&gt;0)*($C563=Table_dim_price_recipe[Subcategory]), 0))*$B563,"")</f>
        <v>0</v>
      </c>
      <c r="H563" s="39" t="str" cm="1">
        <f t="array" ref="H563">IFERROR(INDEX(Table_dim_price_recipe[Retail Price], MATCH(1, ("Calculator"&lt;&gt;Table_dim_price_recipe[Type.display])*($L563=Table_dim_price_recipe[Category])*($D563=Table_dim_price_recipe[Item Description]) * (H$6=Table_dim_price_recipe[Type])*(Table_dim_price_recipe[Retail Price]&lt;&gt;0)*($C563=Table_dim_price_recipe[Subcategory]), 0))*$B563,"")</f>
        <v/>
      </c>
      <c r="I563" s="39" t="str" cm="1">
        <f t="array" ref="I563">IFERROR(INDEX(Table_dim_price_recipe[Retail Price], MATCH(1, ("Calculator"&lt;&gt;Table_dim_price_recipe[Type.display])*($L563=Table_dim_price_recipe[Category])*($D563=Table_dim_price_recipe[Item Description]) * (I$6=Table_dim_price_recipe[Type])*(Table_dim_price_recipe[Retail Price]&lt;&gt;0)*($C563=Table_dim_price_recipe[Subcategory]), 0))*$B563,"")</f>
        <v/>
      </c>
      <c r="J563" s="39" t="str" cm="1">
        <f t="array" ref="J563">IFERROR(INDEX(Table_dim_price_recipe[Retail Price], MATCH(1, ("Calculator"&lt;&gt;Table_dim_price_recipe[Type.display])*($L563=Table_dim_price_recipe[Category])*($D563=Table_dim_price_recipe[Item Description]) * (J$6=Table_dim_price_recipe[Type])*(Table_dim_price_recipe[Retail Price]&lt;&gt;0)*($C563=Table_dim_price_recipe[Subcategory]), 0))*$B563,"")</f>
        <v/>
      </c>
      <c r="K563" s="39" t="str" cm="1">
        <f t="array" ref="K563">IFERROR(INDEX(Table_dim_price_recipe[Retail Price], MATCH(1, ("Calculator"&lt;&gt;Table_dim_price_recipe[Type.display])*($L563=Table_dim_price_recipe[Category])*($D563=Table_dim_price_recipe[Item Description]) * (K$6=Table_dim_price_recipe[Type])*(Table_dim_price_recipe[Retail Price]&lt;&gt;0)*($C563=Table_dim_price_recipe[Subcategory]), 0))*$B563,"")</f>
        <v/>
      </c>
      <c r="L563" s="39" t="str" cm="1">
        <f t="array" ref="L563">IF($A563&lt;&gt;"", $A563, LOOKUP(2, 1/((A$7:INDEX(A:A, ROW()))&lt;&gt;""), A$7:INDEX(A:A, ROW())))</f>
        <v>WIRE HAND RAIL</v>
      </c>
      <c r="M563" s="14"/>
    </row>
    <row r="564" spans="1:13">
      <c r="A564" s="263"/>
      <c r="B564" s="263"/>
      <c r="C564" s="263" t="s">
        <v>726</v>
      </c>
      <c r="D564" s="263" t="s">
        <v>737</v>
      </c>
      <c r="E564" s="263"/>
      <c r="F564" s="263"/>
      <c r="G564" s="39" cm="1">
        <f t="array" ref="G564">IFERROR(INDEX(Table_dim_price_recipe[Retail Price], MATCH(1, ("Calculator"&lt;&gt;Table_dim_price_recipe[Type.display])*($L564=Table_dim_price_recipe[Category])*($D564=Table_dim_price_recipe[Item Description]) * (G$6=Table_dim_price_recipe[Type])*(Table_dim_price_recipe[Retail Price]&lt;&gt;0)*($C564=Table_dim_price_recipe[Subcategory]), 0))*$B564,"")</f>
        <v>0</v>
      </c>
      <c r="H564" s="39" t="str" cm="1">
        <f t="array" ref="H564">IFERROR(INDEX(Table_dim_price_recipe[Retail Price], MATCH(1, ("Calculator"&lt;&gt;Table_dim_price_recipe[Type.display])*($L564=Table_dim_price_recipe[Category])*($D564=Table_dim_price_recipe[Item Description]) * (H$6=Table_dim_price_recipe[Type])*(Table_dim_price_recipe[Retail Price]&lt;&gt;0)*($C564=Table_dim_price_recipe[Subcategory]), 0))*$B564,"")</f>
        <v/>
      </c>
      <c r="I564" s="39" t="str" cm="1">
        <f t="array" ref="I564">IFERROR(INDEX(Table_dim_price_recipe[Retail Price], MATCH(1, ("Calculator"&lt;&gt;Table_dim_price_recipe[Type.display])*($L564=Table_dim_price_recipe[Category])*($D564=Table_dim_price_recipe[Item Description]) * (I$6=Table_dim_price_recipe[Type])*(Table_dim_price_recipe[Retail Price]&lt;&gt;0)*($C564=Table_dim_price_recipe[Subcategory]), 0))*$B564,"")</f>
        <v/>
      </c>
      <c r="J564" s="39" t="str" cm="1">
        <f t="array" ref="J564">IFERROR(INDEX(Table_dim_price_recipe[Retail Price], MATCH(1, ("Calculator"&lt;&gt;Table_dim_price_recipe[Type.display])*($L564=Table_dim_price_recipe[Category])*($D564=Table_dim_price_recipe[Item Description]) * (J$6=Table_dim_price_recipe[Type])*(Table_dim_price_recipe[Retail Price]&lt;&gt;0)*($C564=Table_dim_price_recipe[Subcategory]), 0))*$B564,"")</f>
        <v/>
      </c>
      <c r="K564" s="39" t="str" cm="1">
        <f t="array" ref="K564">IFERROR(INDEX(Table_dim_price_recipe[Retail Price], MATCH(1, ("Calculator"&lt;&gt;Table_dim_price_recipe[Type.display])*($L564=Table_dim_price_recipe[Category])*($D564=Table_dim_price_recipe[Item Description]) * (K$6=Table_dim_price_recipe[Type])*(Table_dim_price_recipe[Retail Price]&lt;&gt;0)*($C564=Table_dim_price_recipe[Subcategory]), 0))*$B564,"")</f>
        <v/>
      </c>
      <c r="L564" s="39" t="str" cm="1">
        <f t="array" ref="L564">IF($A564&lt;&gt;"", $A564, LOOKUP(2, 1/((A$7:INDEX(A:A, ROW()))&lt;&gt;""), A$7:INDEX(A:A, ROW())))</f>
        <v>WIRE HAND RAIL</v>
      </c>
      <c r="M564" s="14"/>
    </row>
    <row r="565" spans="1:13">
      <c r="A565" s="263"/>
      <c r="B565" s="263"/>
      <c r="C565" s="263" t="s">
        <v>726</v>
      </c>
      <c r="D565" s="263" t="s">
        <v>728</v>
      </c>
      <c r="E565" s="263"/>
      <c r="F565" s="263"/>
      <c r="G565" s="39" cm="1">
        <f t="array" ref="G565">IFERROR(INDEX(Table_dim_price_recipe[Retail Price], MATCH(1, ("Calculator"&lt;&gt;Table_dim_price_recipe[Type.display])*($L565=Table_dim_price_recipe[Category])*($D565=Table_dim_price_recipe[Item Description]) * (G$6=Table_dim_price_recipe[Type])*(Table_dim_price_recipe[Retail Price]&lt;&gt;0)*($C565=Table_dim_price_recipe[Subcategory]), 0))*$B565,"")</f>
        <v>0</v>
      </c>
      <c r="H565" s="39" t="str" cm="1">
        <f t="array" ref="H565">IFERROR(INDEX(Table_dim_price_recipe[Retail Price], MATCH(1, ("Calculator"&lt;&gt;Table_dim_price_recipe[Type.display])*($L565=Table_dim_price_recipe[Category])*($D565=Table_dim_price_recipe[Item Description]) * (H$6=Table_dim_price_recipe[Type])*(Table_dim_price_recipe[Retail Price]&lt;&gt;0)*($C565=Table_dim_price_recipe[Subcategory]), 0))*$B565,"")</f>
        <v/>
      </c>
      <c r="I565" s="39" t="str" cm="1">
        <f t="array" ref="I565">IFERROR(INDEX(Table_dim_price_recipe[Retail Price], MATCH(1, ("Calculator"&lt;&gt;Table_dim_price_recipe[Type.display])*($L565=Table_dim_price_recipe[Category])*($D565=Table_dim_price_recipe[Item Description]) * (I$6=Table_dim_price_recipe[Type])*(Table_dim_price_recipe[Retail Price]&lt;&gt;0)*($C565=Table_dim_price_recipe[Subcategory]), 0))*$B565,"")</f>
        <v/>
      </c>
      <c r="J565" s="39" t="str" cm="1">
        <f t="array" ref="J565">IFERROR(INDEX(Table_dim_price_recipe[Retail Price], MATCH(1, ("Calculator"&lt;&gt;Table_dim_price_recipe[Type.display])*($L565=Table_dim_price_recipe[Category])*($D565=Table_dim_price_recipe[Item Description]) * (J$6=Table_dim_price_recipe[Type])*(Table_dim_price_recipe[Retail Price]&lt;&gt;0)*($C565=Table_dim_price_recipe[Subcategory]), 0))*$B565,"")</f>
        <v/>
      </c>
      <c r="K565" s="39" t="str" cm="1">
        <f t="array" ref="K565">IFERROR(INDEX(Table_dim_price_recipe[Retail Price], MATCH(1, ("Calculator"&lt;&gt;Table_dim_price_recipe[Type.display])*($L565=Table_dim_price_recipe[Category])*($D565=Table_dim_price_recipe[Item Description]) * (K$6=Table_dim_price_recipe[Type])*(Table_dim_price_recipe[Retail Price]&lt;&gt;0)*($C565=Table_dim_price_recipe[Subcategory]), 0))*$B565,"")</f>
        <v/>
      </c>
      <c r="L565" s="39" t="str" cm="1">
        <f t="array" ref="L565">IF($A565&lt;&gt;"", $A565, LOOKUP(2, 1/((A$7:INDEX(A:A, ROW()))&lt;&gt;""), A$7:INDEX(A:A, ROW())))</f>
        <v>WIRE HAND RAIL</v>
      </c>
      <c r="M565" s="14"/>
    </row>
    <row r="566" spans="1:13">
      <c r="A566" s="263"/>
      <c r="B566" s="263"/>
      <c r="C566" s="263" t="s">
        <v>726</v>
      </c>
      <c r="D566" s="263" t="s">
        <v>727</v>
      </c>
      <c r="E566" s="263"/>
      <c r="F566" s="263"/>
      <c r="G566" s="39" cm="1">
        <f t="array" ref="G566">IFERROR(INDEX(Table_dim_price_recipe[Retail Price], MATCH(1, ("Calculator"&lt;&gt;Table_dim_price_recipe[Type.display])*($L566=Table_dim_price_recipe[Category])*($D566=Table_dim_price_recipe[Item Description]) * (G$6=Table_dim_price_recipe[Type])*(Table_dim_price_recipe[Retail Price]&lt;&gt;0)*($C566=Table_dim_price_recipe[Subcategory]), 0))*$B566,"")</f>
        <v>0</v>
      </c>
      <c r="H566" s="39" t="str" cm="1">
        <f t="array" ref="H566">IFERROR(INDEX(Table_dim_price_recipe[Retail Price], MATCH(1, ("Calculator"&lt;&gt;Table_dim_price_recipe[Type.display])*($L566=Table_dim_price_recipe[Category])*($D566=Table_dim_price_recipe[Item Description]) * (H$6=Table_dim_price_recipe[Type])*(Table_dim_price_recipe[Retail Price]&lt;&gt;0)*($C566=Table_dim_price_recipe[Subcategory]), 0))*$B566,"")</f>
        <v/>
      </c>
      <c r="I566" s="39" t="str" cm="1">
        <f t="array" ref="I566">IFERROR(INDEX(Table_dim_price_recipe[Retail Price], MATCH(1, ("Calculator"&lt;&gt;Table_dim_price_recipe[Type.display])*($L566=Table_dim_price_recipe[Category])*($D566=Table_dim_price_recipe[Item Description]) * (I$6=Table_dim_price_recipe[Type])*(Table_dim_price_recipe[Retail Price]&lt;&gt;0)*($C566=Table_dim_price_recipe[Subcategory]), 0))*$B566,"")</f>
        <v/>
      </c>
      <c r="J566" s="39" t="str" cm="1">
        <f t="array" ref="J566">IFERROR(INDEX(Table_dim_price_recipe[Retail Price], MATCH(1, ("Calculator"&lt;&gt;Table_dim_price_recipe[Type.display])*($L566=Table_dim_price_recipe[Category])*($D566=Table_dim_price_recipe[Item Description]) * (J$6=Table_dim_price_recipe[Type])*(Table_dim_price_recipe[Retail Price]&lt;&gt;0)*($C566=Table_dim_price_recipe[Subcategory]), 0))*$B566,"")</f>
        <v/>
      </c>
      <c r="K566" s="39" t="str" cm="1">
        <f t="array" ref="K566">IFERROR(INDEX(Table_dim_price_recipe[Retail Price], MATCH(1, ("Calculator"&lt;&gt;Table_dim_price_recipe[Type.display])*($L566=Table_dim_price_recipe[Category])*($D566=Table_dim_price_recipe[Item Description]) * (K$6=Table_dim_price_recipe[Type])*(Table_dim_price_recipe[Retail Price]&lt;&gt;0)*($C566=Table_dim_price_recipe[Subcategory]), 0))*$B566,"")</f>
        <v/>
      </c>
      <c r="L566" s="39" t="str" cm="1">
        <f t="array" ref="L566">IF($A566&lt;&gt;"", $A566, LOOKUP(2, 1/((A$7:INDEX(A:A, ROW()))&lt;&gt;""), A$7:INDEX(A:A, ROW())))</f>
        <v>WIRE HAND RAIL</v>
      </c>
      <c r="M566" s="14"/>
    </row>
    <row r="567" spans="1:13">
      <c r="A567" s="263"/>
      <c r="B567" s="263"/>
      <c r="C567" s="263" t="s">
        <v>726</v>
      </c>
      <c r="D567" s="263" t="s">
        <v>732</v>
      </c>
      <c r="E567" s="263"/>
      <c r="F567" s="263"/>
      <c r="G567" s="39" cm="1">
        <f t="array" ref="G567">IFERROR(INDEX(Table_dim_price_recipe[Retail Price], MATCH(1, ("Calculator"&lt;&gt;Table_dim_price_recipe[Type.display])*($L567=Table_dim_price_recipe[Category])*($D567=Table_dim_price_recipe[Item Description]) * (G$6=Table_dim_price_recipe[Type])*(Table_dim_price_recipe[Retail Price]&lt;&gt;0)*($C567=Table_dim_price_recipe[Subcategory]), 0))*$B567,"")</f>
        <v>0</v>
      </c>
      <c r="H567" s="39" t="str" cm="1">
        <f t="array" ref="H567">IFERROR(INDEX(Table_dim_price_recipe[Retail Price], MATCH(1, ("Calculator"&lt;&gt;Table_dim_price_recipe[Type.display])*($L567=Table_dim_price_recipe[Category])*($D567=Table_dim_price_recipe[Item Description]) * (H$6=Table_dim_price_recipe[Type])*(Table_dim_price_recipe[Retail Price]&lt;&gt;0)*($C567=Table_dim_price_recipe[Subcategory]), 0))*$B567,"")</f>
        <v/>
      </c>
      <c r="I567" s="39" t="str" cm="1">
        <f t="array" ref="I567">IFERROR(INDEX(Table_dim_price_recipe[Retail Price], MATCH(1, ("Calculator"&lt;&gt;Table_dim_price_recipe[Type.display])*($L567=Table_dim_price_recipe[Category])*($D567=Table_dim_price_recipe[Item Description]) * (I$6=Table_dim_price_recipe[Type])*(Table_dim_price_recipe[Retail Price]&lt;&gt;0)*($C567=Table_dim_price_recipe[Subcategory]), 0))*$B567,"")</f>
        <v/>
      </c>
      <c r="J567" s="39" t="str" cm="1">
        <f t="array" ref="J567">IFERROR(INDEX(Table_dim_price_recipe[Retail Price], MATCH(1, ("Calculator"&lt;&gt;Table_dim_price_recipe[Type.display])*($L567=Table_dim_price_recipe[Category])*($D567=Table_dim_price_recipe[Item Description]) * (J$6=Table_dim_price_recipe[Type])*(Table_dim_price_recipe[Retail Price]&lt;&gt;0)*($C567=Table_dim_price_recipe[Subcategory]), 0))*$B567,"")</f>
        <v/>
      </c>
      <c r="K567" s="39" t="str" cm="1">
        <f t="array" ref="K567">IFERROR(INDEX(Table_dim_price_recipe[Retail Price], MATCH(1, ("Calculator"&lt;&gt;Table_dim_price_recipe[Type.display])*($L567=Table_dim_price_recipe[Category])*($D567=Table_dim_price_recipe[Item Description]) * (K$6=Table_dim_price_recipe[Type])*(Table_dim_price_recipe[Retail Price]&lt;&gt;0)*($C567=Table_dim_price_recipe[Subcategory]), 0))*$B567,"")</f>
        <v/>
      </c>
      <c r="L567" s="39" t="str" cm="1">
        <f t="array" ref="L567">IF($A567&lt;&gt;"", $A567, LOOKUP(2, 1/((A$7:INDEX(A:A, ROW()))&lt;&gt;""), A$7:INDEX(A:A, ROW())))</f>
        <v>WIRE HAND RAIL</v>
      </c>
      <c r="M567" s="14"/>
    </row>
    <row r="568" spans="1:13">
      <c r="A568" s="263"/>
      <c r="B568" s="263"/>
      <c r="C568" s="263" t="s">
        <v>726</v>
      </c>
      <c r="D568" s="263" t="s">
        <v>730</v>
      </c>
      <c r="E568" s="263"/>
      <c r="F568" s="263"/>
      <c r="G568" s="39" cm="1">
        <f t="array" ref="G568">IFERROR(INDEX(Table_dim_price_recipe[Retail Price], MATCH(1, ("Calculator"&lt;&gt;Table_dim_price_recipe[Type.display])*($L568=Table_dim_price_recipe[Category])*($D568=Table_dim_price_recipe[Item Description]) * (G$6=Table_dim_price_recipe[Type])*(Table_dim_price_recipe[Retail Price]&lt;&gt;0)*($C568=Table_dim_price_recipe[Subcategory]), 0))*$B568,"")</f>
        <v>0</v>
      </c>
      <c r="H568" s="39" t="str" cm="1">
        <f t="array" ref="H568">IFERROR(INDEX(Table_dim_price_recipe[Retail Price], MATCH(1, ("Calculator"&lt;&gt;Table_dim_price_recipe[Type.display])*($L568=Table_dim_price_recipe[Category])*($D568=Table_dim_price_recipe[Item Description]) * (H$6=Table_dim_price_recipe[Type])*(Table_dim_price_recipe[Retail Price]&lt;&gt;0)*($C568=Table_dim_price_recipe[Subcategory]), 0))*$B568,"")</f>
        <v/>
      </c>
      <c r="I568" s="39" t="str" cm="1">
        <f t="array" ref="I568">IFERROR(INDEX(Table_dim_price_recipe[Retail Price], MATCH(1, ("Calculator"&lt;&gt;Table_dim_price_recipe[Type.display])*($L568=Table_dim_price_recipe[Category])*($D568=Table_dim_price_recipe[Item Description]) * (I$6=Table_dim_price_recipe[Type])*(Table_dim_price_recipe[Retail Price]&lt;&gt;0)*($C568=Table_dim_price_recipe[Subcategory]), 0))*$B568,"")</f>
        <v/>
      </c>
      <c r="J568" s="39" t="str" cm="1">
        <f t="array" ref="J568">IFERROR(INDEX(Table_dim_price_recipe[Retail Price], MATCH(1, ("Calculator"&lt;&gt;Table_dim_price_recipe[Type.display])*($L568=Table_dim_price_recipe[Category])*($D568=Table_dim_price_recipe[Item Description]) * (J$6=Table_dim_price_recipe[Type])*(Table_dim_price_recipe[Retail Price]&lt;&gt;0)*($C568=Table_dim_price_recipe[Subcategory]), 0))*$B568,"")</f>
        <v/>
      </c>
      <c r="K568" s="39" t="str" cm="1">
        <f t="array" ref="K568">IFERROR(INDEX(Table_dim_price_recipe[Retail Price], MATCH(1, ("Calculator"&lt;&gt;Table_dim_price_recipe[Type.display])*($L568=Table_dim_price_recipe[Category])*($D568=Table_dim_price_recipe[Item Description]) * (K$6=Table_dim_price_recipe[Type])*(Table_dim_price_recipe[Retail Price]&lt;&gt;0)*($C568=Table_dim_price_recipe[Subcategory]), 0))*$B568,"")</f>
        <v/>
      </c>
      <c r="L568" s="39" t="str" cm="1">
        <f t="array" ref="L568">IF($A568&lt;&gt;"", $A568, LOOKUP(2, 1/((A$7:INDEX(A:A, ROW()))&lt;&gt;""), A$7:INDEX(A:A, ROW())))</f>
        <v>WIRE HAND RAIL</v>
      </c>
      <c r="M568" s="14"/>
    </row>
    <row r="569" spans="1:13">
      <c r="A569" s="263"/>
      <c r="B569" s="263"/>
      <c r="C569" s="263" t="s">
        <v>726</v>
      </c>
      <c r="D569" s="263" t="s">
        <v>731</v>
      </c>
      <c r="E569" s="263"/>
      <c r="F569" s="263"/>
      <c r="G569" s="39" cm="1">
        <f t="array" ref="G569">IFERROR(INDEX(Table_dim_price_recipe[Retail Price], MATCH(1, ("Calculator"&lt;&gt;Table_dim_price_recipe[Type.display])*($L569=Table_dim_price_recipe[Category])*($D569=Table_dim_price_recipe[Item Description]) * (G$6=Table_dim_price_recipe[Type])*(Table_dim_price_recipe[Retail Price]&lt;&gt;0)*($C569=Table_dim_price_recipe[Subcategory]), 0))*$B569,"")</f>
        <v>0</v>
      </c>
      <c r="H569" s="39" t="str" cm="1">
        <f t="array" ref="H569">IFERROR(INDEX(Table_dim_price_recipe[Retail Price], MATCH(1, ("Calculator"&lt;&gt;Table_dim_price_recipe[Type.display])*($L569=Table_dim_price_recipe[Category])*($D569=Table_dim_price_recipe[Item Description]) * (H$6=Table_dim_price_recipe[Type])*(Table_dim_price_recipe[Retail Price]&lt;&gt;0)*($C569=Table_dim_price_recipe[Subcategory]), 0))*$B569,"")</f>
        <v/>
      </c>
      <c r="I569" s="39" t="str" cm="1">
        <f t="array" ref="I569">IFERROR(INDEX(Table_dim_price_recipe[Retail Price], MATCH(1, ("Calculator"&lt;&gt;Table_dim_price_recipe[Type.display])*($L569=Table_dim_price_recipe[Category])*($D569=Table_dim_price_recipe[Item Description]) * (I$6=Table_dim_price_recipe[Type])*(Table_dim_price_recipe[Retail Price]&lt;&gt;0)*($C569=Table_dim_price_recipe[Subcategory]), 0))*$B569,"")</f>
        <v/>
      </c>
      <c r="J569" s="39" t="str" cm="1">
        <f t="array" ref="J569">IFERROR(INDEX(Table_dim_price_recipe[Retail Price], MATCH(1, ("Calculator"&lt;&gt;Table_dim_price_recipe[Type.display])*($L569=Table_dim_price_recipe[Category])*($D569=Table_dim_price_recipe[Item Description]) * (J$6=Table_dim_price_recipe[Type])*(Table_dim_price_recipe[Retail Price]&lt;&gt;0)*($C569=Table_dim_price_recipe[Subcategory]), 0))*$B569,"")</f>
        <v/>
      </c>
      <c r="K569" s="39" t="str" cm="1">
        <f t="array" ref="K569">IFERROR(INDEX(Table_dim_price_recipe[Retail Price], MATCH(1, ("Calculator"&lt;&gt;Table_dim_price_recipe[Type.display])*($L569=Table_dim_price_recipe[Category])*($D569=Table_dim_price_recipe[Item Description]) * (K$6=Table_dim_price_recipe[Type])*(Table_dim_price_recipe[Retail Price]&lt;&gt;0)*($C569=Table_dim_price_recipe[Subcategory]), 0))*$B569,"")</f>
        <v/>
      </c>
      <c r="L569" s="39" t="str" cm="1">
        <f t="array" ref="L569">IF($A569&lt;&gt;"", $A569, LOOKUP(2, 1/((A$7:INDEX(A:A, ROW()))&lt;&gt;""), A$7:INDEX(A:A, ROW())))</f>
        <v>WIRE HAND RAIL</v>
      </c>
      <c r="M569" s="14"/>
    </row>
    <row r="570" spans="1:13">
      <c r="A570" s="263"/>
      <c r="B570" s="263"/>
      <c r="C570" s="263" t="s">
        <v>726</v>
      </c>
      <c r="D570" s="263" t="s">
        <v>729</v>
      </c>
      <c r="E570" s="263"/>
      <c r="F570" s="263"/>
      <c r="G570" s="39" cm="1">
        <f t="array" ref="G570">IFERROR(INDEX(Table_dim_price_recipe[Retail Price], MATCH(1, ("Calculator"&lt;&gt;Table_dim_price_recipe[Type.display])*($L570=Table_dim_price_recipe[Category])*($D570=Table_dim_price_recipe[Item Description]) * (G$6=Table_dim_price_recipe[Type])*(Table_dim_price_recipe[Retail Price]&lt;&gt;0)*($C570=Table_dim_price_recipe[Subcategory]), 0))*$B570,"")</f>
        <v>0</v>
      </c>
      <c r="H570" s="39" t="str" cm="1">
        <f t="array" ref="H570">IFERROR(INDEX(Table_dim_price_recipe[Retail Price], MATCH(1, ("Calculator"&lt;&gt;Table_dim_price_recipe[Type.display])*($L570=Table_dim_price_recipe[Category])*($D570=Table_dim_price_recipe[Item Description]) * (H$6=Table_dim_price_recipe[Type])*(Table_dim_price_recipe[Retail Price]&lt;&gt;0)*($C570=Table_dim_price_recipe[Subcategory]), 0))*$B570,"")</f>
        <v/>
      </c>
      <c r="I570" s="39" t="str" cm="1">
        <f t="array" ref="I570">IFERROR(INDEX(Table_dim_price_recipe[Retail Price], MATCH(1, ("Calculator"&lt;&gt;Table_dim_price_recipe[Type.display])*($L570=Table_dim_price_recipe[Category])*($D570=Table_dim_price_recipe[Item Description]) * (I$6=Table_dim_price_recipe[Type])*(Table_dim_price_recipe[Retail Price]&lt;&gt;0)*($C570=Table_dim_price_recipe[Subcategory]), 0))*$B570,"")</f>
        <v/>
      </c>
      <c r="J570" s="39" t="str" cm="1">
        <f t="array" ref="J570">IFERROR(INDEX(Table_dim_price_recipe[Retail Price], MATCH(1, ("Calculator"&lt;&gt;Table_dim_price_recipe[Type.display])*($L570=Table_dim_price_recipe[Category])*($D570=Table_dim_price_recipe[Item Description]) * (J$6=Table_dim_price_recipe[Type])*(Table_dim_price_recipe[Retail Price]&lt;&gt;0)*($C570=Table_dim_price_recipe[Subcategory]), 0))*$B570,"")</f>
        <v/>
      </c>
      <c r="K570" s="39" t="str" cm="1">
        <f t="array" ref="K570">IFERROR(INDEX(Table_dim_price_recipe[Retail Price], MATCH(1, ("Calculator"&lt;&gt;Table_dim_price_recipe[Type.display])*($L570=Table_dim_price_recipe[Category])*($D570=Table_dim_price_recipe[Item Description]) * (K$6=Table_dim_price_recipe[Type])*(Table_dim_price_recipe[Retail Price]&lt;&gt;0)*($C570=Table_dim_price_recipe[Subcategory]), 0))*$B570,"")</f>
        <v/>
      </c>
      <c r="L570" s="39" t="str" cm="1">
        <f t="array" ref="L570">IF($A570&lt;&gt;"", $A570, LOOKUP(2, 1/((A$7:INDEX(A:A, ROW()))&lt;&gt;""), A$7:INDEX(A:A, ROW())))</f>
        <v>WIRE HAND RAIL</v>
      </c>
      <c r="M570" s="14"/>
    </row>
    <row r="571" spans="1:13">
      <c r="A571" s="263"/>
      <c r="B571" s="263"/>
      <c r="C571" s="263" t="s">
        <v>726</v>
      </c>
      <c r="D571" s="263"/>
      <c r="E571" s="263"/>
      <c r="F571" s="263"/>
      <c r="G571" s="39" t="str" cm="1">
        <f t="array" ref="G571">IFERROR(INDEX(Table_dim_price_recipe[Retail Price], MATCH(1, ("Calculator"&lt;&gt;Table_dim_price_recipe[Type.display])*($L571=Table_dim_price_recipe[Category])*($D571=Table_dim_price_recipe[Item Description]) * (G$6=Table_dim_price_recipe[Type])*(Table_dim_price_recipe[Retail Price]&lt;&gt;0)*($C571=Table_dim_price_recipe[Subcategory]), 0))*$B571,"")</f>
        <v/>
      </c>
      <c r="H571" s="39" t="str" cm="1">
        <f t="array" ref="H571">IFERROR(INDEX(Table_dim_price_recipe[Retail Price], MATCH(1, ("Calculator"&lt;&gt;Table_dim_price_recipe[Type.display])*($L571=Table_dim_price_recipe[Category])*($D571=Table_dim_price_recipe[Item Description]) * (H$6=Table_dim_price_recipe[Type])*(Table_dim_price_recipe[Retail Price]&lt;&gt;0)*($C571=Table_dim_price_recipe[Subcategory]), 0))*$B571,"")</f>
        <v/>
      </c>
      <c r="I571" s="39" t="str" cm="1">
        <f t="array" ref="I571">IFERROR(INDEX(Table_dim_price_recipe[Retail Price], MATCH(1, ("Calculator"&lt;&gt;Table_dim_price_recipe[Type.display])*($L571=Table_dim_price_recipe[Category])*($D571=Table_dim_price_recipe[Item Description]) * (I$6=Table_dim_price_recipe[Type])*(Table_dim_price_recipe[Retail Price]&lt;&gt;0)*($C571=Table_dim_price_recipe[Subcategory]), 0))*$B571,"")</f>
        <v/>
      </c>
      <c r="J571" s="39" t="str" cm="1">
        <f t="array" ref="J571">IFERROR(INDEX(Table_dim_price_recipe[Retail Price], MATCH(1, ("Calculator"&lt;&gt;Table_dim_price_recipe[Type.display])*($L571=Table_dim_price_recipe[Category])*($D571=Table_dim_price_recipe[Item Description]) * (J$6=Table_dim_price_recipe[Type])*(Table_dim_price_recipe[Retail Price]&lt;&gt;0)*($C571=Table_dim_price_recipe[Subcategory]), 0))*$B571,"")</f>
        <v/>
      </c>
      <c r="K571" s="39" t="str" cm="1">
        <f t="array" ref="K571">IFERROR(INDEX(Table_dim_price_recipe[Retail Price], MATCH(1, ("Calculator"&lt;&gt;Table_dim_price_recipe[Type.display])*($L571=Table_dim_price_recipe[Category])*($D571=Table_dim_price_recipe[Item Description]) * (K$6=Table_dim_price_recipe[Type])*(Table_dim_price_recipe[Retail Price]&lt;&gt;0)*($C571=Table_dim_price_recipe[Subcategory]), 0))*$B571,"")</f>
        <v/>
      </c>
      <c r="L571" s="39" t="str" cm="1">
        <f t="array" ref="L571">IF($A571&lt;&gt;"", $A571, LOOKUP(2, 1/((A$7:INDEX(A:A, ROW()))&lt;&gt;""), A$7:INDEX(A:A, ROW())))</f>
        <v>WIRE HAND RAIL</v>
      </c>
      <c r="M571" s="14"/>
    </row>
    <row r="572" spans="1:13">
      <c r="A572" s="263"/>
      <c r="B572" s="263"/>
      <c r="C572" s="263" t="s">
        <v>726</v>
      </c>
      <c r="D572" s="263"/>
      <c r="E572" s="263"/>
      <c r="F572" s="263"/>
      <c r="G572" s="39" t="str" cm="1">
        <f t="array" ref="G572">IFERROR(INDEX(Table_dim_price_recipe[Retail Price], MATCH(1, ("Calculator"&lt;&gt;Table_dim_price_recipe[Type.display])*($L572=Table_dim_price_recipe[Category])*($D572=Table_dim_price_recipe[Item Description]) * (G$6=Table_dim_price_recipe[Type])*(Table_dim_price_recipe[Retail Price]&lt;&gt;0)*($C572=Table_dim_price_recipe[Subcategory]), 0))*$B572,"")</f>
        <v/>
      </c>
      <c r="H572" s="39" t="str" cm="1">
        <f t="array" ref="H572">IFERROR(INDEX(Table_dim_price_recipe[Retail Price], MATCH(1, ("Calculator"&lt;&gt;Table_dim_price_recipe[Type.display])*($L572=Table_dim_price_recipe[Category])*($D572=Table_dim_price_recipe[Item Description]) * (H$6=Table_dim_price_recipe[Type])*(Table_dim_price_recipe[Retail Price]&lt;&gt;0)*($C572=Table_dim_price_recipe[Subcategory]), 0))*$B572,"")</f>
        <v/>
      </c>
      <c r="I572" s="39" t="str" cm="1">
        <f t="array" ref="I572">IFERROR(INDEX(Table_dim_price_recipe[Retail Price], MATCH(1, ("Calculator"&lt;&gt;Table_dim_price_recipe[Type.display])*($L572=Table_dim_price_recipe[Category])*($D572=Table_dim_price_recipe[Item Description]) * (I$6=Table_dim_price_recipe[Type])*(Table_dim_price_recipe[Retail Price]&lt;&gt;0)*($C572=Table_dim_price_recipe[Subcategory]), 0))*$B572,"")</f>
        <v/>
      </c>
      <c r="J572" s="39" t="str" cm="1">
        <f t="array" ref="J572">IFERROR(INDEX(Table_dim_price_recipe[Retail Price], MATCH(1, ("Calculator"&lt;&gt;Table_dim_price_recipe[Type.display])*($L572=Table_dim_price_recipe[Category])*($D572=Table_dim_price_recipe[Item Description]) * (J$6=Table_dim_price_recipe[Type])*(Table_dim_price_recipe[Retail Price]&lt;&gt;0)*($C572=Table_dim_price_recipe[Subcategory]), 0))*$B572,"")</f>
        <v/>
      </c>
      <c r="K572" s="39" t="str" cm="1">
        <f t="array" ref="K572">IFERROR(INDEX(Table_dim_price_recipe[Retail Price], MATCH(1, ("Calculator"&lt;&gt;Table_dim_price_recipe[Type.display])*($L572=Table_dim_price_recipe[Category])*($D572=Table_dim_price_recipe[Item Description]) * (K$6=Table_dim_price_recipe[Type])*(Table_dim_price_recipe[Retail Price]&lt;&gt;0)*($C572=Table_dim_price_recipe[Subcategory]), 0))*$B572,"")</f>
        <v/>
      </c>
      <c r="L572" s="39" t="str" cm="1">
        <f t="array" ref="L572">IF($A572&lt;&gt;"", $A572, LOOKUP(2, 1/((A$7:INDEX(A:A, ROW()))&lt;&gt;""), A$7:INDEX(A:A, ROW())))</f>
        <v>WIRE HAND RAIL</v>
      </c>
      <c r="M572" s="14"/>
    </row>
    <row r="573" spans="1:13">
      <c r="A573" s="260" t="s">
        <v>66</v>
      </c>
      <c r="B573" s="261"/>
      <c r="C573" s="261"/>
      <c r="D573" s="261"/>
      <c r="E573" s="261"/>
      <c r="F573" s="261"/>
      <c r="G573" s="262" t="str" cm="1">
        <f t="array" ref="G573">IFERROR(INDEX(Table_dim_price_recipe[Retail Price], MATCH(1, ("Calculator"&lt;&gt;Table_dim_price_recipe[Type.display])*($L573=Table_dim_price_recipe[Category])*($D573=Table_dim_price_recipe[Item Description]) * (G$6=Table_dim_price_recipe[Type])*(Table_dim_price_recipe[Retail Price]&lt;&gt;0)*($C573=Table_dim_price_recipe[Subcategory]), 0))*$B573,"")</f>
        <v/>
      </c>
      <c r="H573" s="262" t="str" cm="1">
        <f t="array" ref="H573">IFERROR(INDEX(Table_dim_price_recipe[Retail Price], MATCH(1, ("Calculator"&lt;&gt;Table_dim_price_recipe[Type.display])*($L573=Table_dim_price_recipe[Category])*($D573=Table_dim_price_recipe[Item Description]) * (H$6=Table_dim_price_recipe[Type])*(Table_dim_price_recipe[Retail Price]&lt;&gt;0)*($C573=Table_dim_price_recipe[Subcategory]), 0))*$B573,"")</f>
        <v/>
      </c>
      <c r="I573" s="262" t="str" cm="1">
        <f t="array" ref="I573">IFERROR(INDEX(Table_dim_price_recipe[Retail Price], MATCH(1, ("Calculator"&lt;&gt;Table_dim_price_recipe[Type.display])*($L573=Table_dim_price_recipe[Category])*($D573=Table_dim_price_recipe[Item Description]) * (I$6=Table_dim_price_recipe[Type])*(Table_dim_price_recipe[Retail Price]&lt;&gt;0)*($C573=Table_dim_price_recipe[Subcategory]), 0))*$B573,"")</f>
        <v/>
      </c>
      <c r="J573" s="262" t="str" cm="1">
        <f t="array" ref="J573">IFERROR(INDEX(Table_dim_price_recipe[Retail Price], MATCH(1, ("Calculator"&lt;&gt;Table_dim_price_recipe[Type.display])*($L573=Table_dim_price_recipe[Category])*($D573=Table_dim_price_recipe[Item Description]) * (J$6=Table_dim_price_recipe[Type])*(Table_dim_price_recipe[Retail Price]&lt;&gt;0)*($C573=Table_dim_price_recipe[Subcategory]), 0))*$B573,"")</f>
        <v/>
      </c>
      <c r="K573" s="262" t="str" cm="1">
        <f t="array" ref="K573">IFERROR(INDEX(Table_dim_price_recipe[Retail Price], MATCH(1, ("Calculator"&lt;&gt;Table_dim_price_recipe[Type.display])*($L573=Table_dim_price_recipe[Category])*($D573=Table_dim_price_recipe[Item Description]) * (K$6=Table_dim_price_recipe[Type])*(Table_dim_price_recipe[Retail Price]&lt;&gt;0)*($C573=Table_dim_price_recipe[Subcategory]), 0))*$B573,"")</f>
        <v/>
      </c>
      <c r="L573" s="262" t="str" cm="1">
        <f t="array" ref="L573">IF($A573&lt;&gt;"", $A573, LOOKUP(2, 1/((A$7:INDEX(A:A, ROW()))&lt;&gt;""), A$7:INDEX(A:A, ROW())))</f>
        <v>SCREENS</v>
      </c>
      <c r="M573" s="14"/>
    </row>
    <row r="574" spans="1:13">
      <c r="A574" s="263"/>
      <c r="B574" s="263"/>
      <c r="C574" s="263" t="s">
        <v>114</v>
      </c>
      <c r="D574" s="263" t="s">
        <v>350</v>
      </c>
      <c r="E574" s="263"/>
      <c r="F574" s="263"/>
      <c r="G574" s="39" cm="1">
        <f t="array" ref="G574">IFERROR(INDEX(Table_dim_price_recipe[Retail Price], MATCH(1, ("Calculator"&lt;&gt;Table_dim_price_recipe[Type.display])*($L574=Table_dim_price_recipe[Category])*($D574=Table_dim_price_recipe[Item Description]) * (G$6=Table_dim_price_recipe[Type])*(Table_dim_price_recipe[Retail Price]&lt;&gt;0)*($C574=Table_dim_price_recipe[Subcategory]), 0))*$B574,"")</f>
        <v>0</v>
      </c>
      <c r="H574" s="39" t="str" cm="1">
        <f t="array" ref="H574">IFERROR(INDEX(Table_dim_price_recipe[Retail Price], MATCH(1, ("Calculator"&lt;&gt;Table_dim_price_recipe[Type.display])*($L574=Table_dim_price_recipe[Category])*($D574=Table_dim_price_recipe[Item Description]) * (H$6=Table_dim_price_recipe[Type])*(Table_dim_price_recipe[Retail Price]&lt;&gt;0)*($C574=Table_dim_price_recipe[Subcategory]), 0))*$B574,"")</f>
        <v/>
      </c>
      <c r="I574" s="39" t="str" cm="1">
        <f t="array" ref="I574">IFERROR(INDEX(Table_dim_price_recipe[Retail Price], MATCH(1, ("Calculator"&lt;&gt;Table_dim_price_recipe[Type.display])*($L574=Table_dim_price_recipe[Category])*($D574=Table_dim_price_recipe[Item Description]) * (I$6=Table_dim_price_recipe[Type])*(Table_dim_price_recipe[Retail Price]&lt;&gt;0)*($C574=Table_dim_price_recipe[Subcategory]), 0))*$B574,"")</f>
        <v/>
      </c>
      <c r="J574" s="39" t="str" cm="1">
        <f t="array" ref="J574">IFERROR(INDEX(Table_dim_price_recipe[Retail Price], MATCH(1, ("Calculator"&lt;&gt;Table_dim_price_recipe[Type.display])*($L574=Table_dim_price_recipe[Category])*($D574=Table_dim_price_recipe[Item Description]) * (J$6=Table_dim_price_recipe[Type])*(Table_dim_price_recipe[Retail Price]&lt;&gt;0)*($C574=Table_dim_price_recipe[Subcategory]), 0))*$B574,"")</f>
        <v/>
      </c>
      <c r="K574" s="39" t="str" cm="1">
        <f t="array" ref="K574">IFERROR(INDEX(Table_dim_price_recipe[Retail Price], MATCH(1, ("Calculator"&lt;&gt;Table_dim_price_recipe[Type.display])*($L574=Table_dim_price_recipe[Category])*($D574=Table_dim_price_recipe[Item Description]) * (K$6=Table_dim_price_recipe[Type])*(Table_dim_price_recipe[Retail Price]&lt;&gt;0)*($C574=Table_dim_price_recipe[Subcategory]), 0))*$B574,"")</f>
        <v/>
      </c>
      <c r="L574" s="39" t="str" cm="1">
        <f t="array" ref="L574">IF($A574&lt;&gt;"", $A574, LOOKUP(2, 1/((A$7:INDEX(A:A, ROW()))&lt;&gt;""), A$7:INDEX(A:A, ROW())))</f>
        <v>SCREENS</v>
      </c>
      <c r="M574" s="14"/>
    </row>
    <row r="575" spans="1:13">
      <c r="A575" s="263"/>
      <c r="B575" s="263"/>
      <c r="C575" s="263" t="s">
        <v>114</v>
      </c>
      <c r="D575" s="263" t="s">
        <v>351</v>
      </c>
      <c r="E575" s="263"/>
      <c r="F575" s="263"/>
      <c r="G575" s="39" cm="1">
        <f t="array" ref="G575">IFERROR(INDEX(Table_dim_price_recipe[Retail Price], MATCH(1, ("Calculator"&lt;&gt;Table_dim_price_recipe[Type.display])*($L575=Table_dim_price_recipe[Category])*($D575=Table_dim_price_recipe[Item Description]) * (G$6=Table_dim_price_recipe[Type])*(Table_dim_price_recipe[Retail Price]&lt;&gt;0)*($C575=Table_dim_price_recipe[Subcategory]), 0))*$B575,"")</f>
        <v>0</v>
      </c>
      <c r="H575" s="39" t="str" cm="1">
        <f t="array" ref="H575">IFERROR(INDEX(Table_dim_price_recipe[Retail Price], MATCH(1, ("Calculator"&lt;&gt;Table_dim_price_recipe[Type.display])*($L575=Table_dim_price_recipe[Category])*($D575=Table_dim_price_recipe[Item Description]) * (H$6=Table_dim_price_recipe[Type])*(Table_dim_price_recipe[Retail Price]&lt;&gt;0)*($C575=Table_dim_price_recipe[Subcategory]), 0))*$B575,"")</f>
        <v/>
      </c>
      <c r="I575" s="39" t="str" cm="1">
        <f t="array" ref="I575">IFERROR(INDEX(Table_dim_price_recipe[Retail Price], MATCH(1, ("Calculator"&lt;&gt;Table_dim_price_recipe[Type.display])*($L575=Table_dim_price_recipe[Category])*($D575=Table_dim_price_recipe[Item Description]) * (I$6=Table_dim_price_recipe[Type])*(Table_dim_price_recipe[Retail Price]&lt;&gt;0)*($C575=Table_dim_price_recipe[Subcategory]), 0))*$B575,"")</f>
        <v/>
      </c>
      <c r="J575" s="39" t="str" cm="1">
        <f t="array" ref="J575">IFERROR(INDEX(Table_dim_price_recipe[Retail Price], MATCH(1, ("Calculator"&lt;&gt;Table_dim_price_recipe[Type.display])*($L575=Table_dim_price_recipe[Category])*($D575=Table_dim_price_recipe[Item Description]) * (J$6=Table_dim_price_recipe[Type])*(Table_dim_price_recipe[Retail Price]&lt;&gt;0)*($C575=Table_dim_price_recipe[Subcategory]), 0))*$B575,"")</f>
        <v/>
      </c>
      <c r="K575" s="39" t="str" cm="1">
        <f t="array" ref="K575">IFERROR(INDEX(Table_dim_price_recipe[Retail Price], MATCH(1, ("Calculator"&lt;&gt;Table_dim_price_recipe[Type.display])*($L575=Table_dim_price_recipe[Category])*($D575=Table_dim_price_recipe[Item Description]) * (K$6=Table_dim_price_recipe[Type])*(Table_dim_price_recipe[Retail Price]&lt;&gt;0)*($C575=Table_dim_price_recipe[Subcategory]), 0))*$B575,"")</f>
        <v/>
      </c>
      <c r="L575" s="39" t="str" cm="1">
        <f t="array" ref="L575">IF($A575&lt;&gt;"", $A575, LOOKUP(2, 1/((A$7:INDEX(A:A, ROW()))&lt;&gt;""), A$7:INDEX(A:A, ROW())))</f>
        <v>SCREENS</v>
      </c>
      <c r="M575" s="14"/>
    </row>
    <row r="576" spans="1:13">
      <c r="A576" s="263"/>
      <c r="B576" s="263"/>
      <c r="C576" s="263" t="s">
        <v>114</v>
      </c>
      <c r="D576" s="263" t="s">
        <v>352</v>
      </c>
      <c r="E576" s="263"/>
      <c r="F576" s="263"/>
      <c r="G576" s="39" cm="1">
        <f t="array" ref="G576">IFERROR(INDEX(Table_dim_price_recipe[Retail Price], MATCH(1, ("Calculator"&lt;&gt;Table_dim_price_recipe[Type.display])*($L576=Table_dim_price_recipe[Category])*($D576=Table_dim_price_recipe[Item Description]) * (G$6=Table_dim_price_recipe[Type])*(Table_dim_price_recipe[Retail Price]&lt;&gt;0)*($C576=Table_dim_price_recipe[Subcategory]), 0))*$B576,"")</f>
        <v>0</v>
      </c>
      <c r="H576" s="39" t="str" cm="1">
        <f t="array" ref="H576">IFERROR(INDEX(Table_dim_price_recipe[Retail Price], MATCH(1, ("Calculator"&lt;&gt;Table_dim_price_recipe[Type.display])*($L576=Table_dim_price_recipe[Category])*($D576=Table_dim_price_recipe[Item Description]) * (H$6=Table_dim_price_recipe[Type])*(Table_dim_price_recipe[Retail Price]&lt;&gt;0)*($C576=Table_dim_price_recipe[Subcategory]), 0))*$B576,"")</f>
        <v/>
      </c>
      <c r="I576" s="39" t="str" cm="1">
        <f t="array" ref="I576">IFERROR(INDEX(Table_dim_price_recipe[Retail Price], MATCH(1, ("Calculator"&lt;&gt;Table_dim_price_recipe[Type.display])*($L576=Table_dim_price_recipe[Category])*($D576=Table_dim_price_recipe[Item Description]) * (I$6=Table_dim_price_recipe[Type])*(Table_dim_price_recipe[Retail Price]&lt;&gt;0)*($C576=Table_dim_price_recipe[Subcategory]), 0))*$B576,"")</f>
        <v/>
      </c>
      <c r="J576" s="39" t="str" cm="1">
        <f t="array" ref="J576">IFERROR(INDEX(Table_dim_price_recipe[Retail Price], MATCH(1, ("Calculator"&lt;&gt;Table_dim_price_recipe[Type.display])*($L576=Table_dim_price_recipe[Category])*($D576=Table_dim_price_recipe[Item Description]) * (J$6=Table_dim_price_recipe[Type])*(Table_dim_price_recipe[Retail Price]&lt;&gt;0)*($C576=Table_dim_price_recipe[Subcategory]), 0))*$B576,"")</f>
        <v/>
      </c>
      <c r="K576" s="39" t="str" cm="1">
        <f t="array" ref="K576">IFERROR(INDEX(Table_dim_price_recipe[Retail Price], MATCH(1, ("Calculator"&lt;&gt;Table_dim_price_recipe[Type.display])*($L576=Table_dim_price_recipe[Category])*($D576=Table_dim_price_recipe[Item Description]) * (K$6=Table_dim_price_recipe[Type])*(Table_dim_price_recipe[Retail Price]&lt;&gt;0)*($C576=Table_dim_price_recipe[Subcategory]), 0))*$B576,"")</f>
        <v/>
      </c>
      <c r="L576" s="39" t="str" cm="1">
        <f t="array" ref="L576">IF($A576&lt;&gt;"", $A576, LOOKUP(2, 1/((A$7:INDEX(A:A, ROW()))&lt;&gt;""), A$7:INDEX(A:A, ROW())))</f>
        <v>SCREENS</v>
      </c>
      <c r="M576" s="14"/>
    </row>
    <row r="577" spans="1:13">
      <c r="A577" s="263"/>
      <c r="B577" s="263"/>
      <c r="C577" s="263" t="s">
        <v>114</v>
      </c>
      <c r="D577" s="263"/>
      <c r="E577" s="263"/>
      <c r="F577" s="263"/>
      <c r="G577" s="39" t="str" cm="1">
        <f t="array" ref="G577">IFERROR(INDEX(Table_dim_price_recipe[Retail Price], MATCH(1, ("Calculator"&lt;&gt;Table_dim_price_recipe[Type.display])*($L577=Table_dim_price_recipe[Category])*($D577=Table_dim_price_recipe[Item Description]) * (G$6=Table_dim_price_recipe[Type])*(Table_dim_price_recipe[Retail Price]&lt;&gt;0)*($C577=Table_dim_price_recipe[Subcategory]), 0))*$B577,"")</f>
        <v/>
      </c>
      <c r="H577" s="39" t="str" cm="1">
        <f t="array" ref="H577">IFERROR(INDEX(Table_dim_price_recipe[Retail Price], MATCH(1, ("Calculator"&lt;&gt;Table_dim_price_recipe[Type.display])*($L577=Table_dim_price_recipe[Category])*($D577=Table_dim_price_recipe[Item Description]) * (H$6=Table_dim_price_recipe[Type])*(Table_dim_price_recipe[Retail Price]&lt;&gt;0)*($C577=Table_dim_price_recipe[Subcategory]), 0))*$B577,"")</f>
        <v/>
      </c>
      <c r="I577" s="39" t="str" cm="1">
        <f t="array" ref="I577">IFERROR(INDEX(Table_dim_price_recipe[Retail Price], MATCH(1, ("Calculator"&lt;&gt;Table_dim_price_recipe[Type.display])*($L577=Table_dim_price_recipe[Category])*($D577=Table_dim_price_recipe[Item Description]) * (I$6=Table_dim_price_recipe[Type])*(Table_dim_price_recipe[Retail Price]&lt;&gt;0)*($C577=Table_dim_price_recipe[Subcategory]), 0))*$B577,"")</f>
        <v/>
      </c>
      <c r="J577" s="39" t="str" cm="1">
        <f t="array" ref="J577">IFERROR(INDEX(Table_dim_price_recipe[Retail Price], MATCH(1, ("Calculator"&lt;&gt;Table_dim_price_recipe[Type.display])*($L577=Table_dim_price_recipe[Category])*($D577=Table_dim_price_recipe[Item Description]) * (J$6=Table_dim_price_recipe[Type])*(Table_dim_price_recipe[Retail Price]&lt;&gt;0)*($C577=Table_dim_price_recipe[Subcategory]), 0))*$B577,"")</f>
        <v/>
      </c>
      <c r="K577" s="39" t="str" cm="1">
        <f t="array" ref="K577">IFERROR(INDEX(Table_dim_price_recipe[Retail Price], MATCH(1, ("Calculator"&lt;&gt;Table_dim_price_recipe[Type.display])*($L577=Table_dim_price_recipe[Category])*($D577=Table_dim_price_recipe[Item Description]) * (K$6=Table_dim_price_recipe[Type])*(Table_dim_price_recipe[Retail Price]&lt;&gt;0)*($C577=Table_dim_price_recipe[Subcategory]), 0))*$B577,"")</f>
        <v/>
      </c>
      <c r="L577" s="39" t="str" cm="1">
        <f t="array" ref="L577">IF($A577&lt;&gt;"", $A577, LOOKUP(2, 1/((A$7:INDEX(A:A, ROW()))&lt;&gt;""), A$7:INDEX(A:A, ROW())))</f>
        <v>SCREENS</v>
      </c>
      <c r="M577" s="14"/>
    </row>
    <row r="578" spans="1:13">
      <c r="A578" s="263"/>
      <c r="B578" s="263"/>
      <c r="C578" s="263" t="s">
        <v>114</v>
      </c>
      <c r="D578" s="263"/>
      <c r="E578" s="263"/>
      <c r="F578" s="263"/>
      <c r="G578" s="39" t="str" cm="1">
        <f t="array" ref="G578">IFERROR(INDEX(Table_dim_price_recipe[Retail Price], MATCH(1, ("Calculator"&lt;&gt;Table_dim_price_recipe[Type.display])*($L578=Table_dim_price_recipe[Category])*($D578=Table_dim_price_recipe[Item Description]) * (G$6=Table_dim_price_recipe[Type])*(Table_dim_price_recipe[Retail Price]&lt;&gt;0)*($C578=Table_dim_price_recipe[Subcategory]), 0))*$B578,"")</f>
        <v/>
      </c>
      <c r="H578" s="39" t="str" cm="1">
        <f t="array" ref="H578">IFERROR(INDEX(Table_dim_price_recipe[Retail Price], MATCH(1, ("Calculator"&lt;&gt;Table_dim_price_recipe[Type.display])*($L578=Table_dim_price_recipe[Category])*($D578=Table_dim_price_recipe[Item Description]) * (H$6=Table_dim_price_recipe[Type])*(Table_dim_price_recipe[Retail Price]&lt;&gt;0)*($C578=Table_dim_price_recipe[Subcategory]), 0))*$B578,"")</f>
        <v/>
      </c>
      <c r="I578" s="39" t="str" cm="1">
        <f t="array" ref="I578">IFERROR(INDEX(Table_dim_price_recipe[Retail Price], MATCH(1, ("Calculator"&lt;&gt;Table_dim_price_recipe[Type.display])*($L578=Table_dim_price_recipe[Category])*($D578=Table_dim_price_recipe[Item Description]) * (I$6=Table_dim_price_recipe[Type])*(Table_dim_price_recipe[Retail Price]&lt;&gt;0)*($C578=Table_dim_price_recipe[Subcategory]), 0))*$B578,"")</f>
        <v/>
      </c>
      <c r="J578" s="39" t="str" cm="1">
        <f t="array" ref="J578">IFERROR(INDEX(Table_dim_price_recipe[Retail Price], MATCH(1, ("Calculator"&lt;&gt;Table_dim_price_recipe[Type.display])*($L578=Table_dim_price_recipe[Category])*($D578=Table_dim_price_recipe[Item Description]) * (J$6=Table_dim_price_recipe[Type])*(Table_dim_price_recipe[Retail Price]&lt;&gt;0)*($C578=Table_dim_price_recipe[Subcategory]), 0))*$B578,"")</f>
        <v/>
      </c>
      <c r="K578" s="39" t="str" cm="1">
        <f t="array" ref="K578">IFERROR(INDEX(Table_dim_price_recipe[Retail Price], MATCH(1, ("Calculator"&lt;&gt;Table_dim_price_recipe[Type.display])*($L578=Table_dim_price_recipe[Category])*($D578=Table_dim_price_recipe[Item Description]) * (K$6=Table_dim_price_recipe[Type])*(Table_dim_price_recipe[Retail Price]&lt;&gt;0)*($C578=Table_dim_price_recipe[Subcategory]), 0))*$B578,"")</f>
        <v/>
      </c>
      <c r="L578" s="39" t="str" cm="1">
        <f t="array" ref="L578">IF($A578&lt;&gt;"", $A578, LOOKUP(2, 1/((A$7:INDEX(A:A, ROW()))&lt;&gt;""), A$7:INDEX(A:A, ROW())))</f>
        <v>SCREENS</v>
      </c>
      <c r="M578" s="14"/>
    </row>
    <row r="579" spans="1:13">
      <c r="A579" s="260" t="s">
        <v>67</v>
      </c>
      <c r="B579" s="261"/>
      <c r="C579" s="261"/>
      <c r="D579" s="261"/>
      <c r="E579" s="261"/>
      <c r="F579" s="261"/>
      <c r="G579" s="262" t="str" cm="1">
        <f t="array" ref="G579">IFERROR(INDEX(Table_dim_price_recipe[Retail Price], MATCH(1, ("Calculator"&lt;&gt;Table_dim_price_recipe[Type.display])*($L579=Table_dim_price_recipe[Category])*($D579=Table_dim_price_recipe[Item Description]) * (G$6=Table_dim_price_recipe[Type])*(Table_dim_price_recipe[Retail Price]&lt;&gt;0)*($C579=Table_dim_price_recipe[Subcategory]), 0))*$B579,"")</f>
        <v/>
      </c>
      <c r="H579" s="262" t="str" cm="1">
        <f t="array" ref="H579">IFERROR(INDEX(Table_dim_price_recipe[Retail Price], MATCH(1, ("Calculator"&lt;&gt;Table_dim_price_recipe[Type.display])*($L579=Table_dim_price_recipe[Category])*($D579=Table_dim_price_recipe[Item Description]) * (H$6=Table_dim_price_recipe[Type])*(Table_dim_price_recipe[Retail Price]&lt;&gt;0)*($C579=Table_dim_price_recipe[Subcategory]), 0))*$B579,"")</f>
        <v/>
      </c>
      <c r="I579" s="262" t="str" cm="1">
        <f t="array" ref="I579">IFERROR(INDEX(Table_dim_price_recipe[Retail Price], MATCH(1, ("Calculator"&lt;&gt;Table_dim_price_recipe[Type.display])*($L579=Table_dim_price_recipe[Category])*($D579=Table_dim_price_recipe[Item Description]) * (I$6=Table_dim_price_recipe[Type])*(Table_dim_price_recipe[Retail Price]&lt;&gt;0)*($C579=Table_dim_price_recipe[Subcategory]), 0))*$B579,"")</f>
        <v/>
      </c>
      <c r="J579" s="262" t="str" cm="1">
        <f t="array" ref="J579">IFERROR(INDEX(Table_dim_price_recipe[Retail Price], MATCH(1, ("Calculator"&lt;&gt;Table_dim_price_recipe[Type.display])*($L579=Table_dim_price_recipe[Category])*($D579=Table_dim_price_recipe[Item Description]) * (J$6=Table_dim_price_recipe[Type])*(Table_dim_price_recipe[Retail Price]&lt;&gt;0)*($C579=Table_dim_price_recipe[Subcategory]), 0))*$B579,"")</f>
        <v/>
      </c>
      <c r="K579" s="262" t="str" cm="1">
        <f t="array" ref="K579">IFERROR(INDEX(Table_dim_price_recipe[Retail Price], MATCH(1, ("Calculator"&lt;&gt;Table_dim_price_recipe[Type.display])*($L579=Table_dim_price_recipe[Category])*($D579=Table_dim_price_recipe[Item Description]) * (K$6=Table_dim_price_recipe[Type])*(Table_dim_price_recipe[Retail Price]&lt;&gt;0)*($C579=Table_dim_price_recipe[Subcategory]), 0))*$B579,"")</f>
        <v/>
      </c>
      <c r="L579" s="262" t="str" cm="1">
        <f t="array" ref="L579">IF($A579&lt;&gt;"", $A579, LOOKUP(2, 1/((A$7:INDEX(A:A, ROW()))&lt;&gt;""), A$7:INDEX(A:A, ROW())))</f>
        <v>STEEL SCREENS</v>
      </c>
      <c r="M579" s="14"/>
    </row>
    <row r="580" spans="1:13">
      <c r="A580" s="263"/>
      <c r="B580" s="263"/>
      <c r="C580" s="263" t="s">
        <v>915</v>
      </c>
      <c r="D580" s="263" t="s">
        <v>920</v>
      </c>
      <c r="E580" s="263"/>
      <c r="F580" s="263"/>
      <c r="G580" s="39" t="str" cm="1">
        <f t="array" ref="G580">IFERROR(INDEX(Table_dim_price_recipe[Retail Price], MATCH(1, ("Calculator"&lt;&gt;Table_dim_price_recipe[Type.display])*($L580=Table_dim_price_recipe[Category])*($D580=Table_dim_price_recipe[Item Description]) * (G$6=Table_dim_price_recipe[Type])*(Table_dim_price_recipe[Retail Price]&lt;&gt;0)*($C580=Table_dim_price_recipe[Subcategory]), 0))*$B580,"")</f>
        <v/>
      </c>
      <c r="H580" s="39" cm="1">
        <f t="array" ref="H580">IFERROR(INDEX(Table_dim_price_recipe[Retail Price], MATCH(1, ("Calculator"&lt;&gt;Table_dim_price_recipe[Type.display])*($L580=Table_dim_price_recipe[Category])*($D580=Table_dim_price_recipe[Item Description]) * (H$6=Table_dim_price_recipe[Type])*(Table_dim_price_recipe[Retail Price]&lt;&gt;0)*($C580=Table_dim_price_recipe[Subcategory]), 0))*$B580,"")</f>
        <v>0</v>
      </c>
      <c r="I580" s="39" t="str" cm="1">
        <f t="array" ref="I580">IFERROR(INDEX(Table_dim_price_recipe[Retail Price], MATCH(1, ("Calculator"&lt;&gt;Table_dim_price_recipe[Type.display])*($L580=Table_dim_price_recipe[Category])*($D580=Table_dim_price_recipe[Item Description]) * (I$6=Table_dim_price_recipe[Type])*(Table_dim_price_recipe[Retail Price]&lt;&gt;0)*($C580=Table_dim_price_recipe[Subcategory]), 0))*$B580,"")</f>
        <v/>
      </c>
      <c r="J580" s="39" t="str" cm="1">
        <f t="array" ref="J580">IFERROR(INDEX(Table_dim_price_recipe[Retail Price], MATCH(1, ("Calculator"&lt;&gt;Table_dim_price_recipe[Type.display])*($L580=Table_dim_price_recipe[Category])*($D580=Table_dim_price_recipe[Item Description]) * (J$6=Table_dim_price_recipe[Type])*(Table_dim_price_recipe[Retail Price]&lt;&gt;0)*($C580=Table_dim_price_recipe[Subcategory]), 0))*$B580,"")</f>
        <v/>
      </c>
      <c r="K580" s="39" t="str" cm="1">
        <f t="array" ref="K580">IFERROR(INDEX(Table_dim_price_recipe[Retail Price], MATCH(1, ("Calculator"&lt;&gt;Table_dim_price_recipe[Type.display])*($L580=Table_dim_price_recipe[Category])*($D580=Table_dim_price_recipe[Item Description]) * (K$6=Table_dim_price_recipe[Type])*(Table_dim_price_recipe[Retail Price]&lt;&gt;0)*($C580=Table_dim_price_recipe[Subcategory]), 0))*$B580,"")</f>
        <v/>
      </c>
      <c r="L580" s="39" t="str" cm="1">
        <f t="array" ref="L580">IF($A580&lt;&gt;"", $A580, LOOKUP(2, 1/((A$7:INDEX(A:A, ROW()))&lt;&gt;""), A$7:INDEX(A:A, ROW())))</f>
        <v>STEEL SCREENS</v>
      </c>
      <c r="M580" s="14"/>
    </row>
    <row r="581" spans="1:13">
      <c r="A581" s="263"/>
      <c r="B581" s="263"/>
      <c r="C581" s="263" t="s">
        <v>915</v>
      </c>
      <c r="D581" s="263"/>
      <c r="E581" s="263"/>
      <c r="F581" s="263"/>
      <c r="G581" s="39" t="str" cm="1">
        <f t="array" ref="G581">IFERROR(INDEX(Table_dim_price_recipe[Retail Price], MATCH(1, ("Calculator"&lt;&gt;Table_dim_price_recipe[Type.display])*($L581=Table_dim_price_recipe[Category])*($D581=Table_dim_price_recipe[Item Description]) * (G$6=Table_dim_price_recipe[Type])*(Table_dim_price_recipe[Retail Price]&lt;&gt;0)*($C581=Table_dim_price_recipe[Subcategory]), 0))*$B581,"")</f>
        <v/>
      </c>
      <c r="H581" s="39" t="str" cm="1">
        <f t="array" ref="H581">IFERROR(INDEX(Table_dim_price_recipe[Retail Price], MATCH(1, ("Calculator"&lt;&gt;Table_dim_price_recipe[Type.display])*($L581=Table_dim_price_recipe[Category])*($D581=Table_dim_price_recipe[Item Description]) * (H$6=Table_dim_price_recipe[Type])*(Table_dim_price_recipe[Retail Price]&lt;&gt;0)*($C581=Table_dim_price_recipe[Subcategory]), 0))*$B581,"")</f>
        <v/>
      </c>
      <c r="I581" s="39" t="str" cm="1">
        <f t="array" ref="I581">IFERROR(INDEX(Table_dim_price_recipe[Retail Price], MATCH(1, ("Calculator"&lt;&gt;Table_dim_price_recipe[Type.display])*($L581=Table_dim_price_recipe[Category])*($D581=Table_dim_price_recipe[Item Description]) * (I$6=Table_dim_price_recipe[Type])*(Table_dim_price_recipe[Retail Price]&lt;&gt;0)*($C581=Table_dim_price_recipe[Subcategory]), 0))*$B581,"")</f>
        <v/>
      </c>
      <c r="J581" s="39" t="str" cm="1">
        <f t="array" ref="J581">IFERROR(INDEX(Table_dim_price_recipe[Retail Price], MATCH(1, ("Calculator"&lt;&gt;Table_dim_price_recipe[Type.display])*($L581=Table_dim_price_recipe[Category])*($D581=Table_dim_price_recipe[Item Description]) * (J$6=Table_dim_price_recipe[Type])*(Table_dim_price_recipe[Retail Price]&lt;&gt;0)*($C581=Table_dim_price_recipe[Subcategory]), 0))*$B581,"")</f>
        <v/>
      </c>
      <c r="K581" s="39" t="str" cm="1">
        <f t="array" ref="K581">IFERROR(INDEX(Table_dim_price_recipe[Retail Price], MATCH(1, ("Calculator"&lt;&gt;Table_dim_price_recipe[Type.display])*($L581=Table_dim_price_recipe[Category])*($D581=Table_dim_price_recipe[Item Description]) * (K$6=Table_dim_price_recipe[Type])*(Table_dim_price_recipe[Retail Price]&lt;&gt;0)*($C581=Table_dim_price_recipe[Subcategory]), 0))*$B581,"")</f>
        <v/>
      </c>
      <c r="L581" s="39" t="str" cm="1">
        <f t="array" ref="L581">IF($A581&lt;&gt;"", $A581, LOOKUP(2, 1/((A$7:INDEX(A:A, ROW()))&lt;&gt;""), A$7:INDEX(A:A, ROW())))</f>
        <v>STEEL SCREENS</v>
      </c>
      <c r="M581" s="14"/>
    </row>
    <row r="582" spans="1:13">
      <c r="A582" s="263"/>
      <c r="B582" s="263"/>
      <c r="C582" s="263" t="s">
        <v>915</v>
      </c>
      <c r="D582" s="263"/>
      <c r="E582" s="263"/>
      <c r="F582" s="263"/>
      <c r="G582" s="39" t="str" cm="1">
        <f t="array" ref="G582">IFERROR(INDEX(Table_dim_price_recipe[Retail Price], MATCH(1, ("Calculator"&lt;&gt;Table_dim_price_recipe[Type.display])*($L582=Table_dim_price_recipe[Category])*($D582=Table_dim_price_recipe[Item Description]) * (G$6=Table_dim_price_recipe[Type])*(Table_dim_price_recipe[Retail Price]&lt;&gt;0)*($C582=Table_dim_price_recipe[Subcategory]), 0))*$B582,"")</f>
        <v/>
      </c>
      <c r="H582" s="39" t="str" cm="1">
        <f t="array" ref="H582">IFERROR(INDEX(Table_dim_price_recipe[Retail Price], MATCH(1, ("Calculator"&lt;&gt;Table_dim_price_recipe[Type.display])*($L582=Table_dim_price_recipe[Category])*($D582=Table_dim_price_recipe[Item Description]) * (H$6=Table_dim_price_recipe[Type])*(Table_dim_price_recipe[Retail Price]&lt;&gt;0)*($C582=Table_dim_price_recipe[Subcategory]), 0))*$B582,"")</f>
        <v/>
      </c>
      <c r="I582" s="39" t="str" cm="1">
        <f t="array" ref="I582">IFERROR(INDEX(Table_dim_price_recipe[Retail Price], MATCH(1, ("Calculator"&lt;&gt;Table_dim_price_recipe[Type.display])*($L582=Table_dim_price_recipe[Category])*($D582=Table_dim_price_recipe[Item Description]) * (I$6=Table_dim_price_recipe[Type])*(Table_dim_price_recipe[Retail Price]&lt;&gt;0)*($C582=Table_dim_price_recipe[Subcategory]), 0))*$B582,"")</f>
        <v/>
      </c>
      <c r="J582" s="39" t="str" cm="1">
        <f t="array" ref="J582">IFERROR(INDEX(Table_dim_price_recipe[Retail Price], MATCH(1, ("Calculator"&lt;&gt;Table_dim_price_recipe[Type.display])*($L582=Table_dim_price_recipe[Category])*($D582=Table_dim_price_recipe[Item Description]) * (J$6=Table_dim_price_recipe[Type])*(Table_dim_price_recipe[Retail Price]&lt;&gt;0)*($C582=Table_dim_price_recipe[Subcategory]), 0))*$B582,"")</f>
        <v/>
      </c>
      <c r="K582" s="39" t="str" cm="1">
        <f t="array" ref="K582">IFERROR(INDEX(Table_dim_price_recipe[Retail Price], MATCH(1, ("Calculator"&lt;&gt;Table_dim_price_recipe[Type.display])*($L582=Table_dim_price_recipe[Category])*($D582=Table_dim_price_recipe[Item Description]) * (K$6=Table_dim_price_recipe[Type])*(Table_dim_price_recipe[Retail Price]&lt;&gt;0)*($C582=Table_dim_price_recipe[Subcategory]), 0))*$B582,"")</f>
        <v/>
      </c>
      <c r="L582" s="39" t="str" cm="1">
        <f t="array" ref="L582">IF($A582&lt;&gt;"", $A582, LOOKUP(2, 1/((A$7:INDEX(A:A, ROW()))&lt;&gt;""), A$7:INDEX(A:A, ROW())))</f>
        <v>STEEL SCREENS</v>
      </c>
      <c r="M582" s="14"/>
    </row>
    <row r="583" spans="1:13">
      <c r="A583" s="263"/>
      <c r="B583" s="263"/>
      <c r="C583" s="263" t="s">
        <v>520</v>
      </c>
      <c r="D583" s="263" t="s">
        <v>521</v>
      </c>
      <c r="E583" s="263"/>
      <c r="F583" s="263"/>
      <c r="G583" s="39" cm="1">
        <f t="array" ref="G583">IFERROR(INDEX(Table_dim_price_recipe[Retail Price], MATCH(1, ("Calculator"&lt;&gt;Table_dim_price_recipe[Type.display])*($L583=Table_dim_price_recipe[Category])*($D583=Table_dim_price_recipe[Item Description]) * (G$6=Table_dim_price_recipe[Type])*(Table_dim_price_recipe[Retail Price]&lt;&gt;0)*($C583=Table_dim_price_recipe[Subcategory]), 0))*$B583,"")</f>
        <v>0</v>
      </c>
      <c r="H583" s="39" t="str" cm="1">
        <f t="array" ref="H583">IFERROR(INDEX(Table_dim_price_recipe[Retail Price], MATCH(1, ("Calculator"&lt;&gt;Table_dim_price_recipe[Type.display])*($L583=Table_dim_price_recipe[Category])*($D583=Table_dim_price_recipe[Item Description]) * (H$6=Table_dim_price_recipe[Type])*(Table_dim_price_recipe[Retail Price]&lt;&gt;0)*($C583=Table_dim_price_recipe[Subcategory]), 0))*$B583,"")</f>
        <v/>
      </c>
      <c r="I583" s="39" t="str" cm="1">
        <f t="array" ref="I583">IFERROR(INDEX(Table_dim_price_recipe[Retail Price], MATCH(1, ("Calculator"&lt;&gt;Table_dim_price_recipe[Type.display])*($L583=Table_dim_price_recipe[Category])*($D583=Table_dim_price_recipe[Item Description]) * (I$6=Table_dim_price_recipe[Type])*(Table_dim_price_recipe[Retail Price]&lt;&gt;0)*($C583=Table_dim_price_recipe[Subcategory]), 0))*$B583,"")</f>
        <v/>
      </c>
      <c r="J583" s="39" t="str" cm="1">
        <f t="array" ref="J583">IFERROR(INDEX(Table_dim_price_recipe[Retail Price], MATCH(1, ("Calculator"&lt;&gt;Table_dim_price_recipe[Type.display])*($L583=Table_dim_price_recipe[Category])*($D583=Table_dim_price_recipe[Item Description]) * (J$6=Table_dim_price_recipe[Type])*(Table_dim_price_recipe[Retail Price]&lt;&gt;0)*($C583=Table_dim_price_recipe[Subcategory]), 0))*$B583,"")</f>
        <v/>
      </c>
      <c r="K583" s="39" t="str" cm="1">
        <f t="array" ref="K583">IFERROR(INDEX(Table_dim_price_recipe[Retail Price], MATCH(1, ("Calculator"&lt;&gt;Table_dim_price_recipe[Type.display])*($L583=Table_dim_price_recipe[Category])*($D583=Table_dim_price_recipe[Item Description]) * (K$6=Table_dim_price_recipe[Type])*(Table_dim_price_recipe[Retail Price]&lt;&gt;0)*($C583=Table_dim_price_recipe[Subcategory]), 0))*$B583,"")</f>
        <v/>
      </c>
      <c r="L583" s="39" t="str" cm="1">
        <f t="array" ref="L583">IF($A583&lt;&gt;"", $A583, LOOKUP(2, 1/((A$7:INDEX(A:A, ROW()))&lt;&gt;""), A$7:INDEX(A:A, ROW())))</f>
        <v>STEEL SCREENS</v>
      </c>
      <c r="M583" s="14"/>
    </row>
    <row r="584" spans="1:13">
      <c r="A584" s="263"/>
      <c r="B584" s="263"/>
      <c r="C584" s="263" t="s">
        <v>520</v>
      </c>
      <c r="D584" s="263"/>
      <c r="E584" s="263"/>
      <c r="F584" s="263"/>
      <c r="G584" s="39" t="str" cm="1">
        <f t="array" ref="G584">IFERROR(INDEX(Table_dim_price_recipe[Retail Price], MATCH(1, ("Calculator"&lt;&gt;Table_dim_price_recipe[Type.display])*($L584=Table_dim_price_recipe[Category])*($D584=Table_dim_price_recipe[Item Description]) * (G$6=Table_dim_price_recipe[Type])*(Table_dim_price_recipe[Retail Price]&lt;&gt;0)*($C584=Table_dim_price_recipe[Subcategory]), 0))*$B584,"")</f>
        <v/>
      </c>
      <c r="H584" s="39" t="str" cm="1">
        <f t="array" ref="H584">IFERROR(INDEX(Table_dim_price_recipe[Retail Price], MATCH(1, ("Calculator"&lt;&gt;Table_dim_price_recipe[Type.display])*($L584=Table_dim_price_recipe[Category])*($D584=Table_dim_price_recipe[Item Description]) * (H$6=Table_dim_price_recipe[Type])*(Table_dim_price_recipe[Retail Price]&lt;&gt;0)*($C584=Table_dim_price_recipe[Subcategory]), 0))*$B584,"")</f>
        <v/>
      </c>
      <c r="I584" s="39" t="str" cm="1">
        <f t="array" ref="I584">IFERROR(INDEX(Table_dim_price_recipe[Retail Price], MATCH(1, ("Calculator"&lt;&gt;Table_dim_price_recipe[Type.display])*($L584=Table_dim_price_recipe[Category])*($D584=Table_dim_price_recipe[Item Description]) * (I$6=Table_dim_price_recipe[Type])*(Table_dim_price_recipe[Retail Price]&lt;&gt;0)*($C584=Table_dim_price_recipe[Subcategory]), 0))*$B584,"")</f>
        <v/>
      </c>
      <c r="J584" s="39" t="str" cm="1">
        <f t="array" ref="J584">IFERROR(INDEX(Table_dim_price_recipe[Retail Price], MATCH(1, ("Calculator"&lt;&gt;Table_dim_price_recipe[Type.display])*($L584=Table_dim_price_recipe[Category])*($D584=Table_dim_price_recipe[Item Description]) * (J$6=Table_dim_price_recipe[Type])*(Table_dim_price_recipe[Retail Price]&lt;&gt;0)*($C584=Table_dim_price_recipe[Subcategory]), 0))*$B584,"")</f>
        <v/>
      </c>
      <c r="K584" s="39" t="str" cm="1">
        <f t="array" ref="K584">IFERROR(INDEX(Table_dim_price_recipe[Retail Price], MATCH(1, ("Calculator"&lt;&gt;Table_dim_price_recipe[Type.display])*($L584=Table_dim_price_recipe[Category])*($D584=Table_dim_price_recipe[Item Description]) * (K$6=Table_dim_price_recipe[Type])*(Table_dim_price_recipe[Retail Price]&lt;&gt;0)*($C584=Table_dim_price_recipe[Subcategory]), 0))*$B584,"")</f>
        <v/>
      </c>
      <c r="L584" s="39" t="str" cm="1">
        <f t="array" ref="L584">IF($A584&lt;&gt;"", $A584, LOOKUP(2, 1/((A$7:INDEX(A:A, ROW()))&lt;&gt;""), A$7:INDEX(A:A, ROW())))</f>
        <v>STEEL SCREENS</v>
      </c>
      <c r="M584" s="14"/>
    </row>
    <row r="585" spans="1:13">
      <c r="A585" s="263"/>
      <c r="B585" s="263"/>
      <c r="C585" s="263" t="s">
        <v>520</v>
      </c>
      <c r="D585" s="263"/>
      <c r="E585" s="263"/>
      <c r="F585" s="263"/>
      <c r="G585" s="39" t="str" cm="1">
        <f t="array" ref="G585">IFERROR(INDEX(Table_dim_price_recipe[Retail Price], MATCH(1, ("Calculator"&lt;&gt;Table_dim_price_recipe[Type.display])*($L585=Table_dim_price_recipe[Category])*($D585=Table_dim_price_recipe[Item Description]) * (G$6=Table_dim_price_recipe[Type])*(Table_dim_price_recipe[Retail Price]&lt;&gt;0)*($C585=Table_dim_price_recipe[Subcategory]), 0))*$B585,"")</f>
        <v/>
      </c>
      <c r="H585" s="39" t="str" cm="1">
        <f t="array" ref="H585">IFERROR(INDEX(Table_dim_price_recipe[Retail Price], MATCH(1, ("Calculator"&lt;&gt;Table_dim_price_recipe[Type.display])*($L585=Table_dim_price_recipe[Category])*($D585=Table_dim_price_recipe[Item Description]) * (H$6=Table_dim_price_recipe[Type])*(Table_dim_price_recipe[Retail Price]&lt;&gt;0)*($C585=Table_dim_price_recipe[Subcategory]), 0))*$B585,"")</f>
        <v/>
      </c>
      <c r="I585" s="39" t="str" cm="1">
        <f t="array" ref="I585">IFERROR(INDEX(Table_dim_price_recipe[Retail Price], MATCH(1, ("Calculator"&lt;&gt;Table_dim_price_recipe[Type.display])*($L585=Table_dim_price_recipe[Category])*($D585=Table_dim_price_recipe[Item Description]) * (I$6=Table_dim_price_recipe[Type])*(Table_dim_price_recipe[Retail Price]&lt;&gt;0)*($C585=Table_dim_price_recipe[Subcategory]), 0))*$B585,"")</f>
        <v/>
      </c>
      <c r="J585" s="39" t="str" cm="1">
        <f t="array" ref="J585">IFERROR(INDEX(Table_dim_price_recipe[Retail Price], MATCH(1, ("Calculator"&lt;&gt;Table_dim_price_recipe[Type.display])*($L585=Table_dim_price_recipe[Category])*($D585=Table_dim_price_recipe[Item Description]) * (J$6=Table_dim_price_recipe[Type])*(Table_dim_price_recipe[Retail Price]&lt;&gt;0)*($C585=Table_dim_price_recipe[Subcategory]), 0))*$B585,"")</f>
        <v/>
      </c>
      <c r="K585" s="39" t="str" cm="1">
        <f t="array" ref="K585">IFERROR(INDEX(Table_dim_price_recipe[Retail Price], MATCH(1, ("Calculator"&lt;&gt;Table_dim_price_recipe[Type.display])*($L585=Table_dim_price_recipe[Category])*($D585=Table_dim_price_recipe[Item Description]) * (K$6=Table_dim_price_recipe[Type])*(Table_dim_price_recipe[Retail Price]&lt;&gt;0)*($C585=Table_dim_price_recipe[Subcategory]), 0))*$B585,"")</f>
        <v/>
      </c>
      <c r="L585" s="39" t="str" cm="1">
        <f t="array" ref="L585">IF($A585&lt;&gt;"", $A585, LOOKUP(2, 1/((A$7:INDEX(A:A, ROW()))&lt;&gt;""), A$7:INDEX(A:A, ROW())))</f>
        <v>STEEL SCREENS</v>
      </c>
      <c r="M585" s="14"/>
    </row>
    <row r="586" spans="1:13">
      <c r="A586" s="260" t="s">
        <v>68</v>
      </c>
      <c r="B586" s="261"/>
      <c r="C586" s="261"/>
      <c r="D586" s="261"/>
      <c r="E586" s="261"/>
      <c r="F586" s="261"/>
      <c r="G586" s="262" t="str" cm="1">
        <f t="array" ref="G586">IFERROR(INDEX(Table_dim_price_recipe[Retail Price], MATCH(1, ("Calculator"&lt;&gt;Table_dim_price_recipe[Type.display])*($L586=Table_dim_price_recipe[Category])*($D586=Table_dim_price_recipe[Item Description]) * (G$6=Table_dim_price_recipe[Type])*(Table_dim_price_recipe[Retail Price]&lt;&gt;0)*($C586=Table_dim_price_recipe[Subcategory]), 0))*$B586,"")</f>
        <v/>
      </c>
      <c r="H586" s="262" t="str" cm="1">
        <f t="array" ref="H586">IFERROR(INDEX(Table_dim_price_recipe[Retail Price], MATCH(1, ("Calculator"&lt;&gt;Table_dim_price_recipe[Type.display])*($L586=Table_dim_price_recipe[Category])*($D586=Table_dim_price_recipe[Item Description]) * (H$6=Table_dim_price_recipe[Type])*(Table_dim_price_recipe[Retail Price]&lt;&gt;0)*($C586=Table_dim_price_recipe[Subcategory]), 0))*$B586,"")</f>
        <v/>
      </c>
      <c r="I586" s="262" t="str" cm="1">
        <f t="array" ref="I586">IFERROR(INDEX(Table_dim_price_recipe[Retail Price], MATCH(1, ("Calculator"&lt;&gt;Table_dim_price_recipe[Type.display])*($L586=Table_dim_price_recipe[Category])*($D586=Table_dim_price_recipe[Item Description]) * (I$6=Table_dim_price_recipe[Type])*(Table_dim_price_recipe[Retail Price]&lt;&gt;0)*($C586=Table_dim_price_recipe[Subcategory]), 0))*$B586,"")</f>
        <v/>
      </c>
      <c r="J586" s="262" t="str" cm="1">
        <f t="array" ref="J586">IFERROR(INDEX(Table_dim_price_recipe[Retail Price], MATCH(1, ("Calculator"&lt;&gt;Table_dim_price_recipe[Type.display])*($L586=Table_dim_price_recipe[Category])*($D586=Table_dim_price_recipe[Item Description]) * (J$6=Table_dim_price_recipe[Type])*(Table_dim_price_recipe[Retail Price]&lt;&gt;0)*($C586=Table_dim_price_recipe[Subcategory]), 0))*$B586,"")</f>
        <v/>
      </c>
      <c r="K586" s="262" t="str" cm="1">
        <f t="array" ref="K586">IFERROR(INDEX(Table_dim_price_recipe[Retail Price], MATCH(1, ("Calculator"&lt;&gt;Table_dim_price_recipe[Type.display])*($L586=Table_dim_price_recipe[Category])*($D586=Table_dim_price_recipe[Item Description]) * (K$6=Table_dim_price_recipe[Type])*(Table_dim_price_recipe[Retail Price]&lt;&gt;0)*($C586=Table_dim_price_recipe[Subcategory]), 0))*$B586,"")</f>
        <v/>
      </c>
      <c r="L586" s="262" t="str" cm="1">
        <f t="array" ref="L586">IF($A586&lt;&gt;"", $A586, LOOKUP(2, 1/((A$7:INDEX(A:A, ROW()))&lt;&gt;""), A$7:INDEX(A:A, ROW())))</f>
        <v>FRET WORK</v>
      </c>
      <c r="M586" s="14"/>
    </row>
    <row r="587" spans="1:13">
      <c r="A587" s="263"/>
      <c r="B587" s="263"/>
      <c r="C587" s="263" t="s">
        <v>936</v>
      </c>
      <c r="D587" s="263" t="s">
        <v>939</v>
      </c>
      <c r="E587" s="263"/>
      <c r="F587" s="263"/>
      <c r="G587" s="39" t="str" cm="1">
        <f t="array" ref="G587">IFERROR(INDEX(Table_dim_price_recipe[Retail Price], MATCH(1, ("Calculator"&lt;&gt;Table_dim_price_recipe[Type.display])*($L587=Table_dim_price_recipe[Category])*($D587=Table_dim_price_recipe[Item Description]) * (G$6=Table_dim_price_recipe[Type])*(Table_dim_price_recipe[Retail Price]&lt;&gt;0)*($C587=Table_dim_price_recipe[Subcategory]), 0))*$B587,"")</f>
        <v/>
      </c>
      <c r="H587" s="39" cm="1">
        <f t="array" ref="H587">IFERROR(INDEX(Table_dim_price_recipe[Retail Price], MATCH(1, ("Calculator"&lt;&gt;Table_dim_price_recipe[Type.display])*($L587=Table_dim_price_recipe[Category])*($D587=Table_dim_price_recipe[Item Description]) * (H$6=Table_dim_price_recipe[Type])*(Table_dim_price_recipe[Retail Price]&lt;&gt;0)*($C587=Table_dim_price_recipe[Subcategory]), 0))*$B587,"")</f>
        <v>0</v>
      </c>
      <c r="I587" s="39" t="str" cm="1">
        <f t="array" ref="I587">IFERROR(INDEX(Table_dim_price_recipe[Retail Price], MATCH(1, ("Calculator"&lt;&gt;Table_dim_price_recipe[Type.display])*($L587=Table_dim_price_recipe[Category])*($D587=Table_dim_price_recipe[Item Description]) * (I$6=Table_dim_price_recipe[Type])*(Table_dim_price_recipe[Retail Price]&lt;&gt;0)*($C587=Table_dim_price_recipe[Subcategory]), 0))*$B587,"")</f>
        <v/>
      </c>
      <c r="J587" s="39" t="str" cm="1">
        <f t="array" ref="J587">IFERROR(INDEX(Table_dim_price_recipe[Retail Price], MATCH(1, ("Calculator"&lt;&gt;Table_dim_price_recipe[Type.display])*($L587=Table_dim_price_recipe[Category])*($D587=Table_dim_price_recipe[Item Description]) * (J$6=Table_dim_price_recipe[Type])*(Table_dim_price_recipe[Retail Price]&lt;&gt;0)*($C587=Table_dim_price_recipe[Subcategory]), 0))*$B587,"")</f>
        <v/>
      </c>
      <c r="K587" s="39" t="str" cm="1">
        <f t="array" ref="K587">IFERROR(INDEX(Table_dim_price_recipe[Retail Price], MATCH(1, ("Calculator"&lt;&gt;Table_dim_price_recipe[Type.display])*($L587=Table_dim_price_recipe[Category])*($D587=Table_dim_price_recipe[Item Description]) * (K$6=Table_dim_price_recipe[Type])*(Table_dim_price_recipe[Retail Price]&lt;&gt;0)*($C587=Table_dim_price_recipe[Subcategory]), 0))*$B587,"")</f>
        <v/>
      </c>
      <c r="L587" s="39" t="str" cm="1">
        <f t="array" ref="L587">IF($A587&lt;&gt;"", $A587, LOOKUP(2, 1/((A$7:INDEX(A:A, ROW()))&lt;&gt;""), A$7:INDEX(A:A, ROW())))</f>
        <v>FRET WORK</v>
      </c>
      <c r="M587" s="14"/>
    </row>
    <row r="588" spans="1:13">
      <c r="A588" s="263"/>
      <c r="B588" s="263"/>
      <c r="C588" s="263" t="s">
        <v>936</v>
      </c>
      <c r="D588" s="263" t="s">
        <v>939</v>
      </c>
      <c r="E588" s="263"/>
      <c r="F588" s="263"/>
      <c r="G588" s="39" t="str" cm="1">
        <f t="array" ref="G588">IFERROR(INDEX(Table_dim_price_recipe[Retail Price], MATCH(1, ("Calculator"&lt;&gt;Table_dim_price_recipe[Type.display])*($L588=Table_dim_price_recipe[Category])*($D588=Table_dim_price_recipe[Item Description]) * (G$6=Table_dim_price_recipe[Type])*(Table_dim_price_recipe[Retail Price]&lt;&gt;0)*($C588=Table_dim_price_recipe[Subcategory]), 0))*$B588,"")</f>
        <v/>
      </c>
      <c r="H588" s="39" cm="1">
        <f t="array" ref="H588">IFERROR(INDEX(Table_dim_price_recipe[Retail Price], MATCH(1, ("Calculator"&lt;&gt;Table_dim_price_recipe[Type.display])*($L588=Table_dim_price_recipe[Category])*($D588=Table_dim_price_recipe[Item Description]) * (H$6=Table_dim_price_recipe[Type])*(Table_dim_price_recipe[Retail Price]&lt;&gt;0)*($C588=Table_dim_price_recipe[Subcategory]), 0))*$B588,"")</f>
        <v>0</v>
      </c>
      <c r="I588" s="39" t="str" cm="1">
        <f t="array" ref="I588">IFERROR(INDEX(Table_dim_price_recipe[Retail Price], MATCH(1, ("Calculator"&lt;&gt;Table_dim_price_recipe[Type.display])*($L588=Table_dim_price_recipe[Category])*($D588=Table_dim_price_recipe[Item Description]) * (I$6=Table_dim_price_recipe[Type])*(Table_dim_price_recipe[Retail Price]&lt;&gt;0)*($C588=Table_dim_price_recipe[Subcategory]), 0))*$B588,"")</f>
        <v/>
      </c>
      <c r="J588" s="39" t="str" cm="1">
        <f t="array" ref="J588">IFERROR(INDEX(Table_dim_price_recipe[Retail Price], MATCH(1, ("Calculator"&lt;&gt;Table_dim_price_recipe[Type.display])*($L588=Table_dim_price_recipe[Category])*($D588=Table_dim_price_recipe[Item Description]) * (J$6=Table_dim_price_recipe[Type])*(Table_dim_price_recipe[Retail Price]&lt;&gt;0)*($C588=Table_dim_price_recipe[Subcategory]), 0))*$B588,"")</f>
        <v/>
      </c>
      <c r="K588" s="39" t="str" cm="1">
        <f t="array" ref="K588">IFERROR(INDEX(Table_dim_price_recipe[Retail Price], MATCH(1, ("Calculator"&lt;&gt;Table_dim_price_recipe[Type.display])*($L588=Table_dim_price_recipe[Category])*($D588=Table_dim_price_recipe[Item Description]) * (K$6=Table_dim_price_recipe[Type])*(Table_dim_price_recipe[Retail Price]&lt;&gt;0)*($C588=Table_dim_price_recipe[Subcategory]), 0))*$B588,"")</f>
        <v/>
      </c>
      <c r="L588" s="39" t="str" cm="1">
        <f t="array" ref="L588">IF($A588&lt;&gt;"", $A588, LOOKUP(2, 1/((A$7:INDEX(A:A, ROW()))&lt;&gt;""), A$7:INDEX(A:A, ROW())))</f>
        <v>FRET WORK</v>
      </c>
      <c r="M588" s="14"/>
    </row>
    <row r="589" spans="1:13">
      <c r="A589" s="263"/>
      <c r="B589" s="263"/>
      <c r="C589" s="263" t="s">
        <v>936</v>
      </c>
      <c r="D589" s="263" t="s">
        <v>943</v>
      </c>
      <c r="E589" s="263"/>
      <c r="F589" s="263"/>
      <c r="G589" s="39" t="str" cm="1">
        <f t="array" ref="G589">IFERROR(INDEX(Table_dim_price_recipe[Retail Price], MATCH(1, ("Calculator"&lt;&gt;Table_dim_price_recipe[Type.display])*($L589=Table_dim_price_recipe[Category])*($D589=Table_dim_price_recipe[Item Description]) * (G$6=Table_dim_price_recipe[Type])*(Table_dim_price_recipe[Retail Price]&lt;&gt;0)*($C589=Table_dim_price_recipe[Subcategory]), 0))*$B589,"")</f>
        <v/>
      </c>
      <c r="H589" s="39" cm="1">
        <f t="array" ref="H589">IFERROR(INDEX(Table_dim_price_recipe[Retail Price], MATCH(1, ("Calculator"&lt;&gt;Table_dim_price_recipe[Type.display])*($L589=Table_dim_price_recipe[Category])*($D589=Table_dim_price_recipe[Item Description]) * (H$6=Table_dim_price_recipe[Type])*(Table_dim_price_recipe[Retail Price]&lt;&gt;0)*($C589=Table_dim_price_recipe[Subcategory]), 0))*$B589,"")</f>
        <v>0</v>
      </c>
      <c r="I589" s="39" t="str" cm="1">
        <f t="array" ref="I589">IFERROR(INDEX(Table_dim_price_recipe[Retail Price], MATCH(1, ("Calculator"&lt;&gt;Table_dim_price_recipe[Type.display])*($L589=Table_dim_price_recipe[Category])*($D589=Table_dim_price_recipe[Item Description]) * (I$6=Table_dim_price_recipe[Type])*(Table_dim_price_recipe[Retail Price]&lt;&gt;0)*($C589=Table_dim_price_recipe[Subcategory]), 0))*$B589,"")</f>
        <v/>
      </c>
      <c r="J589" s="39" t="str" cm="1">
        <f t="array" ref="J589">IFERROR(INDEX(Table_dim_price_recipe[Retail Price], MATCH(1, ("Calculator"&lt;&gt;Table_dim_price_recipe[Type.display])*($L589=Table_dim_price_recipe[Category])*($D589=Table_dim_price_recipe[Item Description]) * (J$6=Table_dim_price_recipe[Type])*(Table_dim_price_recipe[Retail Price]&lt;&gt;0)*($C589=Table_dim_price_recipe[Subcategory]), 0))*$B589,"")</f>
        <v/>
      </c>
      <c r="K589" s="39" t="str" cm="1">
        <f t="array" ref="K589">IFERROR(INDEX(Table_dim_price_recipe[Retail Price], MATCH(1, ("Calculator"&lt;&gt;Table_dim_price_recipe[Type.display])*($L589=Table_dim_price_recipe[Category])*($D589=Table_dim_price_recipe[Item Description]) * (K$6=Table_dim_price_recipe[Type])*(Table_dim_price_recipe[Retail Price]&lt;&gt;0)*($C589=Table_dim_price_recipe[Subcategory]), 0))*$B589,"")</f>
        <v/>
      </c>
      <c r="L589" s="39" t="str" cm="1">
        <f t="array" ref="L589">IF($A589&lt;&gt;"", $A589, LOOKUP(2, 1/((A$7:INDEX(A:A, ROW()))&lt;&gt;""), A$7:INDEX(A:A, ROW())))</f>
        <v>FRET WORK</v>
      </c>
      <c r="M589" s="14"/>
    </row>
    <row r="590" spans="1:13">
      <c r="A590" s="263"/>
      <c r="B590" s="263"/>
      <c r="C590" s="263" t="s">
        <v>936</v>
      </c>
      <c r="D590" s="263" t="s">
        <v>943</v>
      </c>
      <c r="E590" s="263"/>
      <c r="F590" s="263"/>
      <c r="G590" s="39" t="str" cm="1">
        <f t="array" ref="G590">IFERROR(INDEX(Table_dim_price_recipe[Retail Price], MATCH(1, ("Calculator"&lt;&gt;Table_dim_price_recipe[Type.display])*($L590=Table_dim_price_recipe[Category])*($D590=Table_dim_price_recipe[Item Description]) * (G$6=Table_dim_price_recipe[Type])*(Table_dim_price_recipe[Retail Price]&lt;&gt;0)*($C590=Table_dim_price_recipe[Subcategory]), 0))*$B590,"")</f>
        <v/>
      </c>
      <c r="H590" s="39" cm="1">
        <f t="array" ref="H590">IFERROR(INDEX(Table_dim_price_recipe[Retail Price], MATCH(1, ("Calculator"&lt;&gt;Table_dim_price_recipe[Type.display])*($L590=Table_dim_price_recipe[Category])*($D590=Table_dim_price_recipe[Item Description]) * (H$6=Table_dim_price_recipe[Type])*(Table_dim_price_recipe[Retail Price]&lt;&gt;0)*($C590=Table_dim_price_recipe[Subcategory]), 0))*$B590,"")</f>
        <v>0</v>
      </c>
      <c r="I590" s="39" t="str" cm="1">
        <f t="array" ref="I590">IFERROR(INDEX(Table_dim_price_recipe[Retail Price], MATCH(1, ("Calculator"&lt;&gt;Table_dim_price_recipe[Type.display])*($L590=Table_dim_price_recipe[Category])*($D590=Table_dim_price_recipe[Item Description]) * (I$6=Table_dim_price_recipe[Type])*(Table_dim_price_recipe[Retail Price]&lt;&gt;0)*($C590=Table_dim_price_recipe[Subcategory]), 0))*$B590,"")</f>
        <v/>
      </c>
      <c r="J590" s="39" t="str" cm="1">
        <f t="array" ref="J590">IFERROR(INDEX(Table_dim_price_recipe[Retail Price], MATCH(1, ("Calculator"&lt;&gt;Table_dim_price_recipe[Type.display])*($L590=Table_dim_price_recipe[Category])*($D590=Table_dim_price_recipe[Item Description]) * (J$6=Table_dim_price_recipe[Type])*(Table_dim_price_recipe[Retail Price]&lt;&gt;0)*($C590=Table_dim_price_recipe[Subcategory]), 0))*$B590,"")</f>
        <v/>
      </c>
      <c r="K590" s="39" t="str" cm="1">
        <f t="array" ref="K590">IFERROR(INDEX(Table_dim_price_recipe[Retail Price], MATCH(1, ("Calculator"&lt;&gt;Table_dim_price_recipe[Type.display])*($L590=Table_dim_price_recipe[Category])*($D590=Table_dim_price_recipe[Item Description]) * (K$6=Table_dim_price_recipe[Type])*(Table_dim_price_recipe[Retail Price]&lt;&gt;0)*($C590=Table_dim_price_recipe[Subcategory]), 0))*$B590,"")</f>
        <v/>
      </c>
      <c r="L590" s="39" t="str" cm="1">
        <f t="array" ref="L590">IF($A590&lt;&gt;"", $A590, LOOKUP(2, 1/((A$7:INDEX(A:A, ROW()))&lt;&gt;""), A$7:INDEX(A:A, ROW())))</f>
        <v>FRET WORK</v>
      </c>
      <c r="M590" s="14"/>
    </row>
    <row r="591" spans="1:13">
      <c r="A591" s="263"/>
      <c r="B591" s="263"/>
      <c r="C591" s="263" t="s">
        <v>936</v>
      </c>
      <c r="D591" s="263" t="s">
        <v>942</v>
      </c>
      <c r="E591" s="263"/>
      <c r="F591" s="263"/>
      <c r="G591" s="39" t="str" cm="1">
        <f t="array" ref="G591">IFERROR(INDEX(Table_dim_price_recipe[Retail Price], MATCH(1, ("Calculator"&lt;&gt;Table_dim_price_recipe[Type.display])*($L591=Table_dim_price_recipe[Category])*($D591=Table_dim_price_recipe[Item Description]) * (G$6=Table_dim_price_recipe[Type])*(Table_dim_price_recipe[Retail Price]&lt;&gt;0)*($C591=Table_dim_price_recipe[Subcategory]), 0))*$B591,"")</f>
        <v/>
      </c>
      <c r="H591" s="39" cm="1">
        <f t="array" ref="H591">IFERROR(INDEX(Table_dim_price_recipe[Retail Price], MATCH(1, ("Calculator"&lt;&gt;Table_dim_price_recipe[Type.display])*($L591=Table_dim_price_recipe[Category])*($D591=Table_dim_price_recipe[Item Description]) * (H$6=Table_dim_price_recipe[Type])*(Table_dim_price_recipe[Retail Price]&lt;&gt;0)*($C591=Table_dim_price_recipe[Subcategory]), 0))*$B591,"")</f>
        <v>0</v>
      </c>
      <c r="I591" s="39" t="str" cm="1">
        <f t="array" ref="I591">IFERROR(INDEX(Table_dim_price_recipe[Retail Price], MATCH(1, ("Calculator"&lt;&gt;Table_dim_price_recipe[Type.display])*($L591=Table_dim_price_recipe[Category])*($D591=Table_dim_price_recipe[Item Description]) * (I$6=Table_dim_price_recipe[Type])*(Table_dim_price_recipe[Retail Price]&lt;&gt;0)*($C591=Table_dim_price_recipe[Subcategory]), 0))*$B591,"")</f>
        <v/>
      </c>
      <c r="J591" s="39" t="str" cm="1">
        <f t="array" ref="J591">IFERROR(INDEX(Table_dim_price_recipe[Retail Price], MATCH(1, ("Calculator"&lt;&gt;Table_dim_price_recipe[Type.display])*($L591=Table_dim_price_recipe[Category])*($D591=Table_dim_price_recipe[Item Description]) * (J$6=Table_dim_price_recipe[Type])*(Table_dim_price_recipe[Retail Price]&lt;&gt;0)*($C591=Table_dim_price_recipe[Subcategory]), 0))*$B591,"")</f>
        <v/>
      </c>
      <c r="K591" s="39" t="str" cm="1">
        <f t="array" ref="K591">IFERROR(INDEX(Table_dim_price_recipe[Retail Price], MATCH(1, ("Calculator"&lt;&gt;Table_dim_price_recipe[Type.display])*($L591=Table_dim_price_recipe[Category])*($D591=Table_dim_price_recipe[Item Description]) * (K$6=Table_dim_price_recipe[Type])*(Table_dim_price_recipe[Retail Price]&lt;&gt;0)*($C591=Table_dim_price_recipe[Subcategory]), 0))*$B591,"")</f>
        <v/>
      </c>
      <c r="L591" s="39" t="str" cm="1">
        <f t="array" ref="L591">IF($A591&lt;&gt;"", $A591, LOOKUP(2, 1/((A$7:INDEX(A:A, ROW()))&lt;&gt;""), A$7:INDEX(A:A, ROW())))</f>
        <v>FRET WORK</v>
      </c>
      <c r="M591" s="14"/>
    </row>
    <row r="592" spans="1:13">
      <c r="A592" s="263"/>
      <c r="B592" s="263"/>
      <c r="C592" s="263" t="s">
        <v>936</v>
      </c>
      <c r="D592" s="263" t="s">
        <v>942</v>
      </c>
      <c r="E592" s="263"/>
      <c r="F592" s="263"/>
      <c r="G592" s="39" t="str" cm="1">
        <f t="array" ref="G592">IFERROR(INDEX(Table_dim_price_recipe[Retail Price], MATCH(1, ("Calculator"&lt;&gt;Table_dim_price_recipe[Type.display])*($L592=Table_dim_price_recipe[Category])*($D592=Table_dim_price_recipe[Item Description]) * (G$6=Table_dim_price_recipe[Type])*(Table_dim_price_recipe[Retail Price]&lt;&gt;0)*($C592=Table_dim_price_recipe[Subcategory]), 0))*$B592,"")</f>
        <v/>
      </c>
      <c r="H592" s="39" cm="1">
        <f t="array" ref="H592">IFERROR(INDEX(Table_dim_price_recipe[Retail Price], MATCH(1, ("Calculator"&lt;&gt;Table_dim_price_recipe[Type.display])*($L592=Table_dim_price_recipe[Category])*($D592=Table_dim_price_recipe[Item Description]) * (H$6=Table_dim_price_recipe[Type])*(Table_dim_price_recipe[Retail Price]&lt;&gt;0)*($C592=Table_dim_price_recipe[Subcategory]), 0))*$B592,"")</f>
        <v>0</v>
      </c>
      <c r="I592" s="39" t="str" cm="1">
        <f t="array" ref="I592">IFERROR(INDEX(Table_dim_price_recipe[Retail Price], MATCH(1, ("Calculator"&lt;&gt;Table_dim_price_recipe[Type.display])*($L592=Table_dim_price_recipe[Category])*($D592=Table_dim_price_recipe[Item Description]) * (I$6=Table_dim_price_recipe[Type])*(Table_dim_price_recipe[Retail Price]&lt;&gt;0)*($C592=Table_dim_price_recipe[Subcategory]), 0))*$B592,"")</f>
        <v/>
      </c>
      <c r="J592" s="39" t="str" cm="1">
        <f t="array" ref="J592">IFERROR(INDEX(Table_dim_price_recipe[Retail Price], MATCH(1, ("Calculator"&lt;&gt;Table_dim_price_recipe[Type.display])*($L592=Table_dim_price_recipe[Category])*($D592=Table_dim_price_recipe[Item Description]) * (J$6=Table_dim_price_recipe[Type])*(Table_dim_price_recipe[Retail Price]&lt;&gt;0)*($C592=Table_dim_price_recipe[Subcategory]), 0))*$B592,"")</f>
        <v/>
      </c>
      <c r="K592" s="39" t="str" cm="1">
        <f t="array" ref="K592">IFERROR(INDEX(Table_dim_price_recipe[Retail Price], MATCH(1, ("Calculator"&lt;&gt;Table_dim_price_recipe[Type.display])*($L592=Table_dim_price_recipe[Category])*($D592=Table_dim_price_recipe[Item Description]) * (K$6=Table_dim_price_recipe[Type])*(Table_dim_price_recipe[Retail Price]&lt;&gt;0)*($C592=Table_dim_price_recipe[Subcategory]), 0))*$B592,"")</f>
        <v/>
      </c>
      <c r="L592" s="39" t="str" cm="1">
        <f t="array" ref="L592">IF($A592&lt;&gt;"", $A592, LOOKUP(2, 1/((A$7:INDEX(A:A, ROW()))&lt;&gt;""), A$7:INDEX(A:A, ROW())))</f>
        <v>FRET WORK</v>
      </c>
      <c r="M592" s="14"/>
    </row>
    <row r="593" spans="1:13">
      <c r="A593" s="263"/>
      <c r="B593" s="263"/>
      <c r="C593" s="263" t="s">
        <v>936</v>
      </c>
      <c r="D593" s="263" t="s">
        <v>941</v>
      </c>
      <c r="E593" s="263"/>
      <c r="F593" s="263"/>
      <c r="G593" s="39" t="str" cm="1">
        <f t="array" ref="G593">IFERROR(INDEX(Table_dim_price_recipe[Retail Price], MATCH(1, ("Calculator"&lt;&gt;Table_dim_price_recipe[Type.display])*($L593=Table_dim_price_recipe[Category])*($D593=Table_dim_price_recipe[Item Description]) * (G$6=Table_dim_price_recipe[Type])*(Table_dim_price_recipe[Retail Price]&lt;&gt;0)*($C593=Table_dim_price_recipe[Subcategory]), 0))*$B593,"")</f>
        <v/>
      </c>
      <c r="H593" s="39" cm="1">
        <f t="array" ref="H593">IFERROR(INDEX(Table_dim_price_recipe[Retail Price], MATCH(1, ("Calculator"&lt;&gt;Table_dim_price_recipe[Type.display])*($L593=Table_dim_price_recipe[Category])*($D593=Table_dim_price_recipe[Item Description]) * (H$6=Table_dim_price_recipe[Type])*(Table_dim_price_recipe[Retail Price]&lt;&gt;0)*($C593=Table_dim_price_recipe[Subcategory]), 0))*$B593,"")</f>
        <v>0</v>
      </c>
      <c r="I593" s="39" t="str" cm="1">
        <f t="array" ref="I593">IFERROR(INDEX(Table_dim_price_recipe[Retail Price], MATCH(1, ("Calculator"&lt;&gt;Table_dim_price_recipe[Type.display])*($L593=Table_dim_price_recipe[Category])*($D593=Table_dim_price_recipe[Item Description]) * (I$6=Table_dim_price_recipe[Type])*(Table_dim_price_recipe[Retail Price]&lt;&gt;0)*($C593=Table_dim_price_recipe[Subcategory]), 0))*$B593,"")</f>
        <v/>
      </c>
      <c r="J593" s="39" t="str" cm="1">
        <f t="array" ref="J593">IFERROR(INDEX(Table_dim_price_recipe[Retail Price], MATCH(1, ("Calculator"&lt;&gt;Table_dim_price_recipe[Type.display])*($L593=Table_dim_price_recipe[Category])*($D593=Table_dim_price_recipe[Item Description]) * (J$6=Table_dim_price_recipe[Type])*(Table_dim_price_recipe[Retail Price]&lt;&gt;0)*($C593=Table_dim_price_recipe[Subcategory]), 0))*$B593,"")</f>
        <v/>
      </c>
      <c r="K593" s="39" t="str" cm="1">
        <f t="array" ref="K593">IFERROR(INDEX(Table_dim_price_recipe[Retail Price], MATCH(1, ("Calculator"&lt;&gt;Table_dim_price_recipe[Type.display])*($L593=Table_dim_price_recipe[Category])*($D593=Table_dim_price_recipe[Item Description]) * (K$6=Table_dim_price_recipe[Type])*(Table_dim_price_recipe[Retail Price]&lt;&gt;0)*($C593=Table_dim_price_recipe[Subcategory]), 0))*$B593,"")</f>
        <v/>
      </c>
      <c r="L593" s="39" t="str" cm="1">
        <f t="array" ref="L593">IF($A593&lt;&gt;"", $A593, LOOKUP(2, 1/((A$7:INDEX(A:A, ROW()))&lt;&gt;""), A$7:INDEX(A:A, ROW())))</f>
        <v>FRET WORK</v>
      </c>
      <c r="M593" s="14"/>
    </row>
    <row r="594" spans="1:13">
      <c r="A594" s="263"/>
      <c r="B594" s="263"/>
      <c r="C594" s="263" t="s">
        <v>936</v>
      </c>
      <c r="D594" s="263" t="s">
        <v>941</v>
      </c>
      <c r="E594" s="263"/>
      <c r="F594" s="263"/>
      <c r="G594" s="39" t="str" cm="1">
        <f t="array" ref="G594">IFERROR(INDEX(Table_dim_price_recipe[Retail Price], MATCH(1, ("Calculator"&lt;&gt;Table_dim_price_recipe[Type.display])*($L594=Table_dim_price_recipe[Category])*($D594=Table_dim_price_recipe[Item Description]) * (G$6=Table_dim_price_recipe[Type])*(Table_dim_price_recipe[Retail Price]&lt;&gt;0)*($C594=Table_dim_price_recipe[Subcategory]), 0))*$B594,"")</f>
        <v/>
      </c>
      <c r="H594" s="39" cm="1">
        <f t="array" ref="H594">IFERROR(INDEX(Table_dim_price_recipe[Retail Price], MATCH(1, ("Calculator"&lt;&gt;Table_dim_price_recipe[Type.display])*($L594=Table_dim_price_recipe[Category])*($D594=Table_dim_price_recipe[Item Description]) * (H$6=Table_dim_price_recipe[Type])*(Table_dim_price_recipe[Retail Price]&lt;&gt;0)*($C594=Table_dim_price_recipe[Subcategory]), 0))*$B594,"")</f>
        <v>0</v>
      </c>
      <c r="I594" s="39" t="str" cm="1">
        <f t="array" ref="I594">IFERROR(INDEX(Table_dim_price_recipe[Retail Price], MATCH(1, ("Calculator"&lt;&gt;Table_dim_price_recipe[Type.display])*($L594=Table_dim_price_recipe[Category])*($D594=Table_dim_price_recipe[Item Description]) * (I$6=Table_dim_price_recipe[Type])*(Table_dim_price_recipe[Retail Price]&lt;&gt;0)*($C594=Table_dim_price_recipe[Subcategory]), 0))*$B594,"")</f>
        <v/>
      </c>
      <c r="J594" s="39" t="str" cm="1">
        <f t="array" ref="J594">IFERROR(INDEX(Table_dim_price_recipe[Retail Price], MATCH(1, ("Calculator"&lt;&gt;Table_dim_price_recipe[Type.display])*($L594=Table_dim_price_recipe[Category])*($D594=Table_dim_price_recipe[Item Description]) * (J$6=Table_dim_price_recipe[Type])*(Table_dim_price_recipe[Retail Price]&lt;&gt;0)*($C594=Table_dim_price_recipe[Subcategory]), 0))*$B594,"")</f>
        <v/>
      </c>
      <c r="K594" s="39" t="str" cm="1">
        <f t="array" ref="K594">IFERROR(INDEX(Table_dim_price_recipe[Retail Price], MATCH(1, ("Calculator"&lt;&gt;Table_dim_price_recipe[Type.display])*($L594=Table_dim_price_recipe[Category])*($D594=Table_dim_price_recipe[Item Description]) * (K$6=Table_dim_price_recipe[Type])*(Table_dim_price_recipe[Retail Price]&lt;&gt;0)*($C594=Table_dim_price_recipe[Subcategory]), 0))*$B594,"")</f>
        <v/>
      </c>
      <c r="L594" s="39" t="str" cm="1">
        <f t="array" ref="L594">IF($A594&lt;&gt;"", $A594, LOOKUP(2, 1/((A$7:INDEX(A:A, ROW()))&lt;&gt;""), A$7:INDEX(A:A, ROW())))</f>
        <v>FRET WORK</v>
      </c>
      <c r="M594" s="14"/>
    </row>
    <row r="595" spans="1:13">
      <c r="A595" s="263"/>
      <c r="B595" s="263"/>
      <c r="C595" s="263" t="s">
        <v>936</v>
      </c>
      <c r="D595" s="263" t="s">
        <v>938</v>
      </c>
      <c r="E595" s="263"/>
      <c r="F595" s="263"/>
      <c r="G595" s="39" t="str" cm="1">
        <f t="array" ref="G595">IFERROR(INDEX(Table_dim_price_recipe[Retail Price], MATCH(1, ("Calculator"&lt;&gt;Table_dim_price_recipe[Type.display])*($L595=Table_dim_price_recipe[Category])*($D595=Table_dim_price_recipe[Item Description]) * (G$6=Table_dim_price_recipe[Type])*(Table_dim_price_recipe[Retail Price]&lt;&gt;0)*($C595=Table_dim_price_recipe[Subcategory]), 0))*$B595,"")</f>
        <v/>
      </c>
      <c r="H595" s="39" cm="1">
        <f t="array" ref="H595">IFERROR(INDEX(Table_dim_price_recipe[Retail Price], MATCH(1, ("Calculator"&lt;&gt;Table_dim_price_recipe[Type.display])*($L595=Table_dim_price_recipe[Category])*($D595=Table_dim_price_recipe[Item Description]) * (H$6=Table_dim_price_recipe[Type])*(Table_dim_price_recipe[Retail Price]&lt;&gt;0)*($C595=Table_dim_price_recipe[Subcategory]), 0))*$B595,"")</f>
        <v>0</v>
      </c>
      <c r="I595" s="39" t="str" cm="1">
        <f t="array" ref="I595">IFERROR(INDEX(Table_dim_price_recipe[Retail Price], MATCH(1, ("Calculator"&lt;&gt;Table_dim_price_recipe[Type.display])*($L595=Table_dim_price_recipe[Category])*($D595=Table_dim_price_recipe[Item Description]) * (I$6=Table_dim_price_recipe[Type])*(Table_dim_price_recipe[Retail Price]&lt;&gt;0)*($C595=Table_dim_price_recipe[Subcategory]), 0))*$B595,"")</f>
        <v/>
      </c>
      <c r="J595" s="39" t="str" cm="1">
        <f t="array" ref="J595">IFERROR(INDEX(Table_dim_price_recipe[Retail Price], MATCH(1, ("Calculator"&lt;&gt;Table_dim_price_recipe[Type.display])*($L595=Table_dim_price_recipe[Category])*($D595=Table_dim_price_recipe[Item Description]) * (J$6=Table_dim_price_recipe[Type])*(Table_dim_price_recipe[Retail Price]&lt;&gt;0)*($C595=Table_dim_price_recipe[Subcategory]), 0))*$B595,"")</f>
        <v/>
      </c>
      <c r="K595" s="39" t="str" cm="1">
        <f t="array" ref="K595">IFERROR(INDEX(Table_dim_price_recipe[Retail Price], MATCH(1, ("Calculator"&lt;&gt;Table_dim_price_recipe[Type.display])*($L595=Table_dim_price_recipe[Category])*($D595=Table_dim_price_recipe[Item Description]) * (K$6=Table_dim_price_recipe[Type])*(Table_dim_price_recipe[Retail Price]&lt;&gt;0)*($C595=Table_dim_price_recipe[Subcategory]), 0))*$B595,"")</f>
        <v/>
      </c>
      <c r="L595" s="39" t="str" cm="1">
        <f t="array" ref="L595">IF($A595&lt;&gt;"", $A595, LOOKUP(2, 1/((A$7:INDEX(A:A, ROW()))&lt;&gt;""), A$7:INDEX(A:A, ROW())))</f>
        <v>FRET WORK</v>
      </c>
      <c r="M595" s="14"/>
    </row>
    <row r="596" spans="1:13">
      <c r="A596" s="263"/>
      <c r="B596" s="263"/>
      <c r="C596" s="263" t="s">
        <v>936</v>
      </c>
      <c r="D596" s="263" t="s">
        <v>938</v>
      </c>
      <c r="E596" s="263"/>
      <c r="F596" s="263"/>
      <c r="G596" s="39" t="str" cm="1">
        <f t="array" ref="G596">IFERROR(INDEX(Table_dim_price_recipe[Retail Price], MATCH(1, ("Calculator"&lt;&gt;Table_dim_price_recipe[Type.display])*($L596=Table_dim_price_recipe[Category])*($D596=Table_dim_price_recipe[Item Description]) * (G$6=Table_dim_price_recipe[Type])*(Table_dim_price_recipe[Retail Price]&lt;&gt;0)*($C596=Table_dim_price_recipe[Subcategory]), 0))*$B596,"")</f>
        <v/>
      </c>
      <c r="H596" s="39" cm="1">
        <f t="array" ref="H596">IFERROR(INDEX(Table_dim_price_recipe[Retail Price], MATCH(1, ("Calculator"&lt;&gt;Table_dim_price_recipe[Type.display])*($L596=Table_dim_price_recipe[Category])*($D596=Table_dim_price_recipe[Item Description]) * (H$6=Table_dim_price_recipe[Type])*(Table_dim_price_recipe[Retail Price]&lt;&gt;0)*($C596=Table_dim_price_recipe[Subcategory]), 0))*$B596,"")</f>
        <v>0</v>
      </c>
      <c r="I596" s="39" t="str" cm="1">
        <f t="array" ref="I596">IFERROR(INDEX(Table_dim_price_recipe[Retail Price], MATCH(1, ("Calculator"&lt;&gt;Table_dim_price_recipe[Type.display])*($L596=Table_dim_price_recipe[Category])*($D596=Table_dim_price_recipe[Item Description]) * (I$6=Table_dim_price_recipe[Type])*(Table_dim_price_recipe[Retail Price]&lt;&gt;0)*($C596=Table_dim_price_recipe[Subcategory]), 0))*$B596,"")</f>
        <v/>
      </c>
      <c r="J596" s="39" t="str" cm="1">
        <f t="array" ref="J596">IFERROR(INDEX(Table_dim_price_recipe[Retail Price], MATCH(1, ("Calculator"&lt;&gt;Table_dim_price_recipe[Type.display])*($L596=Table_dim_price_recipe[Category])*($D596=Table_dim_price_recipe[Item Description]) * (J$6=Table_dim_price_recipe[Type])*(Table_dim_price_recipe[Retail Price]&lt;&gt;0)*($C596=Table_dim_price_recipe[Subcategory]), 0))*$B596,"")</f>
        <v/>
      </c>
      <c r="K596" s="39" t="str" cm="1">
        <f t="array" ref="K596">IFERROR(INDEX(Table_dim_price_recipe[Retail Price], MATCH(1, ("Calculator"&lt;&gt;Table_dim_price_recipe[Type.display])*($L596=Table_dim_price_recipe[Category])*($D596=Table_dim_price_recipe[Item Description]) * (K$6=Table_dim_price_recipe[Type])*(Table_dim_price_recipe[Retail Price]&lt;&gt;0)*($C596=Table_dim_price_recipe[Subcategory]), 0))*$B596,"")</f>
        <v/>
      </c>
      <c r="L596" s="39" t="str" cm="1">
        <f t="array" ref="L596">IF($A596&lt;&gt;"", $A596, LOOKUP(2, 1/((A$7:INDEX(A:A, ROW()))&lt;&gt;""), A$7:INDEX(A:A, ROW())))</f>
        <v>FRET WORK</v>
      </c>
      <c r="M596" s="14"/>
    </row>
    <row r="597" spans="1:13">
      <c r="A597" s="263"/>
      <c r="B597" s="263"/>
      <c r="C597" s="263" t="s">
        <v>936</v>
      </c>
      <c r="D597" s="263" t="s">
        <v>937</v>
      </c>
      <c r="E597" s="263"/>
      <c r="F597" s="263"/>
      <c r="G597" s="39" t="str" cm="1">
        <f t="array" ref="G597">IFERROR(INDEX(Table_dim_price_recipe[Retail Price], MATCH(1, ("Calculator"&lt;&gt;Table_dim_price_recipe[Type.display])*($L597=Table_dim_price_recipe[Category])*($D597=Table_dim_price_recipe[Item Description]) * (G$6=Table_dim_price_recipe[Type])*(Table_dim_price_recipe[Retail Price]&lt;&gt;0)*($C597=Table_dim_price_recipe[Subcategory]), 0))*$B597,"")</f>
        <v/>
      </c>
      <c r="H597" s="39" cm="1">
        <f t="array" ref="H597">IFERROR(INDEX(Table_dim_price_recipe[Retail Price], MATCH(1, ("Calculator"&lt;&gt;Table_dim_price_recipe[Type.display])*($L597=Table_dim_price_recipe[Category])*($D597=Table_dim_price_recipe[Item Description]) * (H$6=Table_dim_price_recipe[Type])*(Table_dim_price_recipe[Retail Price]&lt;&gt;0)*($C597=Table_dim_price_recipe[Subcategory]), 0))*$B597,"")</f>
        <v>0</v>
      </c>
      <c r="I597" s="39" t="str" cm="1">
        <f t="array" ref="I597">IFERROR(INDEX(Table_dim_price_recipe[Retail Price], MATCH(1, ("Calculator"&lt;&gt;Table_dim_price_recipe[Type.display])*($L597=Table_dim_price_recipe[Category])*($D597=Table_dim_price_recipe[Item Description]) * (I$6=Table_dim_price_recipe[Type])*(Table_dim_price_recipe[Retail Price]&lt;&gt;0)*($C597=Table_dim_price_recipe[Subcategory]), 0))*$B597,"")</f>
        <v/>
      </c>
      <c r="J597" s="39" t="str" cm="1">
        <f t="array" ref="J597">IFERROR(INDEX(Table_dim_price_recipe[Retail Price], MATCH(1, ("Calculator"&lt;&gt;Table_dim_price_recipe[Type.display])*($L597=Table_dim_price_recipe[Category])*($D597=Table_dim_price_recipe[Item Description]) * (J$6=Table_dim_price_recipe[Type])*(Table_dim_price_recipe[Retail Price]&lt;&gt;0)*($C597=Table_dim_price_recipe[Subcategory]), 0))*$B597,"")</f>
        <v/>
      </c>
      <c r="K597" s="39" t="str" cm="1">
        <f t="array" ref="K597">IFERROR(INDEX(Table_dim_price_recipe[Retail Price], MATCH(1, ("Calculator"&lt;&gt;Table_dim_price_recipe[Type.display])*($L597=Table_dim_price_recipe[Category])*($D597=Table_dim_price_recipe[Item Description]) * (K$6=Table_dim_price_recipe[Type])*(Table_dim_price_recipe[Retail Price]&lt;&gt;0)*($C597=Table_dim_price_recipe[Subcategory]), 0))*$B597,"")</f>
        <v/>
      </c>
      <c r="L597" s="39" t="str" cm="1">
        <f t="array" ref="L597">IF($A597&lt;&gt;"", $A597, LOOKUP(2, 1/((A$7:INDEX(A:A, ROW()))&lt;&gt;""), A$7:INDEX(A:A, ROW())))</f>
        <v>FRET WORK</v>
      </c>
      <c r="M597" s="14"/>
    </row>
    <row r="598" spans="1:13">
      <c r="A598" s="263"/>
      <c r="B598" s="263"/>
      <c r="C598" s="263" t="s">
        <v>936</v>
      </c>
      <c r="D598" s="263" t="s">
        <v>937</v>
      </c>
      <c r="E598" s="263"/>
      <c r="F598" s="263"/>
      <c r="G598" s="39" t="str" cm="1">
        <f t="array" ref="G598">IFERROR(INDEX(Table_dim_price_recipe[Retail Price], MATCH(1, ("Calculator"&lt;&gt;Table_dim_price_recipe[Type.display])*($L598=Table_dim_price_recipe[Category])*($D598=Table_dim_price_recipe[Item Description]) * (G$6=Table_dim_price_recipe[Type])*(Table_dim_price_recipe[Retail Price]&lt;&gt;0)*($C598=Table_dim_price_recipe[Subcategory]), 0))*$B598,"")</f>
        <v/>
      </c>
      <c r="H598" s="39" cm="1">
        <f t="array" ref="H598">IFERROR(INDEX(Table_dim_price_recipe[Retail Price], MATCH(1, ("Calculator"&lt;&gt;Table_dim_price_recipe[Type.display])*($L598=Table_dim_price_recipe[Category])*($D598=Table_dim_price_recipe[Item Description]) * (H$6=Table_dim_price_recipe[Type])*(Table_dim_price_recipe[Retail Price]&lt;&gt;0)*($C598=Table_dim_price_recipe[Subcategory]), 0))*$B598,"")</f>
        <v>0</v>
      </c>
      <c r="I598" s="39" t="str" cm="1">
        <f t="array" ref="I598">IFERROR(INDEX(Table_dim_price_recipe[Retail Price], MATCH(1, ("Calculator"&lt;&gt;Table_dim_price_recipe[Type.display])*($L598=Table_dim_price_recipe[Category])*($D598=Table_dim_price_recipe[Item Description]) * (I$6=Table_dim_price_recipe[Type])*(Table_dim_price_recipe[Retail Price]&lt;&gt;0)*($C598=Table_dim_price_recipe[Subcategory]), 0))*$B598,"")</f>
        <v/>
      </c>
      <c r="J598" s="39" t="str" cm="1">
        <f t="array" ref="J598">IFERROR(INDEX(Table_dim_price_recipe[Retail Price], MATCH(1, ("Calculator"&lt;&gt;Table_dim_price_recipe[Type.display])*($L598=Table_dim_price_recipe[Category])*($D598=Table_dim_price_recipe[Item Description]) * (J$6=Table_dim_price_recipe[Type])*(Table_dim_price_recipe[Retail Price]&lt;&gt;0)*($C598=Table_dim_price_recipe[Subcategory]), 0))*$B598,"")</f>
        <v/>
      </c>
      <c r="K598" s="39" t="str" cm="1">
        <f t="array" ref="K598">IFERROR(INDEX(Table_dim_price_recipe[Retail Price], MATCH(1, ("Calculator"&lt;&gt;Table_dim_price_recipe[Type.display])*($L598=Table_dim_price_recipe[Category])*($D598=Table_dim_price_recipe[Item Description]) * (K$6=Table_dim_price_recipe[Type])*(Table_dim_price_recipe[Retail Price]&lt;&gt;0)*($C598=Table_dim_price_recipe[Subcategory]), 0))*$B598,"")</f>
        <v/>
      </c>
      <c r="L598" s="39" t="str" cm="1">
        <f t="array" ref="L598">IF($A598&lt;&gt;"", $A598, LOOKUP(2, 1/((A$7:INDEX(A:A, ROW()))&lt;&gt;""), A$7:INDEX(A:A, ROW())))</f>
        <v>FRET WORK</v>
      </c>
      <c r="M598" s="14"/>
    </row>
    <row r="599" spans="1:13">
      <c r="A599" s="263"/>
      <c r="B599" s="263"/>
      <c r="C599" s="263" t="s">
        <v>936</v>
      </c>
      <c r="D599" s="263" t="s">
        <v>940</v>
      </c>
      <c r="E599" s="263"/>
      <c r="F599" s="263"/>
      <c r="G599" s="39" t="str" cm="1">
        <f t="array" ref="G599">IFERROR(INDEX(Table_dim_price_recipe[Retail Price], MATCH(1, ("Calculator"&lt;&gt;Table_dim_price_recipe[Type.display])*($L599=Table_dim_price_recipe[Category])*($D599=Table_dim_price_recipe[Item Description]) * (G$6=Table_dim_price_recipe[Type])*(Table_dim_price_recipe[Retail Price]&lt;&gt;0)*($C599=Table_dim_price_recipe[Subcategory]), 0))*$B599,"")</f>
        <v/>
      </c>
      <c r="H599" s="39" cm="1">
        <f t="array" ref="H599">IFERROR(INDEX(Table_dim_price_recipe[Retail Price], MATCH(1, ("Calculator"&lt;&gt;Table_dim_price_recipe[Type.display])*($L599=Table_dim_price_recipe[Category])*($D599=Table_dim_price_recipe[Item Description]) * (H$6=Table_dim_price_recipe[Type])*(Table_dim_price_recipe[Retail Price]&lt;&gt;0)*($C599=Table_dim_price_recipe[Subcategory]), 0))*$B599,"")</f>
        <v>0</v>
      </c>
      <c r="I599" s="39" t="str" cm="1">
        <f t="array" ref="I599">IFERROR(INDEX(Table_dim_price_recipe[Retail Price], MATCH(1, ("Calculator"&lt;&gt;Table_dim_price_recipe[Type.display])*($L599=Table_dim_price_recipe[Category])*($D599=Table_dim_price_recipe[Item Description]) * (I$6=Table_dim_price_recipe[Type])*(Table_dim_price_recipe[Retail Price]&lt;&gt;0)*($C599=Table_dim_price_recipe[Subcategory]), 0))*$B599,"")</f>
        <v/>
      </c>
      <c r="J599" s="39" t="str" cm="1">
        <f t="array" ref="J599">IFERROR(INDEX(Table_dim_price_recipe[Retail Price], MATCH(1, ("Calculator"&lt;&gt;Table_dim_price_recipe[Type.display])*($L599=Table_dim_price_recipe[Category])*($D599=Table_dim_price_recipe[Item Description]) * (J$6=Table_dim_price_recipe[Type])*(Table_dim_price_recipe[Retail Price]&lt;&gt;0)*($C599=Table_dim_price_recipe[Subcategory]), 0))*$B599,"")</f>
        <v/>
      </c>
      <c r="K599" s="39" t="str" cm="1">
        <f t="array" ref="K599">IFERROR(INDEX(Table_dim_price_recipe[Retail Price], MATCH(1, ("Calculator"&lt;&gt;Table_dim_price_recipe[Type.display])*($L599=Table_dim_price_recipe[Category])*($D599=Table_dim_price_recipe[Item Description]) * (K$6=Table_dim_price_recipe[Type])*(Table_dim_price_recipe[Retail Price]&lt;&gt;0)*($C599=Table_dim_price_recipe[Subcategory]), 0))*$B599,"")</f>
        <v/>
      </c>
      <c r="L599" s="39" t="str" cm="1">
        <f t="array" ref="L599">IF($A599&lt;&gt;"", $A599, LOOKUP(2, 1/((A$7:INDEX(A:A, ROW()))&lt;&gt;""), A$7:INDEX(A:A, ROW())))</f>
        <v>FRET WORK</v>
      </c>
      <c r="M599" s="14"/>
    </row>
    <row r="600" spans="1:13">
      <c r="A600" s="263"/>
      <c r="B600" s="263"/>
      <c r="C600" s="263" t="s">
        <v>936</v>
      </c>
      <c r="D600" s="263" t="s">
        <v>940</v>
      </c>
      <c r="E600" s="263"/>
      <c r="F600" s="263"/>
      <c r="G600" s="39" t="str" cm="1">
        <f t="array" ref="G600">IFERROR(INDEX(Table_dim_price_recipe[Retail Price], MATCH(1, ("Calculator"&lt;&gt;Table_dim_price_recipe[Type.display])*($L600=Table_dim_price_recipe[Category])*($D600=Table_dim_price_recipe[Item Description]) * (G$6=Table_dim_price_recipe[Type])*(Table_dim_price_recipe[Retail Price]&lt;&gt;0)*($C600=Table_dim_price_recipe[Subcategory]), 0))*$B600,"")</f>
        <v/>
      </c>
      <c r="H600" s="39" cm="1">
        <f t="array" ref="H600">IFERROR(INDEX(Table_dim_price_recipe[Retail Price], MATCH(1, ("Calculator"&lt;&gt;Table_dim_price_recipe[Type.display])*($L600=Table_dim_price_recipe[Category])*($D600=Table_dim_price_recipe[Item Description]) * (H$6=Table_dim_price_recipe[Type])*(Table_dim_price_recipe[Retail Price]&lt;&gt;0)*($C600=Table_dim_price_recipe[Subcategory]), 0))*$B600,"")</f>
        <v>0</v>
      </c>
      <c r="I600" s="39" t="str" cm="1">
        <f t="array" ref="I600">IFERROR(INDEX(Table_dim_price_recipe[Retail Price], MATCH(1, ("Calculator"&lt;&gt;Table_dim_price_recipe[Type.display])*($L600=Table_dim_price_recipe[Category])*($D600=Table_dim_price_recipe[Item Description]) * (I$6=Table_dim_price_recipe[Type])*(Table_dim_price_recipe[Retail Price]&lt;&gt;0)*($C600=Table_dim_price_recipe[Subcategory]), 0))*$B600,"")</f>
        <v/>
      </c>
      <c r="J600" s="39" t="str" cm="1">
        <f t="array" ref="J600">IFERROR(INDEX(Table_dim_price_recipe[Retail Price], MATCH(1, ("Calculator"&lt;&gt;Table_dim_price_recipe[Type.display])*($L600=Table_dim_price_recipe[Category])*($D600=Table_dim_price_recipe[Item Description]) * (J$6=Table_dim_price_recipe[Type])*(Table_dim_price_recipe[Retail Price]&lt;&gt;0)*($C600=Table_dim_price_recipe[Subcategory]), 0))*$B600,"")</f>
        <v/>
      </c>
      <c r="K600" s="39" t="str" cm="1">
        <f t="array" ref="K600">IFERROR(INDEX(Table_dim_price_recipe[Retail Price], MATCH(1, ("Calculator"&lt;&gt;Table_dim_price_recipe[Type.display])*($L600=Table_dim_price_recipe[Category])*($D600=Table_dim_price_recipe[Item Description]) * (K$6=Table_dim_price_recipe[Type])*(Table_dim_price_recipe[Retail Price]&lt;&gt;0)*($C600=Table_dim_price_recipe[Subcategory]), 0))*$B600,"")</f>
        <v/>
      </c>
      <c r="L600" s="39" t="str" cm="1">
        <f t="array" ref="L600">IF($A600&lt;&gt;"", $A600, LOOKUP(2, 1/((A$7:INDEX(A:A, ROW()))&lt;&gt;""), A$7:INDEX(A:A, ROW())))</f>
        <v>FRET WORK</v>
      </c>
      <c r="M600" s="14"/>
    </row>
    <row r="601" spans="1:13">
      <c r="A601" s="263"/>
      <c r="B601" s="263"/>
      <c r="C601" s="263" t="s">
        <v>936</v>
      </c>
      <c r="D601" s="263"/>
      <c r="E601" s="263"/>
      <c r="F601" s="263"/>
      <c r="G601" s="39" t="str" cm="1">
        <f t="array" ref="G601">IFERROR(INDEX(Table_dim_price_recipe[Retail Price], MATCH(1, ("Calculator"&lt;&gt;Table_dim_price_recipe[Type.display])*($L601=Table_dim_price_recipe[Category])*($D601=Table_dim_price_recipe[Item Description]) * (G$6=Table_dim_price_recipe[Type])*(Table_dim_price_recipe[Retail Price]&lt;&gt;0)*($C601=Table_dim_price_recipe[Subcategory]), 0))*$B601,"")</f>
        <v/>
      </c>
      <c r="H601" s="39" t="str" cm="1">
        <f t="array" ref="H601">IFERROR(INDEX(Table_dim_price_recipe[Retail Price], MATCH(1, ("Calculator"&lt;&gt;Table_dim_price_recipe[Type.display])*($L601=Table_dim_price_recipe[Category])*($D601=Table_dim_price_recipe[Item Description]) * (H$6=Table_dim_price_recipe[Type])*(Table_dim_price_recipe[Retail Price]&lt;&gt;0)*($C601=Table_dim_price_recipe[Subcategory]), 0))*$B601,"")</f>
        <v/>
      </c>
      <c r="I601" s="39" t="str" cm="1">
        <f t="array" ref="I601">IFERROR(INDEX(Table_dim_price_recipe[Retail Price], MATCH(1, ("Calculator"&lt;&gt;Table_dim_price_recipe[Type.display])*($L601=Table_dim_price_recipe[Category])*($D601=Table_dim_price_recipe[Item Description]) * (I$6=Table_dim_price_recipe[Type])*(Table_dim_price_recipe[Retail Price]&lt;&gt;0)*($C601=Table_dim_price_recipe[Subcategory]), 0))*$B601,"")</f>
        <v/>
      </c>
      <c r="J601" s="39" t="str" cm="1">
        <f t="array" ref="J601">IFERROR(INDEX(Table_dim_price_recipe[Retail Price], MATCH(1, ("Calculator"&lt;&gt;Table_dim_price_recipe[Type.display])*($L601=Table_dim_price_recipe[Category])*($D601=Table_dim_price_recipe[Item Description]) * (J$6=Table_dim_price_recipe[Type])*(Table_dim_price_recipe[Retail Price]&lt;&gt;0)*($C601=Table_dim_price_recipe[Subcategory]), 0))*$B601,"")</f>
        <v/>
      </c>
      <c r="K601" s="39" t="str" cm="1">
        <f t="array" ref="K601">IFERROR(INDEX(Table_dim_price_recipe[Retail Price], MATCH(1, ("Calculator"&lt;&gt;Table_dim_price_recipe[Type.display])*($L601=Table_dim_price_recipe[Category])*($D601=Table_dim_price_recipe[Item Description]) * (K$6=Table_dim_price_recipe[Type])*(Table_dim_price_recipe[Retail Price]&lt;&gt;0)*($C601=Table_dim_price_recipe[Subcategory]), 0))*$B601,"")</f>
        <v/>
      </c>
      <c r="L601" s="39" t="str" cm="1">
        <f t="array" ref="L601">IF($A601&lt;&gt;"", $A601, LOOKUP(2, 1/((A$7:INDEX(A:A, ROW()))&lt;&gt;""), A$7:INDEX(A:A, ROW())))</f>
        <v>FRET WORK</v>
      </c>
      <c r="M601" s="14"/>
    </row>
    <row r="602" spans="1:13" ht="14.25" customHeight="1">
      <c r="A602" s="263"/>
      <c r="B602" s="263"/>
      <c r="C602" s="263" t="s">
        <v>936</v>
      </c>
      <c r="D602" s="263"/>
      <c r="E602" s="263"/>
      <c r="F602" s="263"/>
      <c r="G602" s="39" t="str" cm="1">
        <f t="array" ref="G602">IFERROR(INDEX(Table_dim_price_recipe[Retail Price], MATCH(1, ("Calculator"&lt;&gt;Table_dim_price_recipe[Type.display])*($L602=Table_dim_price_recipe[Category])*($D602=Table_dim_price_recipe[Item Description]) * (G$6=Table_dim_price_recipe[Type])*(Table_dim_price_recipe[Retail Price]&lt;&gt;0)*($C602=Table_dim_price_recipe[Subcategory]), 0))*$B602,"")</f>
        <v/>
      </c>
      <c r="H602" s="39" t="str" cm="1">
        <f t="array" ref="H602">IFERROR(INDEX(Table_dim_price_recipe[Retail Price], MATCH(1, ("Calculator"&lt;&gt;Table_dim_price_recipe[Type.display])*($L602=Table_dim_price_recipe[Category])*($D602=Table_dim_price_recipe[Item Description]) * (H$6=Table_dim_price_recipe[Type])*(Table_dim_price_recipe[Retail Price]&lt;&gt;0)*($C602=Table_dim_price_recipe[Subcategory]), 0))*$B602,"")</f>
        <v/>
      </c>
      <c r="I602" s="39" t="str" cm="1">
        <f t="array" ref="I602">IFERROR(INDEX(Table_dim_price_recipe[Retail Price], MATCH(1, ("Calculator"&lt;&gt;Table_dim_price_recipe[Type.display])*($L602=Table_dim_price_recipe[Category])*($D602=Table_dim_price_recipe[Item Description]) * (I$6=Table_dim_price_recipe[Type])*(Table_dim_price_recipe[Retail Price]&lt;&gt;0)*($C602=Table_dim_price_recipe[Subcategory]), 0))*$B602,"")</f>
        <v/>
      </c>
      <c r="J602" s="39" t="str" cm="1">
        <f t="array" ref="J602">IFERROR(INDEX(Table_dim_price_recipe[Retail Price], MATCH(1, ("Calculator"&lt;&gt;Table_dim_price_recipe[Type.display])*($L602=Table_dim_price_recipe[Category])*($D602=Table_dim_price_recipe[Item Description]) * (J$6=Table_dim_price_recipe[Type])*(Table_dim_price_recipe[Retail Price]&lt;&gt;0)*($C602=Table_dim_price_recipe[Subcategory]), 0))*$B602,"")</f>
        <v/>
      </c>
      <c r="K602" s="39" t="str" cm="1">
        <f t="array" ref="K602">IFERROR(INDEX(Table_dim_price_recipe[Retail Price], MATCH(1, ("Calculator"&lt;&gt;Table_dim_price_recipe[Type.display])*($L602=Table_dim_price_recipe[Category])*($D602=Table_dim_price_recipe[Item Description]) * (K$6=Table_dim_price_recipe[Type])*(Table_dim_price_recipe[Retail Price]&lt;&gt;0)*($C602=Table_dim_price_recipe[Subcategory]), 0))*$B602,"")</f>
        <v/>
      </c>
      <c r="L602" s="39" t="str" cm="1">
        <f t="array" ref="L602">IF($A602&lt;&gt;"", $A602, LOOKUP(2, 1/((A$7:INDEX(A:A, ROW()))&lt;&gt;""), A$7:INDEX(A:A, ROW())))</f>
        <v>FRET WORK</v>
      </c>
      <c r="M602" s="14"/>
    </row>
    <row r="603" spans="1:13">
      <c r="A603" s="260" t="s">
        <v>69</v>
      </c>
      <c r="B603" s="261"/>
      <c r="C603" s="261"/>
      <c r="D603" s="261"/>
      <c r="E603" s="261"/>
      <c r="F603" s="261"/>
      <c r="G603" s="262" t="str" cm="1">
        <f t="array" ref="G603">IFERROR(INDEX(Table_dim_price_recipe[Retail Price], MATCH(1, ("Calculator"&lt;&gt;Table_dim_price_recipe[Type.display])*($L603=Table_dim_price_recipe[Category])*($D603=Table_dim_price_recipe[Item Description]) * (G$6=Table_dim_price_recipe[Type])*(Table_dim_price_recipe[Retail Price]&lt;&gt;0)*($C603=Table_dim_price_recipe[Subcategory]), 0))*$B603,"")</f>
        <v/>
      </c>
      <c r="H603" s="262" t="str" cm="1">
        <f t="array" ref="H603">IFERROR(INDEX(Table_dim_price_recipe[Retail Price], MATCH(1, ("Calculator"&lt;&gt;Table_dim_price_recipe[Type.display])*($L603=Table_dim_price_recipe[Category])*($D603=Table_dim_price_recipe[Item Description]) * (H$6=Table_dim_price_recipe[Type])*(Table_dim_price_recipe[Retail Price]&lt;&gt;0)*($C603=Table_dim_price_recipe[Subcategory]), 0))*$B603,"")</f>
        <v/>
      </c>
      <c r="I603" s="262" t="str" cm="1">
        <f t="array" ref="I603">IFERROR(INDEX(Table_dim_price_recipe[Retail Price], MATCH(1, ("Calculator"&lt;&gt;Table_dim_price_recipe[Type.display])*($L603=Table_dim_price_recipe[Category])*($D603=Table_dim_price_recipe[Item Description]) * (I$6=Table_dim_price_recipe[Type])*(Table_dim_price_recipe[Retail Price]&lt;&gt;0)*($C603=Table_dim_price_recipe[Subcategory]), 0))*$B603,"")</f>
        <v/>
      </c>
      <c r="J603" s="262" t="str" cm="1">
        <f t="array" ref="J603">IFERROR(INDEX(Table_dim_price_recipe[Retail Price], MATCH(1, ("Calculator"&lt;&gt;Table_dim_price_recipe[Type.display])*($L603=Table_dim_price_recipe[Category])*($D603=Table_dim_price_recipe[Item Description]) * (J$6=Table_dim_price_recipe[Type])*(Table_dim_price_recipe[Retail Price]&lt;&gt;0)*($C603=Table_dim_price_recipe[Subcategory]), 0))*$B603,"")</f>
        <v/>
      </c>
      <c r="K603" s="262" t="str" cm="1">
        <f t="array" ref="K603">IFERROR(INDEX(Table_dim_price_recipe[Retail Price], MATCH(1, ("Calculator"&lt;&gt;Table_dim_price_recipe[Type.display])*($L603=Table_dim_price_recipe[Category])*($D603=Table_dim_price_recipe[Item Description]) * (K$6=Table_dim_price_recipe[Type])*(Table_dim_price_recipe[Retail Price]&lt;&gt;0)*($C603=Table_dim_price_recipe[Subcategory]), 0))*$B603,"")</f>
        <v/>
      </c>
      <c r="L603" s="262" t="str" cm="1">
        <f t="array" ref="L603">IF($A603&lt;&gt;"", $A603, LOOKUP(2, 1/((A$7:INDEX(A:A, ROW()))&lt;&gt;""), A$7:INDEX(A:A, ROW())))</f>
        <v>CEILINGS &amp; WALLS</v>
      </c>
      <c r="M603" s="14"/>
    </row>
    <row r="604" spans="1:13">
      <c r="A604" s="263"/>
      <c r="B604" s="263"/>
      <c r="C604" s="263" t="s">
        <v>1084</v>
      </c>
      <c r="D604" s="263" t="s">
        <v>1085</v>
      </c>
      <c r="E604" s="263"/>
      <c r="F604" s="263"/>
      <c r="G604" s="39" cm="1">
        <f t="array" ref="G604">IFERROR(INDEX(Table_dim_price_recipe[Retail Price], MATCH(1, ("Calculator"&lt;&gt;Table_dim_price_recipe[Type.display])*($L604=Table_dim_price_recipe[Category])*($D604=Table_dim_price_recipe[Item Description]) * (G$6=Table_dim_price_recipe[Type])*(Table_dim_price_recipe[Retail Price]&lt;&gt;0)*($C604=Table_dim_price_recipe[Subcategory]), 0))*$B604,"")</f>
        <v>0</v>
      </c>
      <c r="H604" s="39" t="str" cm="1">
        <f t="array" ref="H604">IFERROR(INDEX(Table_dim_price_recipe[Retail Price], MATCH(1, ("Calculator"&lt;&gt;Table_dim_price_recipe[Type.display])*($L604=Table_dim_price_recipe[Category])*($D604=Table_dim_price_recipe[Item Description]) * (H$6=Table_dim_price_recipe[Type])*(Table_dim_price_recipe[Retail Price]&lt;&gt;0)*($C604=Table_dim_price_recipe[Subcategory]), 0))*$B604,"")</f>
        <v/>
      </c>
      <c r="I604" s="39" t="str" cm="1">
        <f t="array" ref="I604">IFERROR(INDEX(Table_dim_price_recipe[Retail Price], MATCH(1, ("Calculator"&lt;&gt;Table_dim_price_recipe[Type.display])*($L604=Table_dim_price_recipe[Category])*($D604=Table_dim_price_recipe[Item Description]) * (I$6=Table_dim_price_recipe[Type])*(Table_dim_price_recipe[Retail Price]&lt;&gt;0)*($C604=Table_dim_price_recipe[Subcategory]), 0))*$B604,"")</f>
        <v/>
      </c>
      <c r="J604" s="39" t="str" cm="1">
        <f t="array" ref="J604">IFERROR(INDEX(Table_dim_price_recipe[Retail Price], MATCH(1, ("Calculator"&lt;&gt;Table_dim_price_recipe[Type.display])*($L604=Table_dim_price_recipe[Category])*($D604=Table_dim_price_recipe[Item Description]) * (J$6=Table_dim_price_recipe[Type])*(Table_dim_price_recipe[Retail Price]&lt;&gt;0)*($C604=Table_dim_price_recipe[Subcategory]), 0))*$B604,"")</f>
        <v/>
      </c>
      <c r="K604" s="39" t="str" cm="1">
        <f t="array" ref="K604">IFERROR(INDEX(Table_dim_price_recipe[Retail Price], MATCH(1, ("Calculator"&lt;&gt;Table_dim_price_recipe[Type.display])*($L604=Table_dim_price_recipe[Category])*($D604=Table_dim_price_recipe[Item Description]) * (K$6=Table_dim_price_recipe[Type])*(Table_dim_price_recipe[Retail Price]&lt;&gt;0)*($C604=Table_dim_price_recipe[Subcategory]), 0))*$B604,"")</f>
        <v/>
      </c>
      <c r="L604" s="39" t="str" cm="1">
        <f t="array" ref="L604">IF($A604&lt;&gt;"", $A604, LOOKUP(2, 1/((A$7:INDEX(A:A, ROW()))&lt;&gt;""), A$7:INDEX(A:A, ROW())))</f>
        <v>CEILINGS &amp; WALLS</v>
      </c>
      <c r="M604" s="14"/>
    </row>
    <row r="605" spans="1:13">
      <c r="A605" s="263"/>
      <c r="B605" s="263"/>
      <c r="C605" s="263" t="s">
        <v>1084</v>
      </c>
      <c r="D605" s="263" t="s">
        <v>1086</v>
      </c>
      <c r="E605" s="263"/>
      <c r="F605" s="263"/>
      <c r="G605" s="39" cm="1">
        <f t="array" ref="G605">IFERROR(INDEX(Table_dim_price_recipe[Retail Price], MATCH(1, ("Calculator"&lt;&gt;Table_dim_price_recipe[Type.display])*($L605=Table_dim_price_recipe[Category])*($D605=Table_dim_price_recipe[Item Description]) * (G$6=Table_dim_price_recipe[Type])*(Table_dim_price_recipe[Retail Price]&lt;&gt;0)*($C605=Table_dim_price_recipe[Subcategory]), 0))*$B605,"")</f>
        <v>0</v>
      </c>
      <c r="H605" s="39" t="str" cm="1">
        <f t="array" ref="H605">IFERROR(INDEX(Table_dim_price_recipe[Retail Price], MATCH(1, ("Calculator"&lt;&gt;Table_dim_price_recipe[Type.display])*($L605=Table_dim_price_recipe[Category])*($D605=Table_dim_price_recipe[Item Description]) * (H$6=Table_dim_price_recipe[Type])*(Table_dim_price_recipe[Retail Price]&lt;&gt;0)*($C605=Table_dim_price_recipe[Subcategory]), 0))*$B605,"")</f>
        <v/>
      </c>
      <c r="I605" s="39" t="str" cm="1">
        <f t="array" ref="I605">IFERROR(INDEX(Table_dim_price_recipe[Retail Price], MATCH(1, ("Calculator"&lt;&gt;Table_dim_price_recipe[Type.display])*($L605=Table_dim_price_recipe[Category])*($D605=Table_dim_price_recipe[Item Description]) * (I$6=Table_dim_price_recipe[Type])*(Table_dim_price_recipe[Retail Price]&lt;&gt;0)*($C605=Table_dim_price_recipe[Subcategory]), 0))*$B605,"")</f>
        <v/>
      </c>
      <c r="J605" s="39" t="str" cm="1">
        <f t="array" ref="J605">IFERROR(INDEX(Table_dim_price_recipe[Retail Price], MATCH(1, ("Calculator"&lt;&gt;Table_dim_price_recipe[Type.display])*($L605=Table_dim_price_recipe[Category])*($D605=Table_dim_price_recipe[Item Description]) * (J$6=Table_dim_price_recipe[Type])*(Table_dim_price_recipe[Retail Price]&lt;&gt;0)*($C605=Table_dim_price_recipe[Subcategory]), 0))*$B605,"")</f>
        <v/>
      </c>
      <c r="K605" s="39" t="str" cm="1">
        <f t="array" ref="K605">IFERROR(INDEX(Table_dim_price_recipe[Retail Price], MATCH(1, ("Calculator"&lt;&gt;Table_dim_price_recipe[Type.display])*($L605=Table_dim_price_recipe[Category])*($D605=Table_dim_price_recipe[Item Description]) * (K$6=Table_dim_price_recipe[Type])*(Table_dim_price_recipe[Retail Price]&lt;&gt;0)*($C605=Table_dim_price_recipe[Subcategory]), 0))*$B605,"")</f>
        <v/>
      </c>
      <c r="L605" s="39" t="str" cm="1">
        <f t="array" ref="L605">IF($A605&lt;&gt;"", $A605, LOOKUP(2, 1/((A$7:INDEX(A:A, ROW()))&lt;&gt;""), A$7:INDEX(A:A, ROW())))</f>
        <v>CEILINGS &amp; WALLS</v>
      </c>
      <c r="M605" s="14"/>
    </row>
    <row r="606" spans="1:13">
      <c r="A606" s="263"/>
      <c r="B606" s="263"/>
      <c r="C606" s="263" t="s">
        <v>1084</v>
      </c>
      <c r="D606" s="263" t="s">
        <v>1087</v>
      </c>
      <c r="E606" s="263"/>
      <c r="F606" s="263"/>
      <c r="G606" s="39" cm="1">
        <f t="array" ref="G606">IFERROR(INDEX(Table_dim_price_recipe[Retail Price], MATCH(1, ("Calculator"&lt;&gt;Table_dim_price_recipe[Type.display])*($L606=Table_dim_price_recipe[Category])*($D606=Table_dim_price_recipe[Item Description]) * (G$6=Table_dim_price_recipe[Type])*(Table_dim_price_recipe[Retail Price]&lt;&gt;0)*($C606=Table_dim_price_recipe[Subcategory]), 0))*$B606,"")</f>
        <v>0</v>
      </c>
      <c r="H606" s="39" t="str" cm="1">
        <f t="array" ref="H606">IFERROR(INDEX(Table_dim_price_recipe[Retail Price], MATCH(1, ("Calculator"&lt;&gt;Table_dim_price_recipe[Type.display])*($L606=Table_dim_price_recipe[Category])*($D606=Table_dim_price_recipe[Item Description]) * (H$6=Table_dim_price_recipe[Type])*(Table_dim_price_recipe[Retail Price]&lt;&gt;0)*($C606=Table_dim_price_recipe[Subcategory]), 0))*$B606,"")</f>
        <v/>
      </c>
      <c r="I606" s="39" t="str" cm="1">
        <f t="array" ref="I606">IFERROR(INDEX(Table_dim_price_recipe[Retail Price], MATCH(1, ("Calculator"&lt;&gt;Table_dim_price_recipe[Type.display])*($L606=Table_dim_price_recipe[Category])*($D606=Table_dim_price_recipe[Item Description]) * (I$6=Table_dim_price_recipe[Type])*(Table_dim_price_recipe[Retail Price]&lt;&gt;0)*($C606=Table_dim_price_recipe[Subcategory]), 0))*$B606,"")</f>
        <v/>
      </c>
      <c r="J606" s="39" t="str" cm="1">
        <f t="array" ref="J606">IFERROR(INDEX(Table_dim_price_recipe[Retail Price], MATCH(1, ("Calculator"&lt;&gt;Table_dim_price_recipe[Type.display])*($L606=Table_dim_price_recipe[Category])*($D606=Table_dim_price_recipe[Item Description]) * (J$6=Table_dim_price_recipe[Type])*(Table_dim_price_recipe[Retail Price]&lt;&gt;0)*($C606=Table_dim_price_recipe[Subcategory]), 0))*$B606,"")</f>
        <v/>
      </c>
      <c r="K606" s="39" t="str" cm="1">
        <f t="array" ref="K606">IFERROR(INDEX(Table_dim_price_recipe[Retail Price], MATCH(1, ("Calculator"&lt;&gt;Table_dim_price_recipe[Type.display])*($L606=Table_dim_price_recipe[Category])*($D606=Table_dim_price_recipe[Item Description]) * (K$6=Table_dim_price_recipe[Type])*(Table_dim_price_recipe[Retail Price]&lt;&gt;0)*($C606=Table_dim_price_recipe[Subcategory]), 0))*$B606,"")</f>
        <v/>
      </c>
      <c r="L606" s="39" t="str" cm="1">
        <f t="array" ref="L606">IF($A606&lt;&gt;"", $A606, LOOKUP(2, 1/((A$7:INDEX(A:A, ROW()))&lt;&gt;""), A$7:INDEX(A:A, ROW())))</f>
        <v>CEILINGS &amp; WALLS</v>
      </c>
      <c r="M606" s="14"/>
    </row>
    <row r="607" spans="1:13">
      <c r="A607" s="263"/>
      <c r="B607" s="263"/>
      <c r="C607" s="263" t="s">
        <v>1084</v>
      </c>
      <c r="D607" s="263" t="s">
        <v>1088</v>
      </c>
      <c r="E607" s="263"/>
      <c r="F607" s="263"/>
      <c r="G607" s="39" cm="1">
        <f t="array" ref="G607">IFERROR(INDEX(Table_dim_price_recipe[Retail Price], MATCH(1, ("Calculator"&lt;&gt;Table_dim_price_recipe[Type.display])*($L607=Table_dim_price_recipe[Category])*($D607=Table_dim_price_recipe[Item Description]) * (G$6=Table_dim_price_recipe[Type])*(Table_dim_price_recipe[Retail Price]&lt;&gt;0)*($C607=Table_dim_price_recipe[Subcategory]), 0))*$B607,"")</f>
        <v>0</v>
      </c>
      <c r="H607" s="39" t="str" cm="1">
        <f t="array" ref="H607">IFERROR(INDEX(Table_dim_price_recipe[Retail Price], MATCH(1, ("Calculator"&lt;&gt;Table_dim_price_recipe[Type.display])*($L607=Table_dim_price_recipe[Category])*($D607=Table_dim_price_recipe[Item Description]) * (H$6=Table_dim_price_recipe[Type])*(Table_dim_price_recipe[Retail Price]&lt;&gt;0)*($C607=Table_dim_price_recipe[Subcategory]), 0))*$B607,"")</f>
        <v/>
      </c>
      <c r="I607" s="39" t="str" cm="1">
        <f t="array" ref="I607">IFERROR(INDEX(Table_dim_price_recipe[Retail Price], MATCH(1, ("Calculator"&lt;&gt;Table_dim_price_recipe[Type.display])*($L607=Table_dim_price_recipe[Category])*($D607=Table_dim_price_recipe[Item Description]) * (I$6=Table_dim_price_recipe[Type])*(Table_dim_price_recipe[Retail Price]&lt;&gt;0)*($C607=Table_dim_price_recipe[Subcategory]), 0))*$B607,"")</f>
        <v/>
      </c>
      <c r="J607" s="39" t="str" cm="1">
        <f t="array" ref="J607">IFERROR(INDEX(Table_dim_price_recipe[Retail Price], MATCH(1, ("Calculator"&lt;&gt;Table_dim_price_recipe[Type.display])*($L607=Table_dim_price_recipe[Category])*($D607=Table_dim_price_recipe[Item Description]) * (J$6=Table_dim_price_recipe[Type])*(Table_dim_price_recipe[Retail Price]&lt;&gt;0)*($C607=Table_dim_price_recipe[Subcategory]), 0))*$B607,"")</f>
        <v/>
      </c>
      <c r="K607" s="39" t="str" cm="1">
        <f t="array" ref="K607">IFERROR(INDEX(Table_dim_price_recipe[Retail Price], MATCH(1, ("Calculator"&lt;&gt;Table_dim_price_recipe[Type.display])*($L607=Table_dim_price_recipe[Category])*($D607=Table_dim_price_recipe[Item Description]) * (K$6=Table_dim_price_recipe[Type])*(Table_dim_price_recipe[Retail Price]&lt;&gt;0)*($C607=Table_dim_price_recipe[Subcategory]), 0))*$B607,"")</f>
        <v/>
      </c>
      <c r="L607" s="39" t="str" cm="1">
        <f t="array" ref="L607">IF($A607&lt;&gt;"", $A607, LOOKUP(2, 1/((A$7:INDEX(A:A, ROW()))&lt;&gt;""), A$7:INDEX(A:A, ROW())))</f>
        <v>CEILINGS &amp; WALLS</v>
      </c>
      <c r="M607" s="14"/>
    </row>
    <row r="608" spans="1:13">
      <c r="A608" s="263"/>
      <c r="B608" s="263"/>
      <c r="C608" s="263" t="s">
        <v>1084</v>
      </c>
      <c r="D608" s="263"/>
      <c r="E608" s="263"/>
      <c r="F608" s="263"/>
      <c r="G608" s="39" t="str" cm="1">
        <f t="array" ref="G608">IFERROR(INDEX(Table_dim_price_recipe[Retail Price], MATCH(1, ("Calculator"&lt;&gt;Table_dim_price_recipe[Type.display])*($L608=Table_dim_price_recipe[Category])*($D608=Table_dim_price_recipe[Item Description]) * (G$6=Table_dim_price_recipe[Type])*(Table_dim_price_recipe[Retail Price]&lt;&gt;0)*($C608=Table_dim_price_recipe[Subcategory]), 0))*$B608,"")</f>
        <v/>
      </c>
      <c r="H608" s="39" t="str" cm="1">
        <f t="array" ref="H608">IFERROR(INDEX(Table_dim_price_recipe[Retail Price], MATCH(1, ("Calculator"&lt;&gt;Table_dim_price_recipe[Type.display])*($L608=Table_dim_price_recipe[Category])*($D608=Table_dim_price_recipe[Item Description]) * (H$6=Table_dim_price_recipe[Type])*(Table_dim_price_recipe[Retail Price]&lt;&gt;0)*($C608=Table_dim_price_recipe[Subcategory]), 0))*$B608,"")</f>
        <v/>
      </c>
      <c r="I608" s="39" t="str" cm="1">
        <f t="array" ref="I608">IFERROR(INDEX(Table_dim_price_recipe[Retail Price], MATCH(1, ("Calculator"&lt;&gt;Table_dim_price_recipe[Type.display])*($L608=Table_dim_price_recipe[Category])*($D608=Table_dim_price_recipe[Item Description]) * (I$6=Table_dim_price_recipe[Type])*(Table_dim_price_recipe[Retail Price]&lt;&gt;0)*($C608=Table_dim_price_recipe[Subcategory]), 0))*$B608,"")</f>
        <v/>
      </c>
      <c r="J608" s="39" t="str" cm="1">
        <f t="array" ref="J608">IFERROR(INDEX(Table_dim_price_recipe[Retail Price], MATCH(1, ("Calculator"&lt;&gt;Table_dim_price_recipe[Type.display])*($L608=Table_dim_price_recipe[Category])*($D608=Table_dim_price_recipe[Item Description]) * (J$6=Table_dim_price_recipe[Type])*(Table_dim_price_recipe[Retail Price]&lt;&gt;0)*($C608=Table_dim_price_recipe[Subcategory]), 0))*$B608,"")</f>
        <v/>
      </c>
      <c r="K608" s="39" t="str" cm="1">
        <f t="array" ref="K608">IFERROR(INDEX(Table_dim_price_recipe[Retail Price], MATCH(1, ("Calculator"&lt;&gt;Table_dim_price_recipe[Type.display])*($L608=Table_dim_price_recipe[Category])*($D608=Table_dim_price_recipe[Item Description]) * (K$6=Table_dim_price_recipe[Type])*(Table_dim_price_recipe[Retail Price]&lt;&gt;0)*($C608=Table_dim_price_recipe[Subcategory]), 0))*$B608,"")</f>
        <v/>
      </c>
      <c r="L608" s="39" t="str" cm="1">
        <f t="array" ref="L608">IF($A608&lt;&gt;"", $A608, LOOKUP(2, 1/((A$7:INDEX(A:A, ROW()))&lt;&gt;""), A$7:INDEX(A:A, ROW())))</f>
        <v>CEILINGS &amp; WALLS</v>
      </c>
      <c r="M608" s="14"/>
    </row>
    <row r="609" spans="1:13">
      <c r="A609" s="263"/>
      <c r="B609" s="263"/>
      <c r="C609" s="263" t="s">
        <v>1084</v>
      </c>
      <c r="D609" s="263"/>
      <c r="E609" s="263"/>
      <c r="F609" s="263"/>
      <c r="G609" s="39" t="str" cm="1">
        <f t="array" ref="G609">IFERROR(INDEX(Table_dim_price_recipe[Retail Price], MATCH(1, ("Calculator"&lt;&gt;Table_dim_price_recipe[Type.display])*($L609=Table_dim_price_recipe[Category])*($D609=Table_dim_price_recipe[Item Description]) * (G$6=Table_dim_price_recipe[Type])*(Table_dim_price_recipe[Retail Price]&lt;&gt;0)*($C609=Table_dim_price_recipe[Subcategory]), 0))*$B609,"")</f>
        <v/>
      </c>
      <c r="H609" s="39" t="str" cm="1">
        <f t="array" ref="H609">IFERROR(INDEX(Table_dim_price_recipe[Retail Price], MATCH(1, ("Calculator"&lt;&gt;Table_dim_price_recipe[Type.display])*($L609=Table_dim_price_recipe[Category])*($D609=Table_dim_price_recipe[Item Description]) * (H$6=Table_dim_price_recipe[Type])*(Table_dim_price_recipe[Retail Price]&lt;&gt;0)*($C609=Table_dim_price_recipe[Subcategory]), 0))*$B609,"")</f>
        <v/>
      </c>
      <c r="I609" s="39" t="str" cm="1">
        <f t="array" ref="I609">IFERROR(INDEX(Table_dim_price_recipe[Retail Price], MATCH(1, ("Calculator"&lt;&gt;Table_dim_price_recipe[Type.display])*($L609=Table_dim_price_recipe[Category])*($D609=Table_dim_price_recipe[Item Description]) * (I$6=Table_dim_price_recipe[Type])*(Table_dim_price_recipe[Retail Price]&lt;&gt;0)*($C609=Table_dim_price_recipe[Subcategory]), 0))*$B609,"")</f>
        <v/>
      </c>
      <c r="J609" s="39" t="str" cm="1">
        <f t="array" ref="J609">IFERROR(INDEX(Table_dim_price_recipe[Retail Price], MATCH(1, ("Calculator"&lt;&gt;Table_dim_price_recipe[Type.display])*($L609=Table_dim_price_recipe[Category])*($D609=Table_dim_price_recipe[Item Description]) * (J$6=Table_dim_price_recipe[Type])*(Table_dim_price_recipe[Retail Price]&lt;&gt;0)*($C609=Table_dim_price_recipe[Subcategory]), 0))*$B609,"")</f>
        <v/>
      </c>
      <c r="K609" s="39" t="str" cm="1">
        <f t="array" ref="K609">IFERROR(INDEX(Table_dim_price_recipe[Retail Price], MATCH(1, ("Calculator"&lt;&gt;Table_dim_price_recipe[Type.display])*($L609=Table_dim_price_recipe[Category])*($D609=Table_dim_price_recipe[Item Description]) * (K$6=Table_dim_price_recipe[Type])*(Table_dim_price_recipe[Retail Price]&lt;&gt;0)*($C609=Table_dim_price_recipe[Subcategory]), 0))*$B609,"")</f>
        <v/>
      </c>
      <c r="L609" s="39" t="str" cm="1">
        <f t="array" ref="L609">IF($A609&lt;&gt;"", $A609, LOOKUP(2, 1/((A$7:INDEX(A:A, ROW()))&lt;&gt;""), A$7:INDEX(A:A, ROW())))</f>
        <v>CEILINGS &amp; WALLS</v>
      </c>
      <c r="M609" s="14"/>
    </row>
    <row r="610" spans="1:13">
      <c r="A610" s="263"/>
      <c r="B610" s="263"/>
      <c r="C610" s="263" t="s">
        <v>1089</v>
      </c>
      <c r="D610" s="263" t="s">
        <v>1090</v>
      </c>
      <c r="E610" s="263"/>
      <c r="F610" s="263"/>
      <c r="G610" s="39" cm="1">
        <f t="array" ref="G610">IFERROR(INDEX(Table_dim_price_recipe[Retail Price], MATCH(1, ("Calculator"&lt;&gt;Table_dim_price_recipe[Type.display])*($L610=Table_dim_price_recipe[Category])*($D610=Table_dim_price_recipe[Item Description]) * (G$6=Table_dim_price_recipe[Type])*(Table_dim_price_recipe[Retail Price]&lt;&gt;0)*($C610=Table_dim_price_recipe[Subcategory]), 0))*$B610,"")</f>
        <v>0</v>
      </c>
      <c r="H610" s="39" t="str" cm="1">
        <f t="array" ref="H610">IFERROR(INDEX(Table_dim_price_recipe[Retail Price], MATCH(1, ("Calculator"&lt;&gt;Table_dim_price_recipe[Type.display])*($L610=Table_dim_price_recipe[Category])*($D610=Table_dim_price_recipe[Item Description]) * (H$6=Table_dim_price_recipe[Type])*(Table_dim_price_recipe[Retail Price]&lt;&gt;0)*($C610=Table_dim_price_recipe[Subcategory]), 0))*$B610,"")</f>
        <v/>
      </c>
      <c r="I610" s="39" t="str" cm="1">
        <f t="array" ref="I610">IFERROR(INDEX(Table_dim_price_recipe[Retail Price], MATCH(1, ("Calculator"&lt;&gt;Table_dim_price_recipe[Type.display])*($L610=Table_dim_price_recipe[Category])*($D610=Table_dim_price_recipe[Item Description]) * (I$6=Table_dim_price_recipe[Type])*(Table_dim_price_recipe[Retail Price]&lt;&gt;0)*($C610=Table_dim_price_recipe[Subcategory]), 0))*$B610,"")</f>
        <v/>
      </c>
      <c r="J610" s="39" t="str" cm="1">
        <f t="array" ref="J610">IFERROR(INDEX(Table_dim_price_recipe[Retail Price], MATCH(1, ("Calculator"&lt;&gt;Table_dim_price_recipe[Type.display])*($L610=Table_dim_price_recipe[Category])*($D610=Table_dim_price_recipe[Item Description]) * (J$6=Table_dim_price_recipe[Type])*(Table_dim_price_recipe[Retail Price]&lt;&gt;0)*($C610=Table_dim_price_recipe[Subcategory]), 0))*$B610,"")</f>
        <v/>
      </c>
      <c r="K610" s="39" t="str" cm="1">
        <f t="array" ref="K610">IFERROR(INDEX(Table_dim_price_recipe[Retail Price], MATCH(1, ("Calculator"&lt;&gt;Table_dim_price_recipe[Type.display])*($L610=Table_dim_price_recipe[Category])*($D610=Table_dim_price_recipe[Item Description]) * (K$6=Table_dim_price_recipe[Type])*(Table_dim_price_recipe[Retail Price]&lt;&gt;0)*($C610=Table_dim_price_recipe[Subcategory]), 0))*$B610,"")</f>
        <v/>
      </c>
      <c r="L610" s="39" t="str" cm="1">
        <f t="array" ref="L610">IF($A610&lt;&gt;"", $A610, LOOKUP(2, 1/((A$7:INDEX(A:A, ROW()))&lt;&gt;""), A$7:INDEX(A:A, ROW())))</f>
        <v>CEILINGS &amp; WALLS</v>
      </c>
      <c r="M610" s="14"/>
    </row>
    <row r="611" spans="1:13">
      <c r="A611" s="263"/>
      <c r="B611" s="263"/>
      <c r="C611" s="263" t="s">
        <v>1089</v>
      </c>
      <c r="D611" s="263" t="s">
        <v>1091</v>
      </c>
      <c r="E611" s="263"/>
      <c r="F611" s="263"/>
      <c r="G611" s="39" cm="1">
        <f t="array" ref="G611">IFERROR(INDEX(Table_dim_price_recipe[Retail Price], MATCH(1, ("Calculator"&lt;&gt;Table_dim_price_recipe[Type.display])*($L611=Table_dim_price_recipe[Category])*($D611=Table_dim_price_recipe[Item Description]) * (G$6=Table_dim_price_recipe[Type])*(Table_dim_price_recipe[Retail Price]&lt;&gt;0)*($C611=Table_dim_price_recipe[Subcategory]), 0))*$B611,"")</f>
        <v>0</v>
      </c>
      <c r="H611" s="39" t="str" cm="1">
        <f t="array" ref="H611">IFERROR(INDEX(Table_dim_price_recipe[Retail Price], MATCH(1, ("Calculator"&lt;&gt;Table_dim_price_recipe[Type.display])*($L611=Table_dim_price_recipe[Category])*($D611=Table_dim_price_recipe[Item Description]) * (H$6=Table_dim_price_recipe[Type])*(Table_dim_price_recipe[Retail Price]&lt;&gt;0)*($C611=Table_dim_price_recipe[Subcategory]), 0))*$B611,"")</f>
        <v/>
      </c>
      <c r="I611" s="39" t="str" cm="1">
        <f t="array" ref="I611">IFERROR(INDEX(Table_dim_price_recipe[Retail Price], MATCH(1, ("Calculator"&lt;&gt;Table_dim_price_recipe[Type.display])*($L611=Table_dim_price_recipe[Category])*($D611=Table_dim_price_recipe[Item Description]) * (I$6=Table_dim_price_recipe[Type])*(Table_dim_price_recipe[Retail Price]&lt;&gt;0)*($C611=Table_dim_price_recipe[Subcategory]), 0))*$B611,"")</f>
        <v/>
      </c>
      <c r="J611" s="39" t="str" cm="1">
        <f t="array" ref="J611">IFERROR(INDEX(Table_dim_price_recipe[Retail Price], MATCH(1, ("Calculator"&lt;&gt;Table_dim_price_recipe[Type.display])*($L611=Table_dim_price_recipe[Category])*($D611=Table_dim_price_recipe[Item Description]) * (J$6=Table_dim_price_recipe[Type])*(Table_dim_price_recipe[Retail Price]&lt;&gt;0)*($C611=Table_dim_price_recipe[Subcategory]), 0))*$B611,"")</f>
        <v/>
      </c>
      <c r="K611" s="39" t="str" cm="1">
        <f t="array" ref="K611">IFERROR(INDEX(Table_dim_price_recipe[Retail Price], MATCH(1, ("Calculator"&lt;&gt;Table_dim_price_recipe[Type.display])*($L611=Table_dim_price_recipe[Category])*($D611=Table_dim_price_recipe[Item Description]) * (K$6=Table_dim_price_recipe[Type])*(Table_dim_price_recipe[Retail Price]&lt;&gt;0)*($C611=Table_dim_price_recipe[Subcategory]), 0))*$B611,"")</f>
        <v/>
      </c>
      <c r="L611" s="39" t="str" cm="1">
        <f t="array" ref="L611">IF($A611&lt;&gt;"", $A611, LOOKUP(2, 1/((A$7:INDEX(A:A, ROW()))&lt;&gt;""), A$7:INDEX(A:A, ROW())))</f>
        <v>CEILINGS &amp; WALLS</v>
      </c>
      <c r="M611" s="14"/>
    </row>
    <row r="612" spans="1:13">
      <c r="A612" s="263"/>
      <c r="B612" s="263"/>
      <c r="C612" s="263" t="s">
        <v>1089</v>
      </c>
      <c r="D612" s="263" t="s">
        <v>1092</v>
      </c>
      <c r="E612" s="263"/>
      <c r="F612" s="263"/>
      <c r="G612" s="39" cm="1">
        <f t="array" ref="G612">IFERROR(INDEX(Table_dim_price_recipe[Retail Price], MATCH(1, ("Calculator"&lt;&gt;Table_dim_price_recipe[Type.display])*($L612=Table_dim_price_recipe[Category])*($D612=Table_dim_price_recipe[Item Description]) * (G$6=Table_dim_price_recipe[Type])*(Table_dim_price_recipe[Retail Price]&lt;&gt;0)*($C612=Table_dim_price_recipe[Subcategory]), 0))*$B612,"")</f>
        <v>0</v>
      </c>
      <c r="H612" s="39" t="str" cm="1">
        <f t="array" ref="H612">IFERROR(INDEX(Table_dim_price_recipe[Retail Price], MATCH(1, ("Calculator"&lt;&gt;Table_dim_price_recipe[Type.display])*($L612=Table_dim_price_recipe[Category])*($D612=Table_dim_price_recipe[Item Description]) * (H$6=Table_dim_price_recipe[Type])*(Table_dim_price_recipe[Retail Price]&lt;&gt;0)*($C612=Table_dim_price_recipe[Subcategory]), 0))*$B612,"")</f>
        <v/>
      </c>
      <c r="I612" s="39" t="str" cm="1">
        <f t="array" ref="I612">IFERROR(INDEX(Table_dim_price_recipe[Retail Price], MATCH(1, ("Calculator"&lt;&gt;Table_dim_price_recipe[Type.display])*($L612=Table_dim_price_recipe[Category])*($D612=Table_dim_price_recipe[Item Description]) * (I$6=Table_dim_price_recipe[Type])*(Table_dim_price_recipe[Retail Price]&lt;&gt;0)*($C612=Table_dim_price_recipe[Subcategory]), 0))*$B612,"")</f>
        <v/>
      </c>
      <c r="J612" s="39" t="str" cm="1">
        <f t="array" ref="J612">IFERROR(INDEX(Table_dim_price_recipe[Retail Price], MATCH(1, ("Calculator"&lt;&gt;Table_dim_price_recipe[Type.display])*($L612=Table_dim_price_recipe[Category])*($D612=Table_dim_price_recipe[Item Description]) * (J$6=Table_dim_price_recipe[Type])*(Table_dim_price_recipe[Retail Price]&lt;&gt;0)*($C612=Table_dim_price_recipe[Subcategory]), 0))*$B612,"")</f>
        <v/>
      </c>
      <c r="K612" s="39" t="str" cm="1">
        <f t="array" ref="K612">IFERROR(INDEX(Table_dim_price_recipe[Retail Price], MATCH(1, ("Calculator"&lt;&gt;Table_dim_price_recipe[Type.display])*($L612=Table_dim_price_recipe[Category])*($D612=Table_dim_price_recipe[Item Description]) * (K$6=Table_dim_price_recipe[Type])*(Table_dim_price_recipe[Retail Price]&lt;&gt;0)*($C612=Table_dim_price_recipe[Subcategory]), 0))*$B612,"")</f>
        <v/>
      </c>
      <c r="L612" s="39" t="str" cm="1">
        <f t="array" ref="L612">IF($A612&lt;&gt;"", $A612, LOOKUP(2, 1/((A$7:INDEX(A:A, ROW()))&lt;&gt;""), A$7:INDEX(A:A, ROW())))</f>
        <v>CEILINGS &amp; WALLS</v>
      </c>
      <c r="M612" s="14"/>
    </row>
    <row r="613" spans="1:13">
      <c r="A613" s="263"/>
      <c r="B613" s="263"/>
      <c r="C613" s="263" t="s">
        <v>1089</v>
      </c>
      <c r="D613" s="263" t="s">
        <v>1093</v>
      </c>
      <c r="E613" s="263"/>
      <c r="F613" s="263"/>
      <c r="G613" s="39" cm="1">
        <f t="array" ref="G613">IFERROR(INDEX(Table_dim_price_recipe[Retail Price], MATCH(1, ("Calculator"&lt;&gt;Table_dim_price_recipe[Type.display])*($L613=Table_dim_price_recipe[Category])*($D613=Table_dim_price_recipe[Item Description]) * (G$6=Table_dim_price_recipe[Type])*(Table_dim_price_recipe[Retail Price]&lt;&gt;0)*($C613=Table_dim_price_recipe[Subcategory]), 0))*$B613,"")</f>
        <v>0</v>
      </c>
      <c r="H613" s="39" t="str" cm="1">
        <f t="array" ref="H613">IFERROR(INDEX(Table_dim_price_recipe[Retail Price], MATCH(1, ("Calculator"&lt;&gt;Table_dim_price_recipe[Type.display])*($L613=Table_dim_price_recipe[Category])*($D613=Table_dim_price_recipe[Item Description]) * (H$6=Table_dim_price_recipe[Type])*(Table_dim_price_recipe[Retail Price]&lt;&gt;0)*($C613=Table_dim_price_recipe[Subcategory]), 0))*$B613,"")</f>
        <v/>
      </c>
      <c r="I613" s="39" t="str" cm="1">
        <f t="array" ref="I613">IFERROR(INDEX(Table_dim_price_recipe[Retail Price], MATCH(1, ("Calculator"&lt;&gt;Table_dim_price_recipe[Type.display])*($L613=Table_dim_price_recipe[Category])*($D613=Table_dim_price_recipe[Item Description]) * (I$6=Table_dim_price_recipe[Type])*(Table_dim_price_recipe[Retail Price]&lt;&gt;0)*($C613=Table_dim_price_recipe[Subcategory]), 0))*$B613,"")</f>
        <v/>
      </c>
      <c r="J613" s="39" t="str" cm="1">
        <f t="array" ref="J613">IFERROR(INDEX(Table_dim_price_recipe[Retail Price], MATCH(1, ("Calculator"&lt;&gt;Table_dim_price_recipe[Type.display])*($L613=Table_dim_price_recipe[Category])*($D613=Table_dim_price_recipe[Item Description]) * (J$6=Table_dim_price_recipe[Type])*(Table_dim_price_recipe[Retail Price]&lt;&gt;0)*($C613=Table_dim_price_recipe[Subcategory]), 0))*$B613,"")</f>
        <v/>
      </c>
      <c r="K613" s="39" t="str" cm="1">
        <f t="array" ref="K613">IFERROR(INDEX(Table_dim_price_recipe[Retail Price], MATCH(1, ("Calculator"&lt;&gt;Table_dim_price_recipe[Type.display])*($L613=Table_dim_price_recipe[Category])*($D613=Table_dim_price_recipe[Item Description]) * (K$6=Table_dim_price_recipe[Type])*(Table_dim_price_recipe[Retail Price]&lt;&gt;0)*($C613=Table_dim_price_recipe[Subcategory]), 0))*$B613,"")</f>
        <v/>
      </c>
      <c r="L613" s="39" t="str" cm="1">
        <f t="array" ref="L613">IF($A613&lt;&gt;"", $A613, LOOKUP(2, 1/((A$7:INDEX(A:A, ROW()))&lt;&gt;""), A$7:INDEX(A:A, ROW())))</f>
        <v>CEILINGS &amp; WALLS</v>
      </c>
      <c r="M613" s="14"/>
    </row>
    <row r="614" spans="1:13">
      <c r="A614" s="263"/>
      <c r="B614" s="263"/>
      <c r="C614" s="263" t="s">
        <v>1089</v>
      </c>
      <c r="D614" s="263" t="s">
        <v>1094</v>
      </c>
      <c r="E614" s="263"/>
      <c r="F614" s="263"/>
      <c r="G614" s="39" cm="1">
        <f t="array" ref="G614">IFERROR(INDEX(Table_dim_price_recipe[Retail Price], MATCH(1, ("Calculator"&lt;&gt;Table_dim_price_recipe[Type.display])*($L614=Table_dim_price_recipe[Category])*($D614=Table_dim_price_recipe[Item Description]) * (G$6=Table_dim_price_recipe[Type])*(Table_dim_price_recipe[Retail Price]&lt;&gt;0)*($C614=Table_dim_price_recipe[Subcategory]), 0))*$B614,"")</f>
        <v>0</v>
      </c>
      <c r="H614" s="39" t="str" cm="1">
        <f t="array" ref="H614">IFERROR(INDEX(Table_dim_price_recipe[Retail Price], MATCH(1, ("Calculator"&lt;&gt;Table_dim_price_recipe[Type.display])*($L614=Table_dim_price_recipe[Category])*($D614=Table_dim_price_recipe[Item Description]) * (H$6=Table_dim_price_recipe[Type])*(Table_dim_price_recipe[Retail Price]&lt;&gt;0)*($C614=Table_dim_price_recipe[Subcategory]), 0))*$B614,"")</f>
        <v/>
      </c>
      <c r="I614" s="39" t="str" cm="1">
        <f t="array" ref="I614">IFERROR(INDEX(Table_dim_price_recipe[Retail Price], MATCH(1, ("Calculator"&lt;&gt;Table_dim_price_recipe[Type.display])*($L614=Table_dim_price_recipe[Category])*($D614=Table_dim_price_recipe[Item Description]) * (I$6=Table_dim_price_recipe[Type])*(Table_dim_price_recipe[Retail Price]&lt;&gt;0)*($C614=Table_dim_price_recipe[Subcategory]), 0))*$B614,"")</f>
        <v/>
      </c>
      <c r="J614" s="39" t="str" cm="1">
        <f t="array" ref="J614">IFERROR(INDEX(Table_dim_price_recipe[Retail Price], MATCH(1, ("Calculator"&lt;&gt;Table_dim_price_recipe[Type.display])*($L614=Table_dim_price_recipe[Category])*($D614=Table_dim_price_recipe[Item Description]) * (J$6=Table_dim_price_recipe[Type])*(Table_dim_price_recipe[Retail Price]&lt;&gt;0)*($C614=Table_dim_price_recipe[Subcategory]), 0))*$B614,"")</f>
        <v/>
      </c>
      <c r="K614" s="39" t="str" cm="1">
        <f t="array" ref="K614">IFERROR(INDEX(Table_dim_price_recipe[Retail Price], MATCH(1, ("Calculator"&lt;&gt;Table_dim_price_recipe[Type.display])*($L614=Table_dim_price_recipe[Category])*($D614=Table_dim_price_recipe[Item Description]) * (K$6=Table_dim_price_recipe[Type])*(Table_dim_price_recipe[Retail Price]&lt;&gt;0)*($C614=Table_dim_price_recipe[Subcategory]), 0))*$B614,"")</f>
        <v/>
      </c>
      <c r="L614" s="39" t="str" cm="1">
        <f t="array" ref="L614">IF($A614&lt;&gt;"", $A614, LOOKUP(2, 1/((A$7:INDEX(A:A, ROW()))&lt;&gt;""), A$7:INDEX(A:A, ROW())))</f>
        <v>CEILINGS &amp; WALLS</v>
      </c>
      <c r="M614" s="14"/>
    </row>
    <row r="615" spans="1:13">
      <c r="A615" s="263"/>
      <c r="B615" s="263"/>
      <c r="C615" s="263" t="s">
        <v>1089</v>
      </c>
      <c r="D615" s="263" t="s">
        <v>1095</v>
      </c>
      <c r="E615" s="263"/>
      <c r="F615" s="263"/>
      <c r="G615" s="39" cm="1">
        <f t="array" ref="G615">IFERROR(INDEX(Table_dim_price_recipe[Retail Price], MATCH(1, ("Calculator"&lt;&gt;Table_dim_price_recipe[Type.display])*($L615=Table_dim_price_recipe[Category])*($D615=Table_dim_price_recipe[Item Description]) * (G$6=Table_dim_price_recipe[Type])*(Table_dim_price_recipe[Retail Price]&lt;&gt;0)*($C615=Table_dim_price_recipe[Subcategory]), 0))*$B615,"")</f>
        <v>0</v>
      </c>
      <c r="H615" s="39" t="str" cm="1">
        <f t="array" ref="H615">IFERROR(INDEX(Table_dim_price_recipe[Retail Price], MATCH(1, ("Calculator"&lt;&gt;Table_dim_price_recipe[Type.display])*($L615=Table_dim_price_recipe[Category])*($D615=Table_dim_price_recipe[Item Description]) * (H$6=Table_dim_price_recipe[Type])*(Table_dim_price_recipe[Retail Price]&lt;&gt;0)*($C615=Table_dim_price_recipe[Subcategory]), 0))*$B615,"")</f>
        <v/>
      </c>
      <c r="I615" s="39" t="str" cm="1">
        <f t="array" ref="I615">IFERROR(INDEX(Table_dim_price_recipe[Retail Price], MATCH(1, ("Calculator"&lt;&gt;Table_dim_price_recipe[Type.display])*($L615=Table_dim_price_recipe[Category])*($D615=Table_dim_price_recipe[Item Description]) * (I$6=Table_dim_price_recipe[Type])*(Table_dim_price_recipe[Retail Price]&lt;&gt;0)*($C615=Table_dim_price_recipe[Subcategory]), 0))*$B615,"")</f>
        <v/>
      </c>
      <c r="J615" s="39" t="str" cm="1">
        <f t="array" ref="J615">IFERROR(INDEX(Table_dim_price_recipe[Retail Price], MATCH(1, ("Calculator"&lt;&gt;Table_dim_price_recipe[Type.display])*($L615=Table_dim_price_recipe[Category])*($D615=Table_dim_price_recipe[Item Description]) * (J$6=Table_dim_price_recipe[Type])*(Table_dim_price_recipe[Retail Price]&lt;&gt;0)*($C615=Table_dim_price_recipe[Subcategory]), 0))*$B615,"")</f>
        <v/>
      </c>
      <c r="K615" s="39" t="str" cm="1">
        <f t="array" ref="K615">IFERROR(INDEX(Table_dim_price_recipe[Retail Price], MATCH(1, ("Calculator"&lt;&gt;Table_dim_price_recipe[Type.display])*($L615=Table_dim_price_recipe[Category])*($D615=Table_dim_price_recipe[Item Description]) * (K$6=Table_dim_price_recipe[Type])*(Table_dim_price_recipe[Retail Price]&lt;&gt;0)*($C615=Table_dim_price_recipe[Subcategory]), 0))*$B615,"")</f>
        <v/>
      </c>
      <c r="L615" s="39" t="str" cm="1">
        <f t="array" ref="L615">IF($A615&lt;&gt;"", $A615, LOOKUP(2, 1/((A$7:INDEX(A:A, ROW()))&lt;&gt;""), A$7:INDEX(A:A, ROW())))</f>
        <v>CEILINGS &amp; WALLS</v>
      </c>
      <c r="M615" s="14"/>
    </row>
    <row r="616" spans="1:13">
      <c r="A616" s="263"/>
      <c r="B616" s="263"/>
      <c r="C616" s="263" t="s">
        <v>1089</v>
      </c>
      <c r="D616" s="263" t="s">
        <v>1096</v>
      </c>
      <c r="E616" s="263"/>
      <c r="F616" s="263"/>
      <c r="G616" s="39" cm="1">
        <f t="array" ref="G616">IFERROR(INDEX(Table_dim_price_recipe[Retail Price], MATCH(1, ("Calculator"&lt;&gt;Table_dim_price_recipe[Type.display])*($L616=Table_dim_price_recipe[Category])*($D616=Table_dim_price_recipe[Item Description]) * (G$6=Table_dim_price_recipe[Type])*(Table_dim_price_recipe[Retail Price]&lt;&gt;0)*($C616=Table_dim_price_recipe[Subcategory]), 0))*$B616,"")</f>
        <v>0</v>
      </c>
      <c r="H616" s="39" t="str" cm="1">
        <f t="array" ref="H616">IFERROR(INDEX(Table_dim_price_recipe[Retail Price], MATCH(1, ("Calculator"&lt;&gt;Table_dim_price_recipe[Type.display])*($L616=Table_dim_price_recipe[Category])*($D616=Table_dim_price_recipe[Item Description]) * (H$6=Table_dim_price_recipe[Type])*(Table_dim_price_recipe[Retail Price]&lt;&gt;0)*($C616=Table_dim_price_recipe[Subcategory]), 0))*$B616,"")</f>
        <v/>
      </c>
      <c r="I616" s="39" t="str" cm="1">
        <f t="array" ref="I616">IFERROR(INDEX(Table_dim_price_recipe[Retail Price], MATCH(1, ("Calculator"&lt;&gt;Table_dim_price_recipe[Type.display])*($L616=Table_dim_price_recipe[Category])*($D616=Table_dim_price_recipe[Item Description]) * (I$6=Table_dim_price_recipe[Type])*(Table_dim_price_recipe[Retail Price]&lt;&gt;0)*($C616=Table_dim_price_recipe[Subcategory]), 0))*$B616,"")</f>
        <v/>
      </c>
      <c r="J616" s="39" t="str" cm="1">
        <f t="array" ref="J616">IFERROR(INDEX(Table_dim_price_recipe[Retail Price], MATCH(1, ("Calculator"&lt;&gt;Table_dim_price_recipe[Type.display])*($L616=Table_dim_price_recipe[Category])*($D616=Table_dim_price_recipe[Item Description]) * (J$6=Table_dim_price_recipe[Type])*(Table_dim_price_recipe[Retail Price]&lt;&gt;0)*($C616=Table_dim_price_recipe[Subcategory]), 0))*$B616,"")</f>
        <v/>
      </c>
      <c r="K616" s="39" t="str" cm="1">
        <f t="array" ref="K616">IFERROR(INDEX(Table_dim_price_recipe[Retail Price], MATCH(1, ("Calculator"&lt;&gt;Table_dim_price_recipe[Type.display])*($L616=Table_dim_price_recipe[Category])*($D616=Table_dim_price_recipe[Item Description]) * (K$6=Table_dim_price_recipe[Type])*(Table_dim_price_recipe[Retail Price]&lt;&gt;0)*($C616=Table_dim_price_recipe[Subcategory]), 0))*$B616,"")</f>
        <v/>
      </c>
      <c r="L616" s="39" t="str" cm="1">
        <f t="array" ref="L616">IF($A616&lt;&gt;"", $A616, LOOKUP(2, 1/((A$7:INDEX(A:A, ROW()))&lt;&gt;""), A$7:INDEX(A:A, ROW())))</f>
        <v>CEILINGS &amp; WALLS</v>
      </c>
      <c r="M616" s="14"/>
    </row>
    <row r="617" spans="1:13">
      <c r="A617" s="263"/>
      <c r="B617" s="263"/>
      <c r="C617" s="263" t="s">
        <v>1089</v>
      </c>
      <c r="D617" s="263" t="s">
        <v>1097</v>
      </c>
      <c r="E617" s="263"/>
      <c r="F617" s="263"/>
      <c r="G617" s="39" cm="1">
        <f t="array" ref="G617">IFERROR(INDEX(Table_dim_price_recipe[Retail Price], MATCH(1, ("Calculator"&lt;&gt;Table_dim_price_recipe[Type.display])*($L617=Table_dim_price_recipe[Category])*($D617=Table_dim_price_recipe[Item Description]) * (G$6=Table_dim_price_recipe[Type])*(Table_dim_price_recipe[Retail Price]&lt;&gt;0)*($C617=Table_dim_price_recipe[Subcategory]), 0))*$B617,"")</f>
        <v>0</v>
      </c>
      <c r="H617" s="39" t="str" cm="1">
        <f t="array" ref="H617">IFERROR(INDEX(Table_dim_price_recipe[Retail Price], MATCH(1, ("Calculator"&lt;&gt;Table_dim_price_recipe[Type.display])*($L617=Table_dim_price_recipe[Category])*($D617=Table_dim_price_recipe[Item Description]) * (H$6=Table_dim_price_recipe[Type])*(Table_dim_price_recipe[Retail Price]&lt;&gt;0)*($C617=Table_dim_price_recipe[Subcategory]), 0))*$B617,"")</f>
        <v/>
      </c>
      <c r="I617" s="39" t="str" cm="1">
        <f t="array" ref="I617">IFERROR(INDEX(Table_dim_price_recipe[Retail Price], MATCH(1, ("Calculator"&lt;&gt;Table_dim_price_recipe[Type.display])*($L617=Table_dim_price_recipe[Category])*($D617=Table_dim_price_recipe[Item Description]) * (I$6=Table_dim_price_recipe[Type])*(Table_dim_price_recipe[Retail Price]&lt;&gt;0)*($C617=Table_dim_price_recipe[Subcategory]), 0))*$B617,"")</f>
        <v/>
      </c>
      <c r="J617" s="39" t="str" cm="1">
        <f t="array" ref="J617">IFERROR(INDEX(Table_dim_price_recipe[Retail Price], MATCH(1, ("Calculator"&lt;&gt;Table_dim_price_recipe[Type.display])*($L617=Table_dim_price_recipe[Category])*($D617=Table_dim_price_recipe[Item Description]) * (J$6=Table_dim_price_recipe[Type])*(Table_dim_price_recipe[Retail Price]&lt;&gt;0)*($C617=Table_dim_price_recipe[Subcategory]), 0))*$B617,"")</f>
        <v/>
      </c>
      <c r="K617" s="39" t="str" cm="1">
        <f t="array" ref="K617">IFERROR(INDEX(Table_dim_price_recipe[Retail Price], MATCH(1, ("Calculator"&lt;&gt;Table_dim_price_recipe[Type.display])*($L617=Table_dim_price_recipe[Category])*($D617=Table_dim_price_recipe[Item Description]) * (K$6=Table_dim_price_recipe[Type])*(Table_dim_price_recipe[Retail Price]&lt;&gt;0)*($C617=Table_dim_price_recipe[Subcategory]), 0))*$B617,"")</f>
        <v/>
      </c>
      <c r="L617" s="39" t="str" cm="1">
        <f t="array" ref="L617">IF($A617&lt;&gt;"", $A617, LOOKUP(2, 1/((A$7:INDEX(A:A, ROW()))&lt;&gt;""), A$7:INDEX(A:A, ROW())))</f>
        <v>CEILINGS &amp; WALLS</v>
      </c>
      <c r="M617" s="14"/>
    </row>
    <row r="618" spans="1:13">
      <c r="A618" s="263"/>
      <c r="B618" s="263"/>
      <c r="C618" s="263" t="s">
        <v>1089</v>
      </c>
      <c r="D618" s="263" t="s">
        <v>1098</v>
      </c>
      <c r="E618" s="263"/>
      <c r="F618" s="263"/>
      <c r="G618" s="39" t="str" cm="1">
        <f t="array" ref="G618">IFERROR(INDEX(Table_dim_price_recipe[Retail Price], MATCH(1, ("Calculator"&lt;&gt;Table_dim_price_recipe[Type.display])*($L618=Table_dim_price_recipe[Category])*($D618=Table_dim_price_recipe[Item Description]) * (G$6=Table_dim_price_recipe[Type])*(Table_dim_price_recipe[Retail Price]&lt;&gt;0)*($C618=Table_dim_price_recipe[Subcategory]), 0))*$B618,"")</f>
        <v/>
      </c>
      <c r="H618" s="39" t="str" cm="1">
        <f t="array" ref="H618">IFERROR(INDEX(Table_dim_price_recipe[Retail Price], MATCH(1, ("Calculator"&lt;&gt;Table_dim_price_recipe[Type.display])*($L618=Table_dim_price_recipe[Category])*($D618=Table_dim_price_recipe[Item Description]) * (H$6=Table_dim_price_recipe[Type])*(Table_dim_price_recipe[Retail Price]&lt;&gt;0)*($C618=Table_dim_price_recipe[Subcategory]), 0))*$B618,"")</f>
        <v/>
      </c>
      <c r="I618" s="39" t="str" cm="1">
        <f t="array" ref="I618">IFERROR(INDEX(Table_dim_price_recipe[Retail Price], MATCH(1, ("Calculator"&lt;&gt;Table_dim_price_recipe[Type.display])*($L618=Table_dim_price_recipe[Category])*($D618=Table_dim_price_recipe[Item Description]) * (I$6=Table_dim_price_recipe[Type])*(Table_dim_price_recipe[Retail Price]&lt;&gt;0)*($C618=Table_dim_price_recipe[Subcategory]), 0))*$B618,"")</f>
        <v/>
      </c>
      <c r="J618" s="39" t="str" cm="1">
        <f t="array" ref="J618">IFERROR(INDEX(Table_dim_price_recipe[Retail Price], MATCH(1, ("Calculator"&lt;&gt;Table_dim_price_recipe[Type.display])*($L618=Table_dim_price_recipe[Category])*($D618=Table_dim_price_recipe[Item Description]) * (J$6=Table_dim_price_recipe[Type])*(Table_dim_price_recipe[Retail Price]&lt;&gt;0)*($C618=Table_dim_price_recipe[Subcategory]), 0))*$B618,"")</f>
        <v/>
      </c>
      <c r="K618" s="39" t="str" cm="1">
        <f t="array" ref="K618">IFERROR(INDEX(Table_dim_price_recipe[Retail Price], MATCH(1, ("Calculator"&lt;&gt;Table_dim_price_recipe[Type.display])*($L618=Table_dim_price_recipe[Category])*($D618=Table_dim_price_recipe[Item Description]) * (K$6=Table_dim_price_recipe[Type])*(Table_dim_price_recipe[Retail Price]&lt;&gt;0)*($C618=Table_dim_price_recipe[Subcategory]), 0))*$B618,"")</f>
        <v/>
      </c>
      <c r="L618" s="39" t="str" cm="1">
        <f t="array" ref="L618">IF($A618&lt;&gt;"", $A618, LOOKUP(2, 1/((A$7:INDEX(A:A, ROW()))&lt;&gt;""), A$7:INDEX(A:A, ROW())))</f>
        <v>CEILINGS &amp; WALLS</v>
      </c>
      <c r="M618" s="14"/>
    </row>
    <row r="619" spans="1:13">
      <c r="A619" s="263"/>
      <c r="B619" s="263"/>
      <c r="C619" s="263" t="s">
        <v>1089</v>
      </c>
      <c r="D619" s="263"/>
      <c r="E619" s="263"/>
      <c r="F619" s="263"/>
      <c r="G619" s="39" t="str" cm="1">
        <f t="array" ref="G619">IFERROR(INDEX(Table_dim_price_recipe[Retail Price], MATCH(1, ("Calculator"&lt;&gt;Table_dim_price_recipe[Type.display])*($L619=Table_dim_price_recipe[Category])*($D619=Table_dim_price_recipe[Item Description]) * (G$6=Table_dim_price_recipe[Type])*(Table_dim_price_recipe[Retail Price]&lt;&gt;0)*($C619=Table_dim_price_recipe[Subcategory]), 0))*$B619,"")</f>
        <v/>
      </c>
      <c r="H619" s="39" t="str" cm="1">
        <f t="array" ref="H619">IFERROR(INDEX(Table_dim_price_recipe[Retail Price], MATCH(1, ("Calculator"&lt;&gt;Table_dim_price_recipe[Type.display])*($L619=Table_dim_price_recipe[Category])*($D619=Table_dim_price_recipe[Item Description]) * (H$6=Table_dim_price_recipe[Type])*(Table_dim_price_recipe[Retail Price]&lt;&gt;0)*($C619=Table_dim_price_recipe[Subcategory]), 0))*$B619,"")</f>
        <v/>
      </c>
      <c r="I619" s="39" t="str" cm="1">
        <f t="array" ref="I619">IFERROR(INDEX(Table_dim_price_recipe[Retail Price], MATCH(1, ("Calculator"&lt;&gt;Table_dim_price_recipe[Type.display])*($L619=Table_dim_price_recipe[Category])*($D619=Table_dim_price_recipe[Item Description]) * (I$6=Table_dim_price_recipe[Type])*(Table_dim_price_recipe[Retail Price]&lt;&gt;0)*($C619=Table_dim_price_recipe[Subcategory]), 0))*$B619,"")</f>
        <v/>
      </c>
      <c r="J619" s="39" t="str" cm="1">
        <f t="array" ref="J619">IFERROR(INDEX(Table_dim_price_recipe[Retail Price], MATCH(1, ("Calculator"&lt;&gt;Table_dim_price_recipe[Type.display])*($L619=Table_dim_price_recipe[Category])*($D619=Table_dim_price_recipe[Item Description]) * (J$6=Table_dim_price_recipe[Type])*(Table_dim_price_recipe[Retail Price]&lt;&gt;0)*($C619=Table_dim_price_recipe[Subcategory]), 0))*$B619,"")</f>
        <v/>
      </c>
      <c r="K619" s="39" t="str" cm="1">
        <f t="array" ref="K619">IFERROR(INDEX(Table_dim_price_recipe[Retail Price], MATCH(1, ("Calculator"&lt;&gt;Table_dim_price_recipe[Type.display])*($L619=Table_dim_price_recipe[Category])*($D619=Table_dim_price_recipe[Item Description]) * (K$6=Table_dim_price_recipe[Type])*(Table_dim_price_recipe[Retail Price]&lt;&gt;0)*($C619=Table_dim_price_recipe[Subcategory]), 0))*$B619,"")</f>
        <v/>
      </c>
      <c r="L619" s="39" t="str" cm="1">
        <f t="array" ref="L619">IF($A619&lt;&gt;"", $A619, LOOKUP(2, 1/((A$7:INDEX(A:A, ROW()))&lt;&gt;""), A$7:INDEX(A:A, ROW())))</f>
        <v>CEILINGS &amp; WALLS</v>
      </c>
      <c r="M619" s="14"/>
    </row>
    <row r="620" spans="1:13">
      <c r="A620" s="263"/>
      <c r="B620" s="263"/>
      <c r="C620" s="263" t="s">
        <v>1089</v>
      </c>
      <c r="D620" s="263"/>
      <c r="E620" s="263"/>
      <c r="F620" s="263"/>
      <c r="G620" s="39" t="str" cm="1">
        <f t="array" ref="G620">IFERROR(INDEX(Table_dim_price_recipe[Retail Price], MATCH(1, ("Calculator"&lt;&gt;Table_dim_price_recipe[Type.display])*($L620=Table_dim_price_recipe[Category])*($D620=Table_dim_price_recipe[Item Description]) * (G$6=Table_dim_price_recipe[Type])*(Table_dim_price_recipe[Retail Price]&lt;&gt;0)*($C620=Table_dim_price_recipe[Subcategory]), 0))*$B620,"")</f>
        <v/>
      </c>
      <c r="H620" s="39" t="str" cm="1">
        <f t="array" ref="H620">IFERROR(INDEX(Table_dim_price_recipe[Retail Price], MATCH(1, ("Calculator"&lt;&gt;Table_dim_price_recipe[Type.display])*($L620=Table_dim_price_recipe[Category])*($D620=Table_dim_price_recipe[Item Description]) * (H$6=Table_dim_price_recipe[Type])*(Table_dim_price_recipe[Retail Price]&lt;&gt;0)*($C620=Table_dim_price_recipe[Subcategory]), 0))*$B620,"")</f>
        <v/>
      </c>
      <c r="I620" s="39" t="str" cm="1">
        <f t="array" ref="I620">IFERROR(INDEX(Table_dim_price_recipe[Retail Price], MATCH(1, ("Calculator"&lt;&gt;Table_dim_price_recipe[Type.display])*($L620=Table_dim_price_recipe[Category])*($D620=Table_dim_price_recipe[Item Description]) * (I$6=Table_dim_price_recipe[Type])*(Table_dim_price_recipe[Retail Price]&lt;&gt;0)*($C620=Table_dim_price_recipe[Subcategory]), 0))*$B620,"")</f>
        <v/>
      </c>
      <c r="J620" s="39" t="str" cm="1">
        <f t="array" ref="J620">IFERROR(INDEX(Table_dim_price_recipe[Retail Price], MATCH(1, ("Calculator"&lt;&gt;Table_dim_price_recipe[Type.display])*($L620=Table_dim_price_recipe[Category])*($D620=Table_dim_price_recipe[Item Description]) * (J$6=Table_dim_price_recipe[Type])*(Table_dim_price_recipe[Retail Price]&lt;&gt;0)*($C620=Table_dim_price_recipe[Subcategory]), 0))*$B620,"")</f>
        <v/>
      </c>
      <c r="K620" s="39" t="str" cm="1">
        <f t="array" ref="K620">IFERROR(INDEX(Table_dim_price_recipe[Retail Price], MATCH(1, ("Calculator"&lt;&gt;Table_dim_price_recipe[Type.display])*($L620=Table_dim_price_recipe[Category])*($D620=Table_dim_price_recipe[Item Description]) * (K$6=Table_dim_price_recipe[Type])*(Table_dim_price_recipe[Retail Price]&lt;&gt;0)*($C620=Table_dim_price_recipe[Subcategory]), 0))*$B620,"")</f>
        <v/>
      </c>
      <c r="L620" s="39" t="str" cm="1">
        <f t="array" ref="L620">IF($A620&lt;&gt;"", $A620, LOOKUP(2, 1/((A$7:INDEX(A:A, ROW()))&lt;&gt;""), A$7:INDEX(A:A, ROW())))</f>
        <v>CEILINGS &amp; WALLS</v>
      </c>
      <c r="M620" s="14"/>
    </row>
    <row r="621" spans="1:13">
      <c r="A621" s="263"/>
      <c r="B621" s="263"/>
      <c r="C621" s="263" t="s">
        <v>87</v>
      </c>
      <c r="D621" s="263" t="s">
        <v>456</v>
      </c>
      <c r="E621" s="263"/>
      <c r="F621" s="263"/>
      <c r="G621" s="39" cm="1">
        <f t="array" ref="G621">IFERROR(INDEX(Table_dim_price_recipe[Retail Price], MATCH(1, ("Calculator"&lt;&gt;Table_dim_price_recipe[Type.display])*($L621=Table_dim_price_recipe[Category])*($D621=Table_dim_price_recipe[Item Description]) * (G$6=Table_dim_price_recipe[Type])*(Table_dim_price_recipe[Retail Price]&lt;&gt;0)*($C621=Table_dim_price_recipe[Subcategory]), 0))*$B621,"")</f>
        <v>0</v>
      </c>
      <c r="H621" s="39" t="str" cm="1">
        <f t="array" ref="H621">IFERROR(INDEX(Table_dim_price_recipe[Retail Price], MATCH(1, ("Calculator"&lt;&gt;Table_dim_price_recipe[Type.display])*($L621=Table_dim_price_recipe[Category])*($D621=Table_dim_price_recipe[Item Description]) * (H$6=Table_dim_price_recipe[Type])*(Table_dim_price_recipe[Retail Price]&lt;&gt;0)*($C621=Table_dim_price_recipe[Subcategory]), 0))*$B621,"")</f>
        <v/>
      </c>
      <c r="I621" s="39" t="str" cm="1">
        <f t="array" ref="I621">IFERROR(INDEX(Table_dim_price_recipe[Retail Price], MATCH(1, ("Calculator"&lt;&gt;Table_dim_price_recipe[Type.display])*($L621=Table_dim_price_recipe[Category])*($D621=Table_dim_price_recipe[Item Description]) * (I$6=Table_dim_price_recipe[Type])*(Table_dim_price_recipe[Retail Price]&lt;&gt;0)*($C621=Table_dim_price_recipe[Subcategory]), 0))*$B621,"")</f>
        <v/>
      </c>
      <c r="J621" s="39" t="str" cm="1">
        <f t="array" ref="J621">IFERROR(INDEX(Table_dim_price_recipe[Retail Price], MATCH(1, ("Calculator"&lt;&gt;Table_dim_price_recipe[Type.display])*($L621=Table_dim_price_recipe[Category])*($D621=Table_dim_price_recipe[Item Description]) * (J$6=Table_dim_price_recipe[Type])*(Table_dim_price_recipe[Retail Price]&lt;&gt;0)*($C621=Table_dim_price_recipe[Subcategory]), 0))*$B621,"")</f>
        <v/>
      </c>
      <c r="K621" s="39" t="str" cm="1">
        <f t="array" ref="K621">IFERROR(INDEX(Table_dim_price_recipe[Retail Price], MATCH(1, ("Calculator"&lt;&gt;Table_dim_price_recipe[Type.display])*($L621=Table_dim_price_recipe[Category])*($D621=Table_dim_price_recipe[Item Description]) * (K$6=Table_dim_price_recipe[Type])*(Table_dim_price_recipe[Retail Price]&lt;&gt;0)*($C621=Table_dim_price_recipe[Subcategory]), 0))*$B621,"")</f>
        <v/>
      </c>
      <c r="L621" s="39" t="str" cm="1">
        <f t="array" ref="L621">IF($A621&lt;&gt;"", $A621, LOOKUP(2, 1/((A$7:INDEX(A:A, ROW()))&lt;&gt;""), A$7:INDEX(A:A, ROW())))</f>
        <v>CEILINGS &amp; WALLS</v>
      </c>
      <c r="M621" s="14"/>
    </row>
    <row r="622" spans="1:13">
      <c r="A622" s="263"/>
      <c r="B622" s="263"/>
      <c r="C622" s="263" t="s">
        <v>87</v>
      </c>
      <c r="D622" s="263" t="s">
        <v>88</v>
      </c>
      <c r="E622" s="263"/>
      <c r="F622" s="263"/>
      <c r="G622" s="39" t="str" cm="1">
        <f t="array" ref="G622">IFERROR(INDEX(Table_dim_price_recipe[Retail Price], MATCH(1, ("Calculator"&lt;&gt;Table_dim_price_recipe[Type.display])*($L622=Table_dim_price_recipe[Category])*($D622=Table_dim_price_recipe[Item Description]) * (G$6=Table_dim_price_recipe[Type])*(Table_dim_price_recipe[Retail Price]&lt;&gt;0)*($C622=Table_dim_price_recipe[Subcategory]), 0))*$B622,"")</f>
        <v/>
      </c>
      <c r="H622" s="39" t="str" cm="1">
        <f t="array" ref="H622">IFERROR(INDEX(Table_dim_price_recipe[Retail Price], MATCH(1, ("Calculator"&lt;&gt;Table_dim_price_recipe[Type.display])*($L622=Table_dim_price_recipe[Category])*($D622=Table_dim_price_recipe[Item Description]) * (H$6=Table_dim_price_recipe[Type])*(Table_dim_price_recipe[Retail Price]&lt;&gt;0)*($C622=Table_dim_price_recipe[Subcategory]), 0))*$B622,"")</f>
        <v/>
      </c>
      <c r="I622" s="39" t="str" cm="1">
        <f t="array" ref="I622">IFERROR(INDEX(Table_dim_price_recipe[Retail Price], MATCH(1, ("Calculator"&lt;&gt;Table_dim_price_recipe[Type.display])*($L622=Table_dim_price_recipe[Category])*($D622=Table_dim_price_recipe[Item Description]) * (I$6=Table_dim_price_recipe[Type])*(Table_dim_price_recipe[Retail Price]&lt;&gt;0)*($C622=Table_dim_price_recipe[Subcategory]), 0))*$B622,"")</f>
        <v/>
      </c>
      <c r="J622" s="39" t="str" cm="1">
        <f t="array" ref="J622">IFERROR(INDEX(Table_dim_price_recipe[Retail Price], MATCH(1, ("Calculator"&lt;&gt;Table_dim_price_recipe[Type.display])*($L622=Table_dim_price_recipe[Category])*($D622=Table_dim_price_recipe[Item Description]) * (J$6=Table_dim_price_recipe[Type])*(Table_dim_price_recipe[Retail Price]&lt;&gt;0)*($C622=Table_dim_price_recipe[Subcategory]), 0))*$B622,"")</f>
        <v/>
      </c>
      <c r="K622" s="39" t="str" cm="1">
        <f t="array" ref="K622">IFERROR(INDEX(Table_dim_price_recipe[Retail Price], MATCH(1, ("Calculator"&lt;&gt;Table_dim_price_recipe[Type.display])*($L622=Table_dim_price_recipe[Category])*($D622=Table_dim_price_recipe[Item Description]) * (K$6=Table_dim_price_recipe[Type])*(Table_dim_price_recipe[Retail Price]&lt;&gt;0)*($C622=Table_dim_price_recipe[Subcategory]), 0))*$B622,"")</f>
        <v/>
      </c>
      <c r="L622" s="39" t="str" cm="1">
        <f t="array" ref="L622">IF($A622&lt;&gt;"", $A622, LOOKUP(2, 1/((A$7:INDEX(A:A, ROW()))&lt;&gt;""), A$7:INDEX(A:A, ROW())))</f>
        <v>CEILINGS &amp; WALLS</v>
      </c>
      <c r="M622" s="14"/>
    </row>
    <row r="623" spans="1:13">
      <c r="A623" s="263"/>
      <c r="B623" s="263"/>
      <c r="C623" s="263" t="s">
        <v>87</v>
      </c>
      <c r="D623" s="263" t="s">
        <v>89</v>
      </c>
      <c r="E623" s="263"/>
      <c r="F623" s="263"/>
      <c r="G623" s="39" t="str" cm="1">
        <f t="array" ref="G623">IFERROR(INDEX(Table_dim_price_recipe[Retail Price], MATCH(1, ("Calculator"&lt;&gt;Table_dim_price_recipe[Type.display])*($L623=Table_dim_price_recipe[Category])*($D623=Table_dim_price_recipe[Item Description]) * (G$6=Table_dim_price_recipe[Type])*(Table_dim_price_recipe[Retail Price]&lt;&gt;0)*($C623=Table_dim_price_recipe[Subcategory]), 0))*$B623,"")</f>
        <v/>
      </c>
      <c r="H623" s="39" t="str" cm="1">
        <f t="array" ref="H623">IFERROR(INDEX(Table_dim_price_recipe[Retail Price], MATCH(1, ("Calculator"&lt;&gt;Table_dim_price_recipe[Type.display])*($L623=Table_dim_price_recipe[Category])*($D623=Table_dim_price_recipe[Item Description]) * (H$6=Table_dim_price_recipe[Type])*(Table_dim_price_recipe[Retail Price]&lt;&gt;0)*($C623=Table_dim_price_recipe[Subcategory]), 0))*$B623,"")</f>
        <v/>
      </c>
      <c r="I623" s="39" t="str" cm="1">
        <f t="array" ref="I623">IFERROR(INDEX(Table_dim_price_recipe[Retail Price], MATCH(1, ("Calculator"&lt;&gt;Table_dim_price_recipe[Type.display])*($L623=Table_dim_price_recipe[Category])*($D623=Table_dim_price_recipe[Item Description]) * (I$6=Table_dim_price_recipe[Type])*(Table_dim_price_recipe[Retail Price]&lt;&gt;0)*($C623=Table_dim_price_recipe[Subcategory]), 0))*$B623,"")</f>
        <v/>
      </c>
      <c r="J623" s="39" t="str" cm="1">
        <f t="array" ref="J623">IFERROR(INDEX(Table_dim_price_recipe[Retail Price], MATCH(1, ("Calculator"&lt;&gt;Table_dim_price_recipe[Type.display])*($L623=Table_dim_price_recipe[Category])*($D623=Table_dim_price_recipe[Item Description]) * (J$6=Table_dim_price_recipe[Type])*(Table_dim_price_recipe[Retail Price]&lt;&gt;0)*($C623=Table_dim_price_recipe[Subcategory]), 0))*$B623,"")</f>
        <v/>
      </c>
      <c r="K623" s="39" t="str" cm="1">
        <f t="array" ref="K623">IFERROR(INDEX(Table_dim_price_recipe[Retail Price], MATCH(1, ("Calculator"&lt;&gt;Table_dim_price_recipe[Type.display])*($L623=Table_dim_price_recipe[Category])*($D623=Table_dim_price_recipe[Item Description]) * (K$6=Table_dim_price_recipe[Type])*(Table_dim_price_recipe[Retail Price]&lt;&gt;0)*($C623=Table_dim_price_recipe[Subcategory]), 0))*$B623,"")</f>
        <v/>
      </c>
      <c r="L623" s="39" t="str" cm="1">
        <f t="array" ref="L623">IF($A623&lt;&gt;"", $A623, LOOKUP(2, 1/((A$7:INDEX(A:A, ROW()))&lt;&gt;""), A$7:INDEX(A:A, ROW())))</f>
        <v>CEILINGS &amp; WALLS</v>
      </c>
      <c r="M623" s="14"/>
    </row>
    <row r="624" spans="1:13">
      <c r="A624" s="263"/>
      <c r="B624" s="263"/>
      <c r="C624" s="263" t="s">
        <v>87</v>
      </c>
      <c r="D624" s="263" t="s">
        <v>90</v>
      </c>
      <c r="E624" s="263"/>
      <c r="F624" s="263"/>
      <c r="G624" s="39" t="str" cm="1">
        <f t="array" ref="G624">IFERROR(INDEX(Table_dim_price_recipe[Retail Price], MATCH(1, ("Calculator"&lt;&gt;Table_dim_price_recipe[Type.display])*($L624=Table_dim_price_recipe[Category])*($D624=Table_dim_price_recipe[Item Description]) * (G$6=Table_dim_price_recipe[Type])*(Table_dim_price_recipe[Retail Price]&lt;&gt;0)*($C624=Table_dim_price_recipe[Subcategory]), 0))*$B624,"")</f>
        <v/>
      </c>
      <c r="H624" s="39" t="str" cm="1">
        <f t="array" ref="H624">IFERROR(INDEX(Table_dim_price_recipe[Retail Price], MATCH(1, ("Calculator"&lt;&gt;Table_dim_price_recipe[Type.display])*($L624=Table_dim_price_recipe[Category])*($D624=Table_dim_price_recipe[Item Description]) * (H$6=Table_dim_price_recipe[Type])*(Table_dim_price_recipe[Retail Price]&lt;&gt;0)*($C624=Table_dim_price_recipe[Subcategory]), 0))*$B624,"")</f>
        <v/>
      </c>
      <c r="I624" s="39" t="str" cm="1">
        <f t="array" ref="I624">IFERROR(INDEX(Table_dim_price_recipe[Retail Price], MATCH(1, ("Calculator"&lt;&gt;Table_dim_price_recipe[Type.display])*($L624=Table_dim_price_recipe[Category])*($D624=Table_dim_price_recipe[Item Description]) * (I$6=Table_dim_price_recipe[Type])*(Table_dim_price_recipe[Retail Price]&lt;&gt;0)*($C624=Table_dim_price_recipe[Subcategory]), 0))*$B624,"")</f>
        <v/>
      </c>
      <c r="J624" s="39" t="str" cm="1">
        <f t="array" ref="J624">IFERROR(INDEX(Table_dim_price_recipe[Retail Price], MATCH(1, ("Calculator"&lt;&gt;Table_dim_price_recipe[Type.display])*($L624=Table_dim_price_recipe[Category])*($D624=Table_dim_price_recipe[Item Description]) * (J$6=Table_dim_price_recipe[Type])*(Table_dim_price_recipe[Retail Price]&lt;&gt;0)*($C624=Table_dim_price_recipe[Subcategory]), 0))*$B624,"")</f>
        <v/>
      </c>
      <c r="K624" s="39" t="str" cm="1">
        <f t="array" ref="K624">IFERROR(INDEX(Table_dim_price_recipe[Retail Price], MATCH(1, ("Calculator"&lt;&gt;Table_dim_price_recipe[Type.display])*($L624=Table_dim_price_recipe[Category])*($D624=Table_dim_price_recipe[Item Description]) * (K$6=Table_dim_price_recipe[Type])*(Table_dim_price_recipe[Retail Price]&lt;&gt;0)*($C624=Table_dim_price_recipe[Subcategory]), 0))*$B624,"")</f>
        <v/>
      </c>
      <c r="L624" s="39" t="str" cm="1">
        <f t="array" ref="L624">IF($A624&lt;&gt;"", $A624, LOOKUP(2, 1/((A$7:INDEX(A:A, ROW()))&lt;&gt;""), A$7:INDEX(A:A, ROW())))</f>
        <v>CEILINGS &amp; WALLS</v>
      </c>
      <c r="M624" s="14"/>
    </row>
    <row r="625" spans="1:13">
      <c r="A625" s="263"/>
      <c r="B625" s="263"/>
      <c r="C625" s="263" t="s">
        <v>87</v>
      </c>
      <c r="D625" s="263" t="s">
        <v>457</v>
      </c>
      <c r="E625" s="263"/>
      <c r="F625" s="263"/>
      <c r="G625" s="39" t="str" cm="1">
        <f t="array" ref="G625">IFERROR(INDEX(Table_dim_price_recipe[Retail Price], MATCH(1, ("Calculator"&lt;&gt;Table_dim_price_recipe[Type.display])*($L625=Table_dim_price_recipe[Category])*($D625=Table_dim_price_recipe[Item Description]) * (G$6=Table_dim_price_recipe[Type])*(Table_dim_price_recipe[Retail Price]&lt;&gt;0)*($C625=Table_dim_price_recipe[Subcategory]), 0))*$B625,"")</f>
        <v/>
      </c>
      <c r="H625" s="39" t="str" cm="1">
        <f t="array" ref="H625">IFERROR(INDEX(Table_dim_price_recipe[Retail Price], MATCH(1, ("Calculator"&lt;&gt;Table_dim_price_recipe[Type.display])*($L625=Table_dim_price_recipe[Category])*($D625=Table_dim_price_recipe[Item Description]) * (H$6=Table_dim_price_recipe[Type])*(Table_dim_price_recipe[Retail Price]&lt;&gt;0)*($C625=Table_dim_price_recipe[Subcategory]), 0))*$B625,"")</f>
        <v/>
      </c>
      <c r="I625" s="39" t="str" cm="1">
        <f t="array" ref="I625">IFERROR(INDEX(Table_dim_price_recipe[Retail Price], MATCH(1, ("Calculator"&lt;&gt;Table_dim_price_recipe[Type.display])*($L625=Table_dim_price_recipe[Category])*($D625=Table_dim_price_recipe[Item Description]) * (I$6=Table_dim_price_recipe[Type])*(Table_dim_price_recipe[Retail Price]&lt;&gt;0)*($C625=Table_dim_price_recipe[Subcategory]), 0))*$B625,"")</f>
        <v/>
      </c>
      <c r="J625" s="39" t="str" cm="1">
        <f t="array" ref="J625">IFERROR(INDEX(Table_dim_price_recipe[Retail Price], MATCH(1, ("Calculator"&lt;&gt;Table_dim_price_recipe[Type.display])*($L625=Table_dim_price_recipe[Category])*($D625=Table_dim_price_recipe[Item Description]) * (J$6=Table_dim_price_recipe[Type])*(Table_dim_price_recipe[Retail Price]&lt;&gt;0)*($C625=Table_dim_price_recipe[Subcategory]), 0))*$B625,"")</f>
        <v/>
      </c>
      <c r="K625" s="39" t="str" cm="1">
        <f t="array" ref="K625">IFERROR(INDEX(Table_dim_price_recipe[Retail Price], MATCH(1, ("Calculator"&lt;&gt;Table_dim_price_recipe[Type.display])*($L625=Table_dim_price_recipe[Category])*($D625=Table_dim_price_recipe[Item Description]) * (K$6=Table_dim_price_recipe[Type])*(Table_dim_price_recipe[Retail Price]&lt;&gt;0)*($C625=Table_dim_price_recipe[Subcategory]), 0))*$B625,"")</f>
        <v/>
      </c>
      <c r="L625" s="39" t="str" cm="1">
        <f t="array" ref="L625">IF($A625&lt;&gt;"", $A625, LOOKUP(2, 1/((A$7:INDEX(A:A, ROW()))&lt;&gt;""), A$7:INDEX(A:A, ROW())))</f>
        <v>CEILINGS &amp; WALLS</v>
      </c>
      <c r="M625" s="14"/>
    </row>
    <row r="626" spans="1:13">
      <c r="A626" s="263"/>
      <c r="B626" s="263"/>
      <c r="C626" s="263" t="s">
        <v>87</v>
      </c>
      <c r="D626" s="263" t="s">
        <v>458</v>
      </c>
      <c r="E626" s="263"/>
      <c r="F626" s="263"/>
      <c r="G626" s="39" t="str" cm="1">
        <f t="array" ref="G626">IFERROR(INDEX(Table_dim_price_recipe[Retail Price], MATCH(1, ("Calculator"&lt;&gt;Table_dim_price_recipe[Type.display])*($L626=Table_dim_price_recipe[Category])*($D626=Table_dim_price_recipe[Item Description]) * (G$6=Table_dim_price_recipe[Type])*(Table_dim_price_recipe[Retail Price]&lt;&gt;0)*($C626=Table_dim_price_recipe[Subcategory]), 0))*$B626,"")</f>
        <v/>
      </c>
      <c r="H626" s="39" t="str" cm="1">
        <f t="array" ref="H626">IFERROR(INDEX(Table_dim_price_recipe[Retail Price], MATCH(1, ("Calculator"&lt;&gt;Table_dim_price_recipe[Type.display])*($L626=Table_dim_price_recipe[Category])*($D626=Table_dim_price_recipe[Item Description]) * (H$6=Table_dim_price_recipe[Type])*(Table_dim_price_recipe[Retail Price]&lt;&gt;0)*($C626=Table_dim_price_recipe[Subcategory]), 0))*$B626,"")</f>
        <v/>
      </c>
      <c r="I626" s="39" t="str" cm="1">
        <f t="array" ref="I626">IFERROR(INDEX(Table_dim_price_recipe[Retail Price], MATCH(1, ("Calculator"&lt;&gt;Table_dim_price_recipe[Type.display])*($L626=Table_dim_price_recipe[Category])*($D626=Table_dim_price_recipe[Item Description]) * (I$6=Table_dim_price_recipe[Type])*(Table_dim_price_recipe[Retail Price]&lt;&gt;0)*($C626=Table_dim_price_recipe[Subcategory]), 0))*$B626,"")</f>
        <v/>
      </c>
      <c r="J626" s="39" t="str" cm="1">
        <f t="array" ref="J626">IFERROR(INDEX(Table_dim_price_recipe[Retail Price], MATCH(1, ("Calculator"&lt;&gt;Table_dim_price_recipe[Type.display])*($L626=Table_dim_price_recipe[Category])*($D626=Table_dim_price_recipe[Item Description]) * (J$6=Table_dim_price_recipe[Type])*(Table_dim_price_recipe[Retail Price]&lt;&gt;0)*($C626=Table_dim_price_recipe[Subcategory]), 0))*$B626,"")</f>
        <v/>
      </c>
      <c r="K626" s="39" t="str" cm="1">
        <f t="array" ref="K626">IFERROR(INDEX(Table_dim_price_recipe[Retail Price], MATCH(1, ("Calculator"&lt;&gt;Table_dim_price_recipe[Type.display])*($L626=Table_dim_price_recipe[Category])*($D626=Table_dim_price_recipe[Item Description]) * (K$6=Table_dim_price_recipe[Type])*(Table_dim_price_recipe[Retail Price]&lt;&gt;0)*($C626=Table_dim_price_recipe[Subcategory]), 0))*$B626,"")</f>
        <v/>
      </c>
      <c r="L626" s="39" t="str" cm="1">
        <f t="array" ref="L626">IF($A626&lt;&gt;"", $A626, LOOKUP(2, 1/((A$7:INDEX(A:A, ROW()))&lt;&gt;""), A$7:INDEX(A:A, ROW())))</f>
        <v>CEILINGS &amp; WALLS</v>
      </c>
      <c r="M626" s="14"/>
    </row>
    <row r="627" spans="1:13">
      <c r="A627" s="263"/>
      <c r="B627" s="263"/>
      <c r="C627" s="263" t="s">
        <v>87</v>
      </c>
      <c r="D627" s="263" t="s">
        <v>459</v>
      </c>
      <c r="E627" s="263"/>
      <c r="F627" s="263"/>
      <c r="G627" s="39" t="str" cm="1">
        <f t="array" ref="G627">IFERROR(INDEX(Table_dim_price_recipe[Retail Price], MATCH(1, ("Calculator"&lt;&gt;Table_dim_price_recipe[Type.display])*($L627=Table_dim_price_recipe[Category])*($D627=Table_dim_price_recipe[Item Description]) * (G$6=Table_dim_price_recipe[Type])*(Table_dim_price_recipe[Retail Price]&lt;&gt;0)*($C627=Table_dim_price_recipe[Subcategory]), 0))*$B627,"")</f>
        <v/>
      </c>
      <c r="H627" s="39" t="str" cm="1">
        <f t="array" ref="H627">IFERROR(INDEX(Table_dim_price_recipe[Retail Price], MATCH(1, ("Calculator"&lt;&gt;Table_dim_price_recipe[Type.display])*($L627=Table_dim_price_recipe[Category])*($D627=Table_dim_price_recipe[Item Description]) * (H$6=Table_dim_price_recipe[Type])*(Table_dim_price_recipe[Retail Price]&lt;&gt;0)*($C627=Table_dim_price_recipe[Subcategory]), 0))*$B627,"")</f>
        <v/>
      </c>
      <c r="I627" s="39" t="str" cm="1">
        <f t="array" ref="I627">IFERROR(INDEX(Table_dim_price_recipe[Retail Price], MATCH(1, ("Calculator"&lt;&gt;Table_dim_price_recipe[Type.display])*($L627=Table_dim_price_recipe[Category])*($D627=Table_dim_price_recipe[Item Description]) * (I$6=Table_dim_price_recipe[Type])*(Table_dim_price_recipe[Retail Price]&lt;&gt;0)*($C627=Table_dim_price_recipe[Subcategory]), 0))*$B627,"")</f>
        <v/>
      </c>
      <c r="J627" s="39" t="str" cm="1">
        <f t="array" ref="J627">IFERROR(INDEX(Table_dim_price_recipe[Retail Price], MATCH(1, ("Calculator"&lt;&gt;Table_dim_price_recipe[Type.display])*($L627=Table_dim_price_recipe[Category])*($D627=Table_dim_price_recipe[Item Description]) * (J$6=Table_dim_price_recipe[Type])*(Table_dim_price_recipe[Retail Price]&lt;&gt;0)*($C627=Table_dim_price_recipe[Subcategory]), 0))*$B627,"")</f>
        <v/>
      </c>
      <c r="K627" s="39" t="str" cm="1">
        <f t="array" ref="K627">IFERROR(INDEX(Table_dim_price_recipe[Retail Price], MATCH(1, ("Calculator"&lt;&gt;Table_dim_price_recipe[Type.display])*($L627=Table_dim_price_recipe[Category])*($D627=Table_dim_price_recipe[Item Description]) * (K$6=Table_dim_price_recipe[Type])*(Table_dim_price_recipe[Retail Price]&lt;&gt;0)*($C627=Table_dim_price_recipe[Subcategory]), 0))*$B627,"")</f>
        <v/>
      </c>
      <c r="L627" s="39" t="str" cm="1">
        <f t="array" ref="L627">IF($A627&lt;&gt;"", $A627, LOOKUP(2, 1/((A$7:INDEX(A:A, ROW()))&lt;&gt;""), A$7:INDEX(A:A, ROW())))</f>
        <v>CEILINGS &amp; WALLS</v>
      </c>
      <c r="M627" s="14"/>
    </row>
    <row r="628" spans="1:13">
      <c r="A628" s="263"/>
      <c r="B628" s="263"/>
      <c r="C628" s="263" t="s">
        <v>87</v>
      </c>
      <c r="D628" s="263" t="s">
        <v>460</v>
      </c>
      <c r="E628" s="263"/>
      <c r="F628" s="263"/>
      <c r="G628" s="39" t="str" cm="1">
        <f t="array" ref="G628">IFERROR(INDEX(Table_dim_price_recipe[Retail Price], MATCH(1, ("Calculator"&lt;&gt;Table_dim_price_recipe[Type.display])*($L628=Table_dim_price_recipe[Category])*($D628=Table_dim_price_recipe[Item Description]) * (G$6=Table_dim_price_recipe[Type])*(Table_dim_price_recipe[Retail Price]&lt;&gt;0)*($C628=Table_dim_price_recipe[Subcategory]), 0))*$B628,"")</f>
        <v/>
      </c>
      <c r="H628" s="39" t="str" cm="1">
        <f t="array" ref="H628">IFERROR(INDEX(Table_dim_price_recipe[Retail Price], MATCH(1, ("Calculator"&lt;&gt;Table_dim_price_recipe[Type.display])*($L628=Table_dim_price_recipe[Category])*($D628=Table_dim_price_recipe[Item Description]) * (H$6=Table_dim_price_recipe[Type])*(Table_dim_price_recipe[Retail Price]&lt;&gt;0)*($C628=Table_dim_price_recipe[Subcategory]), 0))*$B628,"")</f>
        <v/>
      </c>
      <c r="I628" s="39" t="str" cm="1">
        <f t="array" ref="I628">IFERROR(INDEX(Table_dim_price_recipe[Retail Price], MATCH(1, ("Calculator"&lt;&gt;Table_dim_price_recipe[Type.display])*($L628=Table_dim_price_recipe[Category])*($D628=Table_dim_price_recipe[Item Description]) * (I$6=Table_dim_price_recipe[Type])*(Table_dim_price_recipe[Retail Price]&lt;&gt;0)*($C628=Table_dim_price_recipe[Subcategory]), 0))*$B628,"")</f>
        <v/>
      </c>
      <c r="J628" s="39" t="str" cm="1">
        <f t="array" ref="J628">IFERROR(INDEX(Table_dim_price_recipe[Retail Price], MATCH(1, ("Calculator"&lt;&gt;Table_dim_price_recipe[Type.display])*($L628=Table_dim_price_recipe[Category])*($D628=Table_dim_price_recipe[Item Description]) * (J$6=Table_dim_price_recipe[Type])*(Table_dim_price_recipe[Retail Price]&lt;&gt;0)*($C628=Table_dim_price_recipe[Subcategory]), 0))*$B628,"")</f>
        <v/>
      </c>
      <c r="K628" s="39" t="str" cm="1">
        <f t="array" ref="K628">IFERROR(INDEX(Table_dim_price_recipe[Retail Price], MATCH(1, ("Calculator"&lt;&gt;Table_dim_price_recipe[Type.display])*($L628=Table_dim_price_recipe[Category])*($D628=Table_dim_price_recipe[Item Description]) * (K$6=Table_dim_price_recipe[Type])*(Table_dim_price_recipe[Retail Price]&lt;&gt;0)*($C628=Table_dim_price_recipe[Subcategory]), 0))*$B628,"")</f>
        <v/>
      </c>
      <c r="L628" s="39" t="str" cm="1">
        <f t="array" ref="L628">IF($A628&lt;&gt;"", $A628, LOOKUP(2, 1/((A$7:INDEX(A:A, ROW()))&lt;&gt;""), A$7:INDEX(A:A, ROW())))</f>
        <v>CEILINGS &amp; WALLS</v>
      </c>
      <c r="M628" s="14"/>
    </row>
    <row r="629" spans="1:13">
      <c r="A629" s="263"/>
      <c r="B629" s="263"/>
      <c r="C629" s="263" t="s">
        <v>87</v>
      </c>
      <c r="D629" s="263"/>
      <c r="E629" s="263"/>
      <c r="F629" s="263"/>
      <c r="G629" s="39" t="str" cm="1">
        <f t="array" ref="G629">IFERROR(INDEX(Table_dim_price_recipe[Retail Price], MATCH(1, ("Calculator"&lt;&gt;Table_dim_price_recipe[Type.display])*($L629=Table_dim_price_recipe[Category])*($D629=Table_dim_price_recipe[Item Description]) * (G$6=Table_dim_price_recipe[Type])*(Table_dim_price_recipe[Retail Price]&lt;&gt;0)*($C629=Table_dim_price_recipe[Subcategory]), 0))*$B629,"")</f>
        <v/>
      </c>
      <c r="H629" s="39" t="str" cm="1">
        <f t="array" ref="H629">IFERROR(INDEX(Table_dim_price_recipe[Retail Price], MATCH(1, ("Calculator"&lt;&gt;Table_dim_price_recipe[Type.display])*($L629=Table_dim_price_recipe[Category])*($D629=Table_dim_price_recipe[Item Description]) * (H$6=Table_dim_price_recipe[Type])*(Table_dim_price_recipe[Retail Price]&lt;&gt;0)*($C629=Table_dim_price_recipe[Subcategory]), 0))*$B629,"")</f>
        <v/>
      </c>
      <c r="I629" s="39" t="str" cm="1">
        <f t="array" ref="I629">IFERROR(INDEX(Table_dim_price_recipe[Retail Price], MATCH(1, ("Calculator"&lt;&gt;Table_dim_price_recipe[Type.display])*($L629=Table_dim_price_recipe[Category])*($D629=Table_dim_price_recipe[Item Description]) * (I$6=Table_dim_price_recipe[Type])*(Table_dim_price_recipe[Retail Price]&lt;&gt;0)*($C629=Table_dim_price_recipe[Subcategory]), 0))*$B629,"")</f>
        <v/>
      </c>
      <c r="J629" s="39" t="str" cm="1">
        <f t="array" ref="J629">IFERROR(INDEX(Table_dim_price_recipe[Retail Price], MATCH(1, ("Calculator"&lt;&gt;Table_dim_price_recipe[Type.display])*($L629=Table_dim_price_recipe[Category])*($D629=Table_dim_price_recipe[Item Description]) * (J$6=Table_dim_price_recipe[Type])*(Table_dim_price_recipe[Retail Price]&lt;&gt;0)*($C629=Table_dim_price_recipe[Subcategory]), 0))*$B629,"")</f>
        <v/>
      </c>
      <c r="K629" s="39" t="str" cm="1">
        <f t="array" ref="K629">IFERROR(INDEX(Table_dim_price_recipe[Retail Price], MATCH(1, ("Calculator"&lt;&gt;Table_dim_price_recipe[Type.display])*($L629=Table_dim_price_recipe[Category])*($D629=Table_dim_price_recipe[Item Description]) * (K$6=Table_dim_price_recipe[Type])*(Table_dim_price_recipe[Retail Price]&lt;&gt;0)*($C629=Table_dim_price_recipe[Subcategory]), 0))*$B629,"")</f>
        <v/>
      </c>
      <c r="L629" s="39" t="str" cm="1">
        <f t="array" ref="L629">IF($A629&lt;&gt;"", $A629, LOOKUP(2, 1/((A$7:INDEX(A:A, ROW()))&lt;&gt;""), A$7:INDEX(A:A, ROW())))</f>
        <v>CEILINGS &amp; WALLS</v>
      </c>
      <c r="M629" s="14"/>
    </row>
    <row r="630" spans="1:13">
      <c r="A630" s="263"/>
      <c r="B630" s="263"/>
      <c r="C630" s="263" t="s">
        <v>87</v>
      </c>
      <c r="D630" s="263"/>
      <c r="E630" s="263"/>
      <c r="F630" s="263"/>
      <c r="G630" s="39" t="str" cm="1">
        <f t="array" ref="G630">IFERROR(INDEX(Table_dim_price_recipe[Retail Price], MATCH(1, ("Calculator"&lt;&gt;Table_dim_price_recipe[Type.display])*($L630=Table_dim_price_recipe[Category])*($D630=Table_dim_price_recipe[Item Description]) * (G$6=Table_dim_price_recipe[Type])*(Table_dim_price_recipe[Retail Price]&lt;&gt;0)*($C630=Table_dim_price_recipe[Subcategory]), 0))*$B630,"")</f>
        <v/>
      </c>
      <c r="H630" s="39" t="str" cm="1">
        <f t="array" ref="H630">IFERROR(INDEX(Table_dim_price_recipe[Retail Price], MATCH(1, ("Calculator"&lt;&gt;Table_dim_price_recipe[Type.display])*($L630=Table_dim_price_recipe[Category])*($D630=Table_dim_price_recipe[Item Description]) * (H$6=Table_dim_price_recipe[Type])*(Table_dim_price_recipe[Retail Price]&lt;&gt;0)*($C630=Table_dim_price_recipe[Subcategory]), 0))*$B630,"")</f>
        <v/>
      </c>
      <c r="I630" s="39" t="str" cm="1">
        <f t="array" ref="I630">IFERROR(INDEX(Table_dim_price_recipe[Retail Price], MATCH(1, ("Calculator"&lt;&gt;Table_dim_price_recipe[Type.display])*($L630=Table_dim_price_recipe[Category])*($D630=Table_dim_price_recipe[Item Description]) * (I$6=Table_dim_price_recipe[Type])*(Table_dim_price_recipe[Retail Price]&lt;&gt;0)*($C630=Table_dim_price_recipe[Subcategory]), 0))*$B630,"")</f>
        <v/>
      </c>
      <c r="J630" s="39" t="str" cm="1">
        <f t="array" ref="J630">IFERROR(INDEX(Table_dim_price_recipe[Retail Price], MATCH(1, ("Calculator"&lt;&gt;Table_dim_price_recipe[Type.display])*($L630=Table_dim_price_recipe[Category])*($D630=Table_dim_price_recipe[Item Description]) * (J$6=Table_dim_price_recipe[Type])*(Table_dim_price_recipe[Retail Price]&lt;&gt;0)*($C630=Table_dim_price_recipe[Subcategory]), 0))*$B630,"")</f>
        <v/>
      </c>
      <c r="K630" s="39" t="str" cm="1">
        <f t="array" ref="K630">IFERROR(INDEX(Table_dim_price_recipe[Retail Price], MATCH(1, ("Calculator"&lt;&gt;Table_dim_price_recipe[Type.display])*($L630=Table_dim_price_recipe[Category])*($D630=Table_dim_price_recipe[Item Description]) * (K$6=Table_dim_price_recipe[Type])*(Table_dim_price_recipe[Retail Price]&lt;&gt;0)*($C630=Table_dim_price_recipe[Subcategory]), 0))*$B630,"")</f>
        <v/>
      </c>
      <c r="L630" s="39" t="str" cm="1">
        <f t="array" ref="L630">IF($A630&lt;&gt;"", $A630, LOOKUP(2, 1/((A$7:INDEX(A:A, ROW()))&lt;&gt;""), A$7:INDEX(A:A, ROW())))</f>
        <v>CEILINGS &amp; WALLS</v>
      </c>
      <c r="M630" s="14"/>
    </row>
    <row r="631" spans="1:13">
      <c r="A631" s="263"/>
      <c r="B631" s="263"/>
      <c r="C631" s="263" t="s">
        <v>1067</v>
      </c>
      <c r="D631" s="263" t="s">
        <v>1075</v>
      </c>
      <c r="E631" s="263"/>
      <c r="F631" s="263"/>
      <c r="G631" s="39" cm="1">
        <f t="array" ref="G631">IFERROR(INDEX(Table_dim_price_recipe[Retail Price], MATCH(1, ("Calculator"&lt;&gt;Table_dim_price_recipe[Type.display])*($L631=Table_dim_price_recipe[Category])*($D631=Table_dim_price_recipe[Item Description]) * (G$6=Table_dim_price_recipe[Type])*(Table_dim_price_recipe[Retail Price]&lt;&gt;0)*($C631=Table_dim_price_recipe[Subcategory]), 0))*$B631,"")</f>
        <v>0</v>
      </c>
      <c r="H631" s="39" t="str" cm="1">
        <f t="array" ref="H631">IFERROR(INDEX(Table_dim_price_recipe[Retail Price], MATCH(1, ("Calculator"&lt;&gt;Table_dim_price_recipe[Type.display])*($L631=Table_dim_price_recipe[Category])*($D631=Table_dim_price_recipe[Item Description]) * (H$6=Table_dim_price_recipe[Type])*(Table_dim_price_recipe[Retail Price]&lt;&gt;0)*($C631=Table_dim_price_recipe[Subcategory]), 0))*$B631,"")</f>
        <v/>
      </c>
      <c r="I631" s="39" t="str" cm="1">
        <f t="array" ref="I631">IFERROR(INDEX(Table_dim_price_recipe[Retail Price], MATCH(1, ("Calculator"&lt;&gt;Table_dim_price_recipe[Type.display])*($L631=Table_dim_price_recipe[Category])*($D631=Table_dim_price_recipe[Item Description]) * (I$6=Table_dim_price_recipe[Type])*(Table_dim_price_recipe[Retail Price]&lt;&gt;0)*($C631=Table_dim_price_recipe[Subcategory]), 0))*$B631,"")</f>
        <v/>
      </c>
      <c r="J631" s="39" t="str" cm="1">
        <f t="array" ref="J631">IFERROR(INDEX(Table_dim_price_recipe[Retail Price], MATCH(1, ("Calculator"&lt;&gt;Table_dim_price_recipe[Type.display])*($L631=Table_dim_price_recipe[Category])*($D631=Table_dim_price_recipe[Item Description]) * (J$6=Table_dim_price_recipe[Type])*(Table_dim_price_recipe[Retail Price]&lt;&gt;0)*($C631=Table_dim_price_recipe[Subcategory]), 0))*$B631,"")</f>
        <v/>
      </c>
      <c r="K631" s="39" t="str" cm="1">
        <f t="array" ref="K631">IFERROR(INDEX(Table_dim_price_recipe[Retail Price], MATCH(1, ("Calculator"&lt;&gt;Table_dim_price_recipe[Type.display])*($L631=Table_dim_price_recipe[Category])*($D631=Table_dim_price_recipe[Item Description]) * (K$6=Table_dim_price_recipe[Type])*(Table_dim_price_recipe[Retail Price]&lt;&gt;0)*($C631=Table_dim_price_recipe[Subcategory]), 0))*$B631,"")</f>
        <v/>
      </c>
      <c r="L631" s="39" t="str" cm="1">
        <f t="array" ref="L631">IF($A631&lt;&gt;"", $A631, LOOKUP(2, 1/((A$7:INDEX(A:A, ROW()))&lt;&gt;""), A$7:INDEX(A:A, ROW())))</f>
        <v>CEILINGS &amp; WALLS</v>
      </c>
      <c r="M631" s="14"/>
    </row>
    <row r="632" spans="1:13">
      <c r="A632" s="263"/>
      <c r="B632" s="263"/>
      <c r="C632" s="263" t="s">
        <v>1067</v>
      </c>
      <c r="D632" s="263" t="s">
        <v>1074</v>
      </c>
      <c r="E632" s="263"/>
      <c r="F632" s="263"/>
      <c r="G632" s="39" cm="1">
        <f t="array" ref="G632">IFERROR(INDEX(Table_dim_price_recipe[Retail Price], MATCH(1, ("Calculator"&lt;&gt;Table_dim_price_recipe[Type.display])*($L632=Table_dim_price_recipe[Category])*($D632=Table_dim_price_recipe[Item Description]) * (G$6=Table_dim_price_recipe[Type])*(Table_dim_price_recipe[Retail Price]&lt;&gt;0)*($C632=Table_dim_price_recipe[Subcategory]), 0))*$B632,"")</f>
        <v>0</v>
      </c>
      <c r="H632" s="39" t="str" cm="1">
        <f t="array" ref="H632">IFERROR(INDEX(Table_dim_price_recipe[Retail Price], MATCH(1, ("Calculator"&lt;&gt;Table_dim_price_recipe[Type.display])*($L632=Table_dim_price_recipe[Category])*($D632=Table_dim_price_recipe[Item Description]) * (H$6=Table_dim_price_recipe[Type])*(Table_dim_price_recipe[Retail Price]&lt;&gt;0)*($C632=Table_dim_price_recipe[Subcategory]), 0))*$B632,"")</f>
        <v/>
      </c>
      <c r="I632" s="39" t="str" cm="1">
        <f t="array" ref="I632">IFERROR(INDEX(Table_dim_price_recipe[Retail Price], MATCH(1, ("Calculator"&lt;&gt;Table_dim_price_recipe[Type.display])*($L632=Table_dim_price_recipe[Category])*($D632=Table_dim_price_recipe[Item Description]) * (I$6=Table_dim_price_recipe[Type])*(Table_dim_price_recipe[Retail Price]&lt;&gt;0)*($C632=Table_dim_price_recipe[Subcategory]), 0))*$B632,"")</f>
        <v/>
      </c>
      <c r="J632" s="39" t="str" cm="1">
        <f t="array" ref="J632">IFERROR(INDEX(Table_dim_price_recipe[Retail Price], MATCH(1, ("Calculator"&lt;&gt;Table_dim_price_recipe[Type.display])*($L632=Table_dim_price_recipe[Category])*($D632=Table_dim_price_recipe[Item Description]) * (J$6=Table_dim_price_recipe[Type])*(Table_dim_price_recipe[Retail Price]&lt;&gt;0)*($C632=Table_dim_price_recipe[Subcategory]), 0))*$B632,"")</f>
        <v/>
      </c>
      <c r="K632" s="39" t="str" cm="1">
        <f t="array" ref="K632">IFERROR(INDEX(Table_dim_price_recipe[Retail Price], MATCH(1, ("Calculator"&lt;&gt;Table_dim_price_recipe[Type.display])*($L632=Table_dim_price_recipe[Category])*($D632=Table_dim_price_recipe[Item Description]) * (K$6=Table_dim_price_recipe[Type])*(Table_dim_price_recipe[Retail Price]&lt;&gt;0)*($C632=Table_dim_price_recipe[Subcategory]), 0))*$B632,"")</f>
        <v/>
      </c>
      <c r="L632" s="39" t="str" cm="1">
        <f t="array" ref="L632">IF($A632&lt;&gt;"", $A632, LOOKUP(2, 1/((A$7:INDEX(A:A, ROW()))&lt;&gt;""), A$7:INDEX(A:A, ROW())))</f>
        <v>CEILINGS &amp; WALLS</v>
      </c>
      <c r="M632" s="14"/>
    </row>
    <row r="633" spans="1:13">
      <c r="A633" s="263"/>
      <c r="B633" s="263"/>
      <c r="C633" s="263" t="s">
        <v>1067</v>
      </c>
      <c r="D633" s="263" t="s">
        <v>1073</v>
      </c>
      <c r="E633" s="263"/>
      <c r="F633" s="263"/>
      <c r="G633" s="39" cm="1">
        <f t="array" ref="G633">IFERROR(INDEX(Table_dim_price_recipe[Retail Price], MATCH(1, ("Calculator"&lt;&gt;Table_dim_price_recipe[Type.display])*($L633=Table_dim_price_recipe[Category])*($D633=Table_dim_price_recipe[Item Description]) * (G$6=Table_dim_price_recipe[Type])*(Table_dim_price_recipe[Retail Price]&lt;&gt;0)*($C633=Table_dim_price_recipe[Subcategory]), 0))*$B633,"")</f>
        <v>0</v>
      </c>
      <c r="H633" s="39" t="str" cm="1">
        <f t="array" ref="H633">IFERROR(INDEX(Table_dim_price_recipe[Retail Price], MATCH(1, ("Calculator"&lt;&gt;Table_dim_price_recipe[Type.display])*($L633=Table_dim_price_recipe[Category])*($D633=Table_dim_price_recipe[Item Description]) * (H$6=Table_dim_price_recipe[Type])*(Table_dim_price_recipe[Retail Price]&lt;&gt;0)*($C633=Table_dim_price_recipe[Subcategory]), 0))*$B633,"")</f>
        <v/>
      </c>
      <c r="I633" s="39" t="str" cm="1">
        <f t="array" ref="I633">IFERROR(INDEX(Table_dim_price_recipe[Retail Price], MATCH(1, ("Calculator"&lt;&gt;Table_dim_price_recipe[Type.display])*($L633=Table_dim_price_recipe[Category])*($D633=Table_dim_price_recipe[Item Description]) * (I$6=Table_dim_price_recipe[Type])*(Table_dim_price_recipe[Retail Price]&lt;&gt;0)*($C633=Table_dim_price_recipe[Subcategory]), 0))*$B633,"")</f>
        <v/>
      </c>
      <c r="J633" s="39" t="str" cm="1">
        <f t="array" ref="J633">IFERROR(INDEX(Table_dim_price_recipe[Retail Price], MATCH(1, ("Calculator"&lt;&gt;Table_dim_price_recipe[Type.display])*($L633=Table_dim_price_recipe[Category])*($D633=Table_dim_price_recipe[Item Description]) * (J$6=Table_dim_price_recipe[Type])*(Table_dim_price_recipe[Retail Price]&lt;&gt;0)*($C633=Table_dim_price_recipe[Subcategory]), 0))*$B633,"")</f>
        <v/>
      </c>
      <c r="K633" s="39" t="str" cm="1">
        <f t="array" ref="K633">IFERROR(INDEX(Table_dim_price_recipe[Retail Price], MATCH(1, ("Calculator"&lt;&gt;Table_dim_price_recipe[Type.display])*($L633=Table_dim_price_recipe[Category])*($D633=Table_dim_price_recipe[Item Description]) * (K$6=Table_dim_price_recipe[Type])*(Table_dim_price_recipe[Retail Price]&lt;&gt;0)*($C633=Table_dim_price_recipe[Subcategory]), 0))*$B633,"")</f>
        <v/>
      </c>
      <c r="L633" s="39" t="str" cm="1">
        <f t="array" ref="L633">IF($A633&lt;&gt;"", $A633, LOOKUP(2, 1/((A$7:INDEX(A:A, ROW()))&lt;&gt;""), A$7:INDEX(A:A, ROW())))</f>
        <v>CEILINGS &amp; WALLS</v>
      </c>
      <c r="M633" s="14"/>
    </row>
    <row r="634" spans="1:13">
      <c r="A634" s="263"/>
      <c r="B634" s="263"/>
      <c r="C634" s="263" t="s">
        <v>1067</v>
      </c>
      <c r="D634" s="263" t="s">
        <v>1072</v>
      </c>
      <c r="E634" s="263"/>
      <c r="F634" s="263"/>
      <c r="G634" s="39" cm="1">
        <f t="array" ref="G634">IFERROR(INDEX(Table_dim_price_recipe[Retail Price], MATCH(1, ("Calculator"&lt;&gt;Table_dim_price_recipe[Type.display])*($L634=Table_dim_price_recipe[Category])*($D634=Table_dim_price_recipe[Item Description]) * (G$6=Table_dim_price_recipe[Type])*(Table_dim_price_recipe[Retail Price]&lt;&gt;0)*($C634=Table_dim_price_recipe[Subcategory]), 0))*$B634,"")</f>
        <v>0</v>
      </c>
      <c r="H634" s="39" t="str" cm="1">
        <f t="array" ref="H634">IFERROR(INDEX(Table_dim_price_recipe[Retail Price], MATCH(1, ("Calculator"&lt;&gt;Table_dim_price_recipe[Type.display])*($L634=Table_dim_price_recipe[Category])*($D634=Table_dim_price_recipe[Item Description]) * (H$6=Table_dim_price_recipe[Type])*(Table_dim_price_recipe[Retail Price]&lt;&gt;0)*($C634=Table_dim_price_recipe[Subcategory]), 0))*$B634,"")</f>
        <v/>
      </c>
      <c r="I634" s="39" t="str" cm="1">
        <f t="array" ref="I634">IFERROR(INDEX(Table_dim_price_recipe[Retail Price], MATCH(1, ("Calculator"&lt;&gt;Table_dim_price_recipe[Type.display])*($L634=Table_dim_price_recipe[Category])*($D634=Table_dim_price_recipe[Item Description]) * (I$6=Table_dim_price_recipe[Type])*(Table_dim_price_recipe[Retail Price]&lt;&gt;0)*($C634=Table_dim_price_recipe[Subcategory]), 0))*$B634,"")</f>
        <v/>
      </c>
      <c r="J634" s="39" t="str" cm="1">
        <f t="array" ref="J634">IFERROR(INDEX(Table_dim_price_recipe[Retail Price], MATCH(1, ("Calculator"&lt;&gt;Table_dim_price_recipe[Type.display])*($L634=Table_dim_price_recipe[Category])*($D634=Table_dim_price_recipe[Item Description]) * (J$6=Table_dim_price_recipe[Type])*(Table_dim_price_recipe[Retail Price]&lt;&gt;0)*($C634=Table_dim_price_recipe[Subcategory]), 0))*$B634,"")</f>
        <v/>
      </c>
      <c r="K634" s="39" t="str" cm="1">
        <f t="array" ref="K634">IFERROR(INDEX(Table_dim_price_recipe[Retail Price], MATCH(1, ("Calculator"&lt;&gt;Table_dim_price_recipe[Type.display])*($L634=Table_dim_price_recipe[Category])*($D634=Table_dim_price_recipe[Item Description]) * (K$6=Table_dim_price_recipe[Type])*(Table_dim_price_recipe[Retail Price]&lt;&gt;0)*($C634=Table_dim_price_recipe[Subcategory]), 0))*$B634,"")</f>
        <v/>
      </c>
      <c r="L634" s="39" t="str" cm="1">
        <f t="array" ref="L634">IF($A634&lt;&gt;"", $A634, LOOKUP(2, 1/((A$7:INDEX(A:A, ROW()))&lt;&gt;""), A$7:INDEX(A:A, ROW())))</f>
        <v>CEILINGS &amp; WALLS</v>
      </c>
    </row>
    <row r="635" spans="1:13">
      <c r="A635" s="263"/>
      <c r="B635" s="263"/>
      <c r="C635" s="263" t="s">
        <v>1067</v>
      </c>
      <c r="D635" s="263" t="s">
        <v>1071</v>
      </c>
      <c r="E635" s="263"/>
      <c r="F635" s="263"/>
      <c r="G635" s="39" cm="1">
        <f t="array" ref="G635">IFERROR(INDEX(Table_dim_price_recipe[Retail Price], MATCH(1, ("Calculator"&lt;&gt;Table_dim_price_recipe[Type.display])*($L635=Table_dim_price_recipe[Category])*($D635=Table_dim_price_recipe[Item Description]) * (G$6=Table_dim_price_recipe[Type])*(Table_dim_price_recipe[Retail Price]&lt;&gt;0)*($C635=Table_dim_price_recipe[Subcategory]), 0))*$B635,"")</f>
        <v>0</v>
      </c>
      <c r="H635" s="39" t="str" cm="1">
        <f t="array" ref="H635">IFERROR(INDEX(Table_dim_price_recipe[Retail Price], MATCH(1, ("Calculator"&lt;&gt;Table_dim_price_recipe[Type.display])*($L635=Table_dim_price_recipe[Category])*($D635=Table_dim_price_recipe[Item Description]) * (H$6=Table_dim_price_recipe[Type])*(Table_dim_price_recipe[Retail Price]&lt;&gt;0)*($C635=Table_dim_price_recipe[Subcategory]), 0))*$B635,"")</f>
        <v/>
      </c>
      <c r="I635" s="39" t="str" cm="1">
        <f t="array" ref="I635">IFERROR(INDEX(Table_dim_price_recipe[Retail Price], MATCH(1, ("Calculator"&lt;&gt;Table_dim_price_recipe[Type.display])*($L635=Table_dim_price_recipe[Category])*($D635=Table_dim_price_recipe[Item Description]) * (I$6=Table_dim_price_recipe[Type])*(Table_dim_price_recipe[Retail Price]&lt;&gt;0)*($C635=Table_dim_price_recipe[Subcategory]), 0))*$B635,"")</f>
        <v/>
      </c>
      <c r="J635" s="39" t="str" cm="1">
        <f t="array" ref="J635">IFERROR(INDEX(Table_dim_price_recipe[Retail Price], MATCH(1, ("Calculator"&lt;&gt;Table_dim_price_recipe[Type.display])*($L635=Table_dim_price_recipe[Category])*($D635=Table_dim_price_recipe[Item Description]) * (J$6=Table_dim_price_recipe[Type])*(Table_dim_price_recipe[Retail Price]&lt;&gt;0)*($C635=Table_dim_price_recipe[Subcategory]), 0))*$B635,"")</f>
        <v/>
      </c>
      <c r="K635" s="39" t="str" cm="1">
        <f t="array" ref="K635">IFERROR(INDEX(Table_dim_price_recipe[Retail Price], MATCH(1, ("Calculator"&lt;&gt;Table_dim_price_recipe[Type.display])*($L635=Table_dim_price_recipe[Category])*($D635=Table_dim_price_recipe[Item Description]) * (K$6=Table_dim_price_recipe[Type])*(Table_dim_price_recipe[Retail Price]&lt;&gt;0)*($C635=Table_dim_price_recipe[Subcategory]), 0))*$B635,"")</f>
        <v/>
      </c>
      <c r="L635" s="39" t="str" cm="1">
        <f t="array" ref="L635">IF($A635&lt;&gt;"", $A635, LOOKUP(2, 1/((A$7:INDEX(A:A, ROW()))&lt;&gt;""), A$7:INDEX(A:A, ROW())))</f>
        <v>CEILINGS &amp; WALLS</v>
      </c>
    </row>
    <row r="636" spans="1:13">
      <c r="A636" s="263"/>
      <c r="B636" s="263"/>
      <c r="C636" s="263" t="s">
        <v>1067</v>
      </c>
      <c r="D636" s="263" t="s">
        <v>1070</v>
      </c>
      <c r="E636" s="263"/>
      <c r="F636" s="263"/>
      <c r="G636" s="39" cm="1">
        <f t="array" ref="G636">IFERROR(INDEX(Table_dim_price_recipe[Retail Price], MATCH(1, ("Calculator"&lt;&gt;Table_dim_price_recipe[Type.display])*($L636=Table_dim_price_recipe[Category])*($D636=Table_dim_price_recipe[Item Description]) * (G$6=Table_dim_price_recipe[Type])*(Table_dim_price_recipe[Retail Price]&lt;&gt;0)*($C636=Table_dim_price_recipe[Subcategory]), 0))*$B636,"")</f>
        <v>0</v>
      </c>
      <c r="H636" s="39" t="str" cm="1">
        <f t="array" ref="H636">IFERROR(INDEX(Table_dim_price_recipe[Retail Price], MATCH(1, ("Calculator"&lt;&gt;Table_dim_price_recipe[Type.display])*($L636=Table_dim_price_recipe[Category])*($D636=Table_dim_price_recipe[Item Description]) * (H$6=Table_dim_price_recipe[Type])*(Table_dim_price_recipe[Retail Price]&lt;&gt;0)*($C636=Table_dim_price_recipe[Subcategory]), 0))*$B636,"")</f>
        <v/>
      </c>
      <c r="I636" s="39" t="str" cm="1">
        <f t="array" ref="I636">IFERROR(INDEX(Table_dim_price_recipe[Retail Price], MATCH(1, ("Calculator"&lt;&gt;Table_dim_price_recipe[Type.display])*($L636=Table_dim_price_recipe[Category])*($D636=Table_dim_price_recipe[Item Description]) * (I$6=Table_dim_price_recipe[Type])*(Table_dim_price_recipe[Retail Price]&lt;&gt;0)*($C636=Table_dim_price_recipe[Subcategory]), 0))*$B636,"")</f>
        <v/>
      </c>
      <c r="J636" s="39" t="str" cm="1">
        <f t="array" ref="J636">IFERROR(INDEX(Table_dim_price_recipe[Retail Price], MATCH(1, ("Calculator"&lt;&gt;Table_dim_price_recipe[Type.display])*($L636=Table_dim_price_recipe[Category])*($D636=Table_dim_price_recipe[Item Description]) * (J$6=Table_dim_price_recipe[Type])*(Table_dim_price_recipe[Retail Price]&lt;&gt;0)*($C636=Table_dim_price_recipe[Subcategory]), 0))*$B636,"")</f>
        <v/>
      </c>
      <c r="K636" s="39" t="str" cm="1">
        <f t="array" ref="K636">IFERROR(INDEX(Table_dim_price_recipe[Retail Price], MATCH(1, ("Calculator"&lt;&gt;Table_dim_price_recipe[Type.display])*($L636=Table_dim_price_recipe[Category])*($D636=Table_dim_price_recipe[Item Description]) * (K$6=Table_dim_price_recipe[Type])*(Table_dim_price_recipe[Retail Price]&lt;&gt;0)*($C636=Table_dim_price_recipe[Subcategory]), 0))*$B636,"")</f>
        <v/>
      </c>
      <c r="L636" s="39" t="str" cm="1">
        <f t="array" ref="L636">IF($A636&lt;&gt;"", $A636, LOOKUP(2, 1/((A$7:INDEX(A:A, ROW()))&lt;&gt;""), A$7:INDEX(A:A, ROW())))</f>
        <v>CEILINGS &amp; WALLS</v>
      </c>
      <c r="M636" s="14"/>
    </row>
    <row r="637" spans="1:13">
      <c r="A637" s="263"/>
      <c r="B637" s="263"/>
      <c r="C637" s="263" t="s">
        <v>1067</v>
      </c>
      <c r="D637" s="263" t="s">
        <v>1069</v>
      </c>
      <c r="E637" s="263"/>
      <c r="F637" s="263"/>
      <c r="G637" s="39" cm="1">
        <f t="array" ref="G637">IFERROR(INDEX(Table_dim_price_recipe[Retail Price], MATCH(1, ("Calculator"&lt;&gt;Table_dim_price_recipe[Type.display])*($L637=Table_dim_price_recipe[Category])*($D637=Table_dim_price_recipe[Item Description]) * (G$6=Table_dim_price_recipe[Type])*(Table_dim_price_recipe[Retail Price]&lt;&gt;0)*($C637=Table_dim_price_recipe[Subcategory]), 0))*$B637,"")</f>
        <v>0</v>
      </c>
      <c r="H637" s="39" t="str" cm="1">
        <f t="array" ref="H637">IFERROR(INDEX(Table_dim_price_recipe[Retail Price], MATCH(1, ("Calculator"&lt;&gt;Table_dim_price_recipe[Type.display])*($L637=Table_dim_price_recipe[Category])*($D637=Table_dim_price_recipe[Item Description]) * (H$6=Table_dim_price_recipe[Type])*(Table_dim_price_recipe[Retail Price]&lt;&gt;0)*($C637=Table_dim_price_recipe[Subcategory]), 0))*$B637,"")</f>
        <v/>
      </c>
      <c r="I637" s="39" t="str" cm="1">
        <f t="array" ref="I637">IFERROR(INDEX(Table_dim_price_recipe[Retail Price], MATCH(1, ("Calculator"&lt;&gt;Table_dim_price_recipe[Type.display])*($L637=Table_dim_price_recipe[Category])*($D637=Table_dim_price_recipe[Item Description]) * (I$6=Table_dim_price_recipe[Type])*(Table_dim_price_recipe[Retail Price]&lt;&gt;0)*($C637=Table_dim_price_recipe[Subcategory]), 0))*$B637,"")</f>
        <v/>
      </c>
      <c r="J637" s="39" t="str" cm="1">
        <f t="array" ref="J637">IFERROR(INDEX(Table_dim_price_recipe[Retail Price], MATCH(1, ("Calculator"&lt;&gt;Table_dim_price_recipe[Type.display])*($L637=Table_dim_price_recipe[Category])*($D637=Table_dim_price_recipe[Item Description]) * (J$6=Table_dim_price_recipe[Type])*(Table_dim_price_recipe[Retail Price]&lt;&gt;0)*($C637=Table_dim_price_recipe[Subcategory]), 0))*$B637,"")</f>
        <v/>
      </c>
      <c r="K637" s="39" t="str" cm="1">
        <f t="array" ref="K637">IFERROR(INDEX(Table_dim_price_recipe[Retail Price], MATCH(1, ("Calculator"&lt;&gt;Table_dim_price_recipe[Type.display])*($L637=Table_dim_price_recipe[Category])*($D637=Table_dim_price_recipe[Item Description]) * (K$6=Table_dim_price_recipe[Type])*(Table_dim_price_recipe[Retail Price]&lt;&gt;0)*($C637=Table_dim_price_recipe[Subcategory]), 0))*$B637,"")</f>
        <v/>
      </c>
      <c r="L637" s="39" t="str" cm="1">
        <f t="array" ref="L637">IF($A637&lt;&gt;"", $A637, LOOKUP(2, 1/((A$7:INDEX(A:A, ROW()))&lt;&gt;""), A$7:INDEX(A:A, ROW())))</f>
        <v>CEILINGS &amp; WALLS</v>
      </c>
      <c r="M637" s="14"/>
    </row>
    <row r="638" spans="1:13">
      <c r="A638" s="263"/>
      <c r="B638" s="263"/>
      <c r="C638" s="263" t="s">
        <v>1067</v>
      </c>
      <c r="D638" s="263" t="s">
        <v>1068</v>
      </c>
      <c r="E638" s="263"/>
      <c r="F638" s="263"/>
      <c r="G638" s="39" cm="1">
        <f t="array" ref="G638">IFERROR(INDEX(Table_dim_price_recipe[Retail Price], MATCH(1, ("Calculator"&lt;&gt;Table_dim_price_recipe[Type.display])*($L638=Table_dim_price_recipe[Category])*($D638=Table_dim_price_recipe[Item Description]) * (G$6=Table_dim_price_recipe[Type])*(Table_dim_price_recipe[Retail Price]&lt;&gt;0)*($C638=Table_dim_price_recipe[Subcategory]), 0))*$B638,"")</f>
        <v>0</v>
      </c>
      <c r="H638" s="39" t="str" cm="1">
        <f t="array" ref="H638">IFERROR(INDEX(Table_dim_price_recipe[Retail Price], MATCH(1, ("Calculator"&lt;&gt;Table_dim_price_recipe[Type.display])*($L638=Table_dim_price_recipe[Category])*($D638=Table_dim_price_recipe[Item Description]) * (H$6=Table_dim_price_recipe[Type])*(Table_dim_price_recipe[Retail Price]&lt;&gt;0)*($C638=Table_dim_price_recipe[Subcategory]), 0))*$B638,"")</f>
        <v/>
      </c>
      <c r="I638" s="39" t="str" cm="1">
        <f t="array" ref="I638">IFERROR(INDEX(Table_dim_price_recipe[Retail Price], MATCH(1, ("Calculator"&lt;&gt;Table_dim_price_recipe[Type.display])*($L638=Table_dim_price_recipe[Category])*($D638=Table_dim_price_recipe[Item Description]) * (I$6=Table_dim_price_recipe[Type])*(Table_dim_price_recipe[Retail Price]&lt;&gt;0)*($C638=Table_dim_price_recipe[Subcategory]), 0))*$B638,"")</f>
        <v/>
      </c>
      <c r="J638" s="39" t="str" cm="1">
        <f t="array" ref="J638">IFERROR(INDEX(Table_dim_price_recipe[Retail Price], MATCH(1, ("Calculator"&lt;&gt;Table_dim_price_recipe[Type.display])*($L638=Table_dim_price_recipe[Category])*($D638=Table_dim_price_recipe[Item Description]) * (J$6=Table_dim_price_recipe[Type])*(Table_dim_price_recipe[Retail Price]&lt;&gt;0)*($C638=Table_dim_price_recipe[Subcategory]), 0))*$B638,"")</f>
        <v/>
      </c>
      <c r="K638" s="39" t="str" cm="1">
        <f t="array" ref="K638">IFERROR(INDEX(Table_dim_price_recipe[Retail Price], MATCH(1, ("Calculator"&lt;&gt;Table_dim_price_recipe[Type.display])*($L638=Table_dim_price_recipe[Category])*($D638=Table_dim_price_recipe[Item Description]) * (K$6=Table_dim_price_recipe[Type])*(Table_dim_price_recipe[Retail Price]&lt;&gt;0)*($C638=Table_dim_price_recipe[Subcategory]), 0))*$B638,"")</f>
        <v/>
      </c>
      <c r="L638" s="39" t="str" cm="1">
        <f t="array" ref="L638">IF($A638&lt;&gt;"", $A638, LOOKUP(2, 1/((A$7:INDEX(A:A, ROW()))&lt;&gt;""), A$7:INDEX(A:A, ROW())))</f>
        <v>CEILINGS &amp; WALLS</v>
      </c>
      <c r="M638" s="14"/>
    </row>
    <row r="639" spans="1:13">
      <c r="A639" s="263"/>
      <c r="B639" s="263"/>
      <c r="C639" s="263" t="s">
        <v>1067</v>
      </c>
      <c r="D639" s="263"/>
      <c r="E639" s="263"/>
      <c r="F639" s="263"/>
      <c r="G639" s="39" t="str" cm="1">
        <f t="array" ref="G639">IFERROR(INDEX(Table_dim_price_recipe[Retail Price], MATCH(1, ("Calculator"&lt;&gt;Table_dim_price_recipe[Type.display])*($L639=Table_dim_price_recipe[Category])*($D639=Table_dim_price_recipe[Item Description]) * (G$6=Table_dim_price_recipe[Type])*(Table_dim_price_recipe[Retail Price]&lt;&gt;0)*($C639=Table_dim_price_recipe[Subcategory]), 0))*$B639,"")</f>
        <v/>
      </c>
      <c r="H639" s="39" t="str" cm="1">
        <f t="array" ref="H639">IFERROR(INDEX(Table_dim_price_recipe[Retail Price], MATCH(1, ("Calculator"&lt;&gt;Table_dim_price_recipe[Type.display])*($L639=Table_dim_price_recipe[Category])*($D639=Table_dim_price_recipe[Item Description]) * (H$6=Table_dim_price_recipe[Type])*(Table_dim_price_recipe[Retail Price]&lt;&gt;0)*($C639=Table_dim_price_recipe[Subcategory]), 0))*$B639,"")</f>
        <v/>
      </c>
      <c r="I639" s="39" t="str" cm="1">
        <f t="array" ref="I639">IFERROR(INDEX(Table_dim_price_recipe[Retail Price], MATCH(1, ("Calculator"&lt;&gt;Table_dim_price_recipe[Type.display])*($L639=Table_dim_price_recipe[Category])*($D639=Table_dim_price_recipe[Item Description]) * (I$6=Table_dim_price_recipe[Type])*(Table_dim_price_recipe[Retail Price]&lt;&gt;0)*($C639=Table_dim_price_recipe[Subcategory]), 0))*$B639,"")</f>
        <v/>
      </c>
      <c r="J639" s="39" t="str" cm="1">
        <f t="array" ref="J639">IFERROR(INDEX(Table_dim_price_recipe[Retail Price], MATCH(1, ("Calculator"&lt;&gt;Table_dim_price_recipe[Type.display])*($L639=Table_dim_price_recipe[Category])*($D639=Table_dim_price_recipe[Item Description]) * (J$6=Table_dim_price_recipe[Type])*(Table_dim_price_recipe[Retail Price]&lt;&gt;0)*($C639=Table_dim_price_recipe[Subcategory]), 0))*$B639,"")</f>
        <v/>
      </c>
      <c r="K639" s="39" t="str" cm="1">
        <f t="array" ref="K639">IFERROR(INDEX(Table_dim_price_recipe[Retail Price], MATCH(1, ("Calculator"&lt;&gt;Table_dim_price_recipe[Type.display])*($L639=Table_dim_price_recipe[Category])*($D639=Table_dim_price_recipe[Item Description]) * (K$6=Table_dim_price_recipe[Type])*(Table_dim_price_recipe[Retail Price]&lt;&gt;0)*($C639=Table_dim_price_recipe[Subcategory]), 0))*$B639,"")</f>
        <v/>
      </c>
      <c r="L639" s="39" t="str" cm="1">
        <f t="array" ref="L639">IF($A639&lt;&gt;"", $A639, LOOKUP(2, 1/((A$7:INDEX(A:A, ROW()))&lt;&gt;""), A$7:INDEX(A:A, ROW())))</f>
        <v>CEILINGS &amp; WALLS</v>
      </c>
      <c r="M639" s="14"/>
    </row>
    <row r="640" spans="1:13">
      <c r="A640" s="263"/>
      <c r="B640" s="263"/>
      <c r="C640" s="263" t="s">
        <v>1067</v>
      </c>
      <c r="D640" s="263"/>
      <c r="E640" s="263"/>
      <c r="F640" s="263"/>
      <c r="G640" s="39" t="str" cm="1">
        <f t="array" ref="G640">IFERROR(INDEX(Table_dim_price_recipe[Retail Price], MATCH(1, ("Calculator"&lt;&gt;Table_dim_price_recipe[Type.display])*($L640=Table_dim_price_recipe[Category])*($D640=Table_dim_price_recipe[Item Description]) * (G$6=Table_dim_price_recipe[Type])*(Table_dim_price_recipe[Retail Price]&lt;&gt;0)*($C640=Table_dim_price_recipe[Subcategory]), 0))*$B640,"")</f>
        <v/>
      </c>
      <c r="H640" s="39" t="str" cm="1">
        <f t="array" ref="H640">IFERROR(INDEX(Table_dim_price_recipe[Retail Price], MATCH(1, ("Calculator"&lt;&gt;Table_dim_price_recipe[Type.display])*($L640=Table_dim_price_recipe[Category])*($D640=Table_dim_price_recipe[Item Description]) * (H$6=Table_dim_price_recipe[Type])*(Table_dim_price_recipe[Retail Price]&lt;&gt;0)*($C640=Table_dim_price_recipe[Subcategory]), 0))*$B640,"")</f>
        <v/>
      </c>
      <c r="I640" s="39" t="str" cm="1">
        <f t="array" ref="I640">IFERROR(INDEX(Table_dim_price_recipe[Retail Price], MATCH(1, ("Calculator"&lt;&gt;Table_dim_price_recipe[Type.display])*($L640=Table_dim_price_recipe[Category])*($D640=Table_dim_price_recipe[Item Description]) * (I$6=Table_dim_price_recipe[Type])*(Table_dim_price_recipe[Retail Price]&lt;&gt;0)*($C640=Table_dim_price_recipe[Subcategory]), 0))*$B640,"")</f>
        <v/>
      </c>
      <c r="J640" s="39" t="str" cm="1">
        <f t="array" ref="J640">IFERROR(INDEX(Table_dim_price_recipe[Retail Price], MATCH(1, ("Calculator"&lt;&gt;Table_dim_price_recipe[Type.display])*($L640=Table_dim_price_recipe[Category])*($D640=Table_dim_price_recipe[Item Description]) * (J$6=Table_dim_price_recipe[Type])*(Table_dim_price_recipe[Retail Price]&lt;&gt;0)*($C640=Table_dim_price_recipe[Subcategory]), 0))*$B640,"")</f>
        <v/>
      </c>
      <c r="K640" s="39" t="str" cm="1">
        <f t="array" ref="K640">IFERROR(INDEX(Table_dim_price_recipe[Retail Price], MATCH(1, ("Calculator"&lt;&gt;Table_dim_price_recipe[Type.display])*($L640=Table_dim_price_recipe[Category])*($D640=Table_dim_price_recipe[Item Description]) * (K$6=Table_dim_price_recipe[Type])*(Table_dim_price_recipe[Retail Price]&lt;&gt;0)*($C640=Table_dim_price_recipe[Subcategory]), 0))*$B640,"")</f>
        <v/>
      </c>
      <c r="L640" s="39" t="str" cm="1">
        <f t="array" ref="L640">IF($A640&lt;&gt;"", $A640, LOOKUP(2, 1/((A$7:INDEX(A:A, ROW()))&lt;&gt;""), A$7:INDEX(A:A, ROW())))</f>
        <v>CEILINGS &amp; WALLS</v>
      </c>
      <c r="M640" s="14"/>
    </row>
    <row r="641" spans="1:13">
      <c r="A641" s="263"/>
      <c r="B641" s="263"/>
      <c r="C641" s="263" t="s">
        <v>461</v>
      </c>
      <c r="D641" s="263" t="s">
        <v>483</v>
      </c>
      <c r="E641" s="263"/>
      <c r="F641" s="263"/>
      <c r="G641" s="39" cm="1">
        <f t="array" ref="G641">IFERROR(INDEX(Table_dim_price_recipe[Retail Price], MATCH(1, ("Calculator"&lt;&gt;Table_dim_price_recipe[Type.display])*($L641=Table_dim_price_recipe[Category])*($D641=Table_dim_price_recipe[Item Description]) * (G$6=Table_dim_price_recipe[Type])*(Table_dim_price_recipe[Retail Price]&lt;&gt;0)*($C641=Table_dim_price_recipe[Subcategory]), 0))*$B641,"")</f>
        <v>0</v>
      </c>
      <c r="H641" s="39" t="str" cm="1">
        <f t="array" ref="H641">IFERROR(INDEX(Table_dim_price_recipe[Retail Price], MATCH(1, ("Calculator"&lt;&gt;Table_dim_price_recipe[Type.display])*($L641=Table_dim_price_recipe[Category])*($D641=Table_dim_price_recipe[Item Description]) * (H$6=Table_dim_price_recipe[Type])*(Table_dim_price_recipe[Retail Price]&lt;&gt;0)*($C641=Table_dim_price_recipe[Subcategory]), 0))*$B641,"")</f>
        <v/>
      </c>
      <c r="I641" s="39" t="str" cm="1">
        <f t="array" ref="I641">IFERROR(INDEX(Table_dim_price_recipe[Retail Price], MATCH(1, ("Calculator"&lt;&gt;Table_dim_price_recipe[Type.display])*($L641=Table_dim_price_recipe[Category])*($D641=Table_dim_price_recipe[Item Description]) * (I$6=Table_dim_price_recipe[Type])*(Table_dim_price_recipe[Retail Price]&lt;&gt;0)*($C641=Table_dim_price_recipe[Subcategory]), 0))*$B641,"")</f>
        <v/>
      </c>
      <c r="J641" s="39" t="str" cm="1">
        <f t="array" ref="J641">IFERROR(INDEX(Table_dim_price_recipe[Retail Price], MATCH(1, ("Calculator"&lt;&gt;Table_dim_price_recipe[Type.display])*($L641=Table_dim_price_recipe[Category])*($D641=Table_dim_price_recipe[Item Description]) * (J$6=Table_dim_price_recipe[Type])*(Table_dim_price_recipe[Retail Price]&lt;&gt;0)*($C641=Table_dim_price_recipe[Subcategory]), 0))*$B641,"")</f>
        <v/>
      </c>
      <c r="K641" s="39" t="str" cm="1">
        <f t="array" ref="K641">IFERROR(INDEX(Table_dim_price_recipe[Retail Price], MATCH(1, ("Calculator"&lt;&gt;Table_dim_price_recipe[Type.display])*($L641=Table_dim_price_recipe[Category])*($D641=Table_dim_price_recipe[Item Description]) * (K$6=Table_dim_price_recipe[Type])*(Table_dim_price_recipe[Retail Price]&lt;&gt;0)*($C641=Table_dim_price_recipe[Subcategory]), 0))*$B641,"")</f>
        <v/>
      </c>
      <c r="L641" s="39" t="str" cm="1">
        <f t="array" ref="L641">IF($A641&lt;&gt;"", $A641, LOOKUP(2, 1/((A$7:INDEX(A:A, ROW()))&lt;&gt;""), A$7:INDEX(A:A, ROW())))</f>
        <v>CEILINGS &amp; WALLS</v>
      </c>
      <c r="M641" s="14"/>
    </row>
    <row r="642" spans="1:13">
      <c r="A642" s="263"/>
      <c r="B642" s="263"/>
      <c r="C642" s="263" t="s">
        <v>461</v>
      </c>
      <c r="D642" s="263" t="s">
        <v>471</v>
      </c>
      <c r="E642" s="263"/>
      <c r="F642" s="263"/>
      <c r="G642" s="39" t="str" cm="1">
        <f t="array" ref="G642">IFERROR(INDEX(Table_dim_price_recipe[Retail Price], MATCH(1, ("Calculator"&lt;&gt;Table_dim_price_recipe[Type.display])*($L642=Table_dim_price_recipe[Category])*($D642=Table_dim_price_recipe[Item Description]) * (G$6=Table_dim_price_recipe[Type])*(Table_dim_price_recipe[Retail Price]&lt;&gt;0)*($C642=Table_dim_price_recipe[Subcategory]), 0))*$B642,"")</f>
        <v/>
      </c>
      <c r="H642" s="39" t="str" cm="1">
        <f t="array" ref="H642">IFERROR(INDEX(Table_dim_price_recipe[Retail Price], MATCH(1, ("Calculator"&lt;&gt;Table_dim_price_recipe[Type.display])*($L642=Table_dim_price_recipe[Category])*($D642=Table_dim_price_recipe[Item Description]) * (H$6=Table_dim_price_recipe[Type])*(Table_dim_price_recipe[Retail Price]&lt;&gt;0)*($C642=Table_dim_price_recipe[Subcategory]), 0))*$B642,"")</f>
        <v/>
      </c>
      <c r="I642" s="39" t="str" cm="1">
        <f t="array" ref="I642">IFERROR(INDEX(Table_dim_price_recipe[Retail Price], MATCH(1, ("Calculator"&lt;&gt;Table_dim_price_recipe[Type.display])*($L642=Table_dim_price_recipe[Category])*($D642=Table_dim_price_recipe[Item Description]) * (I$6=Table_dim_price_recipe[Type])*(Table_dim_price_recipe[Retail Price]&lt;&gt;0)*($C642=Table_dim_price_recipe[Subcategory]), 0))*$B642,"")</f>
        <v/>
      </c>
      <c r="J642" s="39" t="str" cm="1">
        <f t="array" ref="J642">IFERROR(INDEX(Table_dim_price_recipe[Retail Price], MATCH(1, ("Calculator"&lt;&gt;Table_dim_price_recipe[Type.display])*($L642=Table_dim_price_recipe[Category])*($D642=Table_dim_price_recipe[Item Description]) * (J$6=Table_dim_price_recipe[Type])*(Table_dim_price_recipe[Retail Price]&lt;&gt;0)*($C642=Table_dim_price_recipe[Subcategory]), 0))*$B642,"")</f>
        <v/>
      </c>
      <c r="K642" s="39" t="str" cm="1">
        <f t="array" ref="K642">IFERROR(INDEX(Table_dim_price_recipe[Retail Price], MATCH(1, ("Calculator"&lt;&gt;Table_dim_price_recipe[Type.display])*($L642=Table_dim_price_recipe[Category])*($D642=Table_dim_price_recipe[Item Description]) * (K$6=Table_dim_price_recipe[Type])*(Table_dim_price_recipe[Retail Price]&lt;&gt;0)*($C642=Table_dim_price_recipe[Subcategory]), 0))*$B642,"")</f>
        <v/>
      </c>
      <c r="L642" s="39" t="str" cm="1">
        <f t="array" ref="L642">IF($A642&lt;&gt;"", $A642, LOOKUP(2, 1/((A$7:INDEX(A:A, ROW()))&lt;&gt;""), A$7:INDEX(A:A, ROW())))</f>
        <v>CEILINGS &amp; WALLS</v>
      </c>
      <c r="M642" s="14"/>
    </row>
    <row r="643" spans="1:13">
      <c r="A643" s="263"/>
      <c r="B643" s="263"/>
      <c r="C643" s="263" t="s">
        <v>461</v>
      </c>
      <c r="D643" s="263" t="s">
        <v>472</v>
      </c>
      <c r="E643" s="263"/>
      <c r="F643" s="263"/>
      <c r="G643" s="39" t="str" cm="1">
        <f t="array" ref="G643">IFERROR(INDEX(Table_dim_price_recipe[Retail Price], MATCH(1, ("Calculator"&lt;&gt;Table_dim_price_recipe[Type.display])*($L643=Table_dim_price_recipe[Category])*($D643=Table_dim_price_recipe[Item Description]) * (G$6=Table_dim_price_recipe[Type])*(Table_dim_price_recipe[Retail Price]&lt;&gt;0)*($C643=Table_dim_price_recipe[Subcategory]), 0))*$B643,"")</f>
        <v/>
      </c>
      <c r="H643" s="39" t="str" cm="1">
        <f t="array" ref="H643">IFERROR(INDEX(Table_dim_price_recipe[Retail Price], MATCH(1, ("Calculator"&lt;&gt;Table_dim_price_recipe[Type.display])*($L643=Table_dim_price_recipe[Category])*($D643=Table_dim_price_recipe[Item Description]) * (H$6=Table_dim_price_recipe[Type])*(Table_dim_price_recipe[Retail Price]&lt;&gt;0)*($C643=Table_dim_price_recipe[Subcategory]), 0))*$B643,"")</f>
        <v/>
      </c>
      <c r="I643" s="39" t="str" cm="1">
        <f t="array" ref="I643">IFERROR(INDEX(Table_dim_price_recipe[Retail Price], MATCH(1, ("Calculator"&lt;&gt;Table_dim_price_recipe[Type.display])*($L643=Table_dim_price_recipe[Category])*($D643=Table_dim_price_recipe[Item Description]) * (I$6=Table_dim_price_recipe[Type])*(Table_dim_price_recipe[Retail Price]&lt;&gt;0)*($C643=Table_dim_price_recipe[Subcategory]), 0))*$B643,"")</f>
        <v/>
      </c>
      <c r="J643" s="39" t="str" cm="1">
        <f t="array" ref="J643">IFERROR(INDEX(Table_dim_price_recipe[Retail Price], MATCH(1, ("Calculator"&lt;&gt;Table_dim_price_recipe[Type.display])*($L643=Table_dim_price_recipe[Category])*($D643=Table_dim_price_recipe[Item Description]) * (J$6=Table_dim_price_recipe[Type])*(Table_dim_price_recipe[Retail Price]&lt;&gt;0)*($C643=Table_dim_price_recipe[Subcategory]), 0))*$B643,"")</f>
        <v/>
      </c>
      <c r="K643" s="39" t="str" cm="1">
        <f t="array" ref="K643">IFERROR(INDEX(Table_dim_price_recipe[Retail Price], MATCH(1, ("Calculator"&lt;&gt;Table_dim_price_recipe[Type.display])*($L643=Table_dim_price_recipe[Category])*($D643=Table_dim_price_recipe[Item Description]) * (K$6=Table_dim_price_recipe[Type])*(Table_dim_price_recipe[Retail Price]&lt;&gt;0)*($C643=Table_dim_price_recipe[Subcategory]), 0))*$B643,"")</f>
        <v/>
      </c>
      <c r="L643" s="39" t="str" cm="1">
        <f t="array" ref="L643">IF($A643&lt;&gt;"", $A643, LOOKUP(2, 1/((A$7:INDEX(A:A, ROW()))&lt;&gt;""), A$7:INDEX(A:A, ROW())))</f>
        <v>CEILINGS &amp; WALLS</v>
      </c>
      <c r="M643" s="14"/>
    </row>
    <row r="644" spans="1:13">
      <c r="A644" s="263"/>
      <c r="B644" s="263"/>
      <c r="C644" s="263" t="s">
        <v>461</v>
      </c>
      <c r="D644" s="263" t="s">
        <v>473</v>
      </c>
      <c r="E644" s="263"/>
      <c r="F644" s="263"/>
      <c r="G644" s="39" t="str" cm="1">
        <f t="array" ref="G644">IFERROR(INDEX(Table_dim_price_recipe[Retail Price], MATCH(1, ("Calculator"&lt;&gt;Table_dim_price_recipe[Type.display])*($L644=Table_dim_price_recipe[Category])*($D644=Table_dim_price_recipe[Item Description]) * (G$6=Table_dim_price_recipe[Type])*(Table_dim_price_recipe[Retail Price]&lt;&gt;0)*($C644=Table_dim_price_recipe[Subcategory]), 0))*$B644,"")</f>
        <v/>
      </c>
      <c r="H644" s="39" t="str" cm="1">
        <f t="array" ref="H644">IFERROR(INDEX(Table_dim_price_recipe[Retail Price], MATCH(1, ("Calculator"&lt;&gt;Table_dim_price_recipe[Type.display])*($L644=Table_dim_price_recipe[Category])*($D644=Table_dim_price_recipe[Item Description]) * (H$6=Table_dim_price_recipe[Type])*(Table_dim_price_recipe[Retail Price]&lt;&gt;0)*($C644=Table_dim_price_recipe[Subcategory]), 0))*$B644,"")</f>
        <v/>
      </c>
      <c r="I644" s="39" t="str" cm="1">
        <f t="array" ref="I644">IFERROR(INDEX(Table_dim_price_recipe[Retail Price], MATCH(1, ("Calculator"&lt;&gt;Table_dim_price_recipe[Type.display])*($L644=Table_dim_price_recipe[Category])*($D644=Table_dim_price_recipe[Item Description]) * (I$6=Table_dim_price_recipe[Type])*(Table_dim_price_recipe[Retail Price]&lt;&gt;0)*($C644=Table_dim_price_recipe[Subcategory]), 0))*$B644,"")</f>
        <v/>
      </c>
      <c r="J644" s="39" t="str" cm="1">
        <f t="array" ref="J644">IFERROR(INDEX(Table_dim_price_recipe[Retail Price], MATCH(1, ("Calculator"&lt;&gt;Table_dim_price_recipe[Type.display])*($L644=Table_dim_price_recipe[Category])*($D644=Table_dim_price_recipe[Item Description]) * (J$6=Table_dim_price_recipe[Type])*(Table_dim_price_recipe[Retail Price]&lt;&gt;0)*($C644=Table_dim_price_recipe[Subcategory]), 0))*$B644,"")</f>
        <v/>
      </c>
      <c r="K644" s="39" t="str" cm="1">
        <f t="array" ref="K644">IFERROR(INDEX(Table_dim_price_recipe[Retail Price], MATCH(1, ("Calculator"&lt;&gt;Table_dim_price_recipe[Type.display])*($L644=Table_dim_price_recipe[Category])*($D644=Table_dim_price_recipe[Item Description]) * (K$6=Table_dim_price_recipe[Type])*(Table_dim_price_recipe[Retail Price]&lt;&gt;0)*($C644=Table_dim_price_recipe[Subcategory]), 0))*$B644,"")</f>
        <v/>
      </c>
      <c r="L644" s="39" t="str" cm="1">
        <f t="array" ref="L644">IF($A644&lt;&gt;"", $A644, LOOKUP(2, 1/((A$7:INDEX(A:A, ROW()))&lt;&gt;""), A$7:INDEX(A:A, ROW())))</f>
        <v>CEILINGS &amp; WALLS</v>
      </c>
      <c r="M644" s="14"/>
    </row>
    <row r="645" spans="1:13">
      <c r="A645" s="263"/>
      <c r="B645" s="263"/>
      <c r="C645" s="263" t="s">
        <v>461</v>
      </c>
      <c r="D645" s="263" t="s">
        <v>474</v>
      </c>
      <c r="E645" s="263"/>
      <c r="F645" s="263"/>
      <c r="G645" s="39" t="str" cm="1">
        <f t="array" ref="G645">IFERROR(INDEX(Table_dim_price_recipe[Retail Price], MATCH(1, ("Calculator"&lt;&gt;Table_dim_price_recipe[Type.display])*($L645=Table_dim_price_recipe[Category])*($D645=Table_dim_price_recipe[Item Description]) * (G$6=Table_dim_price_recipe[Type])*(Table_dim_price_recipe[Retail Price]&lt;&gt;0)*($C645=Table_dim_price_recipe[Subcategory]), 0))*$B645,"")</f>
        <v/>
      </c>
      <c r="H645" s="39" t="str" cm="1">
        <f t="array" ref="H645">IFERROR(INDEX(Table_dim_price_recipe[Retail Price], MATCH(1, ("Calculator"&lt;&gt;Table_dim_price_recipe[Type.display])*($L645=Table_dim_price_recipe[Category])*($D645=Table_dim_price_recipe[Item Description]) * (H$6=Table_dim_price_recipe[Type])*(Table_dim_price_recipe[Retail Price]&lt;&gt;0)*($C645=Table_dim_price_recipe[Subcategory]), 0))*$B645,"")</f>
        <v/>
      </c>
      <c r="I645" s="39" t="str" cm="1">
        <f t="array" ref="I645">IFERROR(INDEX(Table_dim_price_recipe[Retail Price], MATCH(1, ("Calculator"&lt;&gt;Table_dim_price_recipe[Type.display])*($L645=Table_dim_price_recipe[Category])*($D645=Table_dim_price_recipe[Item Description]) * (I$6=Table_dim_price_recipe[Type])*(Table_dim_price_recipe[Retail Price]&lt;&gt;0)*($C645=Table_dim_price_recipe[Subcategory]), 0))*$B645,"")</f>
        <v/>
      </c>
      <c r="J645" s="39" t="str" cm="1">
        <f t="array" ref="J645">IFERROR(INDEX(Table_dim_price_recipe[Retail Price], MATCH(1, ("Calculator"&lt;&gt;Table_dim_price_recipe[Type.display])*($L645=Table_dim_price_recipe[Category])*($D645=Table_dim_price_recipe[Item Description]) * (J$6=Table_dim_price_recipe[Type])*(Table_dim_price_recipe[Retail Price]&lt;&gt;0)*($C645=Table_dim_price_recipe[Subcategory]), 0))*$B645,"")</f>
        <v/>
      </c>
      <c r="K645" s="39" t="str" cm="1">
        <f t="array" ref="K645">IFERROR(INDEX(Table_dim_price_recipe[Retail Price], MATCH(1, ("Calculator"&lt;&gt;Table_dim_price_recipe[Type.display])*($L645=Table_dim_price_recipe[Category])*($D645=Table_dim_price_recipe[Item Description]) * (K$6=Table_dim_price_recipe[Type])*(Table_dim_price_recipe[Retail Price]&lt;&gt;0)*($C645=Table_dim_price_recipe[Subcategory]), 0))*$B645,"")</f>
        <v/>
      </c>
      <c r="L645" s="39" t="str" cm="1">
        <f t="array" ref="L645">IF($A645&lt;&gt;"", $A645, LOOKUP(2, 1/((A$7:INDEX(A:A, ROW()))&lt;&gt;""), A$7:INDEX(A:A, ROW())))</f>
        <v>CEILINGS &amp; WALLS</v>
      </c>
      <c r="M645" s="14"/>
    </row>
    <row r="646" spans="1:13">
      <c r="A646" s="263"/>
      <c r="B646" s="263"/>
      <c r="C646" s="263" t="s">
        <v>461</v>
      </c>
      <c r="D646" s="263" t="s">
        <v>475</v>
      </c>
      <c r="E646" s="263"/>
      <c r="F646" s="263"/>
      <c r="G646" s="39" t="str" cm="1">
        <f t="array" ref="G646">IFERROR(INDEX(Table_dim_price_recipe[Retail Price], MATCH(1, ("Calculator"&lt;&gt;Table_dim_price_recipe[Type.display])*($L646=Table_dim_price_recipe[Category])*($D646=Table_dim_price_recipe[Item Description]) * (G$6=Table_dim_price_recipe[Type])*(Table_dim_price_recipe[Retail Price]&lt;&gt;0)*($C646=Table_dim_price_recipe[Subcategory]), 0))*$B646,"")</f>
        <v/>
      </c>
      <c r="H646" s="39" t="str" cm="1">
        <f t="array" ref="H646">IFERROR(INDEX(Table_dim_price_recipe[Retail Price], MATCH(1, ("Calculator"&lt;&gt;Table_dim_price_recipe[Type.display])*($L646=Table_dim_price_recipe[Category])*($D646=Table_dim_price_recipe[Item Description]) * (H$6=Table_dim_price_recipe[Type])*(Table_dim_price_recipe[Retail Price]&lt;&gt;0)*($C646=Table_dim_price_recipe[Subcategory]), 0))*$B646,"")</f>
        <v/>
      </c>
      <c r="I646" s="39" t="str" cm="1">
        <f t="array" ref="I646">IFERROR(INDEX(Table_dim_price_recipe[Retail Price], MATCH(1, ("Calculator"&lt;&gt;Table_dim_price_recipe[Type.display])*($L646=Table_dim_price_recipe[Category])*($D646=Table_dim_price_recipe[Item Description]) * (I$6=Table_dim_price_recipe[Type])*(Table_dim_price_recipe[Retail Price]&lt;&gt;0)*($C646=Table_dim_price_recipe[Subcategory]), 0))*$B646,"")</f>
        <v/>
      </c>
      <c r="J646" s="39" t="str" cm="1">
        <f t="array" ref="J646">IFERROR(INDEX(Table_dim_price_recipe[Retail Price], MATCH(1, ("Calculator"&lt;&gt;Table_dim_price_recipe[Type.display])*($L646=Table_dim_price_recipe[Category])*($D646=Table_dim_price_recipe[Item Description]) * (J$6=Table_dim_price_recipe[Type])*(Table_dim_price_recipe[Retail Price]&lt;&gt;0)*($C646=Table_dim_price_recipe[Subcategory]), 0))*$B646,"")</f>
        <v/>
      </c>
      <c r="K646" s="39" t="str" cm="1">
        <f t="array" ref="K646">IFERROR(INDEX(Table_dim_price_recipe[Retail Price], MATCH(1, ("Calculator"&lt;&gt;Table_dim_price_recipe[Type.display])*($L646=Table_dim_price_recipe[Category])*($D646=Table_dim_price_recipe[Item Description]) * (K$6=Table_dim_price_recipe[Type])*(Table_dim_price_recipe[Retail Price]&lt;&gt;0)*($C646=Table_dim_price_recipe[Subcategory]), 0))*$B646,"")</f>
        <v/>
      </c>
      <c r="L646" s="39" t="str" cm="1">
        <f t="array" ref="L646">IF($A646&lt;&gt;"", $A646, LOOKUP(2, 1/((A$7:INDEX(A:A, ROW()))&lt;&gt;""), A$7:INDEX(A:A, ROW())))</f>
        <v>CEILINGS &amp; WALLS</v>
      </c>
      <c r="M646" s="14"/>
    </row>
    <row r="647" spans="1:13">
      <c r="A647" s="263"/>
      <c r="B647" s="263"/>
      <c r="C647" s="263" t="s">
        <v>461</v>
      </c>
      <c r="D647" s="263" t="s">
        <v>476</v>
      </c>
      <c r="E647" s="263"/>
      <c r="F647" s="263"/>
      <c r="G647" s="39" t="str" cm="1">
        <f t="array" ref="G647">IFERROR(INDEX(Table_dim_price_recipe[Retail Price], MATCH(1, ("Calculator"&lt;&gt;Table_dim_price_recipe[Type.display])*($L647=Table_dim_price_recipe[Category])*($D647=Table_dim_price_recipe[Item Description]) * (G$6=Table_dim_price_recipe[Type])*(Table_dim_price_recipe[Retail Price]&lt;&gt;0)*($C647=Table_dim_price_recipe[Subcategory]), 0))*$B647,"")</f>
        <v/>
      </c>
      <c r="H647" s="39" t="str" cm="1">
        <f t="array" ref="H647">IFERROR(INDEX(Table_dim_price_recipe[Retail Price], MATCH(1, ("Calculator"&lt;&gt;Table_dim_price_recipe[Type.display])*($L647=Table_dim_price_recipe[Category])*($D647=Table_dim_price_recipe[Item Description]) * (H$6=Table_dim_price_recipe[Type])*(Table_dim_price_recipe[Retail Price]&lt;&gt;0)*($C647=Table_dim_price_recipe[Subcategory]), 0))*$B647,"")</f>
        <v/>
      </c>
      <c r="I647" s="39" t="str" cm="1">
        <f t="array" ref="I647">IFERROR(INDEX(Table_dim_price_recipe[Retail Price], MATCH(1, ("Calculator"&lt;&gt;Table_dim_price_recipe[Type.display])*($L647=Table_dim_price_recipe[Category])*($D647=Table_dim_price_recipe[Item Description]) * (I$6=Table_dim_price_recipe[Type])*(Table_dim_price_recipe[Retail Price]&lt;&gt;0)*($C647=Table_dim_price_recipe[Subcategory]), 0))*$B647,"")</f>
        <v/>
      </c>
      <c r="J647" s="39" t="str" cm="1">
        <f t="array" ref="J647">IFERROR(INDEX(Table_dim_price_recipe[Retail Price], MATCH(1, ("Calculator"&lt;&gt;Table_dim_price_recipe[Type.display])*($L647=Table_dim_price_recipe[Category])*($D647=Table_dim_price_recipe[Item Description]) * (J$6=Table_dim_price_recipe[Type])*(Table_dim_price_recipe[Retail Price]&lt;&gt;0)*($C647=Table_dim_price_recipe[Subcategory]), 0))*$B647,"")</f>
        <v/>
      </c>
      <c r="K647" s="39" t="str" cm="1">
        <f t="array" ref="K647">IFERROR(INDEX(Table_dim_price_recipe[Retail Price], MATCH(1, ("Calculator"&lt;&gt;Table_dim_price_recipe[Type.display])*($L647=Table_dim_price_recipe[Category])*($D647=Table_dim_price_recipe[Item Description]) * (K$6=Table_dim_price_recipe[Type])*(Table_dim_price_recipe[Retail Price]&lt;&gt;0)*($C647=Table_dim_price_recipe[Subcategory]), 0))*$B647,"")</f>
        <v/>
      </c>
      <c r="L647" s="39" t="str" cm="1">
        <f t="array" ref="L647">IF($A647&lt;&gt;"", $A647, LOOKUP(2, 1/((A$7:INDEX(A:A, ROW()))&lt;&gt;""), A$7:INDEX(A:A, ROW())))</f>
        <v>CEILINGS &amp; WALLS</v>
      </c>
      <c r="M647" s="14"/>
    </row>
    <row r="648" spans="1:13">
      <c r="A648" s="263"/>
      <c r="B648" s="263"/>
      <c r="C648" s="263" t="s">
        <v>461</v>
      </c>
      <c r="D648" s="263" t="s">
        <v>469</v>
      </c>
      <c r="E648" s="263"/>
      <c r="F648" s="263"/>
      <c r="G648" s="39" t="str" cm="1">
        <f t="array" ref="G648">IFERROR(INDEX(Table_dim_price_recipe[Retail Price], MATCH(1, ("Calculator"&lt;&gt;Table_dim_price_recipe[Type.display])*($L648=Table_dim_price_recipe[Category])*($D648=Table_dim_price_recipe[Item Description]) * (G$6=Table_dim_price_recipe[Type])*(Table_dim_price_recipe[Retail Price]&lt;&gt;0)*($C648=Table_dim_price_recipe[Subcategory]), 0))*$B648,"")</f>
        <v/>
      </c>
      <c r="H648" s="39" t="str" cm="1">
        <f t="array" ref="H648">IFERROR(INDEX(Table_dim_price_recipe[Retail Price], MATCH(1, ("Calculator"&lt;&gt;Table_dim_price_recipe[Type.display])*($L648=Table_dim_price_recipe[Category])*($D648=Table_dim_price_recipe[Item Description]) * (H$6=Table_dim_price_recipe[Type])*(Table_dim_price_recipe[Retail Price]&lt;&gt;0)*($C648=Table_dim_price_recipe[Subcategory]), 0))*$B648,"")</f>
        <v/>
      </c>
      <c r="I648" s="39" t="str" cm="1">
        <f t="array" ref="I648">IFERROR(INDEX(Table_dim_price_recipe[Retail Price], MATCH(1, ("Calculator"&lt;&gt;Table_dim_price_recipe[Type.display])*($L648=Table_dim_price_recipe[Category])*($D648=Table_dim_price_recipe[Item Description]) * (I$6=Table_dim_price_recipe[Type])*(Table_dim_price_recipe[Retail Price]&lt;&gt;0)*($C648=Table_dim_price_recipe[Subcategory]), 0))*$B648,"")</f>
        <v/>
      </c>
      <c r="J648" s="39" t="str" cm="1">
        <f t="array" ref="J648">IFERROR(INDEX(Table_dim_price_recipe[Retail Price], MATCH(1, ("Calculator"&lt;&gt;Table_dim_price_recipe[Type.display])*($L648=Table_dim_price_recipe[Category])*($D648=Table_dim_price_recipe[Item Description]) * (J$6=Table_dim_price_recipe[Type])*(Table_dim_price_recipe[Retail Price]&lt;&gt;0)*($C648=Table_dim_price_recipe[Subcategory]), 0))*$B648,"")</f>
        <v/>
      </c>
      <c r="K648" s="39" t="str" cm="1">
        <f t="array" ref="K648">IFERROR(INDEX(Table_dim_price_recipe[Retail Price], MATCH(1, ("Calculator"&lt;&gt;Table_dim_price_recipe[Type.display])*($L648=Table_dim_price_recipe[Category])*($D648=Table_dim_price_recipe[Item Description]) * (K$6=Table_dim_price_recipe[Type])*(Table_dim_price_recipe[Retail Price]&lt;&gt;0)*($C648=Table_dim_price_recipe[Subcategory]), 0))*$B648,"")</f>
        <v/>
      </c>
      <c r="L648" s="39" t="str" cm="1">
        <f t="array" ref="L648">IF($A648&lt;&gt;"", $A648, LOOKUP(2, 1/((A$7:INDEX(A:A, ROW()))&lt;&gt;""), A$7:INDEX(A:A, ROW())))</f>
        <v>CEILINGS &amp; WALLS</v>
      </c>
      <c r="M648" s="14"/>
    </row>
    <row r="649" spans="1:13">
      <c r="A649" s="263"/>
      <c r="B649" s="263"/>
      <c r="C649" s="263" t="s">
        <v>461</v>
      </c>
      <c r="D649" s="263" t="s">
        <v>470</v>
      </c>
      <c r="E649" s="263"/>
      <c r="F649" s="263"/>
      <c r="G649" s="39" t="str" cm="1">
        <f t="array" ref="G649">IFERROR(INDEX(Table_dim_price_recipe[Retail Price], MATCH(1, ("Calculator"&lt;&gt;Table_dim_price_recipe[Type.display])*($L649=Table_dim_price_recipe[Category])*($D649=Table_dim_price_recipe[Item Description]) * (G$6=Table_dim_price_recipe[Type])*(Table_dim_price_recipe[Retail Price]&lt;&gt;0)*($C649=Table_dim_price_recipe[Subcategory]), 0))*$B649,"")</f>
        <v/>
      </c>
      <c r="H649" s="39" t="str" cm="1">
        <f t="array" ref="H649">IFERROR(INDEX(Table_dim_price_recipe[Retail Price], MATCH(1, ("Calculator"&lt;&gt;Table_dim_price_recipe[Type.display])*($L649=Table_dim_price_recipe[Category])*($D649=Table_dim_price_recipe[Item Description]) * (H$6=Table_dim_price_recipe[Type])*(Table_dim_price_recipe[Retail Price]&lt;&gt;0)*($C649=Table_dim_price_recipe[Subcategory]), 0))*$B649,"")</f>
        <v/>
      </c>
      <c r="I649" s="39" t="str" cm="1">
        <f t="array" ref="I649">IFERROR(INDEX(Table_dim_price_recipe[Retail Price], MATCH(1, ("Calculator"&lt;&gt;Table_dim_price_recipe[Type.display])*($L649=Table_dim_price_recipe[Category])*($D649=Table_dim_price_recipe[Item Description]) * (I$6=Table_dim_price_recipe[Type])*(Table_dim_price_recipe[Retail Price]&lt;&gt;0)*($C649=Table_dim_price_recipe[Subcategory]), 0))*$B649,"")</f>
        <v/>
      </c>
      <c r="J649" s="39" t="str" cm="1">
        <f t="array" ref="J649">IFERROR(INDEX(Table_dim_price_recipe[Retail Price], MATCH(1, ("Calculator"&lt;&gt;Table_dim_price_recipe[Type.display])*($L649=Table_dim_price_recipe[Category])*($D649=Table_dim_price_recipe[Item Description]) * (J$6=Table_dim_price_recipe[Type])*(Table_dim_price_recipe[Retail Price]&lt;&gt;0)*($C649=Table_dim_price_recipe[Subcategory]), 0))*$B649,"")</f>
        <v/>
      </c>
      <c r="K649" s="39" t="str" cm="1">
        <f t="array" ref="K649">IFERROR(INDEX(Table_dim_price_recipe[Retail Price], MATCH(1, ("Calculator"&lt;&gt;Table_dim_price_recipe[Type.display])*($L649=Table_dim_price_recipe[Category])*($D649=Table_dim_price_recipe[Item Description]) * (K$6=Table_dim_price_recipe[Type])*(Table_dim_price_recipe[Retail Price]&lt;&gt;0)*($C649=Table_dim_price_recipe[Subcategory]), 0))*$B649,"")</f>
        <v/>
      </c>
      <c r="L649" s="39" t="str" cm="1">
        <f t="array" ref="L649">IF($A649&lt;&gt;"", $A649, LOOKUP(2, 1/((A$7:INDEX(A:A, ROW()))&lt;&gt;""), A$7:INDEX(A:A, ROW())))</f>
        <v>CEILINGS &amp; WALLS</v>
      </c>
      <c r="M649" s="14"/>
    </row>
    <row r="650" spans="1:13">
      <c r="A650" s="263"/>
      <c r="B650" s="263"/>
      <c r="C650" s="263" t="s">
        <v>461</v>
      </c>
      <c r="D650" s="263" t="s">
        <v>479</v>
      </c>
      <c r="E650" s="263"/>
      <c r="F650" s="263"/>
      <c r="G650" s="39" t="str" cm="1">
        <f t="array" ref="G650">IFERROR(INDEX(Table_dim_price_recipe[Retail Price], MATCH(1, ("Calculator"&lt;&gt;Table_dim_price_recipe[Type.display])*($L650=Table_dim_price_recipe[Category])*($D650=Table_dim_price_recipe[Item Description]) * (G$6=Table_dim_price_recipe[Type])*(Table_dim_price_recipe[Retail Price]&lt;&gt;0)*($C650=Table_dim_price_recipe[Subcategory]), 0))*$B650,"")</f>
        <v/>
      </c>
      <c r="H650" s="39" t="str" cm="1">
        <f t="array" ref="H650">IFERROR(INDEX(Table_dim_price_recipe[Retail Price], MATCH(1, ("Calculator"&lt;&gt;Table_dim_price_recipe[Type.display])*($L650=Table_dim_price_recipe[Category])*($D650=Table_dim_price_recipe[Item Description]) * (H$6=Table_dim_price_recipe[Type])*(Table_dim_price_recipe[Retail Price]&lt;&gt;0)*($C650=Table_dim_price_recipe[Subcategory]), 0))*$B650,"")</f>
        <v/>
      </c>
      <c r="I650" s="39" t="str" cm="1">
        <f t="array" ref="I650">IFERROR(INDEX(Table_dim_price_recipe[Retail Price], MATCH(1, ("Calculator"&lt;&gt;Table_dim_price_recipe[Type.display])*($L650=Table_dim_price_recipe[Category])*($D650=Table_dim_price_recipe[Item Description]) * (I$6=Table_dim_price_recipe[Type])*(Table_dim_price_recipe[Retail Price]&lt;&gt;0)*($C650=Table_dim_price_recipe[Subcategory]), 0))*$B650,"")</f>
        <v/>
      </c>
      <c r="J650" s="39" t="str" cm="1">
        <f t="array" ref="J650">IFERROR(INDEX(Table_dim_price_recipe[Retail Price], MATCH(1, ("Calculator"&lt;&gt;Table_dim_price_recipe[Type.display])*($L650=Table_dim_price_recipe[Category])*($D650=Table_dim_price_recipe[Item Description]) * (J$6=Table_dim_price_recipe[Type])*(Table_dim_price_recipe[Retail Price]&lt;&gt;0)*($C650=Table_dim_price_recipe[Subcategory]), 0))*$B650,"")</f>
        <v/>
      </c>
      <c r="K650" s="39" t="str" cm="1">
        <f t="array" ref="K650">IFERROR(INDEX(Table_dim_price_recipe[Retail Price], MATCH(1, ("Calculator"&lt;&gt;Table_dim_price_recipe[Type.display])*($L650=Table_dim_price_recipe[Category])*($D650=Table_dim_price_recipe[Item Description]) * (K$6=Table_dim_price_recipe[Type])*(Table_dim_price_recipe[Retail Price]&lt;&gt;0)*($C650=Table_dim_price_recipe[Subcategory]), 0))*$B650,"")</f>
        <v/>
      </c>
      <c r="L650" s="39" t="str" cm="1">
        <f t="array" ref="L650">IF($A650&lt;&gt;"", $A650, LOOKUP(2, 1/((A$7:INDEX(A:A, ROW()))&lt;&gt;""), A$7:INDEX(A:A, ROW())))</f>
        <v>CEILINGS &amp; WALLS</v>
      </c>
      <c r="M650" s="14"/>
    </row>
    <row r="651" spans="1:13">
      <c r="A651" s="263"/>
      <c r="B651" s="263"/>
      <c r="C651" s="263" t="s">
        <v>461</v>
      </c>
      <c r="D651" s="263" t="s">
        <v>481</v>
      </c>
      <c r="E651" s="263"/>
      <c r="F651" s="263"/>
      <c r="G651" s="39" t="str" cm="1">
        <f t="array" ref="G651">IFERROR(INDEX(Table_dim_price_recipe[Retail Price], MATCH(1, ("Calculator"&lt;&gt;Table_dim_price_recipe[Type.display])*($L651=Table_dim_price_recipe[Category])*($D651=Table_dim_price_recipe[Item Description]) * (G$6=Table_dim_price_recipe[Type])*(Table_dim_price_recipe[Retail Price]&lt;&gt;0)*($C651=Table_dim_price_recipe[Subcategory]), 0))*$B651,"")</f>
        <v/>
      </c>
      <c r="H651" s="39" t="str" cm="1">
        <f t="array" ref="H651">IFERROR(INDEX(Table_dim_price_recipe[Retail Price], MATCH(1, ("Calculator"&lt;&gt;Table_dim_price_recipe[Type.display])*($L651=Table_dim_price_recipe[Category])*($D651=Table_dim_price_recipe[Item Description]) * (H$6=Table_dim_price_recipe[Type])*(Table_dim_price_recipe[Retail Price]&lt;&gt;0)*($C651=Table_dim_price_recipe[Subcategory]), 0))*$B651,"")</f>
        <v/>
      </c>
      <c r="I651" s="39" t="str" cm="1">
        <f t="array" ref="I651">IFERROR(INDEX(Table_dim_price_recipe[Retail Price], MATCH(1, ("Calculator"&lt;&gt;Table_dim_price_recipe[Type.display])*($L651=Table_dim_price_recipe[Category])*($D651=Table_dim_price_recipe[Item Description]) * (I$6=Table_dim_price_recipe[Type])*(Table_dim_price_recipe[Retail Price]&lt;&gt;0)*($C651=Table_dim_price_recipe[Subcategory]), 0))*$B651,"")</f>
        <v/>
      </c>
      <c r="J651" s="39" t="str" cm="1">
        <f t="array" ref="J651">IFERROR(INDEX(Table_dim_price_recipe[Retail Price], MATCH(1, ("Calculator"&lt;&gt;Table_dim_price_recipe[Type.display])*($L651=Table_dim_price_recipe[Category])*($D651=Table_dim_price_recipe[Item Description]) * (J$6=Table_dim_price_recipe[Type])*(Table_dim_price_recipe[Retail Price]&lt;&gt;0)*($C651=Table_dim_price_recipe[Subcategory]), 0))*$B651,"")</f>
        <v/>
      </c>
      <c r="K651" s="39" t="str" cm="1">
        <f t="array" ref="K651">IFERROR(INDEX(Table_dim_price_recipe[Retail Price], MATCH(1, ("Calculator"&lt;&gt;Table_dim_price_recipe[Type.display])*($L651=Table_dim_price_recipe[Category])*($D651=Table_dim_price_recipe[Item Description]) * (K$6=Table_dim_price_recipe[Type])*(Table_dim_price_recipe[Retail Price]&lt;&gt;0)*($C651=Table_dim_price_recipe[Subcategory]), 0))*$B651,"")</f>
        <v/>
      </c>
      <c r="L651" s="39" t="str" cm="1">
        <f t="array" ref="L651">IF($A651&lt;&gt;"", $A651, LOOKUP(2, 1/((A$7:INDEX(A:A, ROW()))&lt;&gt;""), A$7:INDEX(A:A, ROW())))</f>
        <v>CEILINGS &amp; WALLS</v>
      </c>
      <c r="M651" s="14"/>
    </row>
    <row r="652" spans="1:13">
      <c r="A652" s="263"/>
      <c r="B652" s="263"/>
      <c r="C652" s="263" t="s">
        <v>461</v>
      </c>
      <c r="D652" s="263" t="s">
        <v>482</v>
      </c>
      <c r="E652" s="263"/>
      <c r="F652" s="263"/>
      <c r="G652" s="39" t="str" cm="1">
        <f t="array" ref="G652">IFERROR(INDEX(Table_dim_price_recipe[Retail Price], MATCH(1, ("Calculator"&lt;&gt;Table_dim_price_recipe[Type.display])*($L652=Table_dim_price_recipe[Category])*($D652=Table_dim_price_recipe[Item Description]) * (G$6=Table_dim_price_recipe[Type])*(Table_dim_price_recipe[Retail Price]&lt;&gt;0)*($C652=Table_dim_price_recipe[Subcategory]), 0))*$B652,"")</f>
        <v/>
      </c>
      <c r="H652" s="39" t="str" cm="1">
        <f t="array" ref="H652">IFERROR(INDEX(Table_dim_price_recipe[Retail Price], MATCH(1, ("Calculator"&lt;&gt;Table_dim_price_recipe[Type.display])*($L652=Table_dim_price_recipe[Category])*($D652=Table_dim_price_recipe[Item Description]) * (H$6=Table_dim_price_recipe[Type])*(Table_dim_price_recipe[Retail Price]&lt;&gt;0)*($C652=Table_dim_price_recipe[Subcategory]), 0))*$B652,"")</f>
        <v/>
      </c>
      <c r="I652" s="39" t="str" cm="1">
        <f t="array" ref="I652">IFERROR(INDEX(Table_dim_price_recipe[Retail Price], MATCH(1, ("Calculator"&lt;&gt;Table_dim_price_recipe[Type.display])*($L652=Table_dim_price_recipe[Category])*($D652=Table_dim_price_recipe[Item Description]) * (I$6=Table_dim_price_recipe[Type])*(Table_dim_price_recipe[Retail Price]&lt;&gt;0)*($C652=Table_dim_price_recipe[Subcategory]), 0))*$B652,"")</f>
        <v/>
      </c>
      <c r="J652" s="39" t="str" cm="1">
        <f t="array" ref="J652">IFERROR(INDEX(Table_dim_price_recipe[Retail Price], MATCH(1, ("Calculator"&lt;&gt;Table_dim_price_recipe[Type.display])*($L652=Table_dim_price_recipe[Category])*($D652=Table_dim_price_recipe[Item Description]) * (J$6=Table_dim_price_recipe[Type])*(Table_dim_price_recipe[Retail Price]&lt;&gt;0)*($C652=Table_dim_price_recipe[Subcategory]), 0))*$B652,"")</f>
        <v/>
      </c>
      <c r="K652" s="39" t="str" cm="1">
        <f t="array" ref="K652">IFERROR(INDEX(Table_dim_price_recipe[Retail Price], MATCH(1, ("Calculator"&lt;&gt;Table_dim_price_recipe[Type.display])*($L652=Table_dim_price_recipe[Category])*($D652=Table_dim_price_recipe[Item Description]) * (K$6=Table_dim_price_recipe[Type])*(Table_dim_price_recipe[Retail Price]&lt;&gt;0)*($C652=Table_dim_price_recipe[Subcategory]), 0))*$B652,"")</f>
        <v/>
      </c>
      <c r="L652" s="39" t="str" cm="1">
        <f t="array" ref="L652">IF($A652&lt;&gt;"", $A652, LOOKUP(2, 1/((A$7:INDEX(A:A, ROW()))&lt;&gt;""), A$7:INDEX(A:A, ROW())))</f>
        <v>CEILINGS &amp; WALLS</v>
      </c>
      <c r="M652" s="14"/>
    </row>
    <row r="653" spans="1:13">
      <c r="A653" s="263"/>
      <c r="B653" s="263"/>
      <c r="C653" s="263" t="s">
        <v>461</v>
      </c>
      <c r="D653" s="263" t="s">
        <v>484</v>
      </c>
      <c r="E653" s="263"/>
      <c r="F653" s="263"/>
      <c r="G653" s="39" t="str" cm="1">
        <f t="array" ref="G653">IFERROR(INDEX(Table_dim_price_recipe[Retail Price], MATCH(1, ("Calculator"&lt;&gt;Table_dim_price_recipe[Type.display])*($L653=Table_dim_price_recipe[Category])*($D653=Table_dim_price_recipe[Item Description]) * (G$6=Table_dim_price_recipe[Type])*(Table_dim_price_recipe[Retail Price]&lt;&gt;0)*($C653=Table_dim_price_recipe[Subcategory]), 0))*$B653,"")</f>
        <v/>
      </c>
      <c r="H653" s="39" t="str" cm="1">
        <f t="array" ref="H653">IFERROR(INDEX(Table_dim_price_recipe[Retail Price], MATCH(1, ("Calculator"&lt;&gt;Table_dim_price_recipe[Type.display])*($L653=Table_dim_price_recipe[Category])*($D653=Table_dim_price_recipe[Item Description]) * (H$6=Table_dim_price_recipe[Type])*(Table_dim_price_recipe[Retail Price]&lt;&gt;0)*($C653=Table_dim_price_recipe[Subcategory]), 0))*$B653,"")</f>
        <v/>
      </c>
      <c r="I653" s="39" t="str" cm="1">
        <f t="array" ref="I653">IFERROR(INDEX(Table_dim_price_recipe[Retail Price], MATCH(1, ("Calculator"&lt;&gt;Table_dim_price_recipe[Type.display])*($L653=Table_dim_price_recipe[Category])*($D653=Table_dim_price_recipe[Item Description]) * (I$6=Table_dim_price_recipe[Type])*(Table_dim_price_recipe[Retail Price]&lt;&gt;0)*($C653=Table_dim_price_recipe[Subcategory]), 0))*$B653,"")</f>
        <v/>
      </c>
      <c r="J653" s="39" t="str" cm="1">
        <f t="array" ref="J653">IFERROR(INDEX(Table_dim_price_recipe[Retail Price], MATCH(1, ("Calculator"&lt;&gt;Table_dim_price_recipe[Type.display])*($L653=Table_dim_price_recipe[Category])*($D653=Table_dim_price_recipe[Item Description]) * (J$6=Table_dim_price_recipe[Type])*(Table_dim_price_recipe[Retail Price]&lt;&gt;0)*($C653=Table_dim_price_recipe[Subcategory]), 0))*$B653,"")</f>
        <v/>
      </c>
      <c r="K653" s="39" t="str" cm="1">
        <f t="array" ref="K653">IFERROR(INDEX(Table_dim_price_recipe[Retail Price], MATCH(1, ("Calculator"&lt;&gt;Table_dim_price_recipe[Type.display])*($L653=Table_dim_price_recipe[Category])*($D653=Table_dim_price_recipe[Item Description]) * (K$6=Table_dim_price_recipe[Type])*(Table_dim_price_recipe[Retail Price]&lt;&gt;0)*($C653=Table_dim_price_recipe[Subcategory]), 0))*$B653,"")</f>
        <v/>
      </c>
      <c r="L653" s="39" t="str" cm="1">
        <f t="array" ref="L653">IF($A653&lt;&gt;"", $A653, LOOKUP(2, 1/((A$7:INDEX(A:A, ROW()))&lt;&gt;""), A$7:INDEX(A:A, ROW())))</f>
        <v>CEILINGS &amp; WALLS</v>
      </c>
      <c r="M653" s="14"/>
    </row>
    <row r="654" spans="1:13">
      <c r="A654" s="263"/>
      <c r="B654" s="263"/>
      <c r="C654" s="263" t="s">
        <v>461</v>
      </c>
      <c r="D654" s="263" t="s">
        <v>477</v>
      </c>
      <c r="E654" s="263"/>
      <c r="F654" s="263"/>
      <c r="G654" s="39" t="str" cm="1">
        <f t="array" ref="G654">IFERROR(INDEX(Table_dim_price_recipe[Retail Price], MATCH(1, ("Calculator"&lt;&gt;Table_dim_price_recipe[Type.display])*($L654=Table_dim_price_recipe[Category])*($D654=Table_dim_price_recipe[Item Description]) * (G$6=Table_dim_price_recipe[Type])*(Table_dim_price_recipe[Retail Price]&lt;&gt;0)*($C654=Table_dim_price_recipe[Subcategory]), 0))*$B654,"")</f>
        <v/>
      </c>
      <c r="H654" s="39" t="str" cm="1">
        <f t="array" ref="H654">IFERROR(INDEX(Table_dim_price_recipe[Retail Price], MATCH(1, ("Calculator"&lt;&gt;Table_dim_price_recipe[Type.display])*($L654=Table_dim_price_recipe[Category])*($D654=Table_dim_price_recipe[Item Description]) * (H$6=Table_dim_price_recipe[Type])*(Table_dim_price_recipe[Retail Price]&lt;&gt;0)*($C654=Table_dim_price_recipe[Subcategory]), 0))*$B654,"")</f>
        <v/>
      </c>
      <c r="I654" s="39" t="str" cm="1">
        <f t="array" ref="I654">IFERROR(INDEX(Table_dim_price_recipe[Retail Price], MATCH(1, ("Calculator"&lt;&gt;Table_dim_price_recipe[Type.display])*($L654=Table_dim_price_recipe[Category])*($D654=Table_dim_price_recipe[Item Description]) * (I$6=Table_dim_price_recipe[Type])*(Table_dim_price_recipe[Retail Price]&lt;&gt;0)*($C654=Table_dim_price_recipe[Subcategory]), 0))*$B654,"")</f>
        <v/>
      </c>
      <c r="J654" s="39" t="str" cm="1">
        <f t="array" ref="J654">IFERROR(INDEX(Table_dim_price_recipe[Retail Price], MATCH(1, ("Calculator"&lt;&gt;Table_dim_price_recipe[Type.display])*($L654=Table_dim_price_recipe[Category])*($D654=Table_dim_price_recipe[Item Description]) * (J$6=Table_dim_price_recipe[Type])*(Table_dim_price_recipe[Retail Price]&lt;&gt;0)*($C654=Table_dim_price_recipe[Subcategory]), 0))*$B654,"")</f>
        <v/>
      </c>
      <c r="K654" s="39" t="str" cm="1">
        <f t="array" ref="K654">IFERROR(INDEX(Table_dim_price_recipe[Retail Price], MATCH(1, ("Calculator"&lt;&gt;Table_dim_price_recipe[Type.display])*($L654=Table_dim_price_recipe[Category])*($D654=Table_dim_price_recipe[Item Description]) * (K$6=Table_dim_price_recipe[Type])*(Table_dim_price_recipe[Retail Price]&lt;&gt;0)*($C654=Table_dim_price_recipe[Subcategory]), 0))*$B654,"")</f>
        <v/>
      </c>
      <c r="L654" s="39" t="str" cm="1">
        <f t="array" ref="L654">IF($A654&lt;&gt;"", $A654, LOOKUP(2, 1/((A$7:INDEX(A:A, ROW()))&lt;&gt;""), A$7:INDEX(A:A, ROW())))</f>
        <v>CEILINGS &amp; WALLS</v>
      </c>
      <c r="M654" s="14"/>
    </row>
    <row r="655" spans="1:13">
      <c r="A655" s="263"/>
      <c r="B655" s="263"/>
      <c r="C655" s="263" t="s">
        <v>461</v>
      </c>
      <c r="D655" s="263" t="s">
        <v>478</v>
      </c>
      <c r="E655" s="263"/>
      <c r="F655" s="263"/>
      <c r="G655" s="39" t="str" cm="1">
        <f t="array" ref="G655">IFERROR(INDEX(Table_dim_price_recipe[Retail Price], MATCH(1, ("Calculator"&lt;&gt;Table_dim_price_recipe[Type.display])*($L655=Table_dim_price_recipe[Category])*($D655=Table_dim_price_recipe[Item Description]) * (G$6=Table_dim_price_recipe[Type])*(Table_dim_price_recipe[Retail Price]&lt;&gt;0)*($C655=Table_dim_price_recipe[Subcategory]), 0))*$B655,"")</f>
        <v/>
      </c>
      <c r="H655" s="39" t="str" cm="1">
        <f t="array" ref="H655">IFERROR(INDEX(Table_dim_price_recipe[Retail Price], MATCH(1, ("Calculator"&lt;&gt;Table_dim_price_recipe[Type.display])*($L655=Table_dim_price_recipe[Category])*($D655=Table_dim_price_recipe[Item Description]) * (H$6=Table_dim_price_recipe[Type])*(Table_dim_price_recipe[Retail Price]&lt;&gt;0)*($C655=Table_dim_price_recipe[Subcategory]), 0))*$B655,"")</f>
        <v/>
      </c>
      <c r="I655" s="39" t="str" cm="1">
        <f t="array" ref="I655">IFERROR(INDEX(Table_dim_price_recipe[Retail Price], MATCH(1, ("Calculator"&lt;&gt;Table_dim_price_recipe[Type.display])*($L655=Table_dim_price_recipe[Category])*($D655=Table_dim_price_recipe[Item Description]) * (I$6=Table_dim_price_recipe[Type])*(Table_dim_price_recipe[Retail Price]&lt;&gt;0)*($C655=Table_dim_price_recipe[Subcategory]), 0))*$B655,"")</f>
        <v/>
      </c>
      <c r="J655" s="39" t="str" cm="1">
        <f t="array" ref="J655">IFERROR(INDEX(Table_dim_price_recipe[Retail Price], MATCH(1, ("Calculator"&lt;&gt;Table_dim_price_recipe[Type.display])*($L655=Table_dim_price_recipe[Category])*($D655=Table_dim_price_recipe[Item Description]) * (J$6=Table_dim_price_recipe[Type])*(Table_dim_price_recipe[Retail Price]&lt;&gt;0)*($C655=Table_dim_price_recipe[Subcategory]), 0))*$B655,"")</f>
        <v/>
      </c>
      <c r="K655" s="39" t="str" cm="1">
        <f t="array" ref="K655">IFERROR(INDEX(Table_dim_price_recipe[Retail Price], MATCH(1, ("Calculator"&lt;&gt;Table_dim_price_recipe[Type.display])*($L655=Table_dim_price_recipe[Category])*($D655=Table_dim_price_recipe[Item Description]) * (K$6=Table_dim_price_recipe[Type])*(Table_dim_price_recipe[Retail Price]&lt;&gt;0)*($C655=Table_dim_price_recipe[Subcategory]), 0))*$B655,"")</f>
        <v/>
      </c>
      <c r="L655" s="39" t="str" cm="1">
        <f t="array" ref="L655">IF($A655&lt;&gt;"", $A655, LOOKUP(2, 1/((A$7:INDEX(A:A, ROW()))&lt;&gt;""), A$7:INDEX(A:A, ROW())))</f>
        <v>CEILINGS &amp; WALLS</v>
      </c>
      <c r="M655" s="14"/>
    </row>
    <row r="656" spans="1:13">
      <c r="A656" s="263"/>
      <c r="B656" s="263"/>
      <c r="C656" s="263" t="s">
        <v>461</v>
      </c>
      <c r="D656" s="263" t="s">
        <v>480</v>
      </c>
      <c r="E656" s="263"/>
      <c r="F656" s="263"/>
      <c r="G656" s="39" t="str" cm="1">
        <f t="array" ref="G656">IFERROR(INDEX(Table_dim_price_recipe[Retail Price], MATCH(1, ("Calculator"&lt;&gt;Table_dim_price_recipe[Type.display])*($L656=Table_dim_price_recipe[Category])*($D656=Table_dim_price_recipe[Item Description]) * (G$6=Table_dim_price_recipe[Type])*(Table_dim_price_recipe[Retail Price]&lt;&gt;0)*($C656=Table_dim_price_recipe[Subcategory]), 0))*$B656,"")</f>
        <v/>
      </c>
      <c r="H656" s="39" t="str" cm="1">
        <f t="array" ref="H656">IFERROR(INDEX(Table_dim_price_recipe[Retail Price], MATCH(1, ("Calculator"&lt;&gt;Table_dim_price_recipe[Type.display])*($L656=Table_dim_price_recipe[Category])*($D656=Table_dim_price_recipe[Item Description]) * (H$6=Table_dim_price_recipe[Type])*(Table_dim_price_recipe[Retail Price]&lt;&gt;0)*($C656=Table_dim_price_recipe[Subcategory]), 0))*$B656,"")</f>
        <v/>
      </c>
      <c r="I656" s="39" t="str" cm="1">
        <f t="array" ref="I656">IFERROR(INDEX(Table_dim_price_recipe[Retail Price], MATCH(1, ("Calculator"&lt;&gt;Table_dim_price_recipe[Type.display])*($L656=Table_dim_price_recipe[Category])*($D656=Table_dim_price_recipe[Item Description]) * (I$6=Table_dim_price_recipe[Type])*(Table_dim_price_recipe[Retail Price]&lt;&gt;0)*($C656=Table_dim_price_recipe[Subcategory]), 0))*$B656,"")</f>
        <v/>
      </c>
      <c r="J656" s="39" t="str" cm="1">
        <f t="array" ref="J656">IFERROR(INDEX(Table_dim_price_recipe[Retail Price], MATCH(1, ("Calculator"&lt;&gt;Table_dim_price_recipe[Type.display])*($L656=Table_dim_price_recipe[Category])*($D656=Table_dim_price_recipe[Item Description]) * (J$6=Table_dim_price_recipe[Type])*(Table_dim_price_recipe[Retail Price]&lt;&gt;0)*($C656=Table_dim_price_recipe[Subcategory]), 0))*$B656,"")</f>
        <v/>
      </c>
      <c r="K656" s="39" t="str" cm="1">
        <f t="array" ref="K656">IFERROR(INDEX(Table_dim_price_recipe[Retail Price], MATCH(1, ("Calculator"&lt;&gt;Table_dim_price_recipe[Type.display])*($L656=Table_dim_price_recipe[Category])*($D656=Table_dim_price_recipe[Item Description]) * (K$6=Table_dim_price_recipe[Type])*(Table_dim_price_recipe[Retail Price]&lt;&gt;0)*($C656=Table_dim_price_recipe[Subcategory]), 0))*$B656,"")</f>
        <v/>
      </c>
      <c r="L656" s="39" t="str" cm="1">
        <f t="array" ref="L656">IF($A656&lt;&gt;"", $A656, LOOKUP(2, 1/((A$7:INDEX(A:A, ROW()))&lt;&gt;""), A$7:INDEX(A:A, ROW())))</f>
        <v>CEILINGS &amp; WALLS</v>
      </c>
      <c r="M656" s="14"/>
    </row>
    <row r="657" spans="1:13">
      <c r="A657" s="263"/>
      <c r="B657" s="263"/>
      <c r="C657" s="263" t="s">
        <v>461</v>
      </c>
      <c r="D657" s="263" t="s">
        <v>487</v>
      </c>
      <c r="E657" s="263"/>
      <c r="F657" s="263"/>
      <c r="G657" s="39" t="str" cm="1">
        <f t="array" ref="G657">IFERROR(INDEX(Table_dim_price_recipe[Retail Price], MATCH(1, ("Calculator"&lt;&gt;Table_dim_price_recipe[Type.display])*($L657=Table_dim_price_recipe[Category])*($D657=Table_dim_price_recipe[Item Description]) * (G$6=Table_dim_price_recipe[Type])*(Table_dim_price_recipe[Retail Price]&lt;&gt;0)*($C657=Table_dim_price_recipe[Subcategory]), 0))*$B657,"")</f>
        <v/>
      </c>
      <c r="H657" s="39" t="str" cm="1">
        <f t="array" ref="H657">IFERROR(INDEX(Table_dim_price_recipe[Retail Price], MATCH(1, ("Calculator"&lt;&gt;Table_dim_price_recipe[Type.display])*($L657=Table_dim_price_recipe[Category])*($D657=Table_dim_price_recipe[Item Description]) * (H$6=Table_dim_price_recipe[Type])*(Table_dim_price_recipe[Retail Price]&lt;&gt;0)*($C657=Table_dim_price_recipe[Subcategory]), 0))*$B657,"")</f>
        <v/>
      </c>
      <c r="I657" s="39" t="str" cm="1">
        <f t="array" ref="I657">IFERROR(INDEX(Table_dim_price_recipe[Retail Price], MATCH(1, ("Calculator"&lt;&gt;Table_dim_price_recipe[Type.display])*($L657=Table_dim_price_recipe[Category])*($D657=Table_dim_price_recipe[Item Description]) * (I$6=Table_dim_price_recipe[Type])*(Table_dim_price_recipe[Retail Price]&lt;&gt;0)*($C657=Table_dim_price_recipe[Subcategory]), 0))*$B657,"")</f>
        <v/>
      </c>
      <c r="J657" s="39" t="str" cm="1">
        <f t="array" ref="J657">IFERROR(INDEX(Table_dim_price_recipe[Retail Price], MATCH(1, ("Calculator"&lt;&gt;Table_dim_price_recipe[Type.display])*($L657=Table_dim_price_recipe[Category])*($D657=Table_dim_price_recipe[Item Description]) * (J$6=Table_dim_price_recipe[Type])*(Table_dim_price_recipe[Retail Price]&lt;&gt;0)*($C657=Table_dim_price_recipe[Subcategory]), 0))*$B657,"")</f>
        <v/>
      </c>
      <c r="K657" s="39" t="str" cm="1">
        <f t="array" ref="K657">IFERROR(INDEX(Table_dim_price_recipe[Retail Price], MATCH(1, ("Calculator"&lt;&gt;Table_dim_price_recipe[Type.display])*($L657=Table_dim_price_recipe[Category])*($D657=Table_dim_price_recipe[Item Description]) * (K$6=Table_dim_price_recipe[Type])*(Table_dim_price_recipe[Retail Price]&lt;&gt;0)*($C657=Table_dim_price_recipe[Subcategory]), 0))*$B657,"")</f>
        <v/>
      </c>
      <c r="L657" s="39" t="str" cm="1">
        <f t="array" ref="L657">IF($A657&lt;&gt;"", $A657, LOOKUP(2, 1/((A$7:INDEX(A:A, ROW()))&lt;&gt;""), A$7:INDEX(A:A, ROW())))</f>
        <v>CEILINGS &amp; WALLS</v>
      </c>
      <c r="M657" s="14"/>
    </row>
    <row r="658" spans="1:13">
      <c r="A658" s="263"/>
      <c r="B658" s="263"/>
      <c r="C658" s="263" t="s">
        <v>461</v>
      </c>
      <c r="D658" s="263" t="s">
        <v>488</v>
      </c>
      <c r="E658" s="263"/>
      <c r="F658" s="263"/>
      <c r="G658" s="39" t="str" cm="1">
        <f t="array" ref="G658">IFERROR(INDEX(Table_dim_price_recipe[Retail Price], MATCH(1, ("Calculator"&lt;&gt;Table_dim_price_recipe[Type.display])*($L658=Table_dim_price_recipe[Category])*($D658=Table_dim_price_recipe[Item Description]) * (G$6=Table_dim_price_recipe[Type])*(Table_dim_price_recipe[Retail Price]&lt;&gt;0)*($C658=Table_dim_price_recipe[Subcategory]), 0))*$B658,"")</f>
        <v/>
      </c>
      <c r="H658" s="39" t="str" cm="1">
        <f t="array" ref="H658">IFERROR(INDEX(Table_dim_price_recipe[Retail Price], MATCH(1, ("Calculator"&lt;&gt;Table_dim_price_recipe[Type.display])*($L658=Table_dim_price_recipe[Category])*($D658=Table_dim_price_recipe[Item Description]) * (H$6=Table_dim_price_recipe[Type])*(Table_dim_price_recipe[Retail Price]&lt;&gt;0)*($C658=Table_dim_price_recipe[Subcategory]), 0))*$B658,"")</f>
        <v/>
      </c>
      <c r="I658" s="39" t="str" cm="1">
        <f t="array" ref="I658">IFERROR(INDEX(Table_dim_price_recipe[Retail Price], MATCH(1, ("Calculator"&lt;&gt;Table_dim_price_recipe[Type.display])*($L658=Table_dim_price_recipe[Category])*($D658=Table_dim_price_recipe[Item Description]) * (I$6=Table_dim_price_recipe[Type])*(Table_dim_price_recipe[Retail Price]&lt;&gt;0)*($C658=Table_dim_price_recipe[Subcategory]), 0))*$B658,"")</f>
        <v/>
      </c>
      <c r="J658" s="39" t="str" cm="1">
        <f t="array" ref="J658">IFERROR(INDEX(Table_dim_price_recipe[Retail Price], MATCH(1, ("Calculator"&lt;&gt;Table_dim_price_recipe[Type.display])*($L658=Table_dim_price_recipe[Category])*($D658=Table_dim_price_recipe[Item Description]) * (J$6=Table_dim_price_recipe[Type])*(Table_dim_price_recipe[Retail Price]&lt;&gt;0)*($C658=Table_dim_price_recipe[Subcategory]), 0))*$B658,"")</f>
        <v/>
      </c>
      <c r="K658" s="39" t="str" cm="1">
        <f t="array" ref="K658">IFERROR(INDEX(Table_dim_price_recipe[Retail Price], MATCH(1, ("Calculator"&lt;&gt;Table_dim_price_recipe[Type.display])*($L658=Table_dim_price_recipe[Category])*($D658=Table_dim_price_recipe[Item Description]) * (K$6=Table_dim_price_recipe[Type])*(Table_dim_price_recipe[Retail Price]&lt;&gt;0)*($C658=Table_dim_price_recipe[Subcategory]), 0))*$B658,"")</f>
        <v/>
      </c>
      <c r="L658" s="39" t="str" cm="1">
        <f t="array" ref="L658">IF($A658&lt;&gt;"", $A658, LOOKUP(2, 1/((A$7:INDEX(A:A, ROW()))&lt;&gt;""), A$7:INDEX(A:A, ROW())))</f>
        <v>CEILINGS &amp; WALLS</v>
      </c>
      <c r="M658" s="14"/>
    </row>
    <row r="659" spans="1:13">
      <c r="A659" s="263"/>
      <c r="B659" s="263"/>
      <c r="C659" s="263" t="s">
        <v>461</v>
      </c>
      <c r="D659" s="263" t="s">
        <v>489</v>
      </c>
      <c r="E659" s="263"/>
      <c r="F659" s="263"/>
      <c r="G659" s="39" t="str" cm="1">
        <f t="array" ref="G659">IFERROR(INDEX(Table_dim_price_recipe[Retail Price], MATCH(1, ("Calculator"&lt;&gt;Table_dim_price_recipe[Type.display])*($L659=Table_dim_price_recipe[Category])*($D659=Table_dim_price_recipe[Item Description]) * (G$6=Table_dim_price_recipe[Type])*(Table_dim_price_recipe[Retail Price]&lt;&gt;0)*($C659=Table_dim_price_recipe[Subcategory]), 0))*$B659,"")</f>
        <v/>
      </c>
      <c r="H659" s="39" t="str" cm="1">
        <f t="array" ref="H659">IFERROR(INDEX(Table_dim_price_recipe[Retail Price], MATCH(1, ("Calculator"&lt;&gt;Table_dim_price_recipe[Type.display])*($L659=Table_dim_price_recipe[Category])*($D659=Table_dim_price_recipe[Item Description]) * (H$6=Table_dim_price_recipe[Type])*(Table_dim_price_recipe[Retail Price]&lt;&gt;0)*($C659=Table_dim_price_recipe[Subcategory]), 0))*$B659,"")</f>
        <v/>
      </c>
      <c r="I659" s="39" t="str" cm="1">
        <f t="array" ref="I659">IFERROR(INDEX(Table_dim_price_recipe[Retail Price], MATCH(1, ("Calculator"&lt;&gt;Table_dim_price_recipe[Type.display])*($L659=Table_dim_price_recipe[Category])*($D659=Table_dim_price_recipe[Item Description]) * (I$6=Table_dim_price_recipe[Type])*(Table_dim_price_recipe[Retail Price]&lt;&gt;0)*($C659=Table_dim_price_recipe[Subcategory]), 0))*$B659,"")</f>
        <v/>
      </c>
      <c r="J659" s="39" t="str" cm="1">
        <f t="array" ref="J659">IFERROR(INDEX(Table_dim_price_recipe[Retail Price], MATCH(1, ("Calculator"&lt;&gt;Table_dim_price_recipe[Type.display])*($L659=Table_dim_price_recipe[Category])*($D659=Table_dim_price_recipe[Item Description]) * (J$6=Table_dim_price_recipe[Type])*(Table_dim_price_recipe[Retail Price]&lt;&gt;0)*($C659=Table_dim_price_recipe[Subcategory]), 0))*$B659,"")</f>
        <v/>
      </c>
      <c r="K659" s="39" t="str" cm="1">
        <f t="array" ref="K659">IFERROR(INDEX(Table_dim_price_recipe[Retail Price], MATCH(1, ("Calculator"&lt;&gt;Table_dim_price_recipe[Type.display])*($L659=Table_dim_price_recipe[Category])*($D659=Table_dim_price_recipe[Item Description]) * (K$6=Table_dim_price_recipe[Type])*(Table_dim_price_recipe[Retail Price]&lt;&gt;0)*($C659=Table_dim_price_recipe[Subcategory]), 0))*$B659,"")</f>
        <v/>
      </c>
      <c r="L659" s="39" t="str" cm="1">
        <f t="array" ref="L659">IF($A659&lt;&gt;"", $A659, LOOKUP(2, 1/((A$7:INDEX(A:A, ROW()))&lt;&gt;""), A$7:INDEX(A:A, ROW())))</f>
        <v>CEILINGS &amp; WALLS</v>
      </c>
      <c r="M659" s="14"/>
    </row>
    <row r="660" spans="1:13">
      <c r="A660" s="263"/>
      <c r="B660" s="263"/>
      <c r="C660" s="263" t="s">
        <v>461</v>
      </c>
      <c r="D660" s="263" t="s">
        <v>490</v>
      </c>
      <c r="E660" s="263"/>
      <c r="F660" s="263"/>
      <c r="G660" s="39" t="str" cm="1">
        <f t="array" ref="G660">IFERROR(INDEX(Table_dim_price_recipe[Retail Price], MATCH(1, ("Calculator"&lt;&gt;Table_dim_price_recipe[Type.display])*($L660=Table_dim_price_recipe[Category])*($D660=Table_dim_price_recipe[Item Description]) * (G$6=Table_dim_price_recipe[Type])*(Table_dim_price_recipe[Retail Price]&lt;&gt;0)*($C660=Table_dim_price_recipe[Subcategory]), 0))*$B660,"")</f>
        <v/>
      </c>
      <c r="H660" s="39" t="str" cm="1">
        <f t="array" ref="H660">IFERROR(INDEX(Table_dim_price_recipe[Retail Price], MATCH(1, ("Calculator"&lt;&gt;Table_dim_price_recipe[Type.display])*($L660=Table_dim_price_recipe[Category])*($D660=Table_dim_price_recipe[Item Description]) * (H$6=Table_dim_price_recipe[Type])*(Table_dim_price_recipe[Retail Price]&lt;&gt;0)*($C660=Table_dim_price_recipe[Subcategory]), 0))*$B660,"")</f>
        <v/>
      </c>
      <c r="I660" s="39" t="str" cm="1">
        <f t="array" ref="I660">IFERROR(INDEX(Table_dim_price_recipe[Retail Price], MATCH(1, ("Calculator"&lt;&gt;Table_dim_price_recipe[Type.display])*($L660=Table_dim_price_recipe[Category])*($D660=Table_dim_price_recipe[Item Description]) * (I$6=Table_dim_price_recipe[Type])*(Table_dim_price_recipe[Retail Price]&lt;&gt;0)*($C660=Table_dim_price_recipe[Subcategory]), 0))*$B660,"")</f>
        <v/>
      </c>
      <c r="J660" s="39" t="str" cm="1">
        <f t="array" ref="J660">IFERROR(INDEX(Table_dim_price_recipe[Retail Price], MATCH(1, ("Calculator"&lt;&gt;Table_dim_price_recipe[Type.display])*($L660=Table_dim_price_recipe[Category])*($D660=Table_dim_price_recipe[Item Description]) * (J$6=Table_dim_price_recipe[Type])*(Table_dim_price_recipe[Retail Price]&lt;&gt;0)*($C660=Table_dim_price_recipe[Subcategory]), 0))*$B660,"")</f>
        <v/>
      </c>
      <c r="K660" s="39" t="str" cm="1">
        <f t="array" ref="K660">IFERROR(INDEX(Table_dim_price_recipe[Retail Price], MATCH(1, ("Calculator"&lt;&gt;Table_dim_price_recipe[Type.display])*($L660=Table_dim_price_recipe[Category])*($D660=Table_dim_price_recipe[Item Description]) * (K$6=Table_dim_price_recipe[Type])*(Table_dim_price_recipe[Retail Price]&lt;&gt;0)*($C660=Table_dim_price_recipe[Subcategory]), 0))*$B660,"")</f>
        <v/>
      </c>
      <c r="L660" s="39" t="str" cm="1">
        <f t="array" ref="L660">IF($A660&lt;&gt;"", $A660, LOOKUP(2, 1/((A$7:INDEX(A:A, ROW()))&lt;&gt;""), A$7:INDEX(A:A, ROW())))</f>
        <v>CEILINGS &amp; WALLS</v>
      </c>
      <c r="M660" s="14"/>
    </row>
    <row r="661" spans="1:13">
      <c r="A661" s="263"/>
      <c r="B661" s="263"/>
      <c r="C661" s="263" t="s">
        <v>461</v>
      </c>
      <c r="D661" s="263" t="s">
        <v>491</v>
      </c>
      <c r="E661" s="263"/>
      <c r="F661" s="263"/>
      <c r="G661" s="39" t="str" cm="1">
        <f t="array" ref="G661">IFERROR(INDEX(Table_dim_price_recipe[Retail Price], MATCH(1, ("Calculator"&lt;&gt;Table_dim_price_recipe[Type.display])*($L661=Table_dim_price_recipe[Category])*($D661=Table_dim_price_recipe[Item Description]) * (G$6=Table_dim_price_recipe[Type])*(Table_dim_price_recipe[Retail Price]&lt;&gt;0)*($C661=Table_dim_price_recipe[Subcategory]), 0))*$B661,"")</f>
        <v/>
      </c>
      <c r="H661" s="39" t="str" cm="1">
        <f t="array" ref="H661">IFERROR(INDEX(Table_dim_price_recipe[Retail Price], MATCH(1, ("Calculator"&lt;&gt;Table_dim_price_recipe[Type.display])*($L661=Table_dim_price_recipe[Category])*($D661=Table_dim_price_recipe[Item Description]) * (H$6=Table_dim_price_recipe[Type])*(Table_dim_price_recipe[Retail Price]&lt;&gt;0)*($C661=Table_dim_price_recipe[Subcategory]), 0))*$B661,"")</f>
        <v/>
      </c>
      <c r="I661" s="39" t="str" cm="1">
        <f t="array" ref="I661">IFERROR(INDEX(Table_dim_price_recipe[Retail Price], MATCH(1, ("Calculator"&lt;&gt;Table_dim_price_recipe[Type.display])*($L661=Table_dim_price_recipe[Category])*($D661=Table_dim_price_recipe[Item Description]) * (I$6=Table_dim_price_recipe[Type])*(Table_dim_price_recipe[Retail Price]&lt;&gt;0)*($C661=Table_dim_price_recipe[Subcategory]), 0))*$B661,"")</f>
        <v/>
      </c>
      <c r="J661" s="39" t="str" cm="1">
        <f t="array" ref="J661">IFERROR(INDEX(Table_dim_price_recipe[Retail Price], MATCH(1, ("Calculator"&lt;&gt;Table_dim_price_recipe[Type.display])*($L661=Table_dim_price_recipe[Category])*($D661=Table_dim_price_recipe[Item Description]) * (J$6=Table_dim_price_recipe[Type])*(Table_dim_price_recipe[Retail Price]&lt;&gt;0)*($C661=Table_dim_price_recipe[Subcategory]), 0))*$B661,"")</f>
        <v/>
      </c>
      <c r="K661" s="39" t="str" cm="1">
        <f t="array" ref="K661">IFERROR(INDEX(Table_dim_price_recipe[Retail Price], MATCH(1, ("Calculator"&lt;&gt;Table_dim_price_recipe[Type.display])*($L661=Table_dim_price_recipe[Category])*($D661=Table_dim_price_recipe[Item Description]) * (K$6=Table_dim_price_recipe[Type])*(Table_dim_price_recipe[Retail Price]&lt;&gt;0)*($C661=Table_dim_price_recipe[Subcategory]), 0))*$B661,"")</f>
        <v/>
      </c>
      <c r="L661" s="39" t="str" cm="1">
        <f t="array" ref="L661">IF($A661&lt;&gt;"", $A661, LOOKUP(2, 1/((A$7:INDEX(A:A, ROW()))&lt;&gt;""), A$7:INDEX(A:A, ROW())))</f>
        <v>CEILINGS &amp; WALLS</v>
      </c>
      <c r="M661" s="14"/>
    </row>
    <row r="662" spans="1:13">
      <c r="A662" s="263"/>
      <c r="B662" s="263"/>
      <c r="C662" s="263" t="s">
        <v>461</v>
      </c>
      <c r="D662" s="263" t="s">
        <v>492</v>
      </c>
      <c r="E662" s="263"/>
      <c r="F662" s="263"/>
      <c r="G662" s="39" t="str" cm="1">
        <f t="array" ref="G662">IFERROR(INDEX(Table_dim_price_recipe[Retail Price], MATCH(1, ("Calculator"&lt;&gt;Table_dim_price_recipe[Type.display])*($L662=Table_dim_price_recipe[Category])*($D662=Table_dim_price_recipe[Item Description]) * (G$6=Table_dim_price_recipe[Type])*(Table_dim_price_recipe[Retail Price]&lt;&gt;0)*($C662=Table_dim_price_recipe[Subcategory]), 0))*$B662,"")</f>
        <v/>
      </c>
      <c r="H662" s="39" t="str" cm="1">
        <f t="array" ref="H662">IFERROR(INDEX(Table_dim_price_recipe[Retail Price], MATCH(1, ("Calculator"&lt;&gt;Table_dim_price_recipe[Type.display])*($L662=Table_dim_price_recipe[Category])*($D662=Table_dim_price_recipe[Item Description]) * (H$6=Table_dim_price_recipe[Type])*(Table_dim_price_recipe[Retail Price]&lt;&gt;0)*($C662=Table_dim_price_recipe[Subcategory]), 0))*$B662,"")</f>
        <v/>
      </c>
      <c r="I662" s="39" t="str" cm="1">
        <f t="array" ref="I662">IFERROR(INDEX(Table_dim_price_recipe[Retail Price], MATCH(1, ("Calculator"&lt;&gt;Table_dim_price_recipe[Type.display])*($L662=Table_dim_price_recipe[Category])*($D662=Table_dim_price_recipe[Item Description]) * (I$6=Table_dim_price_recipe[Type])*(Table_dim_price_recipe[Retail Price]&lt;&gt;0)*($C662=Table_dim_price_recipe[Subcategory]), 0))*$B662,"")</f>
        <v/>
      </c>
      <c r="J662" s="39" t="str" cm="1">
        <f t="array" ref="J662">IFERROR(INDEX(Table_dim_price_recipe[Retail Price], MATCH(1, ("Calculator"&lt;&gt;Table_dim_price_recipe[Type.display])*($L662=Table_dim_price_recipe[Category])*($D662=Table_dim_price_recipe[Item Description]) * (J$6=Table_dim_price_recipe[Type])*(Table_dim_price_recipe[Retail Price]&lt;&gt;0)*($C662=Table_dim_price_recipe[Subcategory]), 0))*$B662,"")</f>
        <v/>
      </c>
      <c r="K662" s="39" t="str" cm="1">
        <f t="array" ref="K662">IFERROR(INDEX(Table_dim_price_recipe[Retail Price], MATCH(1, ("Calculator"&lt;&gt;Table_dim_price_recipe[Type.display])*($L662=Table_dim_price_recipe[Category])*($D662=Table_dim_price_recipe[Item Description]) * (K$6=Table_dim_price_recipe[Type])*(Table_dim_price_recipe[Retail Price]&lt;&gt;0)*($C662=Table_dim_price_recipe[Subcategory]), 0))*$B662,"")</f>
        <v/>
      </c>
      <c r="L662" s="39" t="str" cm="1">
        <f t="array" ref="L662">IF($A662&lt;&gt;"", $A662, LOOKUP(2, 1/((A$7:INDEX(A:A, ROW()))&lt;&gt;""), A$7:INDEX(A:A, ROW())))</f>
        <v>CEILINGS &amp; WALLS</v>
      </c>
      <c r="M662" s="14"/>
    </row>
    <row r="663" spans="1:13">
      <c r="A663" s="263"/>
      <c r="B663" s="263"/>
      <c r="C663" s="263" t="s">
        <v>461</v>
      </c>
      <c r="D663" s="263" t="s">
        <v>485</v>
      </c>
      <c r="E663" s="263"/>
      <c r="F663" s="263"/>
      <c r="G663" s="39" t="str" cm="1">
        <f t="array" ref="G663">IFERROR(INDEX(Table_dim_price_recipe[Retail Price], MATCH(1, ("Calculator"&lt;&gt;Table_dim_price_recipe[Type.display])*($L663=Table_dim_price_recipe[Category])*($D663=Table_dim_price_recipe[Item Description]) * (G$6=Table_dim_price_recipe[Type])*(Table_dim_price_recipe[Retail Price]&lt;&gt;0)*($C663=Table_dim_price_recipe[Subcategory]), 0))*$B663,"")</f>
        <v/>
      </c>
      <c r="H663" s="39" t="str" cm="1">
        <f t="array" ref="H663">IFERROR(INDEX(Table_dim_price_recipe[Retail Price], MATCH(1, ("Calculator"&lt;&gt;Table_dim_price_recipe[Type.display])*($L663=Table_dim_price_recipe[Category])*($D663=Table_dim_price_recipe[Item Description]) * (H$6=Table_dim_price_recipe[Type])*(Table_dim_price_recipe[Retail Price]&lt;&gt;0)*($C663=Table_dim_price_recipe[Subcategory]), 0))*$B663,"")</f>
        <v/>
      </c>
      <c r="I663" s="39" t="str" cm="1">
        <f t="array" ref="I663">IFERROR(INDEX(Table_dim_price_recipe[Retail Price], MATCH(1, ("Calculator"&lt;&gt;Table_dim_price_recipe[Type.display])*($L663=Table_dim_price_recipe[Category])*($D663=Table_dim_price_recipe[Item Description]) * (I$6=Table_dim_price_recipe[Type])*(Table_dim_price_recipe[Retail Price]&lt;&gt;0)*($C663=Table_dim_price_recipe[Subcategory]), 0))*$B663,"")</f>
        <v/>
      </c>
      <c r="J663" s="39" t="str" cm="1">
        <f t="array" ref="J663">IFERROR(INDEX(Table_dim_price_recipe[Retail Price], MATCH(1, ("Calculator"&lt;&gt;Table_dim_price_recipe[Type.display])*($L663=Table_dim_price_recipe[Category])*($D663=Table_dim_price_recipe[Item Description]) * (J$6=Table_dim_price_recipe[Type])*(Table_dim_price_recipe[Retail Price]&lt;&gt;0)*($C663=Table_dim_price_recipe[Subcategory]), 0))*$B663,"")</f>
        <v/>
      </c>
      <c r="K663" s="39" t="str" cm="1">
        <f t="array" ref="K663">IFERROR(INDEX(Table_dim_price_recipe[Retail Price], MATCH(1, ("Calculator"&lt;&gt;Table_dim_price_recipe[Type.display])*($L663=Table_dim_price_recipe[Category])*($D663=Table_dim_price_recipe[Item Description]) * (K$6=Table_dim_price_recipe[Type])*(Table_dim_price_recipe[Retail Price]&lt;&gt;0)*($C663=Table_dim_price_recipe[Subcategory]), 0))*$B663,"")</f>
        <v/>
      </c>
      <c r="L663" s="39" t="str" cm="1">
        <f t="array" ref="L663">IF($A663&lt;&gt;"", $A663, LOOKUP(2, 1/((A$7:INDEX(A:A, ROW()))&lt;&gt;""), A$7:INDEX(A:A, ROW())))</f>
        <v>CEILINGS &amp; WALLS</v>
      </c>
      <c r="M663" s="14"/>
    </row>
    <row r="664" spans="1:13">
      <c r="A664" s="263"/>
      <c r="B664" s="263"/>
      <c r="C664" s="263" t="s">
        <v>461</v>
      </c>
      <c r="D664" s="263" t="s">
        <v>486</v>
      </c>
      <c r="E664" s="263"/>
      <c r="F664" s="263"/>
      <c r="G664" s="39" t="str" cm="1">
        <f t="array" ref="G664">IFERROR(INDEX(Table_dim_price_recipe[Retail Price], MATCH(1, ("Calculator"&lt;&gt;Table_dim_price_recipe[Type.display])*($L664=Table_dim_price_recipe[Category])*($D664=Table_dim_price_recipe[Item Description]) * (G$6=Table_dim_price_recipe[Type])*(Table_dim_price_recipe[Retail Price]&lt;&gt;0)*($C664=Table_dim_price_recipe[Subcategory]), 0))*$B664,"")</f>
        <v/>
      </c>
      <c r="H664" s="39" t="str" cm="1">
        <f t="array" ref="H664">IFERROR(INDEX(Table_dim_price_recipe[Retail Price], MATCH(1, ("Calculator"&lt;&gt;Table_dim_price_recipe[Type.display])*($L664=Table_dim_price_recipe[Category])*($D664=Table_dim_price_recipe[Item Description]) * (H$6=Table_dim_price_recipe[Type])*(Table_dim_price_recipe[Retail Price]&lt;&gt;0)*($C664=Table_dim_price_recipe[Subcategory]), 0))*$B664,"")</f>
        <v/>
      </c>
      <c r="I664" s="39" t="str" cm="1">
        <f t="array" ref="I664">IFERROR(INDEX(Table_dim_price_recipe[Retail Price], MATCH(1, ("Calculator"&lt;&gt;Table_dim_price_recipe[Type.display])*($L664=Table_dim_price_recipe[Category])*($D664=Table_dim_price_recipe[Item Description]) * (I$6=Table_dim_price_recipe[Type])*(Table_dim_price_recipe[Retail Price]&lt;&gt;0)*($C664=Table_dim_price_recipe[Subcategory]), 0))*$B664,"")</f>
        <v/>
      </c>
      <c r="J664" s="39" t="str" cm="1">
        <f t="array" ref="J664">IFERROR(INDEX(Table_dim_price_recipe[Retail Price], MATCH(1, ("Calculator"&lt;&gt;Table_dim_price_recipe[Type.display])*($L664=Table_dim_price_recipe[Category])*($D664=Table_dim_price_recipe[Item Description]) * (J$6=Table_dim_price_recipe[Type])*(Table_dim_price_recipe[Retail Price]&lt;&gt;0)*($C664=Table_dim_price_recipe[Subcategory]), 0))*$B664,"")</f>
        <v/>
      </c>
      <c r="K664" s="39" t="str" cm="1">
        <f t="array" ref="K664">IFERROR(INDEX(Table_dim_price_recipe[Retail Price], MATCH(1, ("Calculator"&lt;&gt;Table_dim_price_recipe[Type.display])*($L664=Table_dim_price_recipe[Category])*($D664=Table_dim_price_recipe[Item Description]) * (K$6=Table_dim_price_recipe[Type])*(Table_dim_price_recipe[Retail Price]&lt;&gt;0)*($C664=Table_dim_price_recipe[Subcategory]), 0))*$B664,"")</f>
        <v/>
      </c>
      <c r="L664" s="39" t="str" cm="1">
        <f t="array" ref="L664">IF($A664&lt;&gt;"", $A664, LOOKUP(2, 1/((A$7:INDEX(A:A, ROW()))&lt;&gt;""), A$7:INDEX(A:A, ROW())))</f>
        <v>CEILINGS &amp; WALLS</v>
      </c>
    </row>
    <row r="665" spans="1:13">
      <c r="A665" s="263"/>
      <c r="B665" s="263"/>
      <c r="C665" s="263" t="s">
        <v>461</v>
      </c>
      <c r="D665" s="263" t="s">
        <v>495</v>
      </c>
      <c r="E665" s="263"/>
      <c r="F665" s="263"/>
      <c r="G665" s="39" t="str" cm="1">
        <f t="array" ref="G665">IFERROR(INDEX(Table_dim_price_recipe[Retail Price], MATCH(1, ("Calculator"&lt;&gt;Table_dim_price_recipe[Type.display])*($L665=Table_dim_price_recipe[Category])*($D665=Table_dim_price_recipe[Item Description]) * (G$6=Table_dim_price_recipe[Type])*(Table_dim_price_recipe[Retail Price]&lt;&gt;0)*($C665=Table_dim_price_recipe[Subcategory]), 0))*$B665,"")</f>
        <v/>
      </c>
      <c r="H665" s="39" t="str" cm="1">
        <f t="array" ref="H665">IFERROR(INDEX(Table_dim_price_recipe[Retail Price], MATCH(1, ("Calculator"&lt;&gt;Table_dim_price_recipe[Type.display])*($L665=Table_dim_price_recipe[Category])*($D665=Table_dim_price_recipe[Item Description]) * (H$6=Table_dim_price_recipe[Type])*(Table_dim_price_recipe[Retail Price]&lt;&gt;0)*($C665=Table_dim_price_recipe[Subcategory]), 0))*$B665,"")</f>
        <v/>
      </c>
      <c r="I665" s="39" t="str" cm="1">
        <f t="array" ref="I665">IFERROR(INDEX(Table_dim_price_recipe[Retail Price], MATCH(1, ("Calculator"&lt;&gt;Table_dim_price_recipe[Type.display])*($L665=Table_dim_price_recipe[Category])*($D665=Table_dim_price_recipe[Item Description]) * (I$6=Table_dim_price_recipe[Type])*(Table_dim_price_recipe[Retail Price]&lt;&gt;0)*($C665=Table_dim_price_recipe[Subcategory]), 0))*$B665,"")</f>
        <v/>
      </c>
      <c r="J665" s="39" t="str" cm="1">
        <f t="array" ref="J665">IFERROR(INDEX(Table_dim_price_recipe[Retail Price], MATCH(1, ("Calculator"&lt;&gt;Table_dim_price_recipe[Type.display])*($L665=Table_dim_price_recipe[Category])*($D665=Table_dim_price_recipe[Item Description]) * (J$6=Table_dim_price_recipe[Type])*(Table_dim_price_recipe[Retail Price]&lt;&gt;0)*($C665=Table_dim_price_recipe[Subcategory]), 0))*$B665,"")</f>
        <v/>
      </c>
      <c r="K665" s="39" t="str" cm="1">
        <f t="array" ref="K665">IFERROR(INDEX(Table_dim_price_recipe[Retail Price], MATCH(1, ("Calculator"&lt;&gt;Table_dim_price_recipe[Type.display])*($L665=Table_dim_price_recipe[Category])*($D665=Table_dim_price_recipe[Item Description]) * (K$6=Table_dim_price_recipe[Type])*(Table_dim_price_recipe[Retail Price]&lt;&gt;0)*($C665=Table_dim_price_recipe[Subcategory]), 0))*$B665,"")</f>
        <v/>
      </c>
      <c r="L665" s="39" t="str" cm="1">
        <f t="array" ref="L665">IF($A665&lt;&gt;"", $A665, LOOKUP(2, 1/((A$7:INDEX(A:A, ROW()))&lt;&gt;""), A$7:INDEX(A:A, ROW())))</f>
        <v>CEILINGS &amp; WALLS</v>
      </c>
      <c r="M665" s="14"/>
    </row>
    <row r="666" spans="1:13">
      <c r="A666" s="263"/>
      <c r="B666" s="263"/>
      <c r="C666" s="263" t="s">
        <v>461</v>
      </c>
      <c r="D666" s="263" t="s">
        <v>496</v>
      </c>
      <c r="E666" s="263"/>
      <c r="F666" s="263"/>
      <c r="G666" s="39" t="str" cm="1">
        <f t="array" ref="G666">IFERROR(INDEX(Table_dim_price_recipe[Retail Price], MATCH(1, ("Calculator"&lt;&gt;Table_dim_price_recipe[Type.display])*($L666=Table_dim_price_recipe[Category])*($D666=Table_dim_price_recipe[Item Description]) * (G$6=Table_dim_price_recipe[Type])*(Table_dim_price_recipe[Retail Price]&lt;&gt;0)*($C666=Table_dim_price_recipe[Subcategory]), 0))*$B666,"")</f>
        <v/>
      </c>
      <c r="H666" s="39" t="str" cm="1">
        <f t="array" ref="H666">IFERROR(INDEX(Table_dim_price_recipe[Retail Price], MATCH(1, ("Calculator"&lt;&gt;Table_dim_price_recipe[Type.display])*($L666=Table_dim_price_recipe[Category])*($D666=Table_dim_price_recipe[Item Description]) * (H$6=Table_dim_price_recipe[Type])*(Table_dim_price_recipe[Retail Price]&lt;&gt;0)*($C666=Table_dim_price_recipe[Subcategory]), 0))*$B666,"")</f>
        <v/>
      </c>
      <c r="I666" s="39" t="str" cm="1">
        <f t="array" ref="I666">IFERROR(INDEX(Table_dim_price_recipe[Retail Price], MATCH(1, ("Calculator"&lt;&gt;Table_dim_price_recipe[Type.display])*($L666=Table_dim_price_recipe[Category])*($D666=Table_dim_price_recipe[Item Description]) * (I$6=Table_dim_price_recipe[Type])*(Table_dim_price_recipe[Retail Price]&lt;&gt;0)*($C666=Table_dim_price_recipe[Subcategory]), 0))*$B666,"")</f>
        <v/>
      </c>
      <c r="J666" s="39" t="str" cm="1">
        <f t="array" ref="J666">IFERROR(INDEX(Table_dim_price_recipe[Retail Price], MATCH(1, ("Calculator"&lt;&gt;Table_dim_price_recipe[Type.display])*($L666=Table_dim_price_recipe[Category])*($D666=Table_dim_price_recipe[Item Description]) * (J$6=Table_dim_price_recipe[Type])*(Table_dim_price_recipe[Retail Price]&lt;&gt;0)*($C666=Table_dim_price_recipe[Subcategory]), 0))*$B666,"")</f>
        <v/>
      </c>
      <c r="K666" s="39" t="str" cm="1">
        <f t="array" ref="K666">IFERROR(INDEX(Table_dim_price_recipe[Retail Price], MATCH(1, ("Calculator"&lt;&gt;Table_dim_price_recipe[Type.display])*($L666=Table_dim_price_recipe[Category])*($D666=Table_dim_price_recipe[Item Description]) * (K$6=Table_dim_price_recipe[Type])*(Table_dim_price_recipe[Retail Price]&lt;&gt;0)*($C666=Table_dim_price_recipe[Subcategory]), 0))*$B666,"")</f>
        <v/>
      </c>
      <c r="L666" s="39" t="str" cm="1">
        <f t="array" ref="L666">IF($A666&lt;&gt;"", $A666, LOOKUP(2, 1/((A$7:INDEX(A:A, ROW()))&lt;&gt;""), A$7:INDEX(A:A, ROW())))</f>
        <v>CEILINGS &amp; WALLS</v>
      </c>
      <c r="M666" s="14"/>
    </row>
    <row r="667" spans="1:13">
      <c r="A667" s="263"/>
      <c r="B667" s="263"/>
      <c r="C667" s="263" t="s">
        <v>461</v>
      </c>
      <c r="D667" s="263" t="s">
        <v>497</v>
      </c>
      <c r="E667" s="263"/>
      <c r="F667" s="263"/>
      <c r="G667" s="39" t="str" cm="1">
        <f t="array" ref="G667">IFERROR(INDEX(Table_dim_price_recipe[Retail Price], MATCH(1, ("Calculator"&lt;&gt;Table_dim_price_recipe[Type.display])*($L667=Table_dim_price_recipe[Category])*($D667=Table_dim_price_recipe[Item Description]) * (G$6=Table_dim_price_recipe[Type])*(Table_dim_price_recipe[Retail Price]&lt;&gt;0)*($C667=Table_dim_price_recipe[Subcategory]), 0))*$B667,"")</f>
        <v/>
      </c>
      <c r="H667" s="39" t="str" cm="1">
        <f t="array" ref="H667">IFERROR(INDEX(Table_dim_price_recipe[Retail Price], MATCH(1, ("Calculator"&lt;&gt;Table_dim_price_recipe[Type.display])*($L667=Table_dim_price_recipe[Category])*($D667=Table_dim_price_recipe[Item Description]) * (H$6=Table_dim_price_recipe[Type])*(Table_dim_price_recipe[Retail Price]&lt;&gt;0)*($C667=Table_dim_price_recipe[Subcategory]), 0))*$B667,"")</f>
        <v/>
      </c>
      <c r="I667" s="39" t="str" cm="1">
        <f t="array" ref="I667">IFERROR(INDEX(Table_dim_price_recipe[Retail Price], MATCH(1, ("Calculator"&lt;&gt;Table_dim_price_recipe[Type.display])*($L667=Table_dim_price_recipe[Category])*($D667=Table_dim_price_recipe[Item Description]) * (I$6=Table_dim_price_recipe[Type])*(Table_dim_price_recipe[Retail Price]&lt;&gt;0)*($C667=Table_dim_price_recipe[Subcategory]), 0))*$B667,"")</f>
        <v/>
      </c>
      <c r="J667" s="39" t="str" cm="1">
        <f t="array" ref="J667">IFERROR(INDEX(Table_dim_price_recipe[Retail Price], MATCH(1, ("Calculator"&lt;&gt;Table_dim_price_recipe[Type.display])*($L667=Table_dim_price_recipe[Category])*($D667=Table_dim_price_recipe[Item Description]) * (J$6=Table_dim_price_recipe[Type])*(Table_dim_price_recipe[Retail Price]&lt;&gt;0)*($C667=Table_dim_price_recipe[Subcategory]), 0))*$B667,"")</f>
        <v/>
      </c>
      <c r="K667" s="39" t="str" cm="1">
        <f t="array" ref="K667">IFERROR(INDEX(Table_dim_price_recipe[Retail Price], MATCH(1, ("Calculator"&lt;&gt;Table_dim_price_recipe[Type.display])*($L667=Table_dim_price_recipe[Category])*($D667=Table_dim_price_recipe[Item Description]) * (K$6=Table_dim_price_recipe[Type])*(Table_dim_price_recipe[Retail Price]&lt;&gt;0)*($C667=Table_dim_price_recipe[Subcategory]), 0))*$B667,"")</f>
        <v/>
      </c>
      <c r="L667" s="39" t="str" cm="1">
        <f t="array" ref="L667">IF($A667&lt;&gt;"", $A667, LOOKUP(2, 1/((A$7:INDEX(A:A, ROW()))&lt;&gt;""), A$7:INDEX(A:A, ROW())))</f>
        <v>CEILINGS &amp; WALLS</v>
      </c>
      <c r="M667" s="14"/>
    </row>
    <row r="668" spans="1:13">
      <c r="A668" s="263"/>
      <c r="B668" s="263"/>
      <c r="C668" s="263" t="s">
        <v>461</v>
      </c>
      <c r="D668" s="263" t="s">
        <v>498</v>
      </c>
      <c r="E668" s="263"/>
      <c r="F668" s="263"/>
      <c r="G668" s="39" t="str" cm="1">
        <f t="array" ref="G668">IFERROR(INDEX(Table_dim_price_recipe[Retail Price], MATCH(1, ("Calculator"&lt;&gt;Table_dim_price_recipe[Type.display])*($L668=Table_dim_price_recipe[Category])*($D668=Table_dim_price_recipe[Item Description]) * (G$6=Table_dim_price_recipe[Type])*(Table_dim_price_recipe[Retail Price]&lt;&gt;0)*($C668=Table_dim_price_recipe[Subcategory]), 0))*$B668,"")</f>
        <v/>
      </c>
      <c r="H668" s="39" t="str" cm="1">
        <f t="array" ref="H668">IFERROR(INDEX(Table_dim_price_recipe[Retail Price], MATCH(1, ("Calculator"&lt;&gt;Table_dim_price_recipe[Type.display])*($L668=Table_dim_price_recipe[Category])*($D668=Table_dim_price_recipe[Item Description]) * (H$6=Table_dim_price_recipe[Type])*(Table_dim_price_recipe[Retail Price]&lt;&gt;0)*($C668=Table_dim_price_recipe[Subcategory]), 0))*$B668,"")</f>
        <v/>
      </c>
      <c r="I668" s="39" t="str" cm="1">
        <f t="array" ref="I668">IFERROR(INDEX(Table_dim_price_recipe[Retail Price], MATCH(1, ("Calculator"&lt;&gt;Table_dim_price_recipe[Type.display])*($L668=Table_dim_price_recipe[Category])*($D668=Table_dim_price_recipe[Item Description]) * (I$6=Table_dim_price_recipe[Type])*(Table_dim_price_recipe[Retail Price]&lt;&gt;0)*($C668=Table_dim_price_recipe[Subcategory]), 0))*$B668,"")</f>
        <v/>
      </c>
      <c r="J668" s="39" t="str" cm="1">
        <f t="array" ref="J668">IFERROR(INDEX(Table_dim_price_recipe[Retail Price], MATCH(1, ("Calculator"&lt;&gt;Table_dim_price_recipe[Type.display])*($L668=Table_dim_price_recipe[Category])*($D668=Table_dim_price_recipe[Item Description]) * (J$6=Table_dim_price_recipe[Type])*(Table_dim_price_recipe[Retail Price]&lt;&gt;0)*($C668=Table_dim_price_recipe[Subcategory]), 0))*$B668,"")</f>
        <v/>
      </c>
      <c r="K668" s="39" t="str" cm="1">
        <f t="array" ref="K668">IFERROR(INDEX(Table_dim_price_recipe[Retail Price], MATCH(1, ("Calculator"&lt;&gt;Table_dim_price_recipe[Type.display])*($L668=Table_dim_price_recipe[Category])*($D668=Table_dim_price_recipe[Item Description]) * (K$6=Table_dim_price_recipe[Type])*(Table_dim_price_recipe[Retail Price]&lt;&gt;0)*($C668=Table_dim_price_recipe[Subcategory]), 0))*$B668,"")</f>
        <v/>
      </c>
      <c r="L668" s="39" t="str" cm="1">
        <f t="array" ref="L668">IF($A668&lt;&gt;"", $A668, LOOKUP(2, 1/((A$7:INDEX(A:A, ROW()))&lt;&gt;""), A$7:INDEX(A:A, ROW())))</f>
        <v>CEILINGS &amp; WALLS</v>
      </c>
      <c r="M668" s="14"/>
    </row>
    <row r="669" spans="1:13">
      <c r="A669" s="263"/>
      <c r="B669" s="263"/>
      <c r="C669" s="263" t="s">
        <v>461</v>
      </c>
      <c r="D669" s="263" t="s">
        <v>499</v>
      </c>
      <c r="E669" s="263"/>
      <c r="F669" s="263"/>
      <c r="G669" s="39" t="str" cm="1">
        <f t="array" ref="G669">IFERROR(INDEX(Table_dim_price_recipe[Retail Price], MATCH(1, ("Calculator"&lt;&gt;Table_dim_price_recipe[Type.display])*($L669=Table_dim_price_recipe[Category])*($D669=Table_dim_price_recipe[Item Description]) * (G$6=Table_dim_price_recipe[Type])*(Table_dim_price_recipe[Retail Price]&lt;&gt;0)*($C669=Table_dim_price_recipe[Subcategory]), 0))*$B669,"")</f>
        <v/>
      </c>
      <c r="H669" s="39" t="str" cm="1">
        <f t="array" ref="H669">IFERROR(INDEX(Table_dim_price_recipe[Retail Price], MATCH(1, ("Calculator"&lt;&gt;Table_dim_price_recipe[Type.display])*($L669=Table_dim_price_recipe[Category])*($D669=Table_dim_price_recipe[Item Description]) * (H$6=Table_dim_price_recipe[Type])*(Table_dim_price_recipe[Retail Price]&lt;&gt;0)*($C669=Table_dim_price_recipe[Subcategory]), 0))*$B669,"")</f>
        <v/>
      </c>
      <c r="I669" s="39" t="str" cm="1">
        <f t="array" ref="I669">IFERROR(INDEX(Table_dim_price_recipe[Retail Price], MATCH(1, ("Calculator"&lt;&gt;Table_dim_price_recipe[Type.display])*($L669=Table_dim_price_recipe[Category])*($D669=Table_dim_price_recipe[Item Description]) * (I$6=Table_dim_price_recipe[Type])*(Table_dim_price_recipe[Retail Price]&lt;&gt;0)*($C669=Table_dim_price_recipe[Subcategory]), 0))*$B669,"")</f>
        <v/>
      </c>
      <c r="J669" s="39" t="str" cm="1">
        <f t="array" ref="J669">IFERROR(INDEX(Table_dim_price_recipe[Retail Price], MATCH(1, ("Calculator"&lt;&gt;Table_dim_price_recipe[Type.display])*($L669=Table_dim_price_recipe[Category])*($D669=Table_dim_price_recipe[Item Description]) * (J$6=Table_dim_price_recipe[Type])*(Table_dim_price_recipe[Retail Price]&lt;&gt;0)*($C669=Table_dim_price_recipe[Subcategory]), 0))*$B669,"")</f>
        <v/>
      </c>
      <c r="K669" s="39" t="str" cm="1">
        <f t="array" ref="K669">IFERROR(INDEX(Table_dim_price_recipe[Retail Price], MATCH(1, ("Calculator"&lt;&gt;Table_dim_price_recipe[Type.display])*($L669=Table_dim_price_recipe[Category])*($D669=Table_dim_price_recipe[Item Description]) * (K$6=Table_dim_price_recipe[Type])*(Table_dim_price_recipe[Retail Price]&lt;&gt;0)*($C669=Table_dim_price_recipe[Subcategory]), 0))*$B669,"")</f>
        <v/>
      </c>
      <c r="L669" s="39" t="str" cm="1">
        <f t="array" ref="L669">IF($A669&lt;&gt;"", $A669, LOOKUP(2, 1/((A$7:INDEX(A:A, ROW()))&lt;&gt;""), A$7:INDEX(A:A, ROW())))</f>
        <v>CEILINGS &amp; WALLS</v>
      </c>
      <c r="M669" s="14"/>
    </row>
    <row r="670" spans="1:13">
      <c r="A670" s="263"/>
      <c r="B670" s="263"/>
      <c r="C670" s="263" t="s">
        <v>461</v>
      </c>
      <c r="D670" s="263" t="s">
        <v>493</v>
      </c>
      <c r="E670" s="263"/>
      <c r="F670" s="263"/>
      <c r="G670" s="39" t="str" cm="1">
        <f t="array" ref="G670">IFERROR(INDEX(Table_dim_price_recipe[Retail Price], MATCH(1, ("Calculator"&lt;&gt;Table_dim_price_recipe[Type.display])*($L670=Table_dim_price_recipe[Category])*($D670=Table_dim_price_recipe[Item Description]) * (G$6=Table_dim_price_recipe[Type])*(Table_dim_price_recipe[Retail Price]&lt;&gt;0)*($C670=Table_dim_price_recipe[Subcategory]), 0))*$B670,"")</f>
        <v/>
      </c>
      <c r="H670" s="39" t="str" cm="1">
        <f t="array" ref="H670">IFERROR(INDEX(Table_dim_price_recipe[Retail Price], MATCH(1, ("Calculator"&lt;&gt;Table_dim_price_recipe[Type.display])*($L670=Table_dim_price_recipe[Category])*($D670=Table_dim_price_recipe[Item Description]) * (H$6=Table_dim_price_recipe[Type])*(Table_dim_price_recipe[Retail Price]&lt;&gt;0)*($C670=Table_dim_price_recipe[Subcategory]), 0))*$B670,"")</f>
        <v/>
      </c>
      <c r="I670" s="39" t="str" cm="1">
        <f t="array" ref="I670">IFERROR(INDEX(Table_dim_price_recipe[Retail Price], MATCH(1, ("Calculator"&lt;&gt;Table_dim_price_recipe[Type.display])*($L670=Table_dim_price_recipe[Category])*($D670=Table_dim_price_recipe[Item Description]) * (I$6=Table_dim_price_recipe[Type])*(Table_dim_price_recipe[Retail Price]&lt;&gt;0)*($C670=Table_dim_price_recipe[Subcategory]), 0))*$B670,"")</f>
        <v/>
      </c>
      <c r="J670" s="39" t="str" cm="1">
        <f t="array" ref="J670">IFERROR(INDEX(Table_dim_price_recipe[Retail Price], MATCH(1, ("Calculator"&lt;&gt;Table_dim_price_recipe[Type.display])*($L670=Table_dim_price_recipe[Category])*($D670=Table_dim_price_recipe[Item Description]) * (J$6=Table_dim_price_recipe[Type])*(Table_dim_price_recipe[Retail Price]&lt;&gt;0)*($C670=Table_dim_price_recipe[Subcategory]), 0))*$B670,"")</f>
        <v/>
      </c>
      <c r="K670" s="39" t="str" cm="1">
        <f t="array" ref="K670">IFERROR(INDEX(Table_dim_price_recipe[Retail Price], MATCH(1, ("Calculator"&lt;&gt;Table_dim_price_recipe[Type.display])*($L670=Table_dim_price_recipe[Category])*($D670=Table_dim_price_recipe[Item Description]) * (K$6=Table_dim_price_recipe[Type])*(Table_dim_price_recipe[Retail Price]&lt;&gt;0)*($C670=Table_dim_price_recipe[Subcategory]), 0))*$B670,"")</f>
        <v/>
      </c>
      <c r="L670" s="39" t="str" cm="1">
        <f t="array" ref="L670">IF($A670&lt;&gt;"", $A670, LOOKUP(2, 1/((A$7:INDEX(A:A, ROW()))&lt;&gt;""), A$7:INDEX(A:A, ROW())))</f>
        <v>CEILINGS &amp; WALLS</v>
      </c>
      <c r="M670" s="14"/>
    </row>
    <row r="671" spans="1:13">
      <c r="A671" s="263"/>
      <c r="B671" s="263"/>
      <c r="C671" s="263" t="s">
        <v>461</v>
      </c>
      <c r="D671" s="263" t="s">
        <v>494</v>
      </c>
      <c r="E671" s="263"/>
      <c r="F671" s="263"/>
      <c r="G671" s="39" t="str" cm="1">
        <f t="array" ref="G671">IFERROR(INDEX(Table_dim_price_recipe[Retail Price], MATCH(1, ("Calculator"&lt;&gt;Table_dim_price_recipe[Type.display])*($L671=Table_dim_price_recipe[Category])*($D671=Table_dim_price_recipe[Item Description]) * (G$6=Table_dim_price_recipe[Type])*(Table_dim_price_recipe[Retail Price]&lt;&gt;0)*($C671=Table_dim_price_recipe[Subcategory]), 0))*$B671,"")</f>
        <v/>
      </c>
      <c r="H671" s="39" t="str" cm="1">
        <f t="array" ref="H671">IFERROR(INDEX(Table_dim_price_recipe[Retail Price], MATCH(1, ("Calculator"&lt;&gt;Table_dim_price_recipe[Type.display])*($L671=Table_dim_price_recipe[Category])*($D671=Table_dim_price_recipe[Item Description]) * (H$6=Table_dim_price_recipe[Type])*(Table_dim_price_recipe[Retail Price]&lt;&gt;0)*($C671=Table_dim_price_recipe[Subcategory]), 0))*$B671,"")</f>
        <v/>
      </c>
      <c r="I671" s="39" t="str" cm="1">
        <f t="array" ref="I671">IFERROR(INDEX(Table_dim_price_recipe[Retail Price], MATCH(1, ("Calculator"&lt;&gt;Table_dim_price_recipe[Type.display])*($L671=Table_dim_price_recipe[Category])*($D671=Table_dim_price_recipe[Item Description]) * (I$6=Table_dim_price_recipe[Type])*(Table_dim_price_recipe[Retail Price]&lt;&gt;0)*($C671=Table_dim_price_recipe[Subcategory]), 0))*$B671,"")</f>
        <v/>
      </c>
      <c r="J671" s="39" t="str" cm="1">
        <f t="array" ref="J671">IFERROR(INDEX(Table_dim_price_recipe[Retail Price], MATCH(1, ("Calculator"&lt;&gt;Table_dim_price_recipe[Type.display])*($L671=Table_dim_price_recipe[Category])*($D671=Table_dim_price_recipe[Item Description]) * (J$6=Table_dim_price_recipe[Type])*(Table_dim_price_recipe[Retail Price]&lt;&gt;0)*($C671=Table_dim_price_recipe[Subcategory]), 0))*$B671,"")</f>
        <v/>
      </c>
      <c r="K671" s="39" t="str" cm="1">
        <f t="array" ref="K671">IFERROR(INDEX(Table_dim_price_recipe[Retail Price], MATCH(1, ("Calculator"&lt;&gt;Table_dim_price_recipe[Type.display])*($L671=Table_dim_price_recipe[Category])*($D671=Table_dim_price_recipe[Item Description]) * (K$6=Table_dim_price_recipe[Type])*(Table_dim_price_recipe[Retail Price]&lt;&gt;0)*($C671=Table_dim_price_recipe[Subcategory]), 0))*$B671,"")</f>
        <v/>
      </c>
      <c r="L671" s="39" t="str" cm="1">
        <f t="array" ref="L671">IF($A671&lt;&gt;"", $A671, LOOKUP(2, 1/((A$7:INDEX(A:A, ROW()))&lt;&gt;""), A$7:INDEX(A:A, ROW())))</f>
        <v>CEILINGS &amp; WALLS</v>
      </c>
      <c r="M671" s="14"/>
    </row>
    <row r="672" spans="1:13">
      <c r="A672" s="263"/>
      <c r="B672" s="263"/>
      <c r="C672" s="263" t="s">
        <v>461</v>
      </c>
      <c r="D672" s="263" t="s">
        <v>502</v>
      </c>
      <c r="E672" s="263"/>
      <c r="F672" s="263"/>
      <c r="G672" s="39" t="str" cm="1">
        <f t="array" ref="G672">IFERROR(INDEX(Table_dim_price_recipe[Retail Price], MATCH(1, ("Calculator"&lt;&gt;Table_dim_price_recipe[Type.display])*($L672=Table_dim_price_recipe[Category])*($D672=Table_dim_price_recipe[Item Description]) * (G$6=Table_dim_price_recipe[Type])*(Table_dim_price_recipe[Retail Price]&lt;&gt;0)*($C672=Table_dim_price_recipe[Subcategory]), 0))*$B672,"")</f>
        <v/>
      </c>
      <c r="H672" s="39" t="str" cm="1">
        <f t="array" ref="H672">IFERROR(INDEX(Table_dim_price_recipe[Retail Price], MATCH(1, ("Calculator"&lt;&gt;Table_dim_price_recipe[Type.display])*($L672=Table_dim_price_recipe[Category])*($D672=Table_dim_price_recipe[Item Description]) * (H$6=Table_dim_price_recipe[Type])*(Table_dim_price_recipe[Retail Price]&lt;&gt;0)*($C672=Table_dim_price_recipe[Subcategory]), 0))*$B672,"")</f>
        <v/>
      </c>
      <c r="I672" s="39" t="str" cm="1">
        <f t="array" ref="I672">IFERROR(INDEX(Table_dim_price_recipe[Retail Price], MATCH(1, ("Calculator"&lt;&gt;Table_dim_price_recipe[Type.display])*($L672=Table_dim_price_recipe[Category])*($D672=Table_dim_price_recipe[Item Description]) * (I$6=Table_dim_price_recipe[Type])*(Table_dim_price_recipe[Retail Price]&lt;&gt;0)*($C672=Table_dim_price_recipe[Subcategory]), 0))*$B672,"")</f>
        <v/>
      </c>
      <c r="J672" s="39" t="str" cm="1">
        <f t="array" ref="J672">IFERROR(INDEX(Table_dim_price_recipe[Retail Price], MATCH(1, ("Calculator"&lt;&gt;Table_dim_price_recipe[Type.display])*($L672=Table_dim_price_recipe[Category])*($D672=Table_dim_price_recipe[Item Description]) * (J$6=Table_dim_price_recipe[Type])*(Table_dim_price_recipe[Retail Price]&lt;&gt;0)*($C672=Table_dim_price_recipe[Subcategory]), 0))*$B672,"")</f>
        <v/>
      </c>
      <c r="K672" s="39" t="str" cm="1">
        <f t="array" ref="K672">IFERROR(INDEX(Table_dim_price_recipe[Retail Price], MATCH(1, ("Calculator"&lt;&gt;Table_dim_price_recipe[Type.display])*($L672=Table_dim_price_recipe[Category])*($D672=Table_dim_price_recipe[Item Description]) * (K$6=Table_dim_price_recipe[Type])*(Table_dim_price_recipe[Retail Price]&lt;&gt;0)*($C672=Table_dim_price_recipe[Subcategory]), 0))*$B672,"")</f>
        <v/>
      </c>
      <c r="L672" s="39" t="str" cm="1">
        <f t="array" ref="L672">IF($A672&lt;&gt;"", $A672, LOOKUP(2, 1/((A$7:INDEX(A:A, ROW()))&lt;&gt;""), A$7:INDEX(A:A, ROW())))</f>
        <v>CEILINGS &amp; WALLS</v>
      </c>
      <c r="M672" s="14"/>
    </row>
    <row r="673" spans="1:13">
      <c r="A673" s="263"/>
      <c r="B673" s="263"/>
      <c r="C673" s="263" t="s">
        <v>461</v>
      </c>
      <c r="D673" s="263" t="s">
        <v>503</v>
      </c>
      <c r="E673" s="263"/>
      <c r="F673" s="263"/>
      <c r="G673" s="39" t="str" cm="1">
        <f t="array" ref="G673">IFERROR(INDEX(Table_dim_price_recipe[Retail Price], MATCH(1, ("Calculator"&lt;&gt;Table_dim_price_recipe[Type.display])*($L673=Table_dim_price_recipe[Category])*($D673=Table_dim_price_recipe[Item Description]) * (G$6=Table_dim_price_recipe[Type])*(Table_dim_price_recipe[Retail Price]&lt;&gt;0)*($C673=Table_dim_price_recipe[Subcategory]), 0))*$B673,"")</f>
        <v/>
      </c>
      <c r="H673" s="39" t="str" cm="1">
        <f t="array" ref="H673">IFERROR(INDEX(Table_dim_price_recipe[Retail Price], MATCH(1, ("Calculator"&lt;&gt;Table_dim_price_recipe[Type.display])*($L673=Table_dim_price_recipe[Category])*($D673=Table_dim_price_recipe[Item Description]) * (H$6=Table_dim_price_recipe[Type])*(Table_dim_price_recipe[Retail Price]&lt;&gt;0)*($C673=Table_dim_price_recipe[Subcategory]), 0))*$B673,"")</f>
        <v/>
      </c>
      <c r="I673" s="39" t="str" cm="1">
        <f t="array" ref="I673">IFERROR(INDEX(Table_dim_price_recipe[Retail Price], MATCH(1, ("Calculator"&lt;&gt;Table_dim_price_recipe[Type.display])*($L673=Table_dim_price_recipe[Category])*($D673=Table_dim_price_recipe[Item Description]) * (I$6=Table_dim_price_recipe[Type])*(Table_dim_price_recipe[Retail Price]&lt;&gt;0)*($C673=Table_dim_price_recipe[Subcategory]), 0))*$B673,"")</f>
        <v/>
      </c>
      <c r="J673" s="39" t="str" cm="1">
        <f t="array" ref="J673">IFERROR(INDEX(Table_dim_price_recipe[Retail Price], MATCH(1, ("Calculator"&lt;&gt;Table_dim_price_recipe[Type.display])*($L673=Table_dim_price_recipe[Category])*($D673=Table_dim_price_recipe[Item Description]) * (J$6=Table_dim_price_recipe[Type])*(Table_dim_price_recipe[Retail Price]&lt;&gt;0)*($C673=Table_dim_price_recipe[Subcategory]), 0))*$B673,"")</f>
        <v/>
      </c>
      <c r="K673" s="39" t="str" cm="1">
        <f t="array" ref="K673">IFERROR(INDEX(Table_dim_price_recipe[Retail Price], MATCH(1, ("Calculator"&lt;&gt;Table_dim_price_recipe[Type.display])*($L673=Table_dim_price_recipe[Category])*($D673=Table_dim_price_recipe[Item Description]) * (K$6=Table_dim_price_recipe[Type])*(Table_dim_price_recipe[Retail Price]&lt;&gt;0)*($C673=Table_dim_price_recipe[Subcategory]), 0))*$B673,"")</f>
        <v/>
      </c>
      <c r="L673" s="39" t="str" cm="1">
        <f t="array" ref="L673">IF($A673&lt;&gt;"", $A673, LOOKUP(2, 1/((A$7:INDEX(A:A, ROW()))&lt;&gt;""), A$7:INDEX(A:A, ROW())))</f>
        <v>CEILINGS &amp; WALLS</v>
      </c>
      <c r="M673" s="14"/>
    </row>
    <row r="674" spans="1:13">
      <c r="A674" s="263"/>
      <c r="B674" s="263"/>
      <c r="C674" s="263" t="s">
        <v>461</v>
      </c>
      <c r="D674" s="263" t="s">
        <v>504</v>
      </c>
      <c r="E674" s="263"/>
      <c r="F674" s="263"/>
      <c r="G674" s="39" t="str" cm="1">
        <f t="array" ref="G674">IFERROR(INDEX(Table_dim_price_recipe[Retail Price], MATCH(1, ("Calculator"&lt;&gt;Table_dim_price_recipe[Type.display])*($L674=Table_dim_price_recipe[Category])*($D674=Table_dim_price_recipe[Item Description]) * (G$6=Table_dim_price_recipe[Type])*(Table_dim_price_recipe[Retail Price]&lt;&gt;0)*($C674=Table_dim_price_recipe[Subcategory]), 0))*$B674,"")</f>
        <v/>
      </c>
      <c r="H674" s="39" t="str" cm="1">
        <f t="array" ref="H674">IFERROR(INDEX(Table_dim_price_recipe[Retail Price], MATCH(1, ("Calculator"&lt;&gt;Table_dim_price_recipe[Type.display])*($L674=Table_dim_price_recipe[Category])*($D674=Table_dim_price_recipe[Item Description]) * (H$6=Table_dim_price_recipe[Type])*(Table_dim_price_recipe[Retail Price]&lt;&gt;0)*($C674=Table_dim_price_recipe[Subcategory]), 0))*$B674,"")</f>
        <v/>
      </c>
      <c r="I674" s="39" t="str" cm="1">
        <f t="array" ref="I674">IFERROR(INDEX(Table_dim_price_recipe[Retail Price], MATCH(1, ("Calculator"&lt;&gt;Table_dim_price_recipe[Type.display])*($L674=Table_dim_price_recipe[Category])*($D674=Table_dim_price_recipe[Item Description]) * (I$6=Table_dim_price_recipe[Type])*(Table_dim_price_recipe[Retail Price]&lt;&gt;0)*($C674=Table_dim_price_recipe[Subcategory]), 0))*$B674,"")</f>
        <v/>
      </c>
      <c r="J674" s="39" t="str" cm="1">
        <f t="array" ref="J674">IFERROR(INDEX(Table_dim_price_recipe[Retail Price], MATCH(1, ("Calculator"&lt;&gt;Table_dim_price_recipe[Type.display])*($L674=Table_dim_price_recipe[Category])*($D674=Table_dim_price_recipe[Item Description]) * (J$6=Table_dim_price_recipe[Type])*(Table_dim_price_recipe[Retail Price]&lt;&gt;0)*($C674=Table_dim_price_recipe[Subcategory]), 0))*$B674,"")</f>
        <v/>
      </c>
      <c r="K674" s="39" t="str" cm="1">
        <f t="array" ref="K674">IFERROR(INDEX(Table_dim_price_recipe[Retail Price], MATCH(1, ("Calculator"&lt;&gt;Table_dim_price_recipe[Type.display])*($L674=Table_dim_price_recipe[Category])*($D674=Table_dim_price_recipe[Item Description]) * (K$6=Table_dim_price_recipe[Type])*(Table_dim_price_recipe[Retail Price]&lt;&gt;0)*($C674=Table_dim_price_recipe[Subcategory]), 0))*$B674,"")</f>
        <v/>
      </c>
      <c r="L674" s="39" t="str" cm="1">
        <f t="array" ref="L674">IF($A674&lt;&gt;"", $A674, LOOKUP(2, 1/((A$7:INDEX(A:A, ROW()))&lt;&gt;""), A$7:INDEX(A:A, ROW())))</f>
        <v>CEILINGS &amp; WALLS</v>
      </c>
      <c r="M674" s="14"/>
    </row>
    <row r="675" spans="1:13">
      <c r="A675" s="263"/>
      <c r="B675" s="263"/>
      <c r="C675" s="263" t="s">
        <v>461</v>
      </c>
      <c r="D675" s="263" t="s">
        <v>505</v>
      </c>
      <c r="E675" s="263"/>
      <c r="F675" s="263"/>
      <c r="G675" s="39" t="str" cm="1">
        <f t="array" ref="G675">IFERROR(INDEX(Table_dim_price_recipe[Retail Price], MATCH(1, ("Calculator"&lt;&gt;Table_dim_price_recipe[Type.display])*($L675=Table_dim_price_recipe[Category])*($D675=Table_dim_price_recipe[Item Description]) * (G$6=Table_dim_price_recipe[Type])*(Table_dim_price_recipe[Retail Price]&lt;&gt;0)*($C675=Table_dim_price_recipe[Subcategory]), 0))*$B675,"")</f>
        <v/>
      </c>
      <c r="H675" s="39" t="str" cm="1">
        <f t="array" ref="H675">IFERROR(INDEX(Table_dim_price_recipe[Retail Price], MATCH(1, ("Calculator"&lt;&gt;Table_dim_price_recipe[Type.display])*($L675=Table_dim_price_recipe[Category])*($D675=Table_dim_price_recipe[Item Description]) * (H$6=Table_dim_price_recipe[Type])*(Table_dim_price_recipe[Retail Price]&lt;&gt;0)*($C675=Table_dim_price_recipe[Subcategory]), 0))*$B675,"")</f>
        <v/>
      </c>
      <c r="I675" s="39" t="str" cm="1">
        <f t="array" ref="I675">IFERROR(INDEX(Table_dim_price_recipe[Retail Price], MATCH(1, ("Calculator"&lt;&gt;Table_dim_price_recipe[Type.display])*($L675=Table_dim_price_recipe[Category])*($D675=Table_dim_price_recipe[Item Description]) * (I$6=Table_dim_price_recipe[Type])*(Table_dim_price_recipe[Retail Price]&lt;&gt;0)*($C675=Table_dim_price_recipe[Subcategory]), 0))*$B675,"")</f>
        <v/>
      </c>
      <c r="J675" s="39" t="str" cm="1">
        <f t="array" ref="J675">IFERROR(INDEX(Table_dim_price_recipe[Retail Price], MATCH(1, ("Calculator"&lt;&gt;Table_dim_price_recipe[Type.display])*($L675=Table_dim_price_recipe[Category])*($D675=Table_dim_price_recipe[Item Description]) * (J$6=Table_dim_price_recipe[Type])*(Table_dim_price_recipe[Retail Price]&lt;&gt;0)*($C675=Table_dim_price_recipe[Subcategory]), 0))*$B675,"")</f>
        <v/>
      </c>
      <c r="K675" s="39" t="str" cm="1">
        <f t="array" ref="K675">IFERROR(INDEX(Table_dim_price_recipe[Retail Price], MATCH(1, ("Calculator"&lt;&gt;Table_dim_price_recipe[Type.display])*($L675=Table_dim_price_recipe[Category])*($D675=Table_dim_price_recipe[Item Description]) * (K$6=Table_dim_price_recipe[Type])*(Table_dim_price_recipe[Retail Price]&lt;&gt;0)*($C675=Table_dim_price_recipe[Subcategory]), 0))*$B675,"")</f>
        <v/>
      </c>
      <c r="L675" s="39" t="str" cm="1">
        <f t="array" ref="L675">IF($A675&lt;&gt;"", $A675, LOOKUP(2, 1/((A$7:INDEX(A:A, ROW()))&lt;&gt;""), A$7:INDEX(A:A, ROW())))</f>
        <v>CEILINGS &amp; WALLS</v>
      </c>
      <c r="M675" s="14"/>
    </row>
    <row r="676" spans="1:13">
      <c r="A676" s="263"/>
      <c r="B676" s="263"/>
      <c r="C676" s="263" t="s">
        <v>461</v>
      </c>
      <c r="D676" s="263" t="s">
        <v>506</v>
      </c>
      <c r="E676" s="263"/>
      <c r="F676" s="263"/>
      <c r="G676" s="39" t="str" cm="1">
        <f t="array" ref="G676">IFERROR(INDEX(Table_dim_price_recipe[Retail Price], MATCH(1, ("Calculator"&lt;&gt;Table_dim_price_recipe[Type.display])*($L676=Table_dim_price_recipe[Category])*($D676=Table_dim_price_recipe[Item Description]) * (G$6=Table_dim_price_recipe[Type])*(Table_dim_price_recipe[Retail Price]&lt;&gt;0)*($C676=Table_dim_price_recipe[Subcategory]), 0))*$B676,"")</f>
        <v/>
      </c>
      <c r="H676" s="39" t="str" cm="1">
        <f t="array" ref="H676">IFERROR(INDEX(Table_dim_price_recipe[Retail Price], MATCH(1, ("Calculator"&lt;&gt;Table_dim_price_recipe[Type.display])*($L676=Table_dim_price_recipe[Category])*($D676=Table_dim_price_recipe[Item Description]) * (H$6=Table_dim_price_recipe[Type])*(Table_dim_price_recipe[Retail Price]&lt;&gt;0)*($C676=Table_dim_price_recipe[Subcategory]), 0))*$B676,"")</f>
        <v/>
      </c>
      <c r="I676" s="39" t="str" cm="1">
        <f t="array" ref="I676">IFERROR(INDEX(Table_dim_price_recipe[Retail Price], MATCH(1, ("Calculator"&lt;&gt;Table_dim_price_recipe[Type.display])*($L676=Table_dim_price_recipe[Category])*($D676=Table_dim_price_recipe[Item Description]) * (I$6=Table_dim_price_recipe[Type])*(Table_dim_price_recipe[Retail Price]&lt;&gt;0)*($C676=Table_dim_price_recipe[Subcategory]), 0))*$B676,"")</f>
        <v/>
      </c>
      <c r="J676" s="39" t="str" cm="1">
        <f t="array" ref="J676">IFERROR(INDEX(Table_dim_price_recipe[Retail Price], MATCH(1, ("Calculator"&lt;&gt;Table_dim_price_recipe[Type.display])*($L676=Table_dim_price_recipe[Category])*($D676=Table_dim_price_recipe[Item Description]) * (J$6=Table_dim_price_recipe[Type])*(Table_dim_price_recipe[Retail Price]&lt;&gt;0)*($C676=Table_dim_price_recipe[Subcategory]), 0))*$B676,"")</f>
        <v/>
      </c>
      <c r="K676" s="39" t="str" cm="1">
        <f t="array" ref="K676">IFERROR(INDEX(Table_dim_price_recipe[Retail Price], MATCH(1, ("Calculator"&lt;&gt;Table_dim_price_recipe[Type.display])*($L676=Table_dim_price_recipe[Category])*($D676=Table_dim_price_recipe[Item Description]) * (K$6=Table_dim_price_recipe[Type])*(Table_dim_price_recipe[Retail Price]&lt;&gt;0)*($C676=Table_dim_price_recipe[Subcategory]), 0))*$B676,"")</f>
        <v/>
      </c>
      <c r="L676" s="39" t="str" cm="1">
        <f t="array" ref="L676">IF($A676&lt;&gt;"", $A676, LOOKUP(2, 1/((A$7:INDEX(A:A, ROW()))&lt;&gt;""), A$7:INDEX(A:A, ROW())))</f>
        <v>CEILINGS &amp; WALLS</v>
      </c>
      <c r="M676" s="14"/>
    </row>
    <row r="677" spans="1:13">
      <c r="A677" s="263"/>
      <c r="B677" s="263"/>
      <c r="C677" s="263" t="s">
        <v>461</v>
      </c>
      <c r="D677" s="263" t="s">
        <v>500</v>
      </c>
      <c r="E677" s="263"/>
      <c r="F677" s="263"/>
      <c r="G677" s="39" t="str" cm="1">
        <f t="array" ref="G677">IFERROR(INDEX(Table_dim_price_recipe[Retail Price], MATCH(1, ("Calculator"&lt;&gt;Table_dim_price_recipe[Type.display])*($L677=Table_dim_price_recipe[Category])*($D677=Table_dim_price_recipe[Item Description]) * (G$6=Table_dim_price_recipe[Type])*(Table_dim_price_recipe[Retail Price]&lt;&gt;0)*($C677=Table_dim_price_recipe[Subcategory]), 0))*$B677,"")</f>
        <v/>
      </c>
      <c r="H677" s="39" t="str" cm="1">
        <f t="array" ref="H677">IFERROR(INDEX(Table_dim_price_recipe[Retail Price], MATCH(1, ("Calculator"&lt;&gt;Table_dim_price_recipe[Type.display])*($L677=Table_dim_price_recipe[Category])*($D677=Table_dim_price_recipe[Item Description]) * (H$6=Table_dim_price_recipe[Type])*(Table_dim_price_recipe[Retail Price]&lt;&gt;0)*($C677=Table_dim_price_recipe[Subcategory]), 0))*$B677,"")</f>
        <v/>
      </c>
      <c r="I677" s="39" t="str" cm="1">
        <f t="array" ref="I677">IFERROR(INDEX(Table_dim_price_recipe[Retail Price], MATCH(1, ("Calculator"&lt;&gt;Table_dim_price_recipe[Type.display])*($L677=Table_dim_price_recipe[Category])*($D677=Table_dim_price_recipe[Item Description]) * (I$6=Table_dim_price_recipe[Type])*(Table_dim_price_recipe[Retail Price]&lt;&gt;0)*($C677=Table_dim_price_recipe[Subcategory]), 0))*$B677,"")</f>
        <v/>
      </c>
      <c r="J677" s="39" t="str" cm="1">
        <f t="array" ref="J677">IFERROR(INDEX(Table_dim_price_recipe[Retail Price], MATCH(1, ("Calculator"&lt;&gt;Table_dim_price_recipe[Type.display])*($L677=Table_dim_price_recipe[Category])*($D677=Table_dim_price_recipe[Item Description]) * (J$6=Table_dim_price_recipe[Type])*(Table_dim_price_recipe[Retail Price]&lt;&gt;0)*($C677=Table_dim_price_recipe[Subcategory]), 0))*$B677,"")</f>
        <v/>
      </c>
      <c r="K677" s="39" t="str" cm="1">
        <f t="array" ref="K677">IFERROR(INDEX(Table_dim_price_recipe[Retail Price], MATCH(1, ("Calculator"&lt;&gt;Table_dim_price_recipe[Type.display])*($L677=Table_dim_price_recipe[Category])*($D677=Table_dim_price_recipe[Item Description]) * (K$6=Table_dim_price_recipe[Type])*(Table_dim_price_recipe[Retail Price]&lt;&gt;0)*($C677=Table_dim_price_recipe[Subcategory]), 0))*$B677,"")</f>
        <v/>
      </c>
      <c r="L677" s="39" t="str" cm="1">
        <f t="array" ref="L677">IF($A677&lt;&gt;"", $A677, LOOKUP(2, 1/((A$7:INDEX(A:A, ROW()))&lt;&gt;""), A$7:INDEX(A:A, ROW())))</f>
        <v>CEILINGS &amp; WALLS</v>
      </c>
      <c r="M677" s="14"/>
    </row>
    <row r="678" spans="1:13">
      <c r="A678" s="263"/>
      <c r="B678" s="263"/>
      <c r="C678" s="263" t="s">
        <v>461</v>
      </c>
      <c r="D678" s="263" t="s">
        <v>501</v>
      </c>
      <c r="E678" s="263"/>
      <c r="F678" s="263"/>
      <c r="G678" s="39" t="str" cm="1">
        <f t="array" ref="G678">IFERROR(INDEX(Table_dim_price_recipe[Retail Price], MATCH(1, ("Calculator"&lt;&gt;Table_dim_price_recipe[Type.display])*($L678=Table_dim_price_recipe[Category])*($D678=Table_dim_price_recipe[Item Description]) * (G$6=Table_dim_price_recipe[Type])*(Table_dim_price_recipe[Retail Price]&lt;&gt;0)*($C678=Table_dim_price_recipe[Subcategory]), 0))*$B678,"")</f>
        <v/>
      </c>
      <c r="H678" s="39" t="str" cm="1">
        <f t="array" ref="H678">IFERROR(INDEX(Table_dim_price_recipe[Retail Price], MATCH(1, ("Calculator"&lt;&gt;Table_dim_price_recipe[Type.display])*($L678=Table_dim_price_recipe[Category])*($D678=Table_dim_price_recipe[Item Description]) * (H$6=Table_dim_price_recipe[Type])*(Table_dim_price_recipe[Retail Price]&lt;&gt;0)*($C678=Table_dim_price_recipe[Subcategory]), 0))*$B678,"")</f>
        <v/>
      </c>
      <c r="I678" s="39" t="str" cm="1">
        <f t="array" ref="I678">IFERROR(INDEX(Table_dim_price_recipe[Retail Price], MATCH(1, ("Calculator"&lt;&gt;Table_dim_price_recipe[Type.display])*($L678=Table_dim_price_recipe[Category])*($D678=Table_dim_price_recipe[Item Description]) * (I$6=Table_dim_price_recipe[Type])*(Table_dim_price_recipe[Retail Price]&lt;&gt;0)*($C678=Table_dim_price_recipe[Subcategory]), 0))*$B678,"")</f>
        <v/>
      </c>
      <c r="J678" s="39" t="str" cm="1">
        <f t="array" ref="J678">IFERROR(INDEX(Table_dim_price_recipe[Retail Price], MATCH(1, ("Calculator"&lt;&gt;Table_dim_price_recipe[Type.display])*($L678=Table_dim_price_recipe[Category])*($D678=Table_dim_price_recipe[Item Description]) * (J$6=Table_dim_price_recipe[Type])*(Table_dim_price_recipe[Retail Price]&lt;&gt;0)*($C678=Table_dim_price_recipe[Subcategory]), 0))*$B678,"")</f>
        <v/>
      </c>
      <c r="K678" s="39" t="str" cm="1">
        <f t="array" ref="K678">IFERROR(INDEX(Table_dim_price_recipe[Retail Price], MATCH(1, ("Calculator"&lt;&gt;Table_dim_price_recipe[Type.display])*($L678=Table_dim_price_recipe[Category])*($D678=Table_dim_price_recipe[Item Description]) * (K$6=Table_dim_price_recipe[Type])*(Table_dim_price_recipe[Retail Price]&lt;&gt;0)*($C678=Table_dim_price_recipe[Subcategory]), 0))*$B678,"")</f>
        <v/>
      </c>
      <c r="L678" s="39" t="str" cm="1">
        <f t="array" ref="L678">IF($A678&lt;&gt;"", $A678, LOOKUP(2, 1/((A$7:INDEX(A:A, ROW()))&lt;&gt;""), A$7:INDEX(A:A, ROW())))</f>
        <v>CEILINGS &amp; WALLS</v>
      </c>
      <c r="M678" s="14"/>
    </row>
    <row r="679" spans="1:13">
      <c r="A679" s="263"/>
      <c r="B679" s="263"/>
      <c r="C679" s="263" t="s">
        <v>461</v>
      </c>
      <c r="D679" s="263" t="s">
        <v>507</v>
      </c>
      <c r="E679" s="263"/>
      <c r="F679" s="263"/>
      <c r="G679" s="39" t="str" cm="1">
        <f t="array" ref="G679">IFERROR(INDEX(Table_dim_price_recipe[Retail Price], MATCH(1, ("Calculator"&lt;&gt;Table_dim_price_recipe[Type.display])*($L679=Table_dim_price_recipe[Category])*($D679=Table_dim_price_recipe[Item Description]) * (G$6=Table_dim_price_recipe[Type])*(Table_dim_price_recipe[Retail Price]&lt;&gt;0)*($C679=Table_dim_price_recipe[Subcategory]), 0))*$B679,"")</f>
        <v/>
      </c>
      <c r="H679" s="39" t="str" cm="1">
        <f t="array" ref="H679">IFERROR(INDEX(Table_dim_price_recipe[Retail Price], MATCH(1, ("Calculator"&lt;&gt;Table_dim_price_recipe[Type.display])*($L679=Table_dim_price_recipe[Category])*($D679=Table_dim_price_recipe[Item Description]) * (H$6=Table_dim_price_recipe[Type])*(Table_dim_price_recipe[Retail Price]&lt;&gt;0)*($C679=Table_dim_price_recipe[Subcategory]), 0))*$B679,"")</f>
        <v/>
      </c>
      <c r="I679" s="39" t="str" cm="1">
        <f t="array" ref="I679">IFERROR(INDEX(Table_dim_price_recipe[Retail Price], MATCH(1, ("Calculator"&lt;&gt;Table_dim_price_recipe[Type.display])*($L679=Table_dim_price_recipe[Category])*($D679=Table_dim_price_recipe[Item Description]) * (I$6=Table_dim_price_recipe[Type])*(Table_dim_price_recipe[Retail Price]&lt;&gt;0)*($C679=Table_dim_price_recipe[Subcategory]), 0))*$B679,"")</f>
        <v/>
      </c>
      <c r="J679" s="39" t="str" cm="1">
        <f t="array" ref="J679">IFERROR(INDEX(Table_dim_price_recipe[Retail Price], MATCH(1, ("Calculator"&lt;&gt;Table_dim_price_recipe[Type.display])*($L679=Table_dim_price_recipe[Category])*($D679=Table_dim_price_recipe[Item Description]) * (J$6=Table_dim_price_recipe[Type])*(Table_dim_price_recipe[Retail Price]&lt;&gt;0)*($C679=Table_dim_price_recipe[Subcategory]), 0))*$B679,"")</f>
        <v/>
      </c>
      <c r="K679" s="39" t="str" cm="1">
        <f t="array" ref="K679">IFERROR(INDEX(Table_dim_price_recipe[Retail Price], MATCH(1, ("Calculator"&lt;&gt;Table_dim_price_recipe[Type.display])*($L679=Table_dim_price_recipe[Category])*($D679=Table_dim_price_recipe[Item Description]) * (K$6=Table_dim_price_recipe[Type])*(Table_dim_price_recipe[Retail Price]&lt;&gt;0)*($C679=Table_dim_price_recipe[Subcategory]), 0))*$B679,"")</f>
        <v/>
      </c>
      <c r="L679" s="39" t="str" cm="1">
        <f t="array" ref="L679">IF($A679&lt;&gt;"", $A679, LOOKUP(2, 1/((A$7:INDEX(A:A, ROW()))&lt;&gt;""), A$7:INDEX(A:A, ROW())))</f>
        <v>CEILINGS &amp; WALLS</v>
      </c>
      <c r="M679" s="14"/>
    </row>
    <row r="680" spans="1:13">
      <c r="A680" s="263"/>
      <c r="B680" s="263"/>
      <c r="C680" s="263" t="s">
        <v>461</v>
      </c>
      <c r="D680" s="263" t="s">
        <v>508</v>
      </c>
      <c r="E680" s="263"/>
      <c r="F680" s="263"/>
      <c r="G680" s="39" t="str" cm="1">
        <f t="array" ref="G680">IFERROR(INDEX(Table_dim_price_recipe[Retail Price], MATCH(1, ("Calculator"&lt;&gt;Table_dim_price_recipe[Type.display])*($L680=Table_dim_price_recipe[Category])*($D680=Table_dim_price_recipe[Item Description]) * (G$6=Table_dim_price_recipe[Type])*(Table_dim_price_recipe[Retail Price]&lt;&gt;0)*($C680=Table_dim_price_recipe[Subcategory]), 0))*$B680,"")</f>
        <v/>
      </c>
      <c r="H680" s="39" t="str" cm="1">
        <f t="array" ref="H680">IFERROR(INDEX(Table_dim_price_recipe[Retail Price], MATCH(1, ("Calculator"&lt;&gt;Table_dim_price_recipe[Type.display])*($L680=Table_dim_price_recipe[Category])*($D680=Table_dim_price_recipe[Item Description]) * (H$6=Table_dim_price_recipe[Type])*(Table_dim_price_recipe[Retail Price]&lt;&gt;0)*($C680=Table_dim_price_recipe[Subcategory]), 0))*$B680,"")</f>
        <v/>
      </c>
      <c r="I680" s="39" t="str" cm="1">
        <f t="array" ref="I680">IFERROR(INDEX(Table_dim_price_recipe[Retail Price], MATCH(1, ("Calculator"&lt;&gt;Table_dim_price_recipe[Type.display])*($L680=Table_dim_price_recipe[Category])*($D680=Table_dim_price_recipe[Item Description]) * (I$6=Table_dim_price_recipe[Type])*(Table_dim_price_recipe[Retail Price]&lt;&gt;0)*($C680=Table_dim_price_recipe[Subcategory]), 0))*$B680,"")</f>
        <v/>
      </c>
      <c r="J680" s="39" t="str" cm="1">
        <f t="array" ref="J680">IFERROR(INDEX(Table_dim_price_recipe[Retail Price], MATCH(1, ("Calculator"&lt;&gt;Table_dim_price_recipe[Type.display])*($L680=Table_dim_price_recipe[Category])*($D680=Table_dim_price_recipe[Item Description]) * (J$6=Table_dim_price_recipe[Type])*(Table_dim_price_recipe[Retail Price]&lt;&gt;0)*($C680=Table_dim_price_recipe[Subcategory]), 0))*$B680,"")</f>
        <v/>
      </c>
      <c r="K680" s="39" t="str" cm="1">
        <f t="array" ref="K680">IFERROR(INDEX(Table_dim_price_recipe[Retail Price], MATCH(1, ("Calculator"&lt;&gt;Table_dim_price_recipe[Type.display])*($L680=Table_dim_price_recipe[Category])*($D680=Table_dim_price_recipe[Item Description]) * (K$6=Table_dim_price_recipe[Type])*(Table_dim_price_recipe[Retail Price]&lt;&gt;0)*($C680=Table_dim_price_recipe[Subcategory]), 0))*$B680,"")</f>
        <v/>
      </c>
      <c r="L680" s="39" t="str" cm="1">
        <f t="array" ref="L680">IF($A680&lt;&gt;"", $A680, LOOKUP(2, 1/((A$7:INDEX(A:A, ROW()))&lt;&gt;""), A$7:INDEX(A:A, ROW())))</f>
        <v>CEILINGS &amp; WALLS</v>
      </c>
      <c r="M680" s="14"/>
    </row>
    <row r="681" spans="1:13">
      <c r="A681" s="263"/>
      <c r="B681" s="263"/>
      <c r="C681" s="263" t="s">
        <v>461</v>
      </c>
      <c r="D681" s="263" t="s">
        <v>509</v>
      </c>
      <c r="E681" s="263"/>
      <c r="F681" s="263"/>
      <c r="G681" s="39" t="str" cm="1">
        <f t="array" ref="G681">IFERROR(INDEX(Table_dim_price_recipe[Retail Price], MATCH(1, ("Calculator"&lt;&gt;Table_dim_price_recipe[Type.display])*($L681=Table_dim_price_recipe[Category])*($D681=Table_dim_price_recipe[Item Description]) * (G$6=Table_dim_price_recipe[Type])*(Table_dim_price_recipe[Retail Price]&lt;&gt;0)*($C681=Table_dim_price_recipe[Subcategory]), 0))*$B681,"")</f>
        <v/>
      </c>
      <c r="H681" s="39" t="str" cm="1">
        <f t="array" ref="H681">IFERROR(INDEX(Table_dim_price_recipe[Retail Price], MATCH(1, ("Calculator"&lt;&gt;Table_dim_price_recipe[Type.display])*($L681=Table_dim_price_recipe[Category])*($D681=Table_dim_price_recipe[Item Description]) * (H$6=Table_dim_price_recipe[Type])*(Table_dim_price_recipe[Retail Price]&lt;&gt;0)*($C681=Table_dim_price_recipe[Subcategory]), 0))*$B681,"")</f>
        <v/>
      </c>
      <c r="I681" s="39" t="str" cm="1">
        <f t="array" ref="I681">IFERROR(INDEX(Table_dim_price_recipe[Retail Price], MATCH(1, ("Calculator"&lt;&gt;Table_dim_price_recipe[Type.display])*($L681=Table_dim_price_recipe[Category])*($D681=Table_dim_price_recipe[Item Description]) * (I$6=Table_dim_price_recipe[Type])*(Table_dim_price_recipe[Retail Price]&lt;&gt;0)*($C681=Table_dim_price_recipe[Subcategory]), 0))*$B681,"")</f>
        <v/>
      </c>
      <c r="J681" s="39" t="str" cm="1">
        <f t="array" ref="J681">IFERROR(INDEX(Table_dim_price_recipe[Retail Price], MATCH(1, ("Calculator"&lt;&gt;Table_dim_price_recipe[Type.display])*($L681=Table_dim_price_recipe[Category])*($D681=Table_dim_price_recipe[Item Description]) * (J$6=Table_dim_price_recipe[Type])*(Table_dim_price_recipe[Retail Price]&lt;&gt;0)*($C681=Table_dim_price_recipe[Subcategory]), 0))*$B681,"")</f>
        <v/>
      </c>
      <c r="K681" s="39" t="str" cm="1">
        <f t="array" ref="K681">IFERROR(INDEX(Table_dim_price_recipe[Retail Price], MATCH(1, ("Calculator"&lt;&gt;Table_dim_price_recipe[Type.display])*($L681=Table_dim_price_recipe[Category])*($D681=Table_dim_price_recipe[Item Description]) * (K$6=Table_dim_price_recipe[Type])*(Table_dim_price_recipe[Retail Price]&lt;&gt;0)*($C681=Table_dim_price_recipe[Subcategory]), 0))*$B681,"")</f>
        <v/>
      </c>
      <c r="L681" s="39" t="str" cm="1">
        <f t="array" ref="L681">IF($A681&lt;&gt;"", $A681, LOOKUP(2, 1/((A$7:INDEX(A:A, ROW()))&lt;&gt;""), A$7:INDEX(A:A, ROW())))</f>
        <v>CEILINGS &amp; WALLS</v>
      </c>
      <c r="M681" s="14"/>
    </row>
    <row r="682" spans="1:13">
      <c r="A682" s="263"/>
      <c r="B682" s="263"/>
      <c r="C682" s="263" t="s">
        <v>461</v>
      </c>
      <c r="D682" s="263" t="s">
        <v>510</v>
      </c>
      <c r="E682" s="263"/>
      <c r="F682" s="263"/>
      <c r="G682" s="39" t="str" cm="1">
        <f t="array" ref="G682">IFERROR(INDEX(Table_dim_price_recipe[Retail Price], MATCH(1, ("Calculator"&lt;&gt;Table_dim_price_recipe[Type.display])*($L682=Table_dim_price_recipe[Category])*($D682=Table_dim_price_recipe[Item Description]) * (G$6=Table_dim_price_recipe[Type])*(Table_dim_price_recipe[Retail Price]&lt;&gt;0)*($C682=Table_dim_price_recipe[Subcategory]), 0))*$B682,"")</f>
        <v/>
      </c>
      <c r="H682" s="39" t="str" cm="1">
        <f t="array" ref="H682">IFERROR(INDEX(Table_dim_price_recipe[Retail Price], MATCH(1, ("Calculator"&lt;&gt;Table_dim_price_recipe[Type.display])*($L682=Table_dim_price_recipe[Category])*($D682=Table_dim_price_recipe[Item Description]) * (H$6=Table_dim_price_recipe[Type])*(Table_dim_price_recipe[Retail Price]&lt;&gt;0)*($C682=Table_dim_price_recipe[Subcategory]), 0))*$B682,"")</f>
        <v/>
      </c>
      <c r="I682" s="39" t="str" cm="1">
        <f t="array" ref="I682">IFERROR(INDEX(Table_dim_price_recipe[Retail Price], MATCH(1, ("Calculator"&lt;&gt;Table_dim_price_recipe[Type.display])*($L682=Table_dim_price_recipe[Category])*($D682=Table_dim_price_recipe[Item Description]) * (I$6=Table_dim_price_recipe[Type])*(Table_dim_price_recipe[Retail Price]&lt;&gt;0)*($C682=Table_dim_price_recipe[Subcategory]), 0))*$B682,"")</f>
        <v/>
      </c>
      <c r="J682" s="39" t="str" cm="1">
        <f t="array" ref="J682">IFERROR(INDEX(Table_dim_price_recipe[Retail Price], MATCH(1, ("Calculator"&lt;&gt;Table_dim_price_recipe[Type.display])*($L682=Table_dim_price_recipe[Category])*($D682=Table_dim_price_recipe[Item Description]) * (J$6=Table_dim_price_recipe[Type])*(Table_dim_price_recipe[Retail Price]&lt;&gt;0)*($C682=Table_dim_price_recipe[Subcategory]), 0))*$B682,"")</f>
        <v/>
      </c>
      <c r="K682" s="39" t="str" cm="1">
        <f t="array" ref="K682">IFERROR(INDEX(Table_dim_price_recipe[Retail Price], MATCH(1, ("Calculator"&lt;&gt;Table_dim_price_recipe[Type.display])*($L682=Table_dim_price_recipe[Category])*($D682=Table_dim_price_recipe[Item Description]) * (K$6=Table_dim_price_recipe[Type])*(Table_dim_price_recipe[Retail Price]&lt;&gt;0)*($C682=Table_dim_price_recipe[Subcategory]), 0))*$B682,"")</f>
        <v/>
      </c>
      <c r="L682" s="39" t="str" cm="1">
        <f t="array" ref="L682">IF($A682&lt;&gt;"", $A682, LOOKUP(2, 1/((A$7:INDEX(A:A, ROW()))&lt;&gt;""), A$7:INDEX(A:A, ROW())))</f>
        <v>CEILINGS &amp; WALLS</v>
      </c>
      <c r="M682" s="14"/>
    </row>
    <row r="683" spans="1:13">
      <c r="A683" s="263"/>
      <c r="B683" s="263"/>
      <c r="C683" s="263" t="s">
        <v>461</v>
      </c>
      <c r="D683" s="263" t="s">
        <v>511</v>
      </c>
      <c r="E683" s="263"/>
      <c r="F683" s="263"/>
      <c r="G683" s="39" t="str" cm="1">
        <f t="array" ref="G683">IFERROR(INDEX(Table_dim_price_recipe[Retail Price], MATCH(1, ("Calculator"&lt;&gt;Table_dim_price_recipe[Type.display])*($L683=Table_dim_price_recipe[Category])*($D683=Table_dim_price_recipe[Item Description]) * (G$6=Table_dim_price_recipe[Type])*(Table_dim_price_recipe[Retail Price]&lt;&gt;0)*($C683=Table_dim_price_recipe[Subcategory]), 0))*$B683,"")</f>
        <v/>
      </c>
      <c r="H683" s="39" t="str" cm="1">
        <f t="array" ref="H683">IFERROR(INDEX(Table_dim_price_recipe[Retail Price], MATCH(1, ("Calculator"&lt;&gt;Table_dim_price_recipe[Type.display])*($L683=Table_dim_price_recipe[Category])*($D683=Table_dim_price_recipe[Item Description]) * (H$6=Table_dim_price_recipe[Type])*(Table_dim_price_recipe[Retail Price]&lt;&gt;0)*($C683=Table_dim_price_recipe[Subcategory]), 0))*$B683,"")</f>
        <v/>
      </c>
      <c r="I683" s="39" t="str" cm="1">
        <f t="array" ref="I683">IFERROR(INDEX(Table_dim_price_recipe[Retail Price], MATCH(1, ("Calculator"&lt;&gt;Table_dim_price_recipe[Type.display])*($L683=Table_dim_price_recipe[Category])*($D683=Table_dim_price_recipe[Item Description]) * (I$6=Table_dim_price_recipe[Type])*(Table_dim_price_recipe[Retail Price]&lt;&gt;0)*($C683=Table_dim_price_recipe[Subcategory]), 0))*$B683,"")</f>
        <v/>
      </c>
      <c r="J683" s="39" t="str" cm="1">
        <f t="array" ref="J683">IFERROR(INDEX(Table_dim_price_recipe[Retail Price], MATCH(1, ("Calculator"&lt;&gt;Table_dim_price_recipe[Type.display])*($L683=Table_dim_price_recipe[Category])*($D683=Table_dim_price_recipe[Item Description]) * (J$6=Table_dim_price_recipe[Type])*(Table_dim_price_recipe[Retail Price]&lt;&gt;0)*($C683=Table_dim_price_recipe[Subcategory]), 0))*$B683,"")</f>
        <v/>
      </c>
      <c r="K683" s="39" t="str" cm="1">
        <f t="array" ref="K683">IFERROR(INDEX(Table_dim_price_recipe[Retail Price], MATCH(1, ("Calculator"&lt;&gt;Table_dim_price_recipe[Type.display])*($L683=Table_dim_price_recipe[Category])*($D683=Table_dim_price_recipe[Item Description]) * (K$6=Table_dim_price_recipe[Type])*(Table_dim_price_recipe[Retail Price]&lt;&gt;0)*($C683=Table_dim_price_recipe[Subcategory]), 0))*$B683,"")</f>
        <v/>
      </c>
      <c r="L683" s="39" t="str" cm="1">
        <f t="array" ref="L683">IF($A683&lt;&gt;"", $A683, LOOKUP(2, 1/((A$7:INDEX(A:A, ROW()))&lt;&gt;""), A$7:INDEX(A:A, ROW())))</f>
        <v>CEILINGS &amp; WALLS</v>
      </c>
      <c r="M683" s="14"/>
    </row>
    <row r="684" spans="1:13">
      <c r="A684" s="263"/>
      <c r="B684" s="263"/>
      <c r="C684" s="263" t="s">
        <v>461</v>
      </c>
      <c r="D684" s="263" t="s">
        <v>463</v>
      </c>
      <c r="E684" s="263"/>
      <c r="F684" s="263"/>
      <c r="G684" s="39" t="str" cm="1">
        <f t="array" ref="G684">IFERROR(INDEX(Table_dim_price_recipe[Retail Price], MATCH(1, ("Calculator"&lt;&gt;Table_dim_price_recipe[Type.display])*($L684=Table_dim_price_recipe[Category])*($D684=Table_dim_price_recipe[Item Description]) * (G$6=Table_dim_price_recipe[Type])*(Table_dim_price_recipe[Retail Price]&lt;&gt;0)*($C684=Table_dim_price_recipe[Subcategory]), 0))*$B684,"")</f>
        <v/>
      </c>
      <c r="H684" s="39" t="str" cm="1">
        <f t="array" ref="H684">IFERROR(INDEX(Table_dim_price_recipe[Retail Price], MATCH(1, ("Calculator"&lt;&gt;Table_dim_price_recipe[Type.display])*($L684=Table_dim_price_recipe[Category])*($D684=Table_dim_price_recipe[Item Description]) * (H$6=Table_dim_price_recipe[Type])*(Table_dim_price_recipe[Retail Price]&lt;&gt;0)*($C684=Table_dim_price_recipe[Subcategory]), 0))*$B684,"")</f>
        <v/>
      </c>
      <c r="I684" s="39" t="str" cm="1">
        <f t="array" ref="I684">IFERROR(INDEX(Table_dim_price_recipe[Retail Price], MATCH(1, ("Calculator"&lt;&gt;Table_dim_price_recipe[Type.display])*($L684=Table_dim_price_recipe[Category])*($D684=Table_dim_price_recipe[Item Description]) * (I$6=Table_dim_price_recipe[Type])*(Table_dim_price_recipe[Retail Price]&lt;&gt;0)*($C684=Table_dim_price_recipe[Subcategory]), 0))*$B684,"")</f>
        <v/>
      </c>
      <c r="J684" s="39" t="str" cm="1">
        <f t="array" ref="J684">IFERROR(INDEX(Table_dim_price_recipe[Retail Price], MATCH(1, ("Calculator"&lt;&gt;Table_dim_price_recipe[Type.display])*($L684=Table_dim_price_recipe[Category])*($D684=Table_dim_price_recipe[Item Description]) * (J$6=Table_dim_price_recipe[Type])*(Table_dim_price_recipe[Retail Price]&lt;&gt;0)*($C684=Table_dim_price_recipe[Subcategory]), 0))*$B684,"")</f>
        <v/>
      </c>
      <c r="K684" s="39" t="str" cm="1">
        <f t="array" ref="K684">IFERROR(INDEX(Table_dim_price_recipe[Retail Price], MATCH(1, ("Calculator"&lt;&gt;Table_dim_price_recipe[Type.display])*($L684=Table_dim_price_recipe[Category])*($D684=Table_dim_price_recipe[Item Description]) * (K$6=Table_dim_price_recipe[Type])*(Table_dim_price_recipe[Retail Price]&lt;&gt;0)*($C684=Table_dim_price_recipe[Subcategory]), 0))*$B684,"")</f>
        <v/>
      </c>
      <c r="L684" s="39" t="str" cm="1">
        <f t="array" ref="L684">IF($A684&lt;&gt;"", $A684, LOOKUP(2, 1/((A$7:INDEX(A:A, ROW()))&lt;&gt;""), A$7:INDEX(A:A, ROW())))</f>
        <v>CEILINGS &amp; WALLS</v>
      </c>
      <c r="M684" s="14"/>
    </row>
    <row r="685" spans="1:13">
      <c r="A685" s="263"/>
      <c r="B685" s="263"/>
      <c r="C685" s="263" t="s">
        <v>461</v>
      </c>
      <c r="D685" s="263" t="s">
        <v>464</v>
      </c>
      <c r="E685" s="263"/>
      <c r="F685" s="263"/>
      <c r="G685" s="39" t="str" cm="1">
        <f t="array" ref="G685">IFERROR(INDEX(Table_dim_price_recipe[Retail Price], MATCH(1, ("Calculator"&lt;&gt;Table_dim_price_recipe[Type.display])*($L685=Table_dim_price_recipe[Category])*($D685=Table_dim_price_recipe[Item Description]) * (G$6=Table_dim_price_recipe[Type])*(Table_dim_price_recipe[Retail Price]&lt;&gt;0)*($C685=Table_dim_price_recipe[Subcategory]), 0))*$B685,"")</f>
        <v/>
      </c>
      <c r="H685" s="39" t="str" cm="1">
        <f t="array" ref="H685">IFERROR(INDEX(Table_dim_price_recipe[Retail Price], MATCH(1, ("Calculator"&lt;&gt;Table_dim_price_recipe[Type.display])*($L685=Table_dim_price_recipe[Category])*($D685=Table_dim_price_recipe[Item Description]) * (H$6=Table_dim_price_recipe[Type])*(Table_dim_price_recipe[Retail Price]&lt;&gt;0)*($C685=Table_dim_price_recipe[Subcategory]), 0))*$B685,"")</f>
        <v/>
      </c>
      <c r="I685" s="39" t="str" cm="1">
        <f t="array" ref="I685">IFERROR(INDEX(Table_dim_price_recipe[Retail Price], MATCH(1, ("Calculator"&lt;&gt;Table_dim_price_recipe[Type.display])*($L685=Table_dim_price_recipe[Category])*($D685=Table_dim_price_recipe[Item Description]) * (I$6=Table_dim_price_recipe[Type])*(Table_dim_price_recipe[Retail Price]&lt;&gt;0)*($C685=Table_dim_price_recipe[Subcategory]), 0))*$B685,"")</f>
        <v/>
      </c>
      <c r="J685" s="39" t="str" cm="1">
        <f t="array" ref="J685">IFERROR(INDEX(Table_dim_price_recipe[Retail Price], MATCH(1, ("Calculator"&lt;&gt;Table_dim_price_recipe[Type.display])*($L685=Table_dim_price_recipe[Category])*($D685=Table_dim_price_recipe[Item Description]) * (J$6=Table_dim_price_recipe[Type])*(Table_dim_price_recipe[Retail Price]&lt;&gt;0)*($C685=Table_dim_price_recipe[Subcategory]), 0))*$B685,"")</f>
        <v/>
      </c>
      <c r="K685" s="39" t="str" cm="1">
        <f t="array" ref="K685">IFERROR(INDEX(Table_dim_price_recipe[Retail Price], MATCH(1, ("Calculator"&lt;&gt;Table_dim_price_recipe[Type.display])*($L685=Table_dim_price_recipe[Category])*($D685=Table_dim_price_recipe[Item Description]) * (K$6=Table_dim_price_recipe[Type])*(Table_dim_price_recipe[Retail Price]&lt;&gt;0)*($C685=Table_dim_price_recipe[Subcategory]), 0))*$B685,"")</f>
        <v/>
      </c>
      <c r="L685" s="39" t="str" cm="1">
        <f t="array" ref="L685">IF($A685&lt;&gt;"", $A685, LOOKUP(2, 1/((A$7:INDEX(A:A, ROW()))&lt;&gt;""), A$7:INDEX(A:A, ROW())))</f>
        <v>CEILINGS &amp; WALLS</v>
      </c>
      <c r="M685" s="14"/>
    </row>
    <row r="686" spans="1:13">
      <c r="A686" s="263"/>
      <c r="B686" s="263"/>
      <c r="C686" s="263" t="s">
        <v>461</v>
      </c>
      <c r="D686" s="263" t="s">
        <v>465</v>
      </c>
      <c r="E686" s="263"/>
      <c r="F686" s="263"/>
      <c r="G686" s="39" t="str" cm="1">
        <f t="array" ref="G686">IFERROR(INDEX(Table_dim_price_recipe[Retail Price], MATCH(1, ("Calculator"&lt;&gt;Table_dim_price_recipe[Type.display])*($L686=Table_dim_price_recipe[Category])*($D686=Table_dim_price_recipe[Item Description]) * (G$6=Table_dim_price_recipe[Type])*(Table_dim_price_recipe[Retail Price]&lt;&gt;0)*($C686=Table_dim_price_recipe[Subcategory]), 0))*$B686,"")</f>
        <v/>
      </c>
      <c r="H686" s="39" t="str" cm="1">
        <f t="array" ref="H686">IFERROR(INDEX(Table_dim_price_recipe[Retail Price], MATCH(1, ("Calculator"&lt;&gt;Table_dim_price_recipe[Type.display])*($L686=Table_dim_price_recipe[Category])*($D686=Table_dim_price_recipe[Item Description]) * (H$6=Table_dim_price_recipe[Type])*(Table_dim_price_recipe[Retail Price]&lt;&gt;0)*($C686=Table_dim_price_recipe[Subcategory]), 0))*$B686,"")</f>
        <v/>
      </c>
      <c r="I686" s="39" t="str" cm="1">
        <f t="array" ref="I686">IFERROR(INDEX(Table_dim_price_recipe[Retail Price], MATCH(1, ("Calculator"&lt;&gt;Table_dim_price_recipe[Type.display])*($L686=Table_dim_price_recipe[Category])*($D686=Table_dim_price_recipe[Item Description]) * (I$6=Table_dim_price_recipe[Type])*(Table_dim_price_recipe[Retail Price]&lt;&gt;0)*($C686=Table_dim_price_recipe[Subcategory]), 0))*$B686,"")</f>
        <v/>
      </c>
      <c r="J686" s="39" t="str" cm="1">
        <f t="array" ref="J686">IFERROR(INDEX(Table_dim_price_recipe[Retail Price], MATCH(1, ("Calculator"&lt;&gt;Table_dim_price_recipe[Type.display])*($L686=Table_dim_price_recipe[Category])*($D686=Table_dim_price_recipe[Item Description]) * (J$6=Table_dim_price_recipe[Type])*(Table_dim_price_recipe[Retail Price]&lt;&gt;0)*($C686=Table_dim_price_recipe[Subcategory]), 0))*$B686,"")</f>
        <v/>
      </c>
      <c r="K686" s="39" t="str" cm="1">
        <f t="array" ref="K686">IFERROR(INDEX(Table_dim_price_recipe[Retail Price], MATCH(1, ("Calculator"&lt;&gt;Table_dim_price_recipe[Type.display])*($L686=Table_dim_price_recipe[Category])*($D686=Table_dim_price_recipe[Item Description]) * (K$6=Table_dim_price_recipe[Type])*(Table_dim_price_recipe[Retail Price]&lt;&gt;0)*($C686=Table_dim_price_recipe[Subcategory]), 0))*$B686,"")</f>
        <v/>
      </c>
      <c r="L686" s="39" t="str" cm="1">
        <f t="array" ref="L686">IF($A686&lt;&gt;"", $A686, LOOKUP(2, 1/((A$7:INDEX(A:A, ROW()))&lt;&gt;""), A$7:INDEX(A:A, ROW())))</f>
        <v>CEILINGS &amp; WALLS</v>
      </c>
      <c r="M686" s="14"/>
    </row>
    <row r="687" spans="1:13">
      <c r="A687" s="263"/>
      <c r="B687" s="263"/>
      <c r="C687" s="263" t="s">
        <v>461</v>
      </c>
      <c r="D687" s="263" t="s">
        <v>466</v>
      </c>
      <c r="E687" s="263"/>
      <c r="F687" s="263"/>
      <c r="G687" s="39" t="str" cm="1">
        <f t="array" ref="G687">IFERROR(INDEX(Table_dim_price_recipe[Retail Price], MATCH(1, ("Calculator"&lt;&gt;Table_dim_price_recipe[Type.display])*($L687=Table_dim_price_recipe[Category])*($D687=Table_dim_price_recipe[Item Description]) * (G$6=Table_dim_price_recipe[Type])*(Table_dim_price_recipe[Retail Price]&lt;&gt;0)*($C687=Table_dim_price_recipe[Subcategory]), 0))*$B687,"")</f>
        <v/>
      </c>
      <c r="H687" s="39" t="str" cm="1">
        <f t="array" ref="H687">IFERROR(INDEX(Table_dim_price_recipe[Retail Price], MATCH(1, ("Calculator"&lt;&gt;Table_dim_price_recipe[Type.display])*($L687=Table_dim_price_recipe[Category])*($D687=Table_dim_price_recipe[Item Description]) * (H$6=Table_dim_price_recipe[Type])*(Table_dim_price_recipe[Retail Price]&lt;&gt;0)*($C687=Table_dim_price_recipe[Subcategory]), 0))*$B687,"")</f>
        <v/>
      </c>
      <c r="I687" s="39" t="str" cm="1">
        <f t="array" ref="I687">IFERROR(INDEX(Table_dim_price_recipe[Retail Price], MATCH(1, ("Calculator"&lt;&gt;Table_dim_price_recipe[Type.display])*($L687=Table_dim_price_recipe[Category])*($D687=Table_dim_price_recipe[Item Description]) * (I$6=Table_dim_price_recipe[Type])*(Table_dim_price_recipe[Retail Price]&lt;&gt;0)*($C687=Table_dim_price_recipe[Subcategory]), 0))*$B687,"")</f>
        <v/>
      </c>
      <c r="J687" s="39" t="str" cm="1">
        <f t="array" ref="J687">IFERROR(INDEX(Table_dim_price_recipe[Retail Price], MATCH(1, ("Calculator"&lt;&gt;Table_dim_price_recipe[Type.display])*($L687=Table_dim_price_recipe[Category])*($D687=Table_dim_price_recipe[Item Description]) * (J$6=Table_dim_price_recipe[Type])*(Table_dim_price_recipe[Retail Price]&lt;&gt;0)*($C687=Table_dim_price_recipe[Subcategory]), 0))*$B687,"")</f>
        <v/>
      </c>
      <c r="K687" s="39" t="str" cm="1">
        <f t="array" ref="K687">IFERROR(INDEX(Table_dim_price_recipe[Retail Price], MATCH(1, ("Calculator"&lt;&gt;Table_dim_price_recipe[Type.display])*($L687=Table_dim_price_recipe[Category])*($D687=Table_dim_price_recipe[Item Description]) * (K$6=Table_dim_price_recipe[Type])*(Table_dim_price_recipe[Retail Price]&lt;&gt;0)*($C687=Table_dim_price_recipe[Subcategory]), 0))*$B687,"")</f>
        <v/>
      </c>
      <c r="L687" s="39" t="str" cm="1">
        <f t="array" ref="L687">IF($A687&lt;&gt;"", $A687, LOOKUP(2, 1/((A$7:INDEX(A:A, ROW()))&lt;&gt;""), A$7:INDEX(A:A, ROW())))</f>
        <v>CEILINGS &amp; WALLS</v>
      </c>
      <c r="M687" s="14"/>
    </row>
    <row r="688" spans="1:13">
      <c r="A688" s="263"/>
      <c r="B688" s="263"/>
      <c r="C688" s="263" t="s">
        <v>461</v>
      </c>
      <c r="D688" s="263" t="s">
        <v>467</v>
      </c>
      <c r="E688" s="263"/>
      <c r="F688" s="263"/>
      <c r="G688" s="39" t="str" cm="1">
        <f t="array" ref="G688">IFERROR(INDEX(Table_dim_price_recipe[Retail Price], MATCH(1, ("Calculator"&lt;&gt;Table_dim_price_recipe[Type.display])*($L688=Table_dim_price_recipe[Category])*($D688=Table_dim_price_recipe[Item Description]) * (G$6=Table_dim_price_recipe[Type])*(Table_dim_price_recipe[Retail Price]&lt;&gt;0)*($C688=Table_dim_price_recipe[Subcategory]), 0))*$B688,"")</f>
        <v/>
      </c>
      <c r="H688" s="39" t="str" cm="1">
        <f t="array" ref="H688">IFERROR(INDEX(Table_dim_price_recipe[Retail Price], MATCH(1, ("Calculator"&lt;&gt;Table_dim_price_recipe[Type.display])*($L688=Table_dim_price_recipe[Category])*($D688=Table_dim_price_recipe[Item Description]) * (H$6=Table_dim_price_recipe[Type])*(Table_dim_price_recipe[Retail Price]&lt;&gt;0)*($C688=Table_dim_price_recipe[Subcategory]), 0))*$B688,"")</f>
        <v/>
      </c>
      <c r="I688" s="39" t="str" cm="1">
        <f t="array" ref="I688">IFERROR(INDEX(Table_dim_price_recipe[Retail Price], MATCH(1, ("Calculator"&lt;&gt;Table_dim_price_recipe[Type.display])*($L688=Table_dim_price_recipe[Category])*($D688=Table_dim_price_recipe[Item Description]) * (I$6=Table_dim_price_recipe[Type])*(Table_dim_price_recipe[Retail Price]&lt;&gt;0)*($C688=Table_dim_price_recipe[Subcategory]), 0))*$B688,"")</f>
        <v/>
      </c>
      <c r="J688" s="39" t="str" cm="1">
        <f t="array" ref="J688">IFERROR(INDEX(Table_dim_price_recipe[Retail Price], MATCH(1, ("Calculator"&lt;&gt;Table_dim_price_recipe[Type.display])*($L688=Table_dim_price_recipe[Category])*($D688=Table_dim_price_recipe[Item Description]) * (J$6=Table_dim_price_recipe[Type])*(Table_dim_price_recipe[Retail Price]&lt;&gt;0)*($C688=Table_dim_price_recipe[Subcategory]), 0))*$B688,"")</f>
        <v/>
      </c>
      <c r="K688" s="39" t="str" cm="1">
        <f t="array" ref="K688">IFERROR(INDEX(Table_dim_price_recipe[Retail Price], MATCH(1, ("Calculator"&lt;&gt;Table_dim_price_recipe[Type.display])*($L688=Table_dim_price_recipe[Category])*($D688=Table_dim_price_recipe[Item Description]) * (K$6=Table_dim_price_recipe[Type])*(Table_dim_price_recipe[Retail Price]&lt;&gt;0)*($C688=Table_dim_price_recipe[Subcategory]), 0))*$B688,"")</f>
        <v/>
      </c>
      <c r="L688" s="39" t="str" cm="1">
        <f t="array" ref="L688">IF($A688&lt;&gt;"", $A688, LOOKUP(2, 1/((A$7:INDEX(A:A, ROW()))&lt;&gt;""), A$7:INDEX(A:A, ROW())))</f>
        <v>CEILINGS &amp; WALLS</v>
      </c>
      <c r="M688" s="14"/>
    </row>
    <row r="689" spans="1:13">
      <c r="A689" s="263"/>
      <c r="B689" s="263"/>
      <c r="C689" s="263" t="s">
        <v>461</v>
      </c>
      <c r="D689" s="263" t="s">
        <v>468</v>
      </c>
      <c r="E689" s="263"/>
      <c r="F689" s="263"/>
      <c r="G689" s="39" t="str" cm="1">
        <f t="array" ref="G689">IFERROR(INDEX(Table_dim_price_recipe[Retail Price], MATCH(1, ("Calculator"&lt;&gt;Table_dim_price_recipe[Type.display])*($L689=Table_dim_price_recipe[Category])*($D689=Table_dim_price_recipe[Item Description]) * (G$6=Table_dim_price_recipe[Type])*(Table_dim_price_recipe[Retail Price]&lt;&gt;0)*($C689=Table_dim_price_recipe[Subcategory]), 0))*$B689,"")</f>
        <v/>
      </c>
      <c r="H689" s="39" t="str" cm="1">
        <f t="array" ref="H689">IFERROR(INDEX(Table_dim_price_recipe[Retail Price], MATCH(1, ("Calculator"&lt;&gt;Table_dim_price_recipe[Type.display])*($L689=Table_dim_price_recipe[Category])*($D689=Table_dim_price_recipe[Item Description]) * (H$6=Table_dim_price_recipe[Type])*(Table_dim_price_recipe[Retail Price]&lt;&gt;0)*($C689=Table_dim_price_recipe[Subcategory]), 0))*$B689,"")</f>
        <v/>
      </c>
      <c r="I689" s="39" t="str" cm="1">
        <f t="array" ref="I689">IFERROR(INDEX(Table_dim_price_recipe[Retail Price], MATCH(1, ("Calculator"&lt;&gt;Table_dim_price_recipe[Type.display])*($L689=Table_dim_price_recipe[Category])*($D689=Table_dim_price_recipe[Item Description]) * (I$6=Table_dim_price_recipe[Type])*(Table_dim_price_recipe[Retail Price]&lt;&gt;0)*($C689=Table_dim_price_recipe[Subcategory]), 0))*$B689,"")</f>
        <v/>
      </c>
      <c r="J689" s="39" t="str" cm="1">
        <f t="array" ref="J689">IFERROR(INDEX(Table_dim_price_recipe[Retail Price], MATCH(1, ("Calculator"&lt;&gt;Table_dim_price_recipe[Type.display])*($L689=Table_dim_price_recipe[Category])*($D689=Table_dim_price_recipe[Item Description]) * (J$6=Table_dim_price_recipe[Type])*(Table_dim_price_recipe[Retail Price]&lt;&gt;0)*($C689=Table_dim_price_recipe[Subcategory]), 0))*$B689,"")</f>
        <v/>
      </c>
      <c r="K689" s="39" t="str" cm="1">
        <f t="array" ref="K689">IFERROR(INDEX(Table_dim_price_recipe[Retail Price], MATCH(1, ("Calculator"&lt;&gt;Table_dim_price_recipe[Type.display])*($L689=Table_dim_price_recipe[Category])*($D689=Table_dim_price_recipe[Item Description]) * (K$6=Table_dim_price_recipe[Type])*(Table_dim_price_recipe[Retail Price]&lt;&gt;0)*($C689=Table_dim_price_recipe[Subcategory]), 0))*$B689,"")</f>
        <v/>
      </c>
      <c r="L689" s="39" t="str" cm="1">
        <f t="array" ref="L689">IF($A689&lt;&gt;"", $A689, LOOKUP(2, 1/((A$7:INDEX(A:A, ROW()))&lt;&gt;""), A$7:INDEX(A:A, ROW())))</f>
        <v>CEILINGS &amp; WALLS</v>
      </c>
      <c r="M689" s="14"/>
    </row>
    <row r="690" spans="1:13">
      <c r="A690" s="263"/>
      <c r="B690" s="263"/>
      <c r="C690" s="263" t="s">
        <v>461</v>
      </c>
      <c r="D690" s="263" t="s">
        <v>94</v>
      </c>
      <c r="E690" s="263"/>
      <c r="F690" s="263"/>
      <c r="G690" s="39" t="str" cm="1">
        <f t="array" ref="G690">IFERROR(INDEX(Table_dim_price_recipe[Retail Price], MATCH(1, ("Calculator"&lt;&gt;Table_dim_price_recipe[Type.display])*($L690=Table_dim_price_recipe[Category])*($D690=Table_dim_price_recipe[Item Description]) * (G$6=Table_dim_price_recipe[Type])*(Table_dim_price_recipe[Retail Price]&lt;&gt;0)*($C690=Table_dim_price_recipe[Subcategory]), 0))*$B690,"")</f>
        <v/>
      </c>
      <c r="H690" s="39" t="str" cm="1">
        <f t="array" ref="H690">IFERROR(INDEX(Table_dim_price_recipe[Retail Price], MATCH(1, ("Calculator"&lt;&gt;Table_dim_price_recipe[Type.display])*($L690=Table_dim_price_recipe[Category])*($D690=Table_dim_price_recipe[Item Description]) * (H$6=Table_dim_price_recipe[Type])*(Table_dim_price_recipe[Retail Price]&lt;&gt;0)*($C690=Table_dim_price_recipe[Subcategory]), 0))*$B690,"")</f>
        <v/>
      </c>
      <c r="I690" s="39" t="str" cm="1">
        <f t="array" ref="I690">IFERROR(INDEX(Table_dim_price_recipe[Retail Price], MATCH(1, ("Calculator"&lt;&gt;Table_dim_price_recipe[Type.display])*($L690=Table_dim_price_recipe[Category])*($D690=Table_dim_price_recipe[Item Description]) * (I$6=Table_dim_price_recipe[Type])*(Table_dim_price_recipe[Retail Price]&lt;&gt;0)*($C690=Table_dim_price_recipe[Subcategory]), 0))*$B690,"")</f>
        <v/>
      </c>
      <c r="J690" s="39" t="str" cm="1">
        <f t="array" ref="J690">IFERROR(INDEX(Table_dim_price_recipe[Retail Price], MATCH(1, ("Calculator"&lt;&gt;Table_dim_price_recipe[Type.display])*($L690=Table_dim_price_recipe[Category])*($D690=Table_dim_price_recipe[Item Description]) * (J$6=Table_dim_price_recipe[Type])*(Table_dim_price_recipe[Retail Price]&lt;&gt;0)*($C690=Table_dim_price_recipe[Subcategory]), 0))*$B690,"")</f>
        <v/>
      </c>
      <c r="K690" s="39" t="str" cm="1">
        <f t="array" ref="K690">IFERROR(INDEX(Table_dim_price_recipe[Retail Price], MATCH(1, ("Calculator"&lt;&gt;Table_dim_price_recipe[Type.display])*($L690=Table_dim_price_recipe[Category])*($D690=Table_dim_price_recipe[Item Description]) * (K$6=Table_dim_price_recipe[Type])*(Table_dim_price_recipe[Retail Price]&lt;&gt;0)*($C690=Table_dim_price_recipe[Subcategory]), 0))*$B690,"")</f>
        <v/>
      </c>
      <c r="L690" s="39" t="str" cm="1">
        <f t="array" ref="L690">IF($A690&lt;&gt;"", $A690, LOOKUP(2, 1/((A$7:INDEX(A:A, ROW()))&lt;&gt;""), A$7:INDEX(A:A, ROW())))</f>
        <v>CEILINGS &amp; WALLS</v>
      </c>
      <c r="M690" s="14"/>
    </row>
    <row r="691" spans="1:13">
      <c r="A691" s="263"/>
      <c r="B691" s="263"/>
      <c r="C691" s="263" t="s">
        <v>461</v>
      </c>
      <c r="D691" s="263" t="s">
        <v>462</v>
      </c>
      <c r="E691" s="263"/>
      <c r="F691" s="263"/>
      <c r="G691" s="39" t="str" cm="1">
        <f t="array" ref="G691">IFERROR(INDEX(Table_dim_price_recipe[Retail Price], MATCH(1, ("Calculator"&lt;&gt;Table_dim_price_recipe[Type.display])*($L691=Table_dim_price_recipe[Category])*($D691=Table_dim_price_recipe[Item Description]) * (G$6=Table_dim_price_recipe[Type])*(Table_dim_price_recipe[Retail Price]&lt;&gt;0)*($C691=Table_dim_price_recipe[Subcategory]), 0))*$B691,"")</f>
        <v/>
      </c>
      <c r="H691" s="39" t="str" cm="1">
        <f t="array" ref="H691">IFERROR(INDEX(Table_dim_price_recipe[Retail Price], MATCH(1, ("Calculator"&lt;&gt;Table_dim_price_recipe[Type.display])*($L691=Table_dim_price_recipe[Category])*($D691=Table_dim_price_recipe[Item Description]) * (H$6=Table_dim_price_recipe[Type])*(Table_dim_price_recipe[Retail Price]&lt;&gt;0)*($C691=Table_dim_price_recipe[Subcategory]), 0))*$B691,"")</f>
        <v/>
      </c>
      <c r="I691" s="39" t="str" cm="1">
        <f t="array" ref="I691">IFERROR(INDEX(Table_dim_price_recipe[Retail Price], MATCH(1, ("Calculator"&lt;&gt;Table_dim_price_recipe[Type.display])*($L691=Table_dim_price_recipe[Category])*($D691=Table_dim_price_recipe[Item Description]) * (I$6=Table_dim_price_recipe[Type])*(Table_dim_price_recipe[Retail Price]&lt;&gt;0)*($C691=Table_dim_price_recipe[Subcategory]), 0))*$B691,"")</f>
        <v/>
      </c>
      <c r="J691" s="39" t="str" cm="1">
        <f t="array" ref="J691">IFERROR(INDEX(Table_dim_price_recipe[Retail Price], MATCH(1, ("Calculator"&lt;&gt;Table_dim_price_recipe[Type.display])*($L691=Table_dim_price_recipe[Category])*($D691=Table_dim_price_recipe[Item Description]) * (J$6=Table_dim_price_recipe[Type])*(Table_dim_price_recipe[Retail Price]&lt;&gt;0)*($C691=Table_dim_price_recipe[Subcategory]), 0))*$B691,"")</f>
        <v/>
      </c>
      <c r="K691" s="39" t="str" cm="1">
        <f t="array" ref="K691">IFERROR(INDEX(Table_dim_price_recipe[Retail Price], MATCH(1, ("Calculator"&lt;&gt;Table_dim_price_recipe[Type.display])*($L691=Table_dim_price_recipe[Category])*($D691=Table_dim_price_recipe[Item Description]) * (K$6=Table_dim_price_recipe[Type])*(Table_dim_price_recipe[Retail Price]&lt;&gt;0)*($C691=Table_dim_price_recipe[Subcategory]), 0))*$B691,"")</f>
        <v/>
      </c>
      <c r="L691" s="39" t="str" cm="1">
        <f t="array" ref="L691">IF($A691&lt;&gt;"", $A691, LOOKUP(2, 1/((A$7:INDEX(A:A, ROW()))&lt;&gt;""), A$7:INDEX(A:A, ROW())))</f>
        <v>CEILINGS &amp; WALLS</v>
      </c>
      <c r="M691" s="14"/>
    </row>
    <row r="692" spans="1:13">
      <c r="A692" s="263"/>
      <c r="B692" s="263"/>
      <c r="C692" s="263" t="s">
        <v>461</v>
      </c>
      <c r="D692" s="263"/>
      <c r="E692" s="263"/>
      <c r="F692" s="263"/>
      <c r="G692" s="39" t="str" cm="1">
        <f t="array" ref="G692">IFERROR(INDEX(Table_dim_price_recipe[Retail Price], MATCH(1, ("Calculator"&lt;&gt;Table_dim_price_recipe[Type.display])*($L692=Table_dim_price_recipe[Category])*($D692=Table_dim_price_recipe[Item Description]) * (G$6=Table_dim_price_recipe[Type])*(Table_dim_price_recipe[Retail Price]&lt;&gt;0)*($C692=Table_dim_price_recipe[Subcategory]), 0))*$B692,"")</f>
        <v/>
      </c>
      <c r="H692" s="39" t="str" cm="1">
        <f t="array" ref="H692">IFERROR(INDEX(Table_dim_price_recipe[Retail Price], MATCH(1, ("Calculator"&lt;&gt;Table_dim_price_recipe[Type.display])*($L692=Table_dim_price_recipe[Category])*($D692=Table_dim_price_recipe[Item Description]) * (H$6=Table_dim_price_recipe[Type])*(Table_dim_price_recipe[Retail Price]&lt;&gt;0)*($C692=Table_dim_price_recipe[Subcategory]), 0))*$B692,"")</f>
        <v/>
      </c>
      <c r="I692" s="39" t="str" cm="1">
        <f t="array" ref="I692">IFERROR(INDEX(Table_dim_price_recipe[Retail Price], MATCH(1, ("Calculator"&lt;&gt;Table_dim_price_recipe[Type.display])*($L692=Table_dim_price_recipe[Category])*($D692=Table_dim_price_recipe[Item Description]) * (I$6=Table_dim_price_recipe[Type])*(Table_dim_price_recipe[Retail Price]&lt;&gt;0)*($C692=Table_dim_price_recipe[Subcategory]), 0))*$B692,"")</f>
        <v/>
      </c>
      <c r="J692" s="39" t="str" cm="1">
        <f t="array" ref="J692">IFERROR(INDEX(Table_dim_price_recipe[Retail Price], MATCH(1, ("Calculator"&lt;&gt;Table_dim_price_recipe[Type.display])*($L692=Table_dim_price_recipe[Category])*($D692=Table_dim_price_recipe[Item Description]) * (J$6=Table_dim_price_recipe[Type])*(Table_dim_price_recipe[Retail Price]&lt;&gt;0)*($C692=Table_dim_price_recipe[Subcategory]), 0))*$B692,"")</f>
        <v/>
      </c>
      <c r="K692" s="39" t="str" cm="1">
        <f t="array" ref="K692">IFERROR(INDEX(Table_dim_price_recipe[Retail Price], MATCH(1, ("Calculator"&lt;&gt;Table_dim_price_recipe[Type.display])*($L692=Table_dim_price_recipe[Category])*($D692=Table_dim_price_recipe[Item Description]) * (K$6=Table_dim_price_recipe[Type])*(Table_dim_price_recipe[Retail Price]&lt;&gt;0)*($C692=Table_dim_price_recipe[Subcategory]), 0))*$B692,"")</f>
        <v/>
      </c>
      <c r="L692" s="39" t="str" cm="1">
        <f t="array" ref="L692">IF($A692&lt;&gt;"", $A692, LOOKUP(2, 1/((A$7:INDEX(A:A, ROW()))&lt;&gt;""), A$7:INDEX(A:A, ROW())))</f>
        <v>CEILINGS &amp; WALLS</v>
      </c>
      <c r="M692" s="14"/>
    </row>
    <row r="693" spans="1:13">
      <c r="A693" s="263"/>
      <c r="B693" s="263"/>
      <c r="C693" s="263" t="s">
        <v>461</v>
      </c>
      <c r="D693" s="263"/>
      <c r="E693" s="263"/>
      <c r="F693" s="263"/>
      <c r="G693" s="39" t="str" cm="1">
        <f t="array" ref="G693">IFERROR(INDEX(Table_dim_price_recipe[Retail Price], MATCH(1, ("Calculator"&lt;&gt;Table_dim_price_recipe[Type.display])*($L693=Table_dim_price_recipe[Category])*($D693=Table_dim_price_recipe[Item Description]) * (G$6=Table_dim_price_recipe[Type])*(Table_dim_price_recipe[Retail Price]&lt;&gt;0)*($C693=Table_dim_price_recipe[Subcategory]), 0))*$B693,"")</f>
        <v/>
      </c>
      <c r="H693" s="39" t="str" cm="1">
        <f t="array" ref="H693">IFERROR(INDEX(Table_dim_price_recipe[Retail Price], MATCH(1, ("Calculator"&lt;&gt;Table_dim_price_recipe[Type.display])*($L693=Table_dim_price_recipe[Category])*($D693=Table_dim_price_recipe[Item Description]) * (H$6=Table_dim_price_recipe[Type])*(Table_dim_price_recipe[Retail Price]&lt;&gt;0)*($C693=Table_dim_price_recipe[Subcategory]), 0))*$B693,"")</f>
        <v/>
      </c>
      <c r="I693" s="39" t="str" cm="1">
        <f t="array" ref="I693">IFERROR(INDEX(Table_dim_price_recipe[Retail Price], MATCH(1, ("Calculator"&lt;&gt;Table_dim_price_recipe[Type.display])*($L693=Table_dim_price_recipe[Category])*($D693=Table_dim_price_recipe[Item Description]) * (I$6=Table_dim_price_recipe[Type])*(Table_dim_price_recipe[Retail Price]&lt;&gt;0)*($C693=Table_dim_price_recipe[Subcategory]), 0))*$B693,"")</f>
        <v/>
      </c>
      <c r="J693" s="39" t="str" cm="1">
        <f t="array" ref="J693">IFERROR(INDEX(Table_dim_price_recipe[Retail Price], MATCH(1, ("Calculator"&lt;&gt;Table_dim_price_recipe[Type.display])*($L693=Table_dim_price_recipe[Category])*($D693=Table_dim_price_recipe[Item Description]) * (J$6=Table_dim_price_recipe[Type])*(Table_dim_price_recipe[Retail Price]&lt;&gt;0)*($C693=Table_dim_price_recipe[Subcategory]), 0))*$B693,"")</f>
        <v/>
      </c>
      <c r="K693" s="39" t="str" cm="1">
        <f t="array" ref="K693">IFERROR(INDEX(Table_dim_price_recipe[Retail Price], MATCH(1, ("Calculator"&lt;&gt;Table_dim_price_recipe[Type.display])*($L693=Table_dim_price_recipe[Category])*($D693=Table_dim_price_recipe[Item Description]) * (K$6=Table_dim_price_recipe[Type])*(Table_dim_price_recipe[Retail Price]&lt;&gt;0)*($C693=Table_dim_price_recipe[Subcategory]), 0))*$B693,"")</f>
        <v/>
      </c>
      <c r="L693" s="39" t="str" cm="1">
        <f t="array" ref="L693">IF($A693&lt;&gt;"", $A693, LOOKUP(2, 1/((A$7:INDEX(A:A, ROW()))&lt;&gt;""), A$7:INDEX(A:A, ROW())))</f>
        <v>CEILINGS &amp; WALLS</v>
      </c>
      <c r="M693" s="14"/>
    </row>
    <row r="694" spans="1:13">
      <c r="A694" s="263"/>
      <c r="B694" s="263"/>
      <c r="C694" s="263" t="s">
        <v>444</v>
      </c>
      <c r="D694" s="263" t="s">
        <v>445</v>
      </c>
      <c r="E694" s="263"/>
      <c r="F694" s="263"/>
      <c r="G694" s="39" t="str" cm="1">
        <f t="array" ref="G694">IFERROR(INDEX(Table_dim_price_recipe[Retail Price], MATCH(1, ("Calculator"&lt;&gt;Table_dim_price_recipe[Type.display])*($L694=Table_dim_price_recipe[Category])*($D694=Table_dim_price_recipe[Item Description]) * (G$6=Table_dim_price_recipe[Type])*(Table_dim_price_recipe[Retail Price]&lt;&gt;0)*($C694=Table_dim_price_recipe[Subcategory]), 0))*$B694,"")</f>
        <v/>
      </c>
      <c r="H694" s="39" t="str" cm="1">
        <f t="array" ref="H694">IFERROR(INDEX(Table_dim_price_recipe[Retail Price], MATCH(1, ("Calculator"&lt;&gt;Table_dim_price_recipe[Type.display])*($L694=Table_dim_price_recipe[Category])*($D694=Table_dim_price_recipe[Item Description]) * (H$6=Table_dim_price_recipe[Type])*(Table_dim_price_recipe[Retail Price]&lt;&gt;0)*($C694=Table_dim_price_recipe[Subcategory]), 0))*$B694,"")</f>
        <v/>
      </c>
      <c r="I694" s="39" t="str" cm="1">
        <f t="array" ref="I694">IFERROR(INDEX(Table_dim_price_recipe[Retail Price], MATCH(1, ("Calculator"&lt;&gt;Table_dim_price_recipe[Type.display])*($L694=Table_dim_price_recipe[Category])*($D694=Table_dim_price_recipe[Item Description]) * (I$6=Table_dim_price_recipe[Type])*(Table_dim_price_recipe[Retail Price]&lt;&gt;0)*($C694=Table_dim_price_recipe[Subcategory]), 0))*$B694,"")</f>
        <v/>
      </c>
      <c r="J694" s="39" t="str" cm="1">
        <f t="array" ref="J694">IFERROR(INDEX(Table_dim_price_recipe[Retail Price], MATCH(1, ("Calculator"&lt;&gt;Table_dim_price_recipe[Type.display])*($L694=Table_dim_price_recipe[Category])*($D694=Table_dim_price_recipe[Item Description]) * (J$6=Table_dim_price_recipe[Type])*(Table_dim_price_recipe[Retail Price]&lt;&gt;0)*($C694=Table_dim_price_recipe[Subcategory]), 0))*$B694,"")</f>
        <v/>
      </c>
      <c r="K694" s="39" t="str" cm="1">
        <f t="array" ref="K694">IFERROR(INDEX(Table_dim_price_recipe[Retail Price], MATCH(1, ("Calculator"&lt;&gt;Table_dim_price_recipe[Type.display])*($L694=Table_dim_price_recipe[Category])*($D694=Table_dim_price_recipe[Item Description]) * (K$6=Table_dim_price_recipe[Type])*(Table_dim_price_recipe[Retail Price]&lt;&gt;0)*($C694=Table_dim_price_recipe[Subcategory]), 0))*$B694,"")</f>
        <v/>
      </c>
      <c r="L694" s="39" t="str" cm="1">
        <f t="array" ref="L694">IF($A694&lt;&gt;"", $A694, LOOKUP(2, 1/((A$7:INDEX(A:A, ROW()))&lt;&gt;""), A$7:INDEX(A:A, ROW())))</f>
        <v>CEILINGS &amp; WALLS</v>
      </c>
      <c r="M694" s="14"/>
    </row>
    <row r="695" spans="1:13">
      <c r="A695" s="263"/>
      <c r="B695" s="263"/>
      <c r="C695" s="263" t="s">
        <v>444</v>
      </c>
      <c r="D695" s="263" t="s">
        <v>446</v>
      </c>
      <c r="E695" s="263"/>
      <c r="F695" s="263"/>
      <c r="G695" s="39" t="str" cm="1">
        <f t="array" ref="G695">IFERROR(INDEX(Table_dim_price_recipe[Retail Price], MATCH(1, ("Calculator"&lt;&gt;Table_dim_price_recipe[Type.display])*($L695=Table_dim_price_recipe[Category])*($D695=Table_dim_price_recipe[Item Description]) * (G$6=Table_dim_price_recipe[Type])*(Table_dim_price_recipe[Retail Price]&lt;&gt;0)*($C695=Table_dim_price_recipe[Subcategory]), 0))*$B695,"")</f>
        <v/>
      </c>
      <c r="H695" s="39" t="str" cm="1">
        <f t="array" ref="H695">IFERROR(INDEX(Table_dim_price_recipe[Retail Price], MATCH(1, ("Calculator"&lt;&gt;Table_dim_price_recipe[Type.display])*($L695=Table_dim_price_recipe[Category])*($D695=Table_dim_price_recipe[Item Description]) * (H$6=Table_dim_price_recipe[Type])*(Table_dim_price_recipe[Retail Price]&lt;&gt;0)*($C695=Table_dim_price_recipe[Subcategory]), 0))*$B695,"")</f>
        <v/>
      </c>
      <c r="I695" s="39" t="str" cm="1">
        <f t="array" ref="I695">IFERROR(INDEX(Table_dim_price_recipe[Retail Price], MATCH(1, ("Calculator"&lt;&gt;Table_dim_price_recipe[Type.display])*($L695=Table_dim_price_recipe[Category])*($D695=Table_dim_price_recipe[Item Description]) * (I$6=Table_dim_price_recipe[Type])*(Table_dim_price_recipe[Retail Price]&lt;&gt;0)*($C695=Table_dim_price_recipe[Subcategory]), 0))*$B695,"")</f>
        <v/>
      </c>
      <c r="J695" s="39" t="str" cm="1">
        <f t="array" ref="J695">IFERROR(INDEX(Table_dim_price_recipe[Retail Price], MATCH(1, ("Calculator"&lt;&gt;Table_dim_price_recipe[Type.display])*($L695=Table_dim_price_recipe[Category])*($D695=Table_dim_price_recipe[Item Description]) * (J$6=Table_dim_price_recipe[Type])*(Table_dim_price_recipe[Retail Price]&lt;&gt;0)*($C695=Table_dim_price_recipe[Subcategory]), 0))*$B695,"")</f>
        <v/>
      </c>
      <c r="K695" s="39" t="str" cm="1">
        <f t="array" ref="K695">IFERROR(INDEX(Table_dim_price_recipe[Retail Price], MATCH(1, ("Calculator"&lt;&gt;Table_dim_price_recipe[Type.display])*($L695=Table_dim_price_recipe[Category])*($D695=Table_dim_price_recipe[Item Description]) * (K$6=Table_dim_price_recipe[Type])*(Table_dim_price_recipe[Retail Price]&lt;&gt;0)*($C695=Table_dim_price_recipe[Subcategory]), 0))*$B695,"")</f>
        <v/>
      </c>
      <c r="L695" s="39" t="str" cm="1">
        <f t="array" ref="L695">IF($A695&lt;&gt;"", $A695, LOOKUP(2, 1/((A$7:INDEX(A:A, ROW()))&lt;&gt;""), A$7:INDEX(A:A, ROW())))</f>
        <v>CEILINGS &amp; WALLS</v>
      </c>
      <c r="M695" s="14"/>
    </row>
    <row r="696" spans="1:13">
      <c r="A696" s="263"/>
      <c r="B696" s="263"/>
      <c r="C696" s="263" t="s">
        <v>444</v>
      </c>
      <c r="D696" s="263" t="s">
        <v>450</v>
      </c>
      <c r="E696" s="263"/>
      <c r="F696" s="263"/>
      <c r="G696" s="39" t="str" cm="1">
        <f t="array" ref="G696">IFERROR(INDEX(Table_dim_price_recipe[Retail Price], MATCH(1, ("Calculator"&lt;&gt;Table_dim_price_recipe[Type.display])*($L696=Table_dim_price_recipe[Category])*($D696=Table_dim_price_recipe[Item Description]) * (G$6=Table_dim_price_recipe[Type])*(Table_dim_price_recipe[Retail Price]&lt;&gt;0)*($C696=Table_dim_price_recipe[Subcategory]), 0))*$B696,"")</f>
        <v/>
      </c>
      <c r="H696" s="39" t="str" cm="1">
        <f t="array" ref="H696">IFERROR(INDEX(Table_dim_price_recipe[Retail Price], MATCH(1, ("Calculator"&lt;&gt;Table_dim_price_recipe[Type.display])*($L696=Table_dim_price_recipe[Category])*($D696=Table_dim_price_recipe[Item Description]) * (H$6=Table_dim_price_recipe[Type])*(Table_dim_price_recipe[Retail Price]&lt;&gt;0)*($C696=Table_dim_price_recipe[Subcategory]), 0))*$B696,"")</f>
        <v/>
      </c>
      <c r="I696" s="39" t="str" cm="1">
        <f t="array" ref="I696">IFERROR(INDEX(Table_dim_price_recipe[Retail Price], MATCH(1, ("Calculator"&lt;&gt;Table_dim_price_recipe[Type.display])*($L696=Table_dim_price_recipe[Category])*($D696=Table_dim_price_recipe[Item Description]) * (I$6=Table_dim_price_recipe[Type])*(Table_dim_price_recipe[Retail Price]&lt;&gt;0)*($C696=Table_dim_price_recipe[Subcategory]), 0))*$B696,"")</f>
        <v/>
      </c>
      <c r="J696" s="39" t="str" cm="1">
        <f t="array" ref="J696">IFERROR(INDEX(Table_dim_price_recipe[Retail Price], MATCH(1, ("Calculator"&lt;&gt;Table_dim_price_recipe[Type.display])*($L696=Table_dim_price_recipe[Category])*($D696=Table_dim_price_recipe[Item Description]) * (J$6=Table_dim_price_recipe[Type])*(Table_dim_price_recipe[Retail Price]&lt;&gt;0)*($C696=Table_dim_price_recipe[Subcategory]), 0))*$B696,"")</f>
        <v/>
      </c>
      <c r="K696" s="39" t="str" cm="1">
        <f t="array" ref="K696">IFERROR(INDEX(Table_dim_price_recipe[Retail Price], MATCH(1, ("Calculator"&lt;&gt;Table_dim_price_recipe[Type.display])*($L696=Table_dim_price_recipe[Category])*($D696=Table_dim_price_recipe[Item Description]) * (K$6=Table_dim_price_recipe[Type])*(Table_dim_price_recipe[Retail Price]&lt;&gt;0)*($C696=Table_dim_price_recipe[Subcategory]), 0))*$B696,"")</f>
        <v/>
      </c>
      <c r="L696" s="39" t="str" cm="1">
        <f t="array" ref="L696">IF($A696&lt;&gt;"", $A696, LOOKUP(2, 1/((A$7:INDEX(A:A, ROW()))&lt;&gt;""), A$7:INDEX(A:A, ROW())))</f>
        <v>CEILINGS &amp; WALLS</v>
      </c>
      <c r="M696" s="14"/>
    </row>
    <row r="697" spans="1:13">
      <c r="A697" s="263"/>
      <c r="B697" s="263"/>
      <c r="C697" s="263" t="s">
        <v>444</v>
      </c>
      <c r="D697" s="263" t="s">
        <v>454</v>
      </c>
      <c r="E697" s="263"/>
      <c r="F697" s="263"/>
      <c r="G697" s="39" t="str" cm="1">
        <f t="array" ref="G697">IFERROR(INDEX(Table_dim_price_recipe[Retail Price], MATCH(1, ("Calculator"&lt;&gt;Table_dim_price_recipe[Type.display])*($L697=Table_dim_price_recipe[Category])*($D697=Table_dim_price_recipe[Item Description]) * (G$6=Table_dim_price_recipe[Type])*(Table_dim_price_recipe[Retail Price]&lt;&gt;0)*($C697=Table_dim_price_recipe[Subcategory]), 0))*$B697,"")</f>
        <v/>
      </c>
      <c r="H697" s="39" t="str" cm="1">
        <f t="array" ref="H697">IFERROR(INDEX(Table_dim_price_recipe[Retail Price], MATCH(1, ("Calculator"&lt;&gt;Table_dim_price_recipe[Type.display])*($L697=Table_dim_price_recipe[Category])*($D697=Table_dim_price_recipe[Item Description]) * (H$6=Table_dim_price_recipe[Type])*(Table_dim_price_recipe[Retail Price]&lt;&gt;0)*($C697=Table_dim_price_recipe[Subcategory]), 0))*$B697,"")</f>
        <v/>
      </c>
      <c r="I697" s="39" t="str" cm="1">
        <f t="array" ref="I697">IFERROR(INDEX(Table_dim_price_recipe[Retail Price], MATCH(1, ("Calculator"&lt;&gt;Table_dim_price_recipe[Type.display])*($L697=Table_dim_price_recipe[Category])*($D697=Table_dim_price_recipe[Item Description]) * (I$6=Table_dim_price_recipe[Type])*(Table_dim_price_recipe[Retail Price]&lt;&gt;0)*($C697=Table_dim_price_recipe[Subcategory]), 0))*$B697,"")</f>
        <v/>
      </c>
      <c r="J697" s="39" t="str" cm="1">
        <f t="array" ref="J697">IFERROR(INDEX(Table_dim_price_recipe[Retail Price], MATCH(1, ("Calculator"&lt;&gt;Table_dim_price_recipe[Type.display])*($L697=Table_dim_price_recipe[Category])*($D697=Table_dim_price_recipe[Item Description]) * (J$6=Table_dim_price_recipe[Type])*(Table_dim_price_recipe[Retail Price]&lt;&gt;0)*($C697=Table_dim_price_recipe[Subcategory]), 0))*$B697,"")</f>
        <v/>
      </c>
      <c r="K697" s="39" t="str" cm="1">
        <f t="array" ref="K697">IFERROR(INDEX(Table_dim_price_recipe[Retail Price], MATCH(1, ("Calculator"&lt;&gt;Table_dim_price_recipe[Type.display])*($L697=Table_dim_price_recipe[Category])*($D697=Table_dim_price_recipe[Item Description]) * (K$6=Table_dim_price_recipe[Type])*(Table_dim_price_recipe[Retail Price]&lt;&gt;0)*($C697=Table_dim_price_recipe[Subcategory]), 0))*$B697,"")</f>
        <v/>
      </c>
      <c r="L697" s="39" t="str" cm="1">
        <f t="array" ref="L697">IF($A697&lt;&gt;"", $A697, LOOKUP(2, 1/((A$7:INDEX(A:A, ROW()))&lt;&gt;""), A$7:INDEX(A:A, ROW())))</f>
        <v>CEILINGS &amp; WALLS</v>
      </c>
      <c r="M697" s="14"/>
    </row>
    <row r="698" spans="1:13">
      <c r="A698" s="263"/>
      <c r="B698" s="263"/>
      <c r="C698" s="263" t="s">
        <v>444</v>
      </c>
      <c r="D698" s="263" t="s">
        <v>447</v>
      </c>
      <c r="E698" s="263"/>
      <c r="F698" s="263"/>
      <c r="G698" s="39" cm="1">
        <f t="array" ref="G698">IFERROR(INDEX(Table_dim_price_recipe[Retail Price], MATCH(1, ("Calculator"&lt;&gt;Table_dim_price_recipe[Type.display])*($L698=Table_dim_price_recipe[Category])*($D698=Table_dim_price_recipe[Item Description]) * (G$6=Table_dim_price_recipe[Type])*(Table_dim_price_recipe[Retail Price]&lt;&gt;0)*($C698=Table_dim_price_recipe[Subcategory]), 0))*$B698,"")</f>
        <v>0</v>
      </c>
      <c r="H698" s="39" t="str" cm="1">
        <f t="array" ref="H698">IFERROR(INDEX(Table_dim_price_recipe[Retail Price], MATCH(1, ("Calculator"&lt;&gt;Table_dim_price_recipe[Type.display])*($L698=Table_dim_price_recipe[Category])*($D698=Table_dim_price_recipe[Item Description]) * (H$6=Table_dim_price_recipe[Type])*(Table_dim_price_recipe[Retail Price]&lt;&gt;0)*($C698=Table_dim_price_recipe[Subcategory]), 0))*$B698,"")</f>
        <v/>
      </c>
      <c r="I698" s="39" t="str" cm="1">
        <f t="array" ref="I698">IFERROR(INDEX(Table_dim_price_recipe[Retail Price], MATCH(1, ("Calculator"&lt;&gt;Table_dim_price_recipe[Type.display])*($L698=Table_dim_price_recipe[Category])*($D698=Table_dim_price_recipe[Item Description]) * (I$6=Table_dim_price_recipe[Type])*(Table_dim_price_recipe[Retail Price]&lt;&gt;0)*($C698=Table_dim_price_recipe[Subcategory]), 0))*$B698,"")</f>
        <v/>
      </c>
      <c r="J698" s="39" t="str" cm="1">
        <f t="array" ref="J698">IFERROR(INDEX(Table_dim_price_recipe[Retail Price], MATCH(1, ("Calculator"&lt;&gt;Table_dim_price_recipe[Type.display])*($L698=Table_dim_price_recipe[Category])*($D698=Table_dim_price_recipe[Item Description]) * (J$6=Table_dim_price_recipe[Type])*(Table_dim_price_recipe[Retail Price]&lt;&gt;0)*($C698=Table_dim_price_recipe[Subcategory]), 0))*$B698,"")</f>
        <v/>
      </c>
      <c r="K698" s="39" t="str" cm="1">
        <f t="array" ref="K698">IFERROR(INDEX(Table_dim_price_recipe[Retail Price], MATCH(1, ("Calculator"&lt;&gt;Table_dim_price_recipe[Type.display])*($L698=Table_dim_price_recipe[Category])*($D698=Table_dim_price_recipe[Item Description]) * (K$6=Table_dim_price_recipe[Type])*(Table_dim_price_recipe[Retail Price]&lt;&gt;0)*($C698=Table_dim_price_recipe[Subcategory]), 0))*$B698,"")</f>
        <v/>
      </c>
      <c r="L698" s="39" t="str" cm="1">
        <f t="array" ref="L698">IF($A698&lt;&gt;"", $A698, LOOKUP(2, 1/((A$7:INDEX(A:A, ROW()))&lt;&gt;""), A$7:INDEX(A:A, ROW())))</f>
        <v>CEILINGS &amp; WALLS</v>
      </c>
      <c r="M698" s="14"/>
    </row>
    <row r="699" spans="1:13">
      <c r="A699" s="263"/>
      <c r="B699" s="263"/>
      <c r="C699" s="263" t="s">
        <v>444</v>
      </c>
      <c r="D699" s="263" t="s">
        <v>448</v>
      </c>
      <c r="E699" s="263"/>
      <c r="F699" s="263"/>
      <c r="G699" s="39" cm="1">
        <f t="array" ref="G699">IFERROR(INDEX(Table_dim_price_recipe[Retail Price], MATCH(1, ("Calculator"&lt;&gt;Table_dim_price_recipe[Type.display])*($L699=Table_dim_price_recipe[Category])*($D699=Table_dim_price_recipe[Item Description]) * (G$6=Table_dim_price_recipe[Type])*(Table_dim_price_recipe[Retail Price]&lt;&gt;0)*($C699=Table_dim_price_recipe[Subcategory]), 0))*$B699,"")</f>
        <v>0</v>
      </c>
      <c r="H699" s="39" t="str" cm="1">
        <f t="array" ref="H699">IFERROR(INDEX(Table_dim_price_recipe[Retail Price], MATCH(1, ("Calculator"&lt;&gt;Table_dim_price_recipe[Type.display])*($L699=Table_dim_price_recipe[Category])*($D699=Table_dim_price_recipe[Item Description]) * (H$6=Table_dim_price_recipe[Type])*(Table_dim_price_recipe[Retail Price]&lt;&gt;0)*($C699=Table_dim_price_recipe[Subcategory]), 0))*$B699,"")</f>
        <v/>
      </c>
      <c r="I699" s="39" t="str" cm="1">
        <f t="array" ref="I699">IFERROR(INDEX(Table_dim_price_recipe[Retail Price], MATCH(1, ("Calculator"&lt;&gt;Table_dim_price_recipe[Type.display])*($L699=Table_dim_price_recipe[Category])*($D699=Table_dim_price_recipe[Item Description]) * (I$6=Table_dim_price_recipe[Type])*(Table_dim_price_recipe[Retail Price]&lt;&gt;0)*($C699=Table_dim_price_recipe[Subcategory]), 0))*$B699,"")</f>
        <v/>
      </c>
      <c r="J699" s="39" t="str" cm="1">
        <f t="array" ref="J699">IFERROR(INDEX(Table_dim_price_recipe[Retail Price], MATCH(1, ("Calculator"&lt;&gt;Table_dim_price_recipe[Type.display])*($L699=Table_dim_price_recipe[Category])*($D699=Table_dim_price_recipe[Item Description]) * (J$6=Table_dim_price_recipe[Type])*(Table_dim_price_recipe[Retail Price]&lt;&gt;0)*($C699=Table_dim_price_recipe[Subcategory]), 0))*$B699,"")</f>
        <v/>
      </c>
      <c r="K699" s="39" t="str" cm="1">
        <f t="array" ref="K699">IFERROR(INDEX(Table_dim_price_recipe[Retail Price], MATCH(1, ("Calculator"&lt;&gt;Table_dim_price_recipe[Type.display])*($L699=Table_dim_price_recipe[Category])*($D699=Table_dim_price_recipe[Item Description]) * (K$6=Table_dim_price_recipe[Type])*(Table_dim_price_recipe[Retail Price]&lt;&gt;0)*($C699=Table_dim_price_recipe[Subcategory]), 0))*$B699,"")</f>
        <v/>
      </c>
      <c r="L699" s="39" t="str" cm="1">
        <f t="array" ref="L699">IF($A699&lt;&gt;"", $A699, LOOKUP(2, 1/((A$7:INDEX(A:A, ROW()))&lt;&gt;""), A$7:INDEX(A:A, ROW())))</f>
        <v>CEILINGS &amp; WALLS</v>
      </c>
      <c r="M699" s="14"/>
    </row>
    <row r="700" spans="1:13">
      <c r="A700" s="263"/>
      <c r="B700" s="263"/>
      <c r="C700" s="263" t="s">
        <v>444</v>
      </c>
      <c r="D700" s="263" t="s">
        <v>449</v>
      </c>
      <c r="E700" s="263"/>
      <c r="F700" s="263"/>
      <c r="G700" s="39" t="str" cm="1">
        <f t="array" ref="G700">IFERROR(INDEX(Table_dim_price_recipe[Retail Price], MATCH(1, ("Calculator"&lt;&gt;Table_dim_price_recipe[Type.display])*($L700=Table_dim_price_recipe[Category])*($D700=Table_dim_price_recipe[Item Description]) * (G$6=Table_dim_price_recipe[Type])*(Table_dim_price_recipe[Retail Price]&lt;&gt;0)*($C700=Table_dim_price_recipe[Subcategory]), 0))*$B700,"")</f>
        <v/>
      </c>
      <c r="H700" s="39" t="str" cm="1">
        <f t="array" ref="H700">IFERROR(INDEX(Table_dim_price_recipe[Retail Price], MATCH(1, ("Calculator"&lt;&gt;Table_dim_price_recipe[Type.display])*($L700=Table_dim_price_recipe[Category])*($D700=Table_dim_price_recipe[Item Description]) * (H$6=Table_dim_price_recipe[Type])*(Table_dim_price_recipe[Retail Price]&lt;&gt;0)*($C700=Table_dim_price_recipe[Subcategory]), 0))*$B700,"")</f>
        <v/>
      </c>
      <c r="I700" s="39" t="str" cm="1">
        <f t="array" ref="I700">IFERROR(INDEX(Table_dim_price_recipe[Retail Price], MATCH(1, ("Calculator"&lt;&gt;Table_dim_price_recipe[Type.display])*($L700=Table_dim_price_recipe[Category])*($D700=Table_dim_price_recipe[Item Description]) * (I$6=Table_dim_price_recipe[Type])*(Table_dim_price_recipe[Retail Price]&lt;&gt;0)*($C700=Table_dim_price_recipe[Subcategory]), 0))*$B700,"")</f>
        <v/>
      </c>
      <c r="J700" s="39" t="str" cm="1">
        <f t="array" ref="J700">IFERROR(INDEX(Table_dim_price_recipe[Retail Price], MATCH(1, ("Calculator"&lt;&gt;Table_dim_price_recipe[Type.display])*($L700=Table_dim_price_recipe[Category])*($D700=Table_dim_price_recipe[Item Description]) * (J$6=Table_dim_price_recipe[Type])*(Table_dim_price_recipe[Retail Price]&lt;&gt;0)*($C700=Table_dim_price_recipe[Subcategory]), 0))*$B700,"")</f>
        <v/>
      </c>
      <c r="K700" s="39" t="str" cm="1">
        <f t="array" ref="K700">IFERROR(INDEX(Table_dim_price_recipe[Retail Price], MATCH(1, ("Calculator"&lt;&gt;Table_dim_price_recipe[Type.display])*($L700=Table_dim_price_recipe[Category])*($D700=Table_dim_price_recipe[Item Description]) * (K$6=Table_dim_price_recipe[Type])*(Table_dim_price_recipe[Retail Price]&lt;&gt;0)*($C700=Table_dim_price_recipe[Subcategory]), 0))*$B700,"")</f>
        <v/>
      </c>
      <c r="L700" s="39" t="str" cm="1">
        <f t="array" ref="L700">IF($A700&lt;&gt;"", $A700, LOOKUP(2, 1/((A$7:INDEX(A:A, ROW()))&lt;&gt;""), A$7:INDEX(A:A, ROW())))</f>
        <v>CEILINGS &amp; WALLS</v>
      </c>
      <c r="M700" s="14"/>
    </row>
    <row r="701" spans="1:13">
      <c r="A701" s="263"/>
      <c r="B701" s="263"/>
      <c r="C701" s="263" t="s">
        <v>444</v>
      </c>
      <c r="D701" s="263" t="s">
        <v>451</v>
      </c>
      <c r="E701" s="263"/>
      <c r="F701" s="263"/>
      <c r="G701" s="39" t="str" cm="1">
        <f t="array" ref="G701">IFERROR(INDEX(Table_dim_price_recipe[Retail Price], MATCH(1, ("Calculator"&lt;&gt;Table_dim_price_recipe[Type.display])*($L701=Table_dim_price_recipe[Category])*($D701=Table_dim_price_recipe[Item Description]) * (G$6=Table_dim_price_recipe[Type])*(Table_dim_price_recipe[Retail Price]&lt;&gt;0)*($C701=Table_dim_price_recipe[Subcategory]), 0))*$B701,"")</f>
        <v/>
      </c>
      <c r="H701" s="39" t="str" cm="1">
        <f t="array" ref="H701">IFERROR(INDEX(Table_dim_price_recipe[Retail Price], MATCH(1, ("Calculator"&lt;&gt;Table_dim_price_recipe[Type.display])*($L701=Table_dim_price_recipe[Category])*($D701=Table_dim_price_recipe[Item Description]) * (H$6=Table_dim_price_recipe[Type])*(Table_dim_price_recipe[Retail Price]&lt;&gt;0)*($C701=Table_dim_price_recipe[Subcategory]), 0))*$B701,"")</f>
        <v/>
      </c>
      <c r="I701" s="39" t="str" cm="1">
        <f t="array" ref="I701">IFERROR(INDEX(Table_dim_price_recipe[Retail Price], MATCH(1, ("Calculator"&lt;&gt;Table_dim_price_recipe[Type.display])*($L701=Table_dim_price_recipe[Category])*($D701=Table_dim_price_recipe[Item Description]) * (I$6=Table_dim_price_recipe[Type])*(Table_dim_price_recipe[Retail Price]&lt;&gt;0)*($C701=Table_dim_price_recipe[Subcategory]), 0))*$B701,"")</f>
        <v/>
      </c>
      <c r="J701" s="39" t="str" cm="1">
        <f t="array" ref="J701">IFERROR(INDEX(Table_dim_price_recipe[Retail Price], MATCH(1, ("Calculator"&lt;&gt;Table_dim_price_recipe[Type.display])*($L701=Table_dim_price_recipe[Category])*($D701=Table_dim_price_recipe[Item Description]) * (J$6=Table_dim_price_recipe[Type])*(Table_dim_price_recipe[Retail Price]&lt;&gt;0)*($C701=Table_dim_price_recipe[Subcategory]), 0))*$B701,"")</f>
        <v/>
      </c>
      <c r="K701" s="39" t="str" cm="1">
        <f t="array" ref="K701">IFERROR(INDEX(Table_dim_price_recipe[Retail Price], MATCH(1, ("Calculator"&lt;&gt;Table_dim_price_recipe[Type.display])*($L701=Table_dim_price_recipe[Category])*($D701=Table_dim_price_recipe[Item Description]) * (K$6=Table_dim_price_recipe[Type])*(Table_dim_price_recipe[Retail Price]&lt;&gt;0)*($C701=Table_dim_price_recipe[Subcategory]), 0))*$B701,"")</f>
        <v/>
      </c>
      <c r="L701" s="39" t="str" cm="1">
        <f t="array" ref="L701">IF($A701&lt;&gt;"", $A701, LOOKUP(2, 1/((A$7:INDEX(A:A, ROW()))&lt;&gt;""), A$7:INDEX(A:A, ROW())))</f>
        <v>CEILINGS &amp; WALLS</v>
      </c>
      <c r="M701" s="14"/>
    </row>
    <row r="702" spans="1:13">
      <c r="A702" s="263"/>
      <c r="B702" s="263"/>
      <c r="C702" s="263" t="s">
        <v>444</v>
      </c>
      <c r="D702" s="263" t="s">
        <v>452</v>
      </c>
      <c r="E702" s="263"/>
      <c r="F702" s="263"/>
      <c r="G702" s="39" t="str" cm="1">
        <f t="array" ref="G702">IFERROR(INDEX(Table_dim_price_recipe[Retail Price], MATCH(1, ("Calculator"&lt;&gt;Table_dim_price_recipe[Type.display])*($L702=Table_dim_price_recipe[Category])*($D702=Table_dim_price_recipe[Item Description]) * (G$6=Table_dim_price_recipe[Type])*(Table_dim_price_recipe[Retail Price]&lt;&gt;0)*($C702=Table_dim_price_recipe[Subcategory]), 0))*$B702,"")</f>
        <v/>
      </c>
      <c r="H702" s="39" t="str" cm="1">
        <f t="array" ref="H702">IFERROR(INDEX(Table_dim_price_recipe[Retail Price], MATCH(1, ("Calculator"&lt;&gt;Table_dim_price_recipe[Type.display])*($L702=Table_dim_price_recipe[Category])*($D702=Table_dim_price_recipe[Item Description]) * (H$6=Table_dim_price_recipe[Type])*(Table_dim_price_recipe[Retail Price]&lt;&gt;0)*($C702=Table_dim_price_recipe[Subcategory]), 0))*$B702,"")</f>
        <v/>
      </c>
      <c r="I702" s="39" t="str" cm="1">
        <f t="array" ref="I702">IFERROR(INDEX(Table_dim_price_recipe[Retail Price], MATCH(1, ("Calculator"&lt;&gt;Table_dim_price_recipe[Type.display])*($L702=Table_dim_price_recipe[Category])*($D702=Table_dim_price_recipe[Item Description]) * (I$6=Table_dim_price_recipe[Type])*(Table_dim_price_recipe[Retail Price]&lt;&gt;0)*($C702=Table_dim_price_recipe[Subcategory]), 0))*$B702,"")</f>
        <v/>
      </c>
      <c r="J702" s="39" t="str" cm="1">
        <f t="array" ref="J702">IFERROR(INDEX(Table_dim_price_recipe[Retail Price], MATCH(1, ("Calculator"&lt;&gt;Table_dim_price_recipe[Type.display])*($L702=Table_dim_price_recipe[Category])*($D702=Table_dim_price_recipe[Item Description]) * (J$6=Table_dim_price_recipe[Type])*(Table_dim_price_recipe[Retail Price]&lt;&gt;0)*($C702=Table_dim_price_recipe[Subcategory]), 0))*$B702,"")</f>
        <v/>
      </c>
      <c r="K702" s="39" t="str" cm="1">
        <f t="array" ref="K702">IFERROR(INDEX(Table_dim_price_recipe[Retail Price], MATCH(1, ("Calculator"&lt;&gt;Table_dim_price_recipe[Type.display])*($L702=Table_dim_price_recipe[Category])*($D702=Table_dim_price_recipe[Item Description]) * (K$6=Table_dim_price_recipe[Type])*(Table_dim_price_recipe[Retail Price]&lt;&gt;0)*($C702=Table_dim_price_recipe[Subcategory]), 0))*$B702,"")</f>
        <v/>
      </c>
      <c r="L702" s="39" t="str" cm="1">
        <f t="array" ref="L702">IF($A702&lt;&gt;"", $A702, LOOKUP(2, 1/((A$7:INDEX(A:A, ROW()))&lt;&gt;""), A$7:INDEX(A:A, ROW())))</f>
        <v>CEILINGS &amp; WALLS</v>
      </c>
      <c r="M702" s="14"/>
    </row>
    <row r="703" spans="1:13">
      <c r="A703" s="263"/>
      <c r="B703" s="263"/>
      <c r="C703" s="263" t="s">
        <v>444</v>
      </c>
      <c r="D703" s="263" t="s">
        <v>453</v>
      </c>
      <c r="E703" s="263"/>
      <c r="F703" s="263"/>
      <c r="G703" s="39" cm="1">
        <f t="array" ref="G703">IFERROR(INDEX(Table_dim_price_recipe[Retail Price], MATCH(1, ("Calculator"&lt;&gt;Table_dim_price_recipe[Type.display])*($L703=Table_dim_price_recipe[Category])*($D703=Table_dim_price_recipe[Item Description]) * (G$6=Table_dim_price_recipe[Type])*(Table_dim_price_recipe[Retail Price]&lt;&gt;0)*($C703=Table_dim_price_recipe[Subcategory]), 0))*$B703,"")</f>
        <v>0</v>
      </c>
      <c r="H703" s="39" t="str" cm="1">
        <f t="array" ref="H703">IFERROR(INDEX(Table_dim_price_recipe[Retail Price], MATCH(1, ("Calculator"&lt;&gt;Table_dim_price_recipe[Type.display])*($L703=Table_dim_price_recipe[Category])*($D703=Table_dim_price_recipe[Item Description]) * (H$6=Table_dim_price_recipe[Type])*(Table_dim_price_recipe[Retail Price]&lt;&gt;0)*($C703=Table_dim_price_recipe[Subcategory]), 0))*$B703,"")</f>
        <v/>
      </c>
      <c r="I703" s="39" t="str" cm="1">
        <f t="array" ref="I703">IFERROR(INDEX(Table_dim_price_recipe[Retail Price], MATCH(1, ("Calculator"&lt;&gt;Table_dim_price_recipe[Type.display])*($L703=Table_dim_price_recipe[Category])*($D703=Table_dim_price_recipe[Item Description]) * (I$6=Table_dim_price_recipe[Type])*(Table_dim_price_recipe[Retail Price]&lt;&gt;0)*($C703=Table_dim_price_recipe[Subcategory]), 0))*$B703,"")</f>
        <v/>
      </c>
      <c r="J703" s="39" t="str" cm="1">
        <f t="array" ref="J703">IFERROR(INDEX(Table_dim_price_recipe[Retail Price], MATCH(1, ("Calculator"&lt;&gt;Table_dim_price_recipe[Type.display])*($L703=Table_dim_price_recipe[Category])*($D703=Table_dim_price_recipe[Item Description]) * (J$6=Table_dim_price_recipe[Type])*(Table_dim_price_recipe[Retail Price]&lt;&gt;0)*($C703=Table_dim_price_recipe[Subcategory]), 0))*$B703,"")</f>
        <v/>
      </c>
      <c r="K703" s="39" t="str" cm="1">
        <f t="array" ref="K703">IFERROR(INDEX(Table_dim_price_recipe[Retail Price], MATCH(1, ("Calculator"&lt;&gt;Table_dim_price_recipe[Type.display])*($L703=Table_dim_price_recipe[Category])*($D703=Table_dim_price_recipe[Item Description]) * (K$6=Table_dim_price_recipe[Type])*(Table_dim_price_recipe[Retail Price]&lt;&gt;0)*($C703=Table_dim_price_recipe[Subcategory]), 0))*$B703,"")</f>
        <v/>
      </c>
      <c r="L703" s="39" t="str" cm="1">
        <f t="array" ref="L703">IF($A703&lt;&gt;"", $A703, LOOKUP(2, 1/((A$7:INDEX(A:A, ROW()))&lt;&gt;""), A$7:INDEX(A:A, ROW())))</f>
        <v>CEILINGS &amp; WALLS</v>
      </c>
      <c r="M703" s="14"/>
    </row>
    <row r="704" spans="1:13">
      <c r="A704" s="263"/>
      <c r="B704" s="263"/>
      <c r="C704" s="263" t="s">
        <v>444</v>
      </c>
      <c r="D704" s="263" t="s">
        <v>455</v>
      </c>
      <c r="E704" s="263"/>
      <c r="F704" s="263"/>
      <c r="G704" s="39" cm="1">
        <f t="array" ref="G704">IFERROR(INDEX(Table_dim_price_recipe[Retail Price], MATCH(1, ("Calculator"&lt;&gt;Table_dim_price_recipe[Type.display])*($L704=Table_dim_price_recipe[Category])*($D704=Table_dim_price_recipe[Item Description]) * (G$6=Table_dim_price_recipe[Type])*(Table_dim_price_recipe[Retail Price]&lt;&gt;0)*($C704=Table_dim_price_recipe[Subcategory]), 0))*$B704,"")</f>
        <v>0</v>
      </c>
      <c r="H704" s="39" t="str" cm="1">
        <f t="array" ref="H704">IFERROR(INDEX(Table_dim_price_recipe[Retail Price], MATCH(1, ("Calculator"&lt;&gt;Table_dim_price_recipe[Type.display])*($L704=Table_dim_price_recipe[Category])*($D704=Table_dim_price_recipe[Item Description]) * (H$6=Table_dim_price_recipe[Type])*(Table_dim_price_recipe[Retail Price]&lt;&gt;0)*($C704=Table_dim_price_recipe[Subcategory]), 0))*$B704,"")</f>
        <v/>
      </c>
      <c r="I704" s="39" t="str" cm="1">
        <f t="array" ref="I704">IFERROR(INDEX(Table_dim_price_recipe[Retail Price], MATCH(1, ("Calculator"&lt;&gt;Table_dim_price_recipe[Type.display])*($L704=Table_dim_price_recipe[Category])*($D704=Table_dim_price_recipe[Item Description]) * (I$6=Table_dim_price_recipe[Type])*(Table_dim_price_recipe[Retail Price]&lt;&gt;0)*($C704=Table_dim_price_recipe[Subcategory]), 0))*$B704,"")</f>
        <v/>
      </c>
      <c r="J704" s="39" t="str" cm="1">
        <f t="array" ref="J704">IFERROR(INDEX(Table_dim_price_recipe[Retail Price], MATCH(1, ("Calculator"&lt;&gt;Table_dim_price_recipe[Type.display])*($L704=Table_dim_price_recipe[Category])*($D704=Table_dim_price_recipe[Item Description]) * (J$6=Table_dim_price_recipe[Type])*(Table_dim_price_recipe[Retail Price]&lt;&gt;0)*($C704=Table_dim_price_recipe[Subcategory]), 0))*$B704,"")</f>
        <v/>
      </c>
      <c r="K704" s="39" t="str" cm="1">
        <f t="array" ref="K704">IFERROR(INDEX(Table_dim_price_recipe[Retail Price], MATCH(1, ("Calculator"&lt;&gt;Table_dim_price_recipe[Type.display])*($L704=Table_dim_price_recipe[Category])*($D704=Table_dim_price_recipe[Item Description]) * (K$6=Table_dim_price_recipe[Type])*(Table_dim_price_recipe[Retail Price]&lt;&gt;0)*($C704=Table_dim_price_recipe[Subcategory]), 0))*$B704,"")</f>
        <v/>
      </c>
      <c r="L704" s="39" t="str" cm="1">
        <f t="array" ref="L704">IF($A704&lt;&gt;"", $A704, LOOKUP(2, 1/((A$7:INDEX(A:A, ROW()))&lt;&gt;""), A$7:INDEX(A:A, ROW())))</f>
        <v>CEILINGS &amp; WALLS</v>
      </c>
      <c r="M704" s="14"/>
    </row>
    <row r="705" spans="1:13">
      <c r="A705" s="263"/>
      <c r="B705" s="263"/>
      <c r="C705" s="263" t="s">
        <v>444</v>
      </c>
      <c r="D705" s="263"/>
      <c r="E705" s="263"/>
      <c r="F705" s="263"/>
      <c r="G705" s="39" t="str" cm="1">
        <f t="array" ref="G705">IFERROR(INDEX(Table_dim_price_recipe[Retail Price], MATCH(1, ("Calculator"&lt;&gt;Table_dim_price_recipe[Type.display])*($L705=Table_dim_price_recipe[Category])*($D705=Table_dim_price_recipe[Item Description]) * (G$6=Table_dim_price_recipe[Type])*(Table_dim_price_recipe[Retail Price]&lt;&gt;0)*($C705=Table_dim_price_recipe[Subcategory]), 0))*$B705,"")</f>
        <v/>
      </c>
      <c r="H705" s="39" t="str" cm="1">
        <f t="array" ref="H705">IFERROR(INDEX(Table_dim_price_recipe[Retail Price], MATCH(1, ("Calculator"&lt;&gt;Table_dim_price_recipe[Type.display])*($L705=Table_dim_price_recipe[Category])*($D705=Table_dim_price_recipe[Item Description]) * (H$6=Table_dim_price_recipe[Type])*(Table_dim_price_recipe[Retail Price]&lt;&gt;0)*($C705=Table_dim_price_recipe[Subcategory]), 0))*$B705,"")</f>
        <v/>
      </c>
      <c r="I705" s="39" t="str" cm="1">
        <f t="array" ref="I705">IFERROR(INDEX(Table_dim_price_recipe[Retail Price], MATCH(1, ("Calculator"&lt;&gt;Table_dim_price_recipe[Type.display])*($L705=Table_dim_price_recipe[Category])*($D705=Table_dim_price_recipe[Item Description]) * (I$6=Table_dim_price_recipe[Type])*(Table_dim_price_recipe[Retail Price]&lt;&gt;0)*($C705=Table_dim_price_recipe[Subcategory]), 0))*$B705,"")</f>
        <v/>
      </c>
      <c r="J705" s="39" t="str" cm="1">
        <f t="array" ref="J705">IFERROR(INDEX(Table_dim_price_recipe[Retail Price], MATCH(1, ("Calculator"&lt;&gt;Table_dim_price_recipe[Type.display])*($L705=Table_dim_price_recipe[Category])*($D705=Table_dim_price_recipe[Item Description]) * (J$6=Table_dim_price_recipe[Type])*(Table_dim_price_recipe[Retail Price]&lt;&gt;0)*($C705=Table_dim_price_recipe[Subcategory]), 0))*$B705,"")</f>
        <v/>
      </c>
      <c r="K705" s="39" t="str" cm="1">
        <f t="array" ref="K705">IFERROR(INDEX(Table_dim_price_recipe[Retail Price], MATCH(1, ("Calculator"&lt;&gt;Table_dim_price_recipe[Type.display])*($L705=Table_dim_price_recipe[Category])*($D705=Table_dim_price_recipe[Item Description]) * (K$6=Table_dim_price_recipe[Type])*(Table_dim_price_recipe[Retail Price]&lt;&gt;0)*($C705=Table_dim_price_recipe[Subcategory]), 0))*$B705,"")</f>
        <v/>
      </c>
      <c r="L705" s="39" t="str" cm="1">
        <f t="array" ref="L705">IF($A705&lt;&gt;"", $A705, LOOKUP(2, 1/((A$7:INDEX(A:A, ROW()))&lt;&gt;""), A$7:INDEX(A:A, ROW())))</f>
        <v>CEILINGS &amp; WALLS</v>
      </c>
      <c r="M705" s="14"/>
    </row>
    <row r="706" spans="1:13">
      <c r="A706" s="263"/>
      <c r="B706" s="263"/>
      <c r="C706" s="263" t="s">
        <v>444</v>
      </c>
      <c r="D706" s="263"/>
      <c r="E706" s="263"/>
      <c r="F706" s="263"/>
      <c r="G706" s="39" t="str" cm="1">
        <f t="array" ref="G706">IFERROR(INDEX(Table_dim_price_recipe[Retail Price], MATCH(1, ("Calculator"&lt;&gt;Table_dim_price_recipe[Type.display])*($L706=Table_dim_price_recipe[Category])*($D706=Table_dim_price_recipe[Item Description]) * (G$6=Table_dim_price_recipe[Type])*(Table_dim_price_recipe[Retail Price]&lt;&gt;0)*($C706=Table_dim_price_recipe[Subcategory]), 0))*$B706,"")</f>
        <v/>
      </c>
      <c r="H706" s="39" t="str" cm="1">
        <f t="array" ref="H706">IFERROR(INDEX(Table_dim_price_recipe[Retail Price], MATCH(1, ("Calculator"&lt;&gt;Table_dim_price_recipe[Type.display])*($L706=Table_dim_price_recipe[Category])*($D706=Table_dim_price_recipe[Item Description]) * (H$6=Table_dim_price_recipe[Type])*(Table_dim_price_recipe[Retail Price]&lt;&gt;0)*($C706=Table_dim_price_recipe[Subcategory]), 0))*$B706,"")</f>
        <v/>
      </c>
      <c r="I706" s="39" t="str" cm="1">
        <f t="array" ref="I706">IFERROR(INDEX(Table_dim_price_recipe[Retail Price], MATCH(1, ("Calculator"&lt;&gt;Table_dim_price_recipe[Type.display])*($L706=Table_dim_price_recipe[Category])*($D706=Table_dim_price_recipe[Item Description]) * (I$6=Table_dim_price_recipe[Type])*(Table_dim_price_recipe[Retail Price]&lt;&gt;0)*($C706=Table_dim_price_recipe[Subcategory]), 0))*$B706,"")</f>
        <v/>
      </c>
      <c r="J706" s="39" t="str" cm="1">
        <f t="array" ref="J706">IFERROR(INDEX(Table_dim_price_recipe[Retail Price], MATCH(1, ("Calculator"&lt;&gt;Table_dim_price_recipe[Type.display])*($L706=Table_dim_price_recipe[Category])*($D706=Table_dim_price_recipe[Item Description]) * (J$6=Table_dim_price_recipe[Type])*(Table_dim_price_recipe[Retail Price]&lt;&gt;0)*($C706=Table_dim_price_recipe[Subcategory]), 0))*$B706,"")</f>
        <v/>
      </c>
      <c r="K706" s="39" t="str" cm="1">
        <f t="array" ref="K706">IFERROR(INDEX(Table_dim_price_recipe[Retail Price], MATCH(1, ("Calculator"&lt;&gt;Table_dim_price_recipe[Type.display])*($L706=Table_dim_price_recipe[Category])*($D706=Table_dim_price_recipe[Item Description]) * (K$6=Table_dim_price_recipe[Type])*(Table_dim_price_recipe[Retail Price]&lt;&gt;0)*($C706=Table_dim_price_recipe[Subcategory]), 0))*$B706,"")</f>
        <v/>
      </c>
      <c r="L706" s="39" t="str" cm="1">
        <f t="array" ref="L706">IF($A706&lt;&gt;"", $A706, LOOKUP(2, 1/((A$7:INDEX(A:A, ROW()))&lt;&gt;""), A$7:INDEX(A:A, ROW())))</f>
        <v>CEILINGS &amp; WALLS</v>
      </c>
      <c r="M706" s="14"/>
    </row>
    <row r="707" spans="1:13">
      <c r="A707" s="263"/>
      <c r="B707" s="263"/>
      <c r="C707" s="263" t="s">
        <v>1076</v>
      </c>
      <c r="D707" s="263" t="s">
        <v>1083</v>
      </c>
      <c r="E707" s="263"/>
      <c r="F707" s="263"/>
      <c r="G707" s="39" cm="1">
        <f t="array" ref="G707">IFERROR(INDEX(Table_dim_price_recipe[Retail Price], MATCH(1, ("Calculator"&lt;&gt;Table_dim_price_recipe[Type.display])*($L707=Table_dim_price_recipe[Category])*($D707=Table_dim_price_recipe[Item Description]) * (G$6=Table_dim_price_recipe[Type])*(Table_dim_price_recipe[Retail Price]&lt;&gt;0)*($C707=Table_dim_price_recipe[Subcategory]), 0))*$B707,"")</f>
        <v>0</v>
      </c>
      <c r="H707" s="39" t="str" cm="1">
        <f t="array" ref="H707">IFERROR(INDEX(Table_dim_price_recipe[Retail Price], MATCH(1, ("Calculator"&lt;&gt;Table_dim_price_recipe[Type.display])*($L707=Table_dim_price_recipe[Category])*($D707=Table_dim_price_recipe[Item Description]) * (H$6=Table_dim_price_recipe[Type])*(Table_dim_price_recipe[Retail Price]&lt;&gt;0)*($C707=Table_dim_price_recipe[Subcategory]), 0))*$B707,"")</f>
        <v/>
      </c>
      <c r="I707" s="39" t="str" cm="1">
        <f t="array" ref="I707">IFERROR(INDEX(Table_dim_price_recipe[Retail Price], MATCH(1, ("Calculator"&lt;&gt;Table_dim_price_recipe[Type.display])*($L707=Table_dim_price_recipe[Category])*($D707=Table_dim_price_recipe[Item Description]) * (I$6=Table_dim_price_recipe[Type])*(Table_dim_price_recipe[Retail Price]&lt;&gt;0)*($C707=Table_dim_price_recipe[Subcategory]), 0))*$B707,"")</f>
        <v/>
      </c>
      <c r="J707" s="39" t="str" cm="1">
        <f t="array" ref="J707">IFERROR(INDEX(Table_dim_price_recipe[Retail Price], MATCH(1, ("Calculator"&lt;&gt;Table_dim_price_recipe[Type.display])*($L707=Table_dim_price_recipe[Category])*($D707=Table_dim_price_recipe[Item Description]) * (J$6=Table_dim_price_recipe[Type])*(Table_dim_price_recipe[Retail Price]&lt;&gt;0)*($C707=Table_dim_price_recipe[Subcategory]), 0))*$B707,"")</f>
        <v/>
      </c>
      <c r="K707" s="39" t="str" cm="1">
        <f t="array" ref="K707">IFERROR(INDEX(Table_dim_price_recipe[Retail Price], MATCH(1, ("Calculator"&lt;&gt;Table_dim_price_recipe[Type.display])*($L707=Table_dim_price_recipe[Category])*($D707=Table_dim_price_recipe[Item Description]) * (K$6=Table_dim_price_recipe[Type])*(Table_dim_price_recipe[Retail Price]&lt;&gt;0)*($C707=Table_dim_price_recipe[Subcategory]), 0))*$B707,"")</f>
        <v/>
      </c>
      <c r="L707" s="39" t="str" cm="1">
        <f t="array" ref="L707">IF($A707&lt;&gt;"", $A707, LOOKUP(2, 1/((A$7:INDEX(A:A, ROW()))&lt;&gt;""), A$7:INDEX(A:A, ROW())))</f>
        <v>CEILINGS &amp; WALLS</v>
      </c>
      <c r="M707" s="14"/>
    </row>
    <row r="708" spans="1:13">
      <c r="A708" s="263"/>
      <c r="B708" s="263"/>
      <c r="C708" s="263" t="s">
        <v>1076</v>
      </c>
      <c r="D708" s="263" t="s">
        <v>1082</v>
      </c>
      <c r="E708" s="263"/>
      <c r="F708" s="263"/>
      <c r="G708" s="39" cm="1">
        <f t="array" ref="G708">IFERROR(INDEX(Table_dim_price_recipe[Retail Price], MATCH(1, ("Calculator"&lt;&gt;Table_dim_price_recipe[Type.display])*($L708=Table_dim_price_recipe[Category])*($D708=Table_dim_price_recipe[Item Description]) * (G$6=Table_dim_price_recipe[Type])*(Table_dim_price_recipe[Retail Price]&lt;&gt;0)*($C708=Table_dim_price_recipe[Subcategory]), 0))*$B708,"")</f>
        <v>0</v>
      </c>
      <c r="H708" s="39" t="str" cm="1">
        <f t="array" ref="H708">IFERROR(INDEX(Table_dim_price_recipe[Retail Price], MATCH(1, ("Calculator"&lt;&gt;Table_dim_price_recipe[Type.display])*($L708=Table_dim_price_recipe[Category])*($D708=Table_dim_price_recipe[Item Description]) * (H$6=Table_dim_price_recipe[Type])*(Table_dim_price_recipe[Retail Price]&lt;&gt;0)*($C708=Table_dim_price_recipe[Subcategory]), 0))*$B708,"")</f>
        <v/>
      </c>
      <c r="I708" s="39" t="str" cm="1">
        <f t="array" ref="I708">IFERROR(INDEX(Table_dim_price_recipe[Retail Price], MATCH(1, ("Calculator"&lt;&gt;Table_dim_price_recipe[Type.display])*($L708=Table_dim_price_recipe[Category])*($D708=Table_dim_price_recipe[Item Description]) * (I$6=Table_dim_price_recipe[Type])*(Table_dim_price_recipe[Retail Price]&lt;&gt;0)*($C708=Table_dim_price_recipe[Subcategory]), 0))*$B708,"")</f>
        <v/>
      </c>
      <c r="J708" s="39" t="str" cm="1">
        <f t="array" ref="J708">IFERROR(INDEX(Table_dim_price_recipe[Retail Price], MATCH(1, ("Calculator"&lt;&gt;Table_dim_price_recipe[Type.display])*($L708=Table_dim_price_recipe[Category])*($D708=Table_dim_price_recipe[Item Description]) * (J$6=Table_dim_price_recipe[Type])*(Table_dim_price_recipe[Retail Price]&lt;&gt;0)*($C708=Table_dim_price_recipe[Subcategory]), 0))*$B708,"")</f>
        <v/>
      </c>
      <c r="K708" s="39" t="str" cm="1">
        <f t="array" ref="K708">IFERROR(INDEX(Table_dim_price_recipe[Retail Price], MATCH(1, ("Calculator"&lt;&gt;Table_dim_price_recipe[Type.display])*($L708=Table_dim_price_recipe[Category])*($D708=Table_dim_price_recipe[Item Description]) * (K$6=Table_dim_price_recipe[Type])*(Table_dim_price_recipe[Retail Price]&lt;&gt;0)*($C708=Table_dim_price_recipe[Subcategory]), 0))*$B708,"")</f>
        <v/>
      </c>
      <c r="L708" s="39" t="str" cm="1">
        <f t="array" ref="L708">IF($A708&lt;&gt;"", $A708, LOOKUP(2, 1/((A$7:INDEX(A:A, ROW()))&lt;&gt;""), A$7:INDEX(A:A, ROW())))</f>
        <v>CEILINGS &amp; WALLS</v>
      </c>
      <c r="M708" s="14"/>
    </row>
    <row r="709" spans="1:13">
      <c r="A709" s="263"/>
      <c r="B709" s="263"/>
      <c r="C709" s="263" t="s">
        <v>1076</v>
      </c>
      <c r="D709" s="263" t="s">
        <v>1081</v>
      </c>
      <c r="E709" s="263"/>
      <c r="F709" s="263"/>
      <c r="G709" s="39" cm="1">
        <f t="array" ref="G709">IFERROR(INDEX(Table_dim_price_recipe[Retail Price], MATCH(1, ("Calculator"&lt;&gt;Table_dim_price_recipe[Type.display])*($L709=Table_dim_price_recipe[Category])*($D709=Table_dim_price_recipe[Item Description]) * (G$6=Table_dim_price_recipe[Type])*(Table_dim_price_recipe[Retail Price]&lt;&gt;0)*($C709=Table_dim_price_recipe[Subcategory]), 0))*$B709,"")</f>
        <v>0</v>
      </c>
      <c r="H709" s="39" t="str" cm="1">
        <f t="array" ref="H709">IFERROR(INDEX(Table_dim_price_recipe[Retail Price], MATCH(1, ("Calculator"&lt;&gt;Table_dim_price_recipe[Type.display])*($L709=Table_dim_price_recipe[Category])*($D709=Table_dim_price_recipe[Item Description]) * (H$6=Table_dim_price_recipe[Type])*(Table_dim_price_recipe[Retail Price]&lt;&gt;0)*($C709=Table_dim_price_recipe[Subcategory]), 0))*$B709,"")</f>
        <v/>
      </c>
      <c r="I709" s="39" t="str" cm="1">
        <f t="array" ref="I709">IFERROR(INDEX(Table_dim_price_recipe[Retail Price], MATCH(1, ("Calculator"&lt;&gt;Table_dim_price_recipe[Type.display])*($L709=Table_dim_price_recipe[Category])*($D709=Table_dim_price_recipe[Item Description]) * (I$6=Table_dim_price_recipe[Type])*(Table_dim_price_recipe[Retail Price]&lt;&gt;0)*($C709=Table_dim_price_recipe[Subcategory]), 0))*$B709,"")</f>
        <v/>
      </c>
      <c r="J709" s="39" t="str" cm="1">
        <f t="array" ref="J709">IFERROR(INDEX(Table_dim_price_recipe[Retail Price], MATCH(1, ("Calculator"&lt;&gt;Table_dim_price_recipe[Type.display])*($L709=Table_dim_price_recipe[Category])*($D709=Table_dim_price_recipe[Item Description]) * (J$6=Table_dim_price_recipe[Type])*(Table_dim_price_recipe[Retail Price]&lt;&gt;0)*($C709=Table_dim_price_recipe[Subcategory]), 0))*$B709,"")</f>
        <v/>
      </c>
      <c r="K709" s="39" t="str" cm="1">
        <f t="array" ref="K709">IFERROR(INDEX(Table_dim_price_recipe[Retail Price], MATCH(1, ("Calculator"&lt;&gt;Table_dim_price_recipe[Type.display])*($L709=Table_dim_price_recipe[Category])*($D709=Table_dim_price_recipe[Item Description]) * (K$6=Table_dim_price_recipe[Type])*(Table_dim_price_recipe[Retail Price]&lt;&gt;0)*($C709=Table_dim_price_recipe[Subcategory]), 0))*$B709,"")</f>
        <v/>
      </c>
      <c r="L709" s="39" t="str" cm="1">
        <f t="array" ref="L709">IF($A709&lt;&gt;"", $A709, LOOKUP(2, 1/((A$7:INDEX(A:A, ROW()))&lt;&gt;""), A$7:INDEX(A:A, ROW())))</f>
        <v>CEILINGS &amp; WALLS</v>
      </c>
      <c r="M709" s="14"/>
    </row>
    <row r="710" spans="1:13">
      <c r="A710" s="263"/>
      <c r="B710" s="263"/>
      <c r="C710" s="263" t="s">
        <v>1076</v>
      </c>
      <c r="D710" s="263" t="s">
        <v>1080</v>
      </c>
      <c r="E710" s="263"/>
      <c r="F710" s="263"/>
      <c r="G710" s="39" cm="1">
        <f t="array" ref="G710">IFERROR(INDEX(Table_dim_price_recipe[Retail Price], MATCH(1, ("Calculator"&lt;&gt;Table_dim_price_recipe[Type.display])*($L710=Table_dim_price_recipe[Category])*($D710=Table_dim_price_recipe[Item Description]) * (G$6=Table_dim_price_recipe[Type])*(Table_dim_price_recipe[Retail Price]&lt;&gt;0)*($C710=Table_dim_price_recipe[Subcategory]), 0))*$B710,"")</f>
        <v>0</v>
      </c>
      <c r="H710" s="39" t="str" cm="1">
        <f t="array" ref="H710">IFERROR(INDEX(Table_dim_price_recipe[Retail Price], MATCH(1, ("Calculator"&lt;&gt;Table_dim_price_recipe[Type.display])*($L710=Table_dim_price_recipe[Category])*($D710=Table_dim_price_recipe[Item Description]) * (H$6=Table_dim_price_recipe[Type])*(Table_dim_price_recipe[Retail Price]&lt;&gt;0)*($C710=Table_dim_price_recipe[Subcategory]), 0))*$B710,"")</f>
        <v/>
      </c>
      <c r="I710" s="39" t="str" cm="1">
        <f t="array" ref="I710">IFERROR(INDEX(Table_dim_price_recipe[Retail Price], MATCH(1, ("Calculator"&lt;&gt;Table_dim_price_recipe[Type.display])*($L710=Table_dim_price_recipe[Category])*($D710=Table_dim_price_recipe[Item Description]) * (I$6=Table_dim_price_recipe[Type])*(Table_dim_price_recipe[Retail Price]&lt;&gt;0)*($C710=Table_dim_price_recipe[Subcategory]), 0))*$B710,"")</f>
        <v/>
      </c>
      <c r="J710" s="39" t="str" cm="1">
        <f t="array" ref="J710">IFERROR(INDEX(Table_dim_price_recipe[Retail Price], MATCH(1, ("Calculator"&lt;&gt;Table_dim_price_recipe[Type.display])*($L710=Table_dim_price_recipe[Category])*($D710=Table_dim_price_recipe[Item Description]) * (J$6=Table_dim_price_recipe[Type])*(Table_dim_price_recipe[Retail Price]&lt;&gt;0)*($C710=Table_dim_price_recipe[Subcategory]), 0))*$B710,"")</f>
        <v/>
      </c>
      <c r="K710" s="39" t="str" cm="1">
        <f t="array" ref="K710">IFERROR(INDEX(Table_dim_price_recipe[Retail Price], MATCH(1, ("Calculator"&lt;&gt;Table_dim_price_recipe[Type.display])*($L710=Table_dim_price_recipe[Category])*($D710=Table_dim_price_recipe[Item Description]) * (K$6=Table_dim_price_recipe[Type])*(Table_dim_price_recipe[Retail Price]&lt;&gt;0)*($C710=Table_dim_price_recipe[Subcategory]), 0))*$B710,"")</f>
        <v/>
      </c>
      <c r="L710" s="39" t="str" cm="1">
        <f t="array" ref="L710">IF($A710&lt;&gt;"", $A710, LOOKUP(2, 1/((A$7:INDEX(A:A, ROW()))&lt;&gt;""), A$7:INDEX(A:A, ROW())))</f>
        <v>CEILINGS &amp; WALLS</v>
      </c>
      <c r="M710" s="14"/>
    </row>
    <row r="711" spans="1:13">
      <c r="A711" s="263"/>
      <c r="B711" s="263"/>
      <c r="C711" s="263" t="s">
        <v>1076</v>
      </c>
      <c r="D711" s="263" t="s">
        <v>1078</v>
      </c>
      <c r="E711" s="263"/>
      <c r="F711" s="263"/>
      <c r="G711" s="39" cm="1">
        <f t="array" ref="G711">IFERROR(INDEX(Table_dim_price_recipe[Retail Price], MATCH(1, ("Calculator"&lt;&gt;Table_dim_price_recipe[Type.display])*($L711=Table_dim_price_recipe[Category])*($D711=Table_dim_price_recipe[Item Description]) * (G$6=Table_dim_price_recipe[Type])*(Table_dim_price_recipe[Retail Price]&lt;&gt;0)*($C711=Table_dim_price_recipe[Subcategory]), 0))*$B711,"")</f>
        <v>0</v>
      </c>
      <c r="H711" s="39" t="str" cm="1">
        <f t="array" ref="H711">IFERROR(INDEX(Table_dim_price_recipe[Retail Price], MATCH(1, ("Calculator"&lt;&gt;Table_dim_price_recipe[Type.display])*($L711=Table_dim_price_recipe[Category])*($D711=Table_dim_price_recipe[Item Description]) * (H$6=Table_dim_price_recipe[Type])*(Table_dim_price_recipe[Retail Price]&lt;&gt;0)*($C711=Table_dim_price_recipe[Subcategory]), 0))*$B711,"")</f>
        <v/>
      </c>
      <c r="I711" s="39" t="str" cm="1">
        <f t="array" ref="I711">IFERROR(INDEX(Table_dim_price_recipe[Retail Price], MATCH(1, ("Calculator"&lt;&gt;Table_dim_price_recipe[Type.display])*($L711=Table_dim_price_recipe[Category])*($D711=Table_dim_price_recipe[Item Description]) * (I$6=Table_dim_price_recipe[Type])*(Table_dim_price_recipe[Retail Price]&lt;&gt;0)*($C711=Table_dim_price_recipe[Subcategory]), 0))*$B711,"")</f>
        <v/>
      </c>
      <c r="J711" s="39" t="str" cm="1">
        <f t="array" ref="J711">IFERROR(INDEX(Table_dim_price_recipe[Retail Price], MATCH(1, ("Calculator"&lt;&gt;Table_dim_price_recipe[Type.display])*($L711=Table_dim_price_recipe[Category])*($D711=Table_dim_price_recipe[Item Description]) * (J$6=Table_dim_price_recipe[Type])*(Table_dim_price_recipe[Retail Price]&lt;&gt;0)*($C711=Table_dim_price_recipe[Subcategory]), 0))*$B711,"")</f>
        <v/>
      </c>
      <c r="K711" s="39" t="str" cm="1">
        <f t="array" ref="K711">IFERROR(INDEX(Table_dim_price_recipe[Retail Price], MATCH(1, ("Calculator"&lt;&gt;Table_dim_price_recipe[Type.display])*($L711=Table_dim_price_recipe[Category])*($D711=Table_dim_price_recipe[Item Description]) * (K$6=Table_dim_price_recipe[Type])*(Table_dim_price_recipe[Retail Price]&lt;&gt;0)*($C711=Table_dim_price_recipe[Subcategory]), 0))*$B711,"")</f>
        <v/>
      </c>
      <c r="L711" s="39" t="str" cm="1">
        <f t="array" ref="L711">IF($A711&lt;&gt;"", $A711, LOOKUP(2, 1/((A$7:INDEX(A:A, ROW()))&lt;&gt;""), A$7:INDEX(A:A, ROW())))</f>
        <v>CEILINGS &amp; WALLS</v>
      </c>
      <c r="M711" s="14"/>
    </row>
    <row r="712" spans="1:13">
      <c r="A712" s="263"/>
      <c r="B712" s="263"/>
      <c r="C712" s="263" t="s">
        <v>1076</v>
      </c>
      <c r="D712" s="263" t="s">
        <v>1079</v>
      </c>
      <c r="E712" s="263"/>
      <c r="F712" s="263"/>
      <c r="G712" s="39" cm="1">
        <f t="array" ref="G712">IFERROR(INDEX(Table_dim_price_recipe[Retail Price], MATCH(1, ("Calculator"&lt;&gt;Table_dim_price_recipe[Type.display])*($L712=Table_dim_price_recipe[Category])*($D712=Table_dim_price_recipe[Item Description]) * (G$6=Table_dim_price_recipe[Type])*(Table_dim_price_recipe[Retail Price]&lt;&gt;0)*($C712=Table_dim_price_recipe[Subcategory]), 0))*$B712,"")</f>
        <v>0</v>
      </c>
      <c r="H712" s="39" t="str" cm="1">
        <f t="array" ref="H712">IFERROR(INDEX(Table_dim_price_recipe[Retail Price], MATCH(1, ("Calculator"&lt;&gt;Table_dim_price_recipe[Type.display])*($L712=Table_dim_price_recipe[Category])*($D712=Table_dim_price_recipe[Item Description]) * (H$6=Table_dim_price_recipe[Type])*(Table_dim_price_recipe[Retail Price]&lt;&gt;0)*($C712=Table_dim_price_recipe[Subcategory]), 0))*$B712,"")</f>
        <v/>
      </c>
      <c r="I712" s="39" t="str" cm="1">
        <f t="array" ref="I712">IFERROR(INDEX(Table_dim_price_recipe[Retail Price], MATCH(1, ("Calculator"&lt;&gt;Table_dim_price_recipe[Type.display])*($L712=Table_dim_price_recipe[Category])*($D712=Table_dim_price_recipe[Item Description]) * (I$6=Table_dim_price_recipe[Type])*(Table_dim_price_recipe[Retail Price]&lt;&gt;0)*($C712=Table_dim_price_recipe[Subcategory]), 0))*$B712,"")</f>
        <v/>
      </c>
      <c r="J712" s="39" t="str" cm="1">
        <f t="array" ref="J712">IFERROR(INDEX(Table_dim_price_recipe[Retail Price], MATCH(1, ("Calculator"&lt;&gt;Table_dim_price_recipe[Type.display])*($L712=Table_dim_price_recipe[Category])*($D712=Table_dim_price_recipe[Item Description]) * (J$6=Table_dim_price_recipe[Type])*(Table_dim_price_recipe[Retail Price]&lt;&gt;0)*($C712=Table_dim_price_recipe[Subcategory]), 0))*$B712,"")</f>
        <v/>
      </c>
      <c r="K712" s="39" t="str" cm="1">
        <f t="array" ref="K712">IFERROR(INDEX(Table_dim_price_recipe[Retail Price], MATCH(1, ("Calculator"&lt;&gt;Table_dim_price_recipe[Type.display])*($L712=Table_dim_price_recipe[Category])*($D712=Table_dim_price_recipe[Item Description]) * (K$6=Table_dim_price_recipe[Type])*(Table_dim_price_recipe[Retail Price]&lt;&gt;0)*($C712=Table_dim_price_recipe[Subcategory]), 0))*$B712,"")</f>
        <v/>
      </c>
      <c r="L712" s="39" t="str" cm="1">
        <f t="array" ref="L712">IF($A712&lt;&gt;"", $A712, LOOKUP(2, 1/((A$7:INDEX(A:A, ROW()))&lt;&gt;""), A$7:INDEX(A:A, ROW())))</f>
        <v>CEILINGS &amp; WALLS</v>
      </c>
      <c r="M712" s="14"/>
    </row>
    <row r="713" spans="1:13">
      <c r="A713" s="263"/>
      <c r="B713" s="263"/>
      <c r="C713" s="263" t="s">
        <v>1076</v>
      </c>
      <c r="D713" s="263" t="s">
        <v>1077</v>
      </c>
      <c r="E713" s="263"/>
      <c r="F713" s="263"/>
      <c r="G713" s="39" cm="1">
        <f t="array" ref="G713">IFERROR(INDEX(Table_dim_price_recipe[Retail Price], MATCH(1, ("Calculator"&lt;&gt;Table_dim_price_recipe[Type.display])*($L713=Table_dim_price_recipe[Category])*($D713=Table_dim_price_recipe[Item Description]) * (G$6=Table_dim_price_recipe[Type])*(Table_dim_price_recipe[Retail Price]&lt;&gt;0)*($C713=Table_dim_price_recipe[Subcategory]), 0))*$B713,"")</f>
        <v>0</v>
      </c>
      <c r="H713" s="39" t="str" cm="1">
        <f t="array" ref="H713">IFERROR(INDEX(Table_dim_price_recipe[Retail Price], MATCH(1, ("Calculator"&lt;&gt;Table_dim_price_recipe[Type.display])*($L713=Table_dim_price_recipe[Category])*($D713=Table_dim_price_recipe[Item Description]) * (H$6=Table_dim_price_recipe[Type])*(Table_dim_price_recipe[Retail Price]&lt;&gt;0)*($C713=Table_dim_price_recipe[Subcategory]), 0))*$B713,"")</f>
        <v/>
      </c>
      <c r="I713" s="39" t="str" cm="1">
        <f t="array" ref="I713">IFERROR(INDEX(Table_dim_price_recipe[Retail Price], MATCH(1, ("Calculator"&lt;&gt;Table_dim_price_recipe[Type.display])*($L713=Table_dim_price_recipe[Category])*($D713=Table_dim_price_recipe[Item Description]) * (I$6=Table_dim_price_recipe[Type])*(Table_dim_price_recipe[Retail Price]&lt;&gt;0)*($C713=Table_dim_price_recipe[Subcategory]), 0))*$B713,"")</f>
        <v/>
      </c>
      <c r="J713" s="39" t="str" cm="1">
        <f t="array" ref="J713">IFERROR(INDEX(Table_dim_price_recipe[Retail Price], MATCH(1, ("Calculator"&lt;&gt;Table_dim_price_recipe[Type.display])*($L713=Table_dim_price_recipe[Category])*($D713=Table_dim_price_recipe[Item Description]) * (J$6=Table_dim_price_recipe[Type])*(Table_dim_price_recipe[Retail Price]&lt;&gt;0)*($C713=Table_dim_price_recipe[Subcategory]), 0))*$B713,"")</f>
        <v/>
      </c>
      <c r="K713" s="39" t="str" cm="1">
        <f t="array" ref="K713">IFERROR(INDEX(Table_dim_price_recipe[Retail Price], MATCH(1, ("Calculator"&lt;&gt;Table_dim_price_recipe[Type.display])*($L713=Table_dim_price_recipe[Category])*($D713=Table_dim_price_recipe[Item Description]) * (K$6=Table_dim_price_recipe[Type])*(Table_dim_price_recipe[Retail Price]&lt;&gt;0)*($C713=Table_dim_price_recipe[Subcategory]), 0))*$B713,"")</f>
        <v/>
      </c>
      <c r="L713" s="39" t="str" cm="1">
        <f t="array" ref="L713">IF($A713&lt;&gt;"", $A713, LOOKUP(2, 1/((A$7:INDEX(A:A, ROW()))&lt;&gt;""), A$7:INDEX(A:A, ROW())))</f>
        <v>CEILINGS &amp; WALLS</v>
      </c>
      <c r="M713" s="14"/>
    </row>
    <row r="714" spans="1:13">
      <c r="A714" s="263"/>
      <c r="B714" s="263"/>
      <c r="C714" s="263" t="s">
        <v>1076</v>
      </c>
      <c r="D714" s="263"/>
      <c r="E714" s="263"/>
      <c r="F714" s="263"/>
      <c r="G714" s="39" t="str" cm="1">
        <f t="array" ref="G714">IFERROR(INDEX(Table_dim_price_recipe[Retail Price], MATCH(1, ("Calculator"&lt;&gt;Table_dim_price_recipe[Type.display])*($L714=Table_dim_price_recipe[Category])*($D714=Table_dim_price_recipe[Item Description]) * (G$6=Table_dim_price_recipe[Type])*(Table_dim_price_recipe[Retail Price]&lt;&gt;0)*($C714=Table_dim_price_recipe[Subcategory]), 0))*$B714,"")</f>
        <v/>
      </c>
      <c r="H714" s="39" t="str" cm="1">
        <f t="array" ref="H714">IFERROR(INDEX(Table_dim_price_recipe[Retail Price], MATCH(1, ("Calculator"&lt;&gt;Table_dim_price_recipe[Type.display])*($L714=Table_dim_price_recipe[Category])*($D714=Table_dim_price_recipe[Item Description]) * (H$6=Table_dim_price_recipe[Type])*(Table_dim_price_recipe[Retail Price]&lt;&gt;0)*($C714=Table_dim_price_recipe[Subcategory]), 0))*$B714,"")</f>
        <v/>
      </c>
      <c r="I714" s="39" t="str" cm="1">
        <f t="array" ref="I714">IFERROR(INDEX(Table_dim_price_recipe[Retail Price], MATCH(1, ("Calculator"&lt;&gt;Table_dim_price_recipe[Type.display])*($L714=Table_dim_price_recipe[Category])*($D714=Table_dim_price_recipe[Item Description]) * (I$6=Table_dim_price_recipe[Type])*(Table_dim_price_recipe[Retail Price]&lt;&gt;0)*($C714=Table_dim_price_recipe[Subcategory]), 0))*$B714,"")</f>
        <v/>
      </c>
      <c r="J714" s="39" t="str" cm="1">
        <f t="array" ref="J714">IFERROR(INDEX(Table_dim_price_recipe[Retail Price], MATCH(1, ("Calculator"&lt;&gt;Table_dim_price_recipe[Type.display])*($L714=Table_dim_price_recipe[Category])*($D714=Table_dim_price_recipe[Item Description]) * (J$6=Table_dim_price_recipe[Type])*(Table_dim_price_recipe[Retail Price]&lt;&gt;0)*($C714=Table_dim_price_recipe[Subcategory]), 0))*$B714,"")</f>
        <v/>
      </c>
      <c r="K714" s="39" t="str" cm="1">
        <f t="array" ref="K714">IFERROR(INDEX(Table_dim_price_recipe[Retail Price], MATCH(1, ("Calculator"&lt;&gt;Table_dim_price_recipe[Type.display])*($L714=Table_dim_price_recipe[Category])*($D714=Table_dim_price_recipe[Item Description]) * (K$6=Table_dim_price_recipe[Type])*(Table_dim_price_recipe[Retail Price]&lt;&gt;0)*($C714=Table_dim_price_recipe[Subcategory]), 0))*$B714,"")</f>
        <v/>
      </c>
      <c r="L714" s="39" t="str" cm="1">
        <f t="array" ref="L714">IF($A714&lt;&gt;"", $A714, LOOKUP(2, 1/((A$7:INDEX(A:A, ROW()))&lt;&gt;""), A$7:INDEX(A:A, ROW())))</f>
        <v>CEILINGS &amp; WALLS</v>
      </c>
      <c r="M714" s="14"/>
    </row>
    <row r="715" spans="1:13">
      <c r="A715" s="263"/>
      <c r="B715" s="263"/>
      <c r="C715" s="263" t="s">
        <v>1076</v>
      </c>
      <c r="D715" s="263"/>
      <c r="E715" s="263"/>
      <c r="F715" s="263"/>
      <c r="G715" s="39" t="str" cm="1">
        <f t="array" ref="G715">IFERROR(INDEX(Table_dim_price_recipe[Retail Price], MATCH(1, ("Calculator"&lt;&gt;Table_dim_price_recipe[Type.display])*($L715=Table_dim_price_recipe[Category])*($D715=Table_dim_price_recipe[Item Description]) * (G$6=Table_dim_price_recipe[Type])*(Table_dim_price_recipe[Retail Price]&lt;&gt;0)*($C715=Table_dim_price_recipe[Subcategory]), 0))*$B715,"")</f>
        <v/>
      </c>
      <c r="H715" s="39" t="str" cm="1">
        <f t="array" ref="H715">IFERROR(INDEX(Table_dim_price_recipe[Retail Price], MATCH(1, ("Calculator"&lt;&gt;Table_dim_price_recipe[Type.display])*($L715=Table_dim_price_recipe[Category])*($D715=Table_dim_price_recipe[Item Description]) * (H$6=Table_dim_price_recipe[Type])*(Table_dim_price_recipe[Retail Price]&lt;&gt;0)*($C715=Table_dim_price_recipe[Subcategory]), 0))*$B715,"")</f>
        <v/>
      </c>
      <c r="I715" s="39" t="str" cm="1">
        <f t="array" ref="I715">IFERROR(INDEX(Table_dim_price_recipe[Retail Price], MATCH(1, ("Calculator"&lt;&gt;Table_dim_price_recipe[Type.display])*($L715=Table_dim_price_recipe[Category])*($D715=Table_dim_price_recipe[Item Description]) * (I$6=Table_dim_price_recipe[Type])*(Table_dim_price_recipe[Retail Price]&lt;&gt;0)*($C715=Table_dim_price_recipe[Subcategory]), 0))*$B715,"")</f>
        <v/>
      </c>
      <c r="J715" s="39" t="str" cm="1">
        <f t="array" ref="J715">IFERROR(INDEX(Table_dim_price_recipe[Retail Price], MATCH(1, ("Calculator"&lt;&gt;Table_dim_price_recipe[Type.display])*($L715=Table_dim_price_recipe[Category])*($D715=Table_dim_price_recipe[Item Description]) * (J$6=Table_dim_price_recipe[Type])*(Table_dim_price_recipe[Retail Price]&lt;&gt;0)*($C715=Table_dim_price_recipe[Subcategory]), 0))*$B715,"")</f>
        <v/>
      </c>
      <c r="K715" s="39" t="str" cm="1">
        <f t="array" ref="K715">IFERROR(INDEX(Table_dim_price_recipe[Retail Price], MATCH(1, ("Calculator"&lt;&gt;Table_dim_price_recipe[Type.display])*($L715=Table_dim_price_recipe[Category])*($D715=Table_dim_price_recipe[Item Description]) * (K$6=Table_dim_price_recipe[Type])*(Table_dim_price_recipe[Retail Price]&lt;&gt;0)*($C715=Table_dim_price_recipe[Subcategory]), 0))*$B715,"")</f>
        <v/>
      </c>
      <c r="L715" s="39" t="str" cm="1">
        <f t="array" ref="L715">IF($A715&lt;&gt;"", $A715, LOOKUP(2, 1/((A$7:INDEX(A:A, ROW()))&lt;&gt;""), A$7:INDEX(A:A, ROW())))</f>
        <v>CEILINGS &amp; WALLS</v>
      </c>
      <c r="M715" s="14"/>
    </row>
    <row r="716" spans="1:13">
      <c r="A716" s="263"/>
      <c r="B716" s="263"/>
      <c r="C716" s="263" t="s">
        <v>723</v>
      </c>
      <c r="D716" s="263" t="s">
        <v>725</v>
      </c>
      <c r="E716" s="263"/>
      <c r="F716" s="263"/>
      <c r="G716" s="39" cm="1">
        <f t="array" ref="G716">IFERROR(INDEX(Table_dim_price_recipe[Retail Price], MATCH(1, ("Calculator"&lt;&gt;Table_dim_price_recipe[Type.display])*($L716=Table_dim_price_recipe[Category])*($D716=Table_dim_price_recipe[Item Description]) * (G$6=Table_dim_price_recipe[Type])*(Table_dim_price_recipe[Retail Price]&lt;&gt;0)*($C716=Table_dim_price_recipe[Subcategory]), 0))*$B716,"")</f>
        <v>0</v>
      </c>
      <c r="H716" s="39" t="str" cm="1">
        <f t="array" ref="H716">IFERROR(INDEX(Table_dim_price_recipe[Retail Price], MATCH(1, ("Calculator"&lt;&gt;Table_dim_price_recipe[Type.display])*($L716=Table_dim_price_recipe[Category])*($D716=Table_dim_price_recipe[Item Description]) * (H$6=Table_dim_price_recipe[Type])*(Table_dim_price_recipe[Retail Price]&lt;&gt;0)*($C716=Table_dim_price_recipe[Subcategory]), 0))*$B716,"")</f>
        <v/>
      </c>
      <c r="I716" s="39" t="str" cm="1">
        <f t="array" ref="I716">IFERROR(INDEX(Table_dim_price_recipe[Retail Price], MATCH(1, ("Calculator"&lt;&gt;Table_dim_price_recipe[Type.display])*($L716=Table_dim_price_recipe[Category])*($D716=Table_dim_price_recipe[Item Description]) * (I$6=Table_dim_price_recipe[Type])*(Table_dim_price_recipe[Retail Price]&lt;&gt;0)*($C716=Table_dim_price_recipe[Subcategory]), 0))*$B716,"")</f>
        <v/>
      </c>
      <c r="J716" s="39" t="str" cm="1">
        <f t="array" ref="J716">IFERROR(INDEX(Table_dim_price_recipe[Retail Price], MATCH(1, ("Calculator"&lt;&gt;Table_dim_price_recipe[Type.display])*($L716=Table_dim_price_recipe[Category])*($D716=Table_dim_price_recipe[Item Description]) * (J$6=Table_dim_price_recipe[Type])*(Table_dim_price_recipe[Retail Price]&lt;&gt;0)*($C716=Table_dim_price_recipe[Subcategory]), 0))*$B716,"")</f>
        <v/>
      </c>
      <c r="K716" s="39" t="str" cm="1">
        <f t="array" ref="K716">IFERROR(INDEX(Table_dim_price_recipe[Retail Price], MATCH(1, ("Calculator"&lt;&gt;Table_dim_price_recipe[Type.display])*($L716=Table_dim_price_recipe[Category])*($D716=Table_dim_price_recipe[Item Description]) * (K$6=Table_dim_price_recipe[Type])*(Table_dim_price_recipe[Retail Price]&lt;&gt;0)*($C716=Table_dim_price_recipe[Subcategory]), 0))*$B716,"")</f>
        <v/>
      </c>
      <c r="L716" s="39" t="str" cm="1">
        <f t="array" ref="L716">IF($A716&lt;&gt;"", $A716, LOOKUP(2, 1/((A$7:INDEX(A:A, ROW()))&lt;&gt;""), A$7:INDEX(A:A, ROW())))</f>
        <v>CEILINGS &amp; WALLS</v>
      </c>
      <c r="M716" s="14"/>
    </row>
    <row r="717" spans="1:13">
      <c r="A717" s="263"/>
      <c r="B717" s="263"/>
      <c r="C717" s="263" t="s">
        <v>723</v>
      </c>
      <c r="D717" s="263" t="s">
        <v>724</v>
      </c>
      <c r="E717" s="263"/>
      <c r="F717" s="263"/>
      <c r="G717" s="39" cm="1">
        <f t="array" ref="G717">IFERROR(INDEX(Table_dim_price_recipe[Retail Price], MATCH(1, ("Calculator"&lt;&gt;Table_dim_price_recipe[Type.display])*($L717=Table_dim_price_recipe[Category])*($D717=Table_dim_price_recipe[Item Description]) * (G$6=Table_dim_price_recipe[Type])*(Table_dim_price_recipe[Retail Price]&lt;&gt;0)*($C717=Table_dim_price_recipe[Subcategory]), 0))*$B717,"")</f>
        <v>0</v>
      </c>
      <c r="H717" s="39" t="str" cm="1">
        <f t="array" ref="H717">IFERROR(INDEX(Table_dim_price_recipe[Retail Price], MATCH(1, ("Calculator"&lt;&gt;Table_dim_price_recipe[Type.display])*($L717=Table_dim_price_recipe[Category])*($D717=Table_dim_price_recipe[Item Description]) * (H$6=Table_dim_price_recipe[Type])*(Table_dim_price_recipe[Retail Price]&lt;&gt;0)*($C717=Table_dim_price_recipe[Subcategory]), 0))*$B717,"")</f>
        <v/>
      </c>
      <c r="I717" s="39" t="str" cm="1">
        <f t="array" ref="I717">IFERROR(INDEX(Table_dim_price_recipe[Retail Price], MATCH(1, ("Calculator"&lt;&gt;Table_dim_price_recipe[Type.display])*($L717=Table_dim_price_recipe[Category])*($D717=Table_dim_price_recipe[Item Description]) * (I$6=Table_dim_price_recipe[Type])*(Table_dim_price_recipe[Retail Price]&lt;&gt;0)*($C717=Table_dim_price_recipe[Subcategory]), 0))*$B717,"")</f>
        <v/>
      </c>
      <c r="J717" s="39" t="str" cm="1">
        <f t="array" ref="J717">IFERROR(INDEX(Table_dim_price_recipe[Retail Price], MATCH(1, ("Calculator"&lt;&gt;Table_dim_price_recipe[Type.display])*($L717=Table_dim_price_recipe[Category])*($D717=Table_dim_price_recipe[Item Description]) * (J$6=Table_dim_price_recipe[Type])*(Table_dim_price_recipe[Retail Price]&lt;&gt;0)*($C717=Table_dim_price_recipe[Subcategory]), 0))*$B717,"")</f>
        <v/>
      </c>
      <c r="K717" s="39" t="str" cm="1">
        <f t="array" ref="K717">IFERROR(INDEX(Table_dim_price_recipe[Retail Price], MATCH(1, ("Calculator"&lt;&gt;Table_dim_price_recipe[Type.display])*($L717=Table_dim_price_recipe[Category])*($D717=Table_dim_price_recipe[Item Description]) * (K$6=Table_dim_price_recipe[Type])*(Table_dim_price_recipe[Retail Price]&lt;&gt;0)*($C717=Table_dim_price_recipe[Subcategory]), 0))*$B717,"")</f>
        <v/>
      </c>
      <c r="L717" s="39" t="str" cm="1">
        <f t="array" ref="L717">IF($A717&lt;&gt;"", $A717, LOOKUP(2, 1/((A$7:INDEX(A:A, ROW()))&lt;&gt;""), A$7:INDEX(A:A, ROW())))</f>
        <v>CEILINGS &amp; WALLS</v>
      </c>
      <c r="M717" s="14"/>
    </row>
    <row r="718" spans="1:13">
      <c r="A718" s="263"/>
      <c r="B718" s="263"/>
      <c r="C718" s="263" t="s">
        <v>723</v>
      </c>
      <c r="D718" s="263"/>
      <c r="E718" s="263"/>
      <c r="F718" s="263"/>
      <c r="G718" s="39" t="str" cm="1">
        <f t="array" ref="G718">IFERROR(INDEX(Table_dim_price_recipe[Retail Price], MATCH(1, ("Calculator"&lt;&gt;Table_dim_price_recipe[Type.display])*($L718=Table_dim_price_recipe[Category])*($D718=Table_dim_price_recipe[Item Description]) * (G$6=Table_dim_price_recipe[Type])*(Table_dim_price_recipe[Retail Price]&lt;&gt;0)*($C718=Table_dim_price_recipe[Subcategory]), 0))*$B718,"")</f>
        <v/>
      </c>
      <c r="H718" s="39" t="str" cm="1">
        <f t="array" ref="H718">IFERROR(INDEX(Table_dim_price_recipe[Retail Price], MATCH(1, ("Calculator"&lt;&gt;Table_dim_price_recipe[Type.display])*($L718=Table_dim_price_recipe[Category])*($D718=Table_dim_price_recipe[Item Description]) * (H$6=Table_dim_price_recipe[Type])*(Table_dim_price_recipe[Retail Price]&lt;&gt;0)*($C718=Table_dim_price_recipe[Subcategory]), 0))*$B718,"")</f>
        <v/>
      </c>
      <c r="I718" s="39" t="str" cm="1">
        <f t="array" ref="I718">IFERROR(INDEX(Table_dim_price_recipe[Retail Price], MATCH(1, ("Calculator"&lt;&gt;Table_dim_price_recipe[Type.display])*($L718=Table_dim_price_recipe[Category])*($D718=Table_dim_price_recipe[Item Description]) * (I$6=Table_dim_price_recipe[Type])*(Table_dim_price_recipe[Retail Price]&lt;&gt;0)*($C718=Table_dim_price_recipe[Subcategory]), 0))*$B718,"")</f>
        <v/>
      </c>
      <c r="J718" s="39" t="str" cm="1">
        <f t="array" ref="J718">IFERROR(INDEX(Table_dim_price_recipe[Retail Price], MATCH(1, ("Calculator"&lt;&gt;Table_dim_price_recipe[Type.display])*($L718=Table_dim_price_recipe[Category])*($D718=Table_dim_price_recipe[Item Description]) * (J$6=Table_dim_price_recipe[Type])*(Table_dim_price_recipe[Retail Price]&lt;&gt;0)*($C718=Table_dim_price_recipe[Subcategory]), 0))*$B718,"")</f>
        <v/>
      </c>
      <c r="K718" s="39" t="str" cm="1">
        <f t="array" ref="K718">IFERROR(INDEX(Table_dim_price_recipe[Retail Price], MATCH(1, ("Calculator"&lt;&gt;Table_dim_price_recipe[Type.display])*($L718=Table_dim_price_recipe[Category])*($D718=Table_dim_price_recipe[Item Description]) * (K$6=Table_dim_price_recipe[Type])*(Table_dim_price_recipe[Retail Price]&lt;&gt;0)*($C718=Table_dim_price_recipe[Subcategory]), 0))*$B718,"")</f>
        <v/>
      </c>
      <c r="L718" s="39" t="str" cm="1">
        <f t="array" ref="L718">IF($A718&lt;&gt;"", $A718, LOOKUP(2, 1/((A$7:INDEX(A:A, ROW()))&lt;&gt;""), A$7:INDEX(A:A, ROW())))</f>
        <v>CEILINGS &amp; WALLS</v>
      </c>
      <c r="M718" s="14"/>
    </row>
    <row r="719" spans="1:13">
      <c r="A719" s="263"/>
      <c r="B719" s="263"/>
      <c r="C719" s="263" t="s">
        <v>723</v>
      </c>
      <c r="D719" s="263"/>
      <c r="E719" s="263"/>
      <c r="F719" s="263"/>
      <c r="G719" s="39" t="str" cm="1">
        <f t="array" ref="G719">IFERROR(INDEX(Table_dim_price_recipe[Retail Price], MATCH(1, ("Calculator"&lt;&gt;Table_dim_price_recipe[Type.display])*($L719=Table_dim_price_recipe[Category])*($D719=Table_dim_price_recipe[Item Description]) * (G$6=Table_dim_price_recipe[Type])*(Table_dim_price_recipe[Retail Price]&lt;&gt;0)*($C719=Table_dim_price_recipe[Subcategory]), 0))*$B719,"")</f>
        <v/>
      </c>
      <c r="H719" s="39" t="str" cm="1">
        <f t="array" ref="H719">IFERROR(INDEX(Table_dim_price_recipe[Retail Price], MATCH(1, ("Calculator"&lt;&gt;Table_dim_price_recipe[Type.display])*($L719=Table_dim_price_recipe[Category])*($D719=Table_dim_price_recipe[Item Description]) * (H$6=Table_dim_price_recipe[Type])*(Table_dim_price_recipe[Retail Price]&lt;&gt;0)*($C719=Table_dim_price_recipe[Subcategory]), 0))*$B719,"")</f>
        <v/>
      </c>
      <c r="I719" s="39" t="str" cm="1">
        <f t="array" ref="I719">IFERROR(INDEX(Table_dim_price_recipe[Retail Price], MATCH(1, ("Calculator"&lt;&gt;Table_dim_price_recipe[Type.display])*($L719=Table_dim_price_recipe[Category])*($D719=Table_dim_price_recipe[Item Description]) * (I$6=Table_dim_price_recipe[Type])*(Table_dim_price_recipe[Retail Price]&lt;&gt;0)*($C719=Table_dim_price_recipe[Subcategory]), 0))*$B719,"")</f>
        <v/>
      </c>
      <c r="J719" s="39" t="str" cm="1">
        <f t="array" ref="J719">IFERROR(INDEX(Table_dim_price_recipe[Retail Price], MATCH(1, ("Calculator"&lt;&gt;Table_dim_price_recipe[Type.display])*($L719=Table_dim_price_recipe[Category])*($D719=Table_dim_price_recipe[Item Description]) * (J$6=Table_dim_price_recipe[Type])*(Table_dim_price_recipe[Retail Price]&lt;&gt;0)*($C719=Table_dim_price_recipe[Subcategory]), 0))*$B719,"")</f>
        <v/>
      </c>
      <c r="K719" s="39" t="str" cm="1">
        <f t="array" ref="K719">IFERROR(INDEX(Table_dim_price_recipe[Retail Price], MATCH(1, ("Calculator"&lt;&gt;Table_dim_price_recipe[Type.display])*($L719=Table_dim_price_recipe[Category])*($D719=Table_dim_price_recipe[Item Description]) * (K$6=Table_dim_price_recipe[Type])*(Table_dim_price_recipe[Retail Price]&lt;&gt;0)*($C719=Table_dim_price_recipe[Subcategory]), 0))*$B719,"")</f>
        <v/>
      </c>
      <c r="L719" s="39" t="str" cm="1">
        <f t="array" ref="L719">IF($A719&lt;&gt;"", $A719, LOOKUP(2, 1/((A$7:INDEX(A:A, ROW()))&lt;&gt;""), A$7:INDEX(A:A, ROW())))</f>
        <v>CEILINGS &amp; WALLS</v>
      </c>
      <c r="M719" s="14"/>
    </row>
    <row r="720" spans="1:13">
      <c r="A720" s="263"/>
      <c r="B720" s="263"/>
      <c r="C720" s="263" t="s">
        <v>80</v>
      </c>
      <c r="D720" s="263" t="s">
        <v>84</v>
      </c>
      <c r="E720" s="263"/>
      <c r="F720" s="263"/>
      <c r="G720" s="39" t="str" cm="1">
        <f t="array" ref="G720">IFERROR(INDEX(Table_dim_price_recipe[Retail Price], MATCH(1, ("Calculator"&lt;&gt;Table_dim_price_recipe[Type.display])*($L720=Table_dim_price_recipe[Category])*($D720=Table_dim_price_recipe[Item Description]) * (G$6=Table_dim_price_recipe[Type])*(Table_dim_price_recipe[Retail Price]&lt;&gt;0)*($C720=Table_dim_price_recipe[Subcategory]), 0))*$B720,"")</f>
        <v/>
      </c>
      <c r="H720" s="39" t="str" cm="1">
        <f t="array" ref="H720">IFERROR(INDEX(Table_dim_price_recipe[Retail Price], MATCH(1, ("Calculator"&lt;&gt;Table_dim_price_recipe[Type.display])*($L720=Table_dim_price_recipe[Category])*($D720=Table_dim_price_recipe[Item Description]) * (H$6=Table_dim_price_recipe[Type])*(Table_dim_price_recipe[Retail Price]&lt;&gt;0)*($C720=Table_dim_price_recipe[Subcategory]), 0))*$B720,"")</f>
        <v/>
      </c>
      <c r="I720" s="39" t="str" cm="1">
        <f t="array" ref="I720">IFERROR(INDEX(Table_dim_price_recipe[Retail Price], MATCH(1, ("Calculator"&lt;&gt;Table_dim_price_recipe[Type.display])*($L720=Table_dim_price_recipe[Category])*($D720=Table_dim_price_recipe[Item Description]) * (I$6=Table_dim_price_recipe[Type])*(Table_dim_price_recipe[Retail Price]&lt;&gt;0)*($C720=Table_dim_price_recipe[Subcategory]), 0))*$B720,"")</f>
        <v/>
      </c>
      <c r="J720" s="39" t="str" cm="1">
        <f t="array" ref="J720">IFERROR(INDEX(Table_dim_price_recipe[Retail Price], MATCH(1, ("Calculator"&lt;&gt;Table_dim_price_recipe[Type.display])*($L720=Table_dim_price_recipe[Category])*($D720=Table_dim_price_recipe[Item Description]) * (J$6=Table_dim_price_recipe[Type])*(Table_dim_price_recipe[Retail Price]&lt;&gt;0)*($C720=Table_dim_price_recipe[Subcategory]), 0))*$B720,"")</f>
        <v/>
      </c>
      <c r="K720" s="39" cm="1">
        <f t="array" ref="K720">IFERROR(INDEX(Table_dim_price_recipe[Retail Price], MATCH(1, ("Calculator"&lt;&gt;Table_dim_price_recipe[Type.display])*($L720=Table_dim_price_recipe[Category])*($D720=Table_dim_price_recipe[Item Description]) * (K$6=Table_dim_price_recipe[Type])*(Table_dim_price_recipe[Retail Price]&lt;&gt;0)*($C720=Table_dim_price_recipe[Subcategory]), 0))*$B720,"")</f>
        <v>0</v>
      </c>
      <c r="L720" s="39" t="str" cm="1">
        <f t="array" ref="L720">IF($A720&lt;&gt;"", $A720, LOOKUP(2, 1/((A$7:INDEX(A:A, ROW()))&lt;&gt;""), A$7:INDEX(A:A, ROW())))</f>
        <v>CEILINGS &amp; WALLS</v>
      </c>
      <c r="M720" s="14"/>
    </row>
    <row r="721" spans="1:13">
      <c r="A721" s="263"/>
      <c r="B721" s="263"/>
      <c r="C721" s="263" t="s">
        <v>80</v>
      </c>
      <c r="D721" s="263" t="s">
        <v>85</v>
      </c>
      <c r="E721" s="263"/>
      <c r="F721" s="263"/>
      <c r="G721" s="39" t="str" cm="1">
        <f t="array" ref="G721">IFERROR(INDEX(Table_dim_price_recipe[Retail Price], MATCH(1, ("Calculator"&lt;&gt;Table_dim_price_recipe[Type.display])*($L721=Table_dim_price_recipe[Category])*($D721=Table_dim_price_recipe[Item Description]) * (G$6=Table_dim_price_recipe[Type])*(Table_dim_price_recipe[Retail Price]&lt;&gt;0)*($C721=Table_dim_price_recipe[Subcategory]), 0))*$B721,"")</f>
        <v/>
      </c>
      <c r="H721" s="39" t="str" cm="1">
        <f t="array" ref="H721">IFERROR(INDEX(Table_dim_price_recipe[Retail Price], MATCH(1, ("Calculator"&lt;&gt;Table_dim_price_recipe[Type.display])*($L721=Table_dim_price_recipe[Category])*($D721=Table_dim_price_recipe[Item Description]) * (H$6=Table_dim_price_recipe[Type])*(Table_dim_price_recipe[Retail Price]&lt;&gt;0)*($C721=Table_dim_price_recipe[Subcategory]), 0))*$B721,"")</f>
        <v/>
      </c>
      <c r="I721" s="39" t="str" cm="1">
        <f t="array" ref="I721">IFERROR(INDEX(Table_dim_price_recipe[Retail Price], MATCH(1, ("Calculator"&lt;&gt;Table_dim_price_recipe[Type.display])*($L721=Table_dim_price_recipe[Category])*($D721=Table_dim_price_recipe[Item Description]) * (I$6=Table_dim_price_recipe[Type])*(Table_dim_price_recipe[Retail Price]&lt;&gt;0)*($C721=Table_dim_price_recipe[Subcategory]), 0))*$B721,"")</f>
        <v/>
      </c>
      <c r="J721" s="39" t="str" cm="1">
        <f t="array" ref="J721">IFERROR(INDEX(Table_dim_price_recipe[Retail Price], MATCH(1, ("Calculator"&lt;&gt;Table_dim_price_recipe[Type.display])*($L721=Table_dim_price_recipe[Category])*($D721=Table_dim_price_recipe[Item Description]) * (J$6=Table_dim_price_recipe[Type])*(Table_dim_price_recipe[Retail Price]&lt;&gt;0)*($C721=Table_dim_price_recipe[Subcategory]), 0))*$B721,"")</f>
        <v/>
      </c>
      <c r="K721" s="39" cm="1">
        <f t="array" ref="K721">IFERROR(INDEX(Table_dim_price_recipe[Retail Price], MATCH(1, ("Calculator"&lt;&gt;Table_dim_price_recipe[Type.display])*($L721=Table_dim_price_recipe[Category])*($D721=Table_dim_price_recipe[Item Description]) * (K$6=Table_dim_price_recipe[Type])*(Table_dim_price_recipe[Retail Price]&lt;&gt;0)*($C721=Table_dim_price_recipe[Subcategory]), 0))*$B721,"")</f>
        <v>0</v>
      </c>
      <c r="L721" s="39" t="str" cm="1">
        <f t="array" ref="L721">IF($A721&lt;&gt;"", $A721, LOOKUP(2, 1/((A$7:INDEX(A:A, ROW()))&lt;&gt;""), A$7:INDEX(A:A, ROW())))</f>
        <v>CEILINGS &amp; WALLS</v>
      </c>
      <c r="M721" s="14"/>
    </row>
    <row r="722" spans="1:13">
      <c r="A722" s="263"/>
      <c r="B722" s="263"/>
      <c r="C722" s="263" t="s">
        <v>80</v>
      </c>
      <c r="D722" s="263" t="s">
        <v>83</v>
      </c>
      <c r="E722" s="263"/>
      <c r="F722" s="263"/>
      <c r="G722" s="39" t="str" cm="1">
        <f t="array" ref="G722">IFERROR(INDEX(Table_dim_price_recipe[Retail Price], MATCH(1, ("Calculator"&lt;&gt;Table_dim_price_recipe[Type.display])*($L722=Table_dim_price_recipe[Category])*($D722=Table_dim_price_recipe[Item Description]) * (G$6=Table_dim_price_recipe[Type])*(Table_dim_price_recipe[Retail Price]&lt;&gt;0)*($C722=Table_dim_price_recipe[Subcategory]), 0))*$B722,"")</f>
        <v/>
      </c>
      <c r="H722" s="39" t="str" cm="1">
        <f t="array" ref="H722">IFERROR(INDEX(Table_dim_price_recipe[Retail Price], MATCH(1, ("Calculator"&lt;&gt;Table_dim_price_recipe[Type.display])*($L722=Table_dim_price_recipe[Category])*($D722=Table_dim_price_recipe[Item Description]) * (H$6=Table_dim_price_recipe[Type])*(Table_dim_price_recipe[Retail Price]&lt;&gt;0)*($C722=Table_dim_price_recipe[Subcategory]), 0))*$B722,"")</f>
        <v/>
      </c>
      <c r="I722" s="39" t="str" cm="1">
        <f t="array" ref="I722">IFERROR(INDEX(Table_dim_price_recipe[Retail Price], MATCH(1, ("Calculator"&lt;&gt;Table_dim_price_recipe[Type.display])*($L722=Table_dim_price_recipe[Category])*($D722=Table_dim_price_recipe[Item Description]) * (I$6=Table_dim_price_recipe[Type])*(Table_dim_price_recipe[Retail Price]&lt;&gt;0)*($C722=Table_dim_price_recipe[Subcategory]), 0))*$B722,"")</f>
        <v/>
      </c>
      <c r="J722" s="39" t="str" cm="1">
        <f t="array" ref="J722">IFERROR(INDEX(Table_dim_price_recipe[Retail Price], MATCH(1, ("Calculator"&lt;&gt;Table_dim_price_recipe[Type.display])*($L722=Table_dim_price_recipe[Category])*($D722=Table_dim_price_recipe[Item Description]) * (J$6=Table_dim_price_recipe[Type])*(Table_dim_price_recipe[Retail Price]&lt;&gt;0)*($C722=Table_dim_price_recipe[Subcategory]), 0))*$B722,"")</f>
        <v/>
      </c>
      <c r="K722" s="39" cm="1">
        <f t="array" ref="K722">IFERROR(INDEX(Table_dim_price_recipe[Retail Price], MATCH(1, ("Calculator"&lt;&gt;Table_dim_price_recipe[Type.display])*($L722=Table_dim_price_recipe[Category])*($D722=Table_dim_price_recipe[Item Description]) * (K$6=Table_dim_price_recipe[Type])*(Table_dim_price_recipe[Retail Price]&lt;&gt;0)*($C722=Table_dim_price_recipe[Subcategory]), 0))*$B722,"")</f>
        <v>0</v>
      </c>
      <c r="L722" s="39" t="str" cm="1">
        <f t="array" ref="L722">IF($A722&lt;&gt;"", $A722, LOOKUP(2, 1/((A$7:INDEX(A:A, ROW()))&lt;&gt;""), A$7:INDEX(A:A, ROW())))</f>
        <v>CEILINGS &amp; WALLS</v>
      </c>
      <c r="M722" s="14"/>
    </row>
    <row r="723" spans="1:13">
      <c r="A723" s="263"/>
      <c r="B723" s="263"/>
      <c r="C723" s="263" t="s">
        <v>80</v>
      </c>
      <c r="D723" s="263" t="s">
        <v>1099</v>
      </c>
      <c r="E723" s="263"/>
      <c r="F723" s="263"/>
      <c r="G723" s="39" t="str" cm="1">
        <f t="array" ref="G723">IFERROR(INDEX(Table_dim_price_recipe[Retail Price], MATCH(1, ("Calculator"&lt;&gt;Table_dim_price_recipe[Type.display])*($L723=Table_dim_price_recipe[Category])*($D723=Table_dim_price_recipe[Item Description]) * (G$6=Table_dim_price_recipe[Type])*(Table_dim_price_recipe[Retail Price]&lt;&gt;0)*($C723=Table_dim_price_recipe[Subcategory]), 0))*$B723,"")</f>
        <v/>
      </c>
      <c r="H723" s="39" t="str" cm="1">
        <f t="array" ref="H723">IFERROR(INDEX(Table_dim_price_recipe[Retail Price], MATCH(1, ("Calculator"&lt;&gt;Table_dim_price_recipe[Type.display])*($L723=Table_dim_price_recipe[Category])*($D723=Table_dim_price_recipe[Item Description]) * (H$6=Table_dim_price_recipe[Type])*(Table_dim_price_recipe[Retail Price]&lt;&gt;0)*($C723=Table_dim_price_recipe[Subcategory]), 0))*$B723,"")</f>
        <v/>
      </c>
      <c r="I723" s="39" t="str" cm="1">
        <f t="array" ref="I723">IFERROR(INDEX(Table_dim_price_recipe[Retail Price], MATCH(1, ("Calculator"&lt;&gt;Table_dim_price_recipe[Type.display])*($L723=Table_dim_price_recipe[Category])*($D723=Table_dim_price_recipe[Item Description]) * (I$6=Table_dim_price_recipe[Type])*(Table_dim_price_recipe[Retail Price]&lt;&gt;0)*($C723=Table_dim_price_recipe[Subcategory]), 0))*$B723,"")</f>
        <v/>
      </c>
      <c r="J723" s="39" t="str" cm="1">
        <f t="array" ref="J723">IFERROR(INDEX(Table_dim_price_recipe[Retail Price], MATCH(1, ("Calculator"&lt;&gt;Table_dim_price_recipe[Type.display])*($L723=Table_dim_price_recipe[Category])*($D723=Table_dim_price_recipe[Item Description]) * (J$6=Table_dim_price_recipe[Type])*(Table_dim_price_recipe[Retail Price]&lt;&gt;0)*($C723=Table_dim_price_recipe[Subcategory]), 0))*$B723,"")</f>
        <v/>
      </c>
      <c r="K723" s="39" cm="1">
        <f t="array" ref="K723">IFERROR(INDEX(Table_dim_price_recipe[Retail Price], MATCH(1, ("Calculator"&lt;&gt;Table_dim_price_recipe[Type.display])*($L723=Table_dim_price_recipe[Category])*($D723=Table_dim_price_recipe[Item Description]) * (K$6=Table_dim_price_recipe[Type])*(Table_dim_price_recipe[Retail Price]&lt;&gt;0)*($C723=Table_dim_price_recipe[Subcategory]), 0))*$B723,"")</f>
        <v>0</v>
      </c>
      <c r="L723" s="39" t="str" cm="1">
        <f t="array" ref="L723">IF($A723&lt;&gt;"", $A723, LOOKUP(2, 1/((A$7:INDEX(A:A, ROW()))&lt;&gt;""), A$7:INDEX(A:A, ROW())))</f>
        <v>CEILINGS &amp; WALLS</v>
      </c>
      <c r="M723" s="14"/>
    </row>
    <row r="724" spans="1:13">
      <c r="A724" s="263"/>
      <c r="B724" s="263"/>
      <c r="C724" s="263" t="s">
        <v>80</v>
      </c>
      <c r="D724" s="263" t="s">
        <v>1105</v>
      </c>
      <c r="E724" s="263"/>
      <c r="F724" s="263"/>
      <c r="G724" s="39" t="str" cm="1">
        <f t="array" ref="G724">IFERROR(INDEX(Table_dim_price_recipe[Retail Price], MATCH(1, ("Calculator"&lt;&gt;Table_dim_price_recipe[Type.display])*($L724=Table_dim_price_recipe[Category])*($D724=Table_dim_price_recipe[Item Description]) * (G$6=Table_dim_price_recipe[Type])*(Table_dim_price_recipe[Retail Price]&lt;&gt;0)*($C724=Table_dim_price_recipe[Subcategory]), 0))*$B724,"")</f>
        <v/>
      </c>
      <c r="H724" s="39" t="str" cm="1">
        <f t="array" ref="H724">IFERROR(INDEX(Table_dim_price_recipe[Retail Price], MATCH(1, ("Calculator"&lt;&gt;Table_dim_price_recipe[Type.display])*($L724=Table_dim_price_recipe[Category])*($D724=Table_dim_price_recipe[Item Description]) * (H$6=Table_dim_price_recipe[Type])*(Table_dim_price_recipe[Retail Price]&lt;&gt;0)*($C724=Table_dim_price_recipe[Subcategory]), 0))*$B724,"")</f>
        <v/>
      </c>
      <c r="I724" s="39" t="str" cm="1">
        <f t="array" ref="I724">IFERROR(INDEX(Table_dim_price_recipe[Retail Price], MATCH(1, ("Calculator"&lt;&gt;Table_dim_price_recipe[Type.display])*($L724=Table_dim_price_recipe[Category])*($D724=Table_dim_price_recipe[Item Description]) * (I$6=Table_dim_price_recipe[Type])*(Table_dim_price_recipe[Retail Price]&lt;&gt;0)*($C724=Table_dim_price_recipe[Subcategory]), 0))*$B724,"")</f>
        <v/>
      </c>
      <c r="J724" s="39" t="str" cm="1">
        <f t="array" ref="J724">IFERROR(INDEX(Table_dim_price_recipe[Retail Price], MATCH(1, ("Calculator"&lt;&gt;Table_dim_price_recipe[Type.display])*($L724=Table_dim_price_recipe[Category])*($D724=Table_dim_price_recipe[Item Description]) * (J$6=Table_dim_price_recipe[Type])*(Table_dim_price_recipe[Retail Price]&lt;&gt;0)*($C724=Table_dim_price_recipe[Subcategory]), 0))*$B724,"")</f>
        <v/>
      </c>
      <c r="K724" s="39" cm="1">
        <f t="array" ref="K724">IFERROR(INDEX(Table_dim_price_recipe[Retail Price], MATCH(1, ("Calculator"&lt;&gt;Table_dim_price_recipe[Type.display])*($L724=Table_dim_price_recipe[Category])*($D724=Table_dim_price_recipe[Item Description]) * (K$6=Table_dim_price_recipe[Type])*(Table_dim_price_recipe[Retail Price]&lt;&gt;0)*($C724=Table_dim_price_recipe[Subcategory]), 0))*$B724,"")</f>
        <v>0</v>
      </c>
      <c r="L724" s="39" t="str" cm="1">
        <f t="array" ref="L724">IF($A724&lt;&gt;"", $A724, LOOKUP(2, 1/((A$7:INDEX(A:A, ROW()))&lt;&gt;""), A$7:INDEX(A:A, ROW())))</f>
        <v>CEILINGS &amp; WALLS</v>
      </c>
      <c r="M724" s="14"/>
    </row>
    <row r="725" spans="1:13">
      <c r="A725" s="263"/>
      <c r="B725" s="263"/>
      <c r="C725" s="263" t="s">
        <v>80</v>
      </c>
      <c r="D725" s="263" t="s">
        <v>1106</v>
      </c>
      <c r="E725" s="263"/>
      <c r="F725" s="263"/>
      <c r="G725" s="39" t="str" cm="1">
        <f t="array" ref="G725">IFERROR(INDEX(Table_dim_price_recipe[Retail Price], MATCH(1, ("Calculator"&lt;&gt;Table_dim_price_recipe[Type.display])*($L725=Table_dim_price_recipe[Category])*($D725=Table_dim_price_recipe[Item Description]) * (G$6=Table_dim_price_recipe[Type])*(Table_dim_price_recipe[Retail Price]&lt;&gt;0)*($C725=Table_dim_price_recipe[Subcategory]), 0))*$B725,"")</f>
        <v/>
      </c>
      <c r="H725" s="39" t="str" cm="1">
        <f t="array" ref="H725">IFERROR(INDEX(Table_dim_price_recipe[Retail Price], MATCH(1, ("Calculator"&lt;&gt;Table_dim_price_recipe[Type.display])*($L725=Table_dim_price_recipe[Category])*($D725=Table_dim_price_recipe[Item Description]) * (H$6=Table_dim_price_recipe[Type])*(Table_dim_price_recipe[Retail Price]&lt;&gt;0)*($C725=Table_dim_price_recipe[Subcategory]), 0))*$B725,"")</f>
        <v/>
      </c>
      <c r="I725" s="39" t="str" cm="1">
        <f t="array" ref="I725">IFERROR(INDEX(Table_dim_price_recipe[Retail Price], MATCH(1, ("Calculator"&lt;&gt;Table_dim_price_recipe[Type.display])*($L725=Table_dim_price_recipe[Category])*($D725=Table_dim_price_recipe[Item Description]) * (I$6=Table_dim_price_recipe[Type])*(Table_dim_price_recipe[Retail Price]&lt;&gt;0)*($C725=Table_dim_price_recipe[Subcategory]), 0))*$B725,"")</f>
        <v/>
      </c>
      <c r="J725" s="39" t="str" cm="1">
        <f t="array" ref="J725">IFERROR(INDEX(Table_dim_price_recipe[Retail Price], MATCH(1, ("Calculator"&lt;&gt;Table_dim_price_recipe[Type.display])*($L725=Table_dim_price_recipe[Category])*($D725=Table_dim_price_recipe[Item Description]) * (J$6=Table_dim_price_recipe[Type])*(Table_dim_price_recipe[Retail Price]&lt;&gt;0)*($C725=Table_dim_price_recipe[Subcategory]), 0))*$B725,"")</f>
        <v/>
      </c>
      <c r="K725" s="39" cm="1">
        <f t="array" ref="K725">IFERROR(INDEX(Table_dim_price_recipe[Retail Price], MATCH(1, ("Calculator"&lt;&gt;Table_dim_price_recipe[Type.display])*($L725=Table_dim_price_recipe[Category])*($D725=Table_dim_price_recipe[Item Description]) * (K$6=Table_dim_price_recipe[Type])*(Table_dim_price_recipe[Retail Price]&lt;&gt;0)*($C725=Table_dim_price_recipe[Subcategory]), 0))*$B725,"")</f>
        <v>0</v>
      </c>
      <c r="L725" s="39" t="str" cm="1">
        <f t="array" ref="L725">IF($A725&lt;&gt;"", $A725, LOOKUP(2, 1/((A$7:INDEX(A:A, ROW()))&lt;&gt;""), A$7:INDEX(A:A, ROW())))</f>
        <v>CEILINGS &amp; WALLS</v>
      </c>
      <c r="M725" s="14"/>
    </row>
    <row r="726" spans="1:13">
      <c r="A726" s="263"/>
      <c r="B726" s="263"/>
      <c r="C726" s="263" t="s">
        <v>80</v>
      </c>
      <c r="D726" s="263" t="s">
        <v>1103</v>
      </c>
      <c r="E726" s="263"/>
      <c r="F726" s="263"/>
      <c r="G726" s="39" t="str" cm="1">
        <f t="array" ref="G726">IFERROR(INDEX(Table_dim_price_recipe[Retail Price], MATCH(1, ("Calculator"&lt;&gt;Table_dim_price_recipe[Type.display])*($L726=Table_dim_price_recipe[Category])*($D726=Table_dim_price_recipe[Item Description]) * (G$6=Table_dim_price_recipe[Type])*(Table_dim_price_recipe[Retail Price]&lt;&gt;0)*($C726=Table_dim_price_recipe[Subcategory]), 0))*$B726,"")</f>
        <v/>
      </c>
      <c r="H726" s="39" t="str" cm="1">
        <f t="array" ref="H726">IFERROR(INDEX(Table_dim_price_recipe[Retail Price], MATCH(1, ("Calculator"&lt;&gt;Table_dim_price_recipe[Type.display])*($L726=Table_dim_price_recipe[Category])*($D726=Table_dim_price_recipe[Item Description]) * (H$6=Table_dim_price_recipe[Type])*(Table_dim_price_recipe[Retail Price]&lt;&gt;0)*($C726=Table_dim_price_recipe[Subcategory]), 0))*$B726,"")</f>
        <v/>
      </c>
      <c r="I726" s="39" t="str" cm="1">
        <f t="array" ref="I726">IFERROR(INDEX(Table_dim_price_recipe[Retail Price], MATCH(1, ("Calculator"&lt;&gt;Table_dim_price_recipe[Type.display])*($L726=Table_dim_price_recipe[Category])*($D726=Table_dim_price_recipe[Item Description]) * (I$6=Table_dim_price_recipe[Type])*(Table_dim_price_recipe[Retail Price]&lt;&gt;0)*($C726=Table_dim_price_recipe[Subcategory]), 0))*$B726,"")</f>
        <v/>
      </c>
      <c r="J726" s="39" t="str" cm="1">
        <f t="array" ref="J726">IFERROR(INDEX(Table_dim_price_recipe[Retail Price], MATCH(1, ("Calculator"&lt;&gt;Table_dim_price_recipe[Type.display])*($L726=Table_dim_price_recipe[Category])*($D726=Table_dim_price_recipe[Item Description]) * (J$6=Table_dim_price_recipe[Type])*(Table_dim_price_recipe[Retail Price]&lt;&gt;0)*($C726=Table_dim_price_recipe[Subcategory]), 0))*$B726,"")</f>
        <v/>
      </c>
      <c r="K726" s="39" cm="1">
        <f t="array" ref="K726">IFERROR(INDEX(Table_dim_price_recipe[Retail Price], MATCH(1, ("Calculator"&lt;&gt;Table_dim_price_recipe[Type.display])*($L726=Table_dim_price_recipe[Category])*($D726=Table_dim_price_recipe[Item Description]) * (K$6=Table_dim_price_recipe[Type])*(Table_dim_price_recipe[Retail Price]&lt;&gt;0)*($C726=Table_dim_price_recipe[Subcategory]), 0))*$B726,"")</f>
        <v>0</v>
      </c>
      <c r="L726" s="39" t="str" cm="1">
        <f t="array" ref="L726">IF($A726&lt;&gt;"", $A726, LOOKUP(2, 1/((A$7:INDEX(A:A, ROW()))&lt;&gt;""), A$7:INDEX(A:A, ROW())))</f>
        <v>CEILINGS &amp; WALLS</v>
      </c>
      <c r="M726" s="14"/>
    </row>
    <row r="727" spans="1:13">
      <c r="A727" s="263"/>
      <c r="B727" s="263"/>
      <c r="C727" s="263" t="s">
        <v>80</v>
      </c>
      <c r="D727" s="263" t="s">
        <v>1102</v>
      </c>
      <c r="E727" s="263"/>
      <c r="F727" s="263"/>
      <c r="G727" s="39" t="str" cm="1">
        <f t="array" ref="G727">IFERROR(INDEX(Table_dim_price_recipe[Retail Price], MATCH(1, ("Calculator"&lt;&gt;Table_dim_price_recipe[Type.display])*($L727=Table_dim_price_recipe[Category])*($D727=Table_dim_price_recipe[Item Description]) * (G$6=Table_dim_price_recipe[Type])*(Table_dim_price_recipe[Retail Price]&lt;&gt;0)*($C727=Table_dim_price_recipe[Subcategory]), 0))*$B727,"")</f>
        <v/>
      </c>
      <c r="H727" s="39" t="str" cm="1">
        <f t="array" ref="H727">IFERROR(INDEX(Table_dim_price_recipe[Retail Price], MATCH(1, ("Calculator"&lt;&gt;Table_dim_price_recipe[Type.display])*($L727=Table_dim_price_recipe[Category])*($D727=Table_dim_price_recipe[Item Description]) * (H$6=Table_dim_price_recipe[Type])*(Table_dim_price_recipe[Retail Price]&lt;&gt;0)*($C727=Table_dim_price_recipe[Subcategory]), 0))*$B727,"")</f>
        <v/>
      </c>
      <c r="I727" s="39" t="str" cm="1">
        <f t="array" ref="I727">IFERROR(INDEX(Table_dim_price_recipe[Retail Price], MATCH(1, ("Calculator"&lt;&gt;Table_dim_price_recipe[Type.display])*($L727=Table_dim_price_recipe[Category])*($D727=Table_dim_price_recipe[Item Description]) * (I$6=Table_dim_price_recipe[Type])*(Table_dim_price_recipe[Retail Price]&lt;&gt;0)*($C727=Table_dim_price_recipe[Subcategory]), 0))*$B727,"")</f>
        <v/>
      </c>
      <c r="J727" s="39" t="str" cm="1">
        <f t="array" ref="J727">IFERROR(INDEX(Table_dim_price_recipe[Retail Price], MATCH(1, ("Calculator"&lt;&gt;Table_dim_price_recipe[Type.display])*($L727=Table_dim_price_recipe[Category])*($D727=Table_dim_price_recipe[Item Description]) * (J$6=Table_dim_price_recipe[Type])*(Table_dim_price_recipe[Retail Price]&lt;&gt;0)*($C727=Table_dim_price_recipe[Subcategory]), 0))*$B727,"")</f>
        <v/>
      </c>
      <c r="K727" s="39" cm="1">
        <f t="array" ref="K727">IFERROR(INDEX(Table_dim_price_recipe[Retail Price], MATCH(1, ("Calculator"&lt;&gt;Table_dim_price_recipe[Type.display])*($L727=Table_dim_price_recipe[Category])*($D727=Table_dim_price_recipe[Item Description]) * (K$6=Table_dim_price_recipe[Type])*(Table_dim_price_recipe[Retail Price]&lt;&gt;0)*($C727=Table_dim_price_recipe[Subcategory]), 0))*$B727,"")</f>
        <v>0</v>
      </c>
      <c r="L727" s="39" t="str" cm="1">
        <f t="array" ref="L727">IF($A727&lt;&gt;"", $A727, LOOKUP(2, 1/((A$7:INDEX(A:A, ROW()))&lt;&gt;""), A$7:INDEX(A:A, ROW())))</f>
        <v>CEILINGS &amp; WALLS</v>
      </c>
      <c r="M727" s="14"/>
    </row>
    <row r="728" spans="1:13">
      <c r="A728" s="263"/>
      <c r="B728" s="263"/>
      <c r="C728" s="263" t="s">
        <v>80</v>
      </c>
      <c r="D728" s="263" t="s">
        <v>1104</v>
      </c>
      <c r="E728" s="263"/>
      <c r="F728" s="263"/>
      <c r="G728" s="39" t="str" cm="1">
        <f t="array" ref="G728">IFERROR(INDEX(Table_dim_price_recipe[Retail Price], MATCH(1, ("Calculator"&lt;&gt;Table_dim_price_recipe[Type.display])*($L728=Table_dim_price_recipe[Category])*($D728=Table_dim_price_recipe[Item Description]) * (G$6=Table_dim_price_recipe[Type])*(Table_dim_price_recipe[Retail Price]&lt;&gt;0)*($C728=Table_dim_price_recipe[Subcategory]), 0))*$B728,"")</f>
        <v/>
      </c>
      <c r="H728" s="39" t="str" cm="1">
        <f t="array" ref="H728">IFERROR(INDEX(Table_dim_price_recipe[Retail Price], MATCH(1, ("Calculator"&lt;&gt;Table_dim_price_recipe[Type.display])*($L728=Table_dim_price_recipe[Category])*($D728=Table_dim_price_recipe[Item Description]) * (H$6=Table_dim_price_recipe[Type])*(Table_dim_price_recipe[Retail Price]&lt;&gt;0)*($C728=Table_dim_price_recipe[Subcategory]), 0))*$B728,"")</f>
        <v/>
      </c>
      <c r="I728" s="39" t="str" cm="1">
        <f t="array" ref="I728">IFERROR(INDEX(Table_dim_price_recipe[Retail Price], MATCH(1, ("Calculator"&lt;&gt;Table_dim_price_recipe[Type.display])*($L728=Table_dim_price_recipe[Category])*($D728=Table_dim_price_recipe[Item Description]) * (I$6=Table_dim_price_recipe[Type])*(Table_dim_price_recipe[Retail Price]&lt;&gt;0)*($C728=Table_dim_price_recipe[Subcategory]), 0))*$B728,"")</f>
        <v/>
      </c>
      <c r="J728" s="39" t="str" cm="1">
        <f t="array" ref="J728">IFERROR(INDEX(Table_dim_price_recipe[Retail Price], MATCH(1, ("Calculator"&lt;&gt;Table_dim_price_recipe[Type.display])*($L728=Table_dim_price_recipe[Category])*($D728=Table_dim_price_recipe[Item Description]) * (J$6=Table_dim_price_recipe[Type])*(Table_dim_price_recipe[Retail Price]&lt;&gt;0)*($C728=Table_dim_price_recipe[Subcategory]), 0))*$B728,"")</f>
        <v/>
      </c>
      <c r="K728" s="39" cm="1">
        <f t="array" ref="K728">IFERROR(INDEX(Table_dim_price_recipe[Retail Price], MATCH(1, ("Calculator"&lt;&gt;Table_dim_price_recipe[Type.display])*($L728=Table_dim_price_recipe[Category])*($D728=Table_dim_price_recipe[Item Description]) * (K$6=Table_dim_price_recipe[Type])*(Table_dim_price_recipe[Retail Price]&lt;&gt;0)*($C728=Table_dim_price_recipe[Subcategory]), 0))*$B728,"")</f>
        <v>0</v>
      </c>
      <c r="L728" s="39" t="str" cm="1">
        <f t="array" ref="L728">IF($A728&lt;&gt;"", $A728, LOOKUP(2, 1/((A$7:INDEX(A:A, ROW()))&lt;&gt;""), A$7:INDEX(A:A, ROW())))</f>
        <v>CEILINGS &amp; WALLS</v>
      </c>
      <c r="M728" s="14"/>
    </row>
    <row r="729" spans="1:13">
      <c r="A729" s="263"/>
      <c r="B729" s="263"/>
      <c r="C729" s="263" t="s">
        <v>80</v>
      </c>
      <c r="D729" s="263"/>
      <c r="E729" s="263"/>
      <c r="F729" s="263"/>
      <c r="G729" s="39" t="str" cm="1">
        <f t="array" ref="G729">IFERROR(INDEX(Table_dim_price_recipe[Retail Price], MATCH(1, ("Calculator"&lt;&gt;Table_dim_price_recipe[Type.display])*($L729=Table_dim_price_recipe[Category])*($D729=Table_dim_price_recipe[Item Description]) * (G$6=Table_dim_price_recipe[Type])*(Table_dim_price_recipe[Retail Price]&lt;&gt;0)*($C729=Table_dim_price_recipe[Subcategory]), 0))*$B729,"")</f>
        <v/>
      </c>
      <c r="H729" s="39" t="str" cm="1">
        <f t="array" ref="H729">IFERROR(INDEX(Table_dim_price_recipe[Retail Price], MATCH(1, ("Calculator"&lt;&gt;Table_dim_price_recipe[Type.display])*($L729=Table_dim_price_recipe[Category])*($D729=Table_dim_price_recipe[Item Description]) * (H$6=Table_dim_price_recipe[Type])*(Table_dim_price_recipe[Retail Price]&lt;&gt;0)*($C729=Table_dim_price_recipe[Subcategory]), 0))*$B729,"")</f>
        <v/>
      </c>
      <c r="I729" s="39" t="str" cm="1">
        <f t="array" ref="I729">IFERROR(INDEX(Table_dim_price_recipe[Retail Price], MATCH(1, ("Calculator"&lt;&gt;Table_dim_price_recipe[Type.display])*($L729=Table_dim_price_recipe[Category])*($D729=Table_dim_price_recipe[Item Description]) * (I$6=Table_dim_price_recipe[Type])*(Table_dim_price_recipe[Retail Price]&lt;&gt;0)*($C729=Table_dim_price_recipe[Subcategory]), 0))*$B729,"")</f>
        <v/>
      </c>
      <c r="J729" s="39" t="str" cm="1">
        <f t="array" ref="J729">IFERROR(INDEX(Table_dim_price_recipe[Retail Price], MATCH(1, ("Calculator"&lt;&gt;Table_dim_price_recipe[Type.display])*($L729=Table_dim_price_recipe[Category])*($D729=Table_dim_price_recipe[Item Description]) * (J$6=Table_dim_price_recipe[Type])*(Table_dim_price_recipe[Retail Price]&lt;&gt;0)*($C729=Table_dim_price_recipe[Subcategory]), 0))*$B729,"")</f>
        <v/>
      </c>
      <c r="K729" s="39" t="str" cm="1">
        <f t="array" ref="K729">IFERROR(INDEX(Table_dim_price_recipe[Retail Price], MATCH(1, ("Calculator"&lt;&gt;Table_dim_price_recipe[Type.display])*($L729=Table_dim_price_recipe[Category])*($D729=Table_dim_price_recipe[Item Description]) * (K$6=Table_dim_price_recipe[Type])*(Table_dim_price_recipe[Retail Price]&lt;&gt;0)*($C729=Table_dim_price_recipe[Subcategory]), 0))*$B729,"")</f>
        <v/>
      </c>
      <c r="L729" s="39" t="str" cm="1">
        <f t="array" ref="L729">IF($A729&lt;&gt;"", $A729, LOOKUP(2, 1/((A$7:INDEX(A:A, ROW()))&lt;&gt;""), A$7:INDEX(A:A, ROW())))</f>
        <v>CEILINGS &amp; WALLS</v>
      </c>
      <c r="M729" s="14"/>
    </row>
    <row r="730" spans="1:13">
      <c r="A730" s="263"/>
      <c r="B730" s="263"/>
      <c r="C730" s="263" t="s">
        <v>80</v>
      </c>
      <c r="D730" s="263"/>
      <c r="E730" s="263"/>
      <c r="F730" s="263"/>
      <c r="G730" s="39" t="str" cm="1">
        <f t="array" ref="G730">IFERROR(INDEX(Table_dim_price_recipe[Retail Price], MATCH(1, ("Calculator"&lt;&gt;Table_dim_price_recipe[Type.display])*($L730=Table_dim_price_recipe[Category])*($D730=Table_dim_price_recipe[Item Description]) * (G$6=Table_dim_price_recipe[Type])*(Table_dim_price_recipe[Retail Price]&lt;&gt;0)*($C730=Table_dim_price_recipe[Subcategory]), 0))*$B730,"")</f>
        <v/>
      </c>
      <c r="H730" s="39" t="str" cm="1">
        <f t="array" ref="H730">IFERROR(INDEX(Table_dim_price_recipe[Retail Price], MATCH(1, ("Calculator"&lt;&gt;Table_dim_price_recipe[Type.display])*($L730=Table_dim_price_recipe[Category])*($D730=Table_dim_price_recipe[Item Description]) * (H$6=Table_dim_price_recipe[Type])*(Table_dim_price_recipe[Retail Price]&lt;&gt;0)*($C730=Table_dim_price_recipe[Subcategory]), 0))*$B730,"")</f>
        <v/>
      </c>
      <c r="I730" s="39" t="str" cm="1">
        <f t="array" ref="I730">IFERROR(INDEX(Table_dim_price_recipe[Retail Price], MATCH(1, ("Calculator"&lt;&gt;Table_dim_price_recipe[Type.display])*($L730=Table_dim_price_recipe[Category])*($D730=Table_dim_price_recipe[Item Description]) * (I$6=Table_dim_price_recipe[Type])*(Table_dim_price_recipe[Retail Price]&lt;&gt;0)*($C730=Table_dim_price_recipe[Subcategory]), 0))*$B730,"")</f>
        <v/>
      </c>
      <c r="J730" s="39" t="str" cm="1">
        <f t="array" ref="J730">IFERROR(INDEX(Table_dim_price_recipe[Retail Price], MATCH(1, ("Calculator"&lt;&gt;Table_dim_price_recipe[Type.display])*($L730=Table_dim_price_recipe[Category])*($D730=Table_dim_price_recipe[Item Description]) * (J$6=Table_dim_price_recipe[Type])*(Table_dim_price_recipe[Retail Price]&lt;&gt;0)*($C730=Table_dim_price_recipe[Subcategory]), 0))*$B730,"")</f>
        <v/>
      </c>
      <c r="K730" s="39" t="str" cm="1">
        <f t="array" ref="K730">IFERROR(INDEX(Table_dim_price_recipe[Retail Price], MATCH(1, ("Calculator"&lt;&gt;Table_dim_price_recipe[Type.display])*($L730=Table_dim_price_recipe[Category])*($D730=Table_dim_price_recipe[Item Description]) * (K$6=Table_dim_price_recipe[Type])*(Table_dim_price_recipe[Retail Price]&lt;&gt;0)*($C730=Table_dim_price_recipe[Subcategory]), 0))*$B730,"")</f>
        <v/>
      </c>
      <c r="L730" s="39" t="str" cm="1">
        <f t="array" ref="L730">IF($A730&lt;&gt;"", $A730, LOOKUP(2, 1/((A$7:INDEX(A:A, ROW()))&lt;&gt;""), A$7:INDEX(A:A, ROW())))</f>
        <v>CEILINGS &amp; WALLS</v>
      </c>
      <c r="M730" s="14"/>
    </row>
    <row r="731" spans="1:13">
      <c r="A731" s="263"/>
      <c r="B731" s="263"/>
      <c r="C731" s="263" t="s">
        <v>512</v>
      </c>
      <c r="D731" s="263" t="s">
        <v>513</v>
      </c>
      <c r="E731" s="263" t="s">
        <v>512</v>
      </c>
      <c r="F731" s="263"/>
      <c r="G731" s="39" t="str" cm="1">
        <f t="array" ref="G731">IFERROR(INDEX(Table_dim_price_recipe[Retail Price], MATCH(1, ("Calculator"&lt;&gt;Table_dim_price_recipe[Type.display])*($L731=Table_dim_price_recipe[Category])*($D731=Table_dim_price_recipe[Item Description]) * (G$6=Table_dim_price_recipe[Type])*(Table_dim_price_recipe[Retail Price]&lt;&gt;0)*($C731=Table_dim_price_recipe[Subcategory]), 0))*$B731,"")</f>
        <v/>
      </c>
      <c r="H731" s="39" t="str" cm="1">
        <f t="array" ref="H731">IFERROR(INDEX(Table_dim_price_recipe[Retail Price], MATCH(1, ("Calculator"&lt;&gt;Table_dim_price_recipe[Type.display])*($L731=Table_dim_price_recipe[Category])*($D731=Table_dim_price_recipe[Item Description]) * (H$6=Table_dim_price_recipe[Type])*(Table_dim_price_recipe[Retail Price]&lt;&gt;0)*($C731=Table_dim_price_recipe[Subcategory]), 0))*$B731,"")</f>
        <v/>
      </c>
      <c r="I731" s="39" t="str" cm="1">
        <f t="array" ref="I731">IFERROR(INDEX(Table_dim_price_recipe[Retail Price], MATCH(1, ("Calculator"&lt;&gt;Table_dim_price_recipe[Type.display])*($L731=Table_dim_price_recipe[Category])*($D731=Table_dim_price_recipe[Item Description]) * (I$6=Table_dim_price_recipe[Type])*(Table_dim_price_recipe[Retail Price]&lt;&gt;0)*($C731=Table_dim_price_recipe[Subcategory]), 0))*$B731,"")</f>
        <v/>
      </c>
      <c r="J731" s="39" t="str" cm="1">
        <f t="array" ref="J731">IFERROR(INDEX(Table_dim_price_recipe[Retail Price], MATCH(1, ("Calculator"&lt;&gt;Table_dim_price_recipe[Type.display])*($L731=Table_dim_price_recipe[Category])*($D731=Table_dim_price_recipe[Item Description]) * (J$6=Table_dim_price_recipe[Type])*(Table_dim_price_recipe[Retail Price]&lt;&gt;0)*($C731=Table_dim_price_recipe[Subcategory]), 0))*$B731,"")</f>
        <v/>
      </c>
      <c r="K731" s="39" t="str" cm="1">
        <f t="array" ref="K731">IFERROR(INDEX(Table_dim_price_recipe[Retail Price], MATCH(1, ("Calculator"&lt;&gt;Table_dim_price_recipe[Type.display])*($L731=Table_dim_price_recipe[Category])*($D731=Table_dim_price_recipe[Item Description]) * (K$6=Table_dim_price_recipe[Type])*(Table_dim_price_recipe[Retail Price]&lt;&gt;0)*($C731=Table_dim_price_recipe[Subcategory]), 0))*$B731,"")</f>
        <v/>
      </c>
      <c r="L731" s="39" t="str" cm="1">
        <f t="array" ref="L731">IF($A731&lt;&gt;"", $A731, LOOKUP(2, 1/((A$7:INDEX(A:A, ROW()))&lt;&gt;""), A$7:INDEX(A:A, ROW())))</f>
        <v>CEILINGS &amp; WALLS</v>
      </c>
      <c r="M731" s="14"/>
    </row>
    <row r="732" spans="1:13">
      <c r="A732" s="263"/>
      <c r="B732" s="263"/>
      <c r="C732" s="263" t="s">
        <v>512</v>
      </c>
      <c r="D732" s="263"/>
      <c r="E732" s="263"/>
      <c r="F732" s="263"/>
      <c r="G732" s="39" t="str" cm="1">
        <f t="array" ref="G732">IFERROR(INDEX(Table_dim_price_recipe[Retail Price], MATCH(1, ("Calculator"&lt;&gt;Table_dim_price_recipe[Type.display])*($L732=Table_dim_price_recipe[Category])*($D732=Table_dim_price_recipe[Item Description]) * (G$6=Table_dim_price_recipe[Type])*(Table_dim_price_recipe[Retail Price]&lt;&gt;0)*($C732=Table_dim_price_recipe[Subcategory]), 0))*$B732,"")</f>
        <v/>
      </c>
      <c r="H732" s="39" t="str" cm="1">
        <f t="array" ref="H732">IFERROR(INDEX(Table_dim_price_recipe[Retail Price], MATCH(1, ("Calculator"&lt;&gt;Table_dim_price_recipe[Type.display])*($L732=Table_dim_price_recipe[Category])*($D732=Table_dim_price_recipe[Item Description]) * (H$6=Table_dim_price_recipe[Type])*(Table_dim_price_recipe[Retail Price]&lt;&gt;0)*($C732=Table_dim_price_recipe[Subcategory]), 0))*$B732,"")</f>
        <v/>
      </c>
      <c r="I732" s="39" t="str" cm="1">
        <f t="array" ref="I732">IFERROR(INDEX(Table_dim_price_recipe[Retail Price], MATCH(1, ("Calculator"&lt;&gt;Table_dim_price_recipe[Type.display])*($L732=Table_dim_price_recipe[Category])*($D732=Table_dim_price_recipe[Item Description]) * (I$6=Table_dim_price_recipe[Type])*(Table_dim_price_recipe[Retail Price]&lt;&gt;0)*($C732=Table_dim_price_recipe[Subcategory]), 0))*$B732,"")</f>
        <v/>
      </c>
      <c r="J732" s="39" t="str" cm="1">
        <f t="array" ref="J732">IFERROR(INDEX(Table_dim_price_recipe[Retail Price], MATCH(1, ("Calculator"&lt;&gt;Table_dim_price_recipe[Type.display])*($L732=Table_dim_price_recipe[Category])*($D732=Table_dim_price_recipe[Item Description]) * (J$6=Table_dim_price_recipe[Type])*(Table_dim_price_recipe[Retail Price]&lt;&gt;0)*($C732=Table_dim_price_recipe[Subcategory]), 0))*$B732,"")</f>
        <v/>
      </c>
      <c r="K732" s="39" t="str" cm="1">
        <f t="array" ref="K732">IFERROR(INDEX(Table_dim_price_recipe[Retail Price], MATCH(1, ("Calculator"&lt;&gt;Table_dim_price_recipe[Type.display])*($L732=Table_dim_price_recipe[Category])*($D732=Table_dim_price_recipe[Item Description]) * (K$6=Table_dim_price_recipe[Type])*(Table_dim_price_recipe[Retail Price]&lt;&gt;0)*($C732=Table_dim_price_recipe[Subcategory]), 0))*$B732,"")</f>
        <v/>
      </c>
      <c r="L732" s="39" t="str" cm="1">
        <f t="array" ref="L732">IF($A732&lt;&gt;"", $A732, LOOKUP(2, 1/((A$7:INDEX(A:A, ROW()))&lt;&gt;""), A$7:INDEX(A:A, ROW())))</f>
        <v>CEILINGS &amp; WALLS</v>
      </c>
      <c r="M732" s="14"/>
    </row>
    <row r="733" spans="1:13">
      <c r="A733" s="263"/>
      <c r="B733" s="263"/>
      <c r="C733" s="263" t="s">
        <v>512</v>
      </c>
      <c r="D733" s="263"/>
      <c r="E733" s="263"/>
      <c r="F733" s="263"/>
      <c r="G733" s="39" t="str" cm="1">
        <f t="array" ref="G733">IFERROR(INDEX(Table_dim_price_recipe[Retail Price], MATCH(1, ("Calculator"&lt;&gt;Table_dim_price_recipe[Type.display])*($L733=Table_dim_price_recipe[Category])*($D733=Table_dim_price_recipe[Item Description]) * (G$6=Table_dim_price_recipe[Type])*(Table_dim_price_recipe[Retail Price]&lt;&gt;0)*($C733=Table_dim_price_recipe[Subcategory]), 0))*$B733,"")</f>
        <v/>
      </c>
      <c r="H733" s="39" t="str" cm="1">
        <f t="array" ref="H733">IFERROR(INDEX(Table_dim_price_recipe[Retail Price], MATCH(1, ("Calculator"&lt;&gt;Table_dim_price_recipe[Type.display])*($L733=Table_dim_price_recipe[Category])*($D733=Table_dim_price_recipe[Item Description]) * (H$6=Table_dim_price_recipe[Type])*(Table_dim_price_recipe[Retail Price]&lt;&gt;0)*($C733=Table_dim_price_recipe[Subcategory]), 0))*$B733,"")</f>
        <v/>
      </c>
      <c r="I733" s="39" t="str" cm="1">
        <f t="array" ref="I733">IFERROR(INDEX(Table_dim_price_recipe[Retail Price], MATCH(1, ("Calculator"&lt;&gt;Table_dim_price_recipe[Type.display])*($L733=Table_dim_price_recipe[Category])*($D733=Table_dim_price_recipe[Item Description]) * (I$6=Table_dim_price_recipe[Type])*(Table_dim_price_recipe[Retail Price]&lt;&gt;0)*($C733=Table_dim_price_recipe[Subcategory]), 0))*$B733,"")</f>
        <v/>
      </c>
      <c r="J733" s="39" t="str" cm="1">
        <f t="array" ref="J733">IFERROR(INDEX(Table_dim_price_recipe[Retail Price], MATCH(1, ("Calculator"&lt;&gt;Table_dim_price_recipe[Type.display])*($L733=Table_dim_price_recipe[Category])*($D733=Table_dim_price_recipe[Item Description]) * (J$6=Table_dim_price_recipe[Type])*(Table_dim_price_recipe[Retail Price]&lt;&gt;0)*($C733=Table_dim_price_recipe[Subcategory]), 0))*$B733,"")</f>
        <v/>
      </c>
      <c r="K733" s="39" t="str" cm="1">
        <f t="array" ref="K733">IFERROR(INDEX(Table_dim_price_recipe[Retail Price], MATCH(1, ("Calculator"&lt;&gt;Table_dim_price_recipe[Type.display])*($L733=Table_dim_price_recipe[Category])*($D733=Table_dim_price_recipe[Item Description]) * (K$6=Table_dim_price_recipe[Type])*(Table_dim_price_recipe[Retail Price]&lt;&gt;0)*($C733=Table_dim_price_recipe[Subcategory]), 0))*$B733,"")</f>
        <v/>
      </c>
      <c r="L733" s="39" t="str" cm="1">
        <f t="array" ref="L733">IF($A733&lt;&gt;"", $A733, LOOKUP(2, 1/((A$7:INDEX(A:A, ROW()))&lt;&gt;""), A$7:INDEX(A:A, ROW())))</f>
        <v>CEILINGS &amp; WALLS</v>
      </c>
      <c r="M733" s="14"/>
    </row>
    <row r="734" spans="1:13">
      <c r="A734" s="263"/>
      <c r="B734" s="263"/>
      <c r="C734" s="263" t="s">
        <v>141</v>
      </c>
      <c r="D734" s="263" t="s">
        <v>1133</v>
      </c>
      <c r="E734" s="263"/>
      <c r="F734" s="263"/>
      <c r="G734" s="39" cm="1">
        <f t="array" ref="G734">IFERROR(INDEX(Table_dim_price_recipe[Retail Price], MATCH(1, ("Calculator"&lt;&gt;Table_dim_price_recipe[Type.display])*($L734=Table_dim_price_recipe[Category])*($D734=Table_dim_price_recipe[Item Description]) * (G$6=Table_dim_price_recipe[Type])*(Table_dim_price_recipe[Retail Price]&lt;&gt;0)*($C734=Table_dim_price_recipe[Subcategory]), 0))*$B734,"")</f>
        <v>0</v>
      </c>
      <c r="H734" s="39" t="str" cm="1">
        <f t="array" ref="H734">IFERROR(INDEX(Table_dim_price_recipe[Retail Price], MATCH(1, ("Calculator"&lt;&gt;Table_dim_price_recipe[Type.display])*($L734=Table_dim_price_recipe[Category])*($D734=Table_dim_price_recipe[Item Description]) * (H$6=Table_dim_price_recipe[Type])*(Table_dim_price_recipe[Retail Price]&lt;&gt;0)*($C734=Table_dim_price_recipe[Subcategory]), 0))*$B734,"")</f>
        <v/>
      </c>
      <c r="I734" s="39" t="str" cm="1">
        <f t="array" ref="I734">IFERROR(INDEX(Table_dim_price_recipe[Retail Price], MATCH(1, ("Calculator"&lt;&gt;Table_dim_price_recipe[Type.display])*($L734=Table_dim_price_recipe[Category])*($D734=Table_dim_price_recipe[Item Description]) * (I$6=Table_dim_price_recipe[Type])*(Table_dim_price_recipe[Retail Price]&lt;&gt;0)*($C734=Table_dim_price_recipe[Subcategory]), 0))*$B734,"")</f>
        <v/>
      </c>
      <c r="J734" s="39" t="str" cm="1">
        <f t="array" ref="J734">IFERROR(INDEX(Table_dim_price_recipe[Retail Price], MATCH(1, ("Calculator"&lt;&gt;Table_dim_price_recipe[Type.display])*($L734=Table_dim_price_recipe[Category])*($D734=Table_dim_price_recipe[Item Description]) * (J$6=Table_dim_price_recipe[Type])*(Table_dim_price_recipe[Retail Price]&lt;&gt;0)*($C734=Table_dim_price_recipe[Subcategory]), 0))*$B734,"")</f>
        <v/>
      </c>
      <c r="K734" s="39" t="str" cm="1">
        <f t="array" ref="K734">IFERROR(INDEX(Table_dim_price_recipe[Retail Price], MATCH(1, ("Calculator"&lt;&gt;Table_dim_price_recipe[Type.display])*($L734=Table_dim_price_recipe[Category])*($D734=Table_dim_price_recipe[Item Description]) * (K$6=Table_dim_price_recipe[Type])*(Table_dim_price_recipe[Retail Price]&lt;&gt;0)*($C734=Table_dim_price_recipe[Subcategory]), 0))*$B734,"")</f>
        <v/>
      </c>
      <c r="L734" s="39" t="str" cm="1">
        <f t="array" ref="L734">IF($A734&lt;&gt;"", $A734, LOOKUP(2, 1/((A$7:INDEX(A:A, ROW()))&lt;&gt;""), A$7:INDEX(A:A, ROW())))</f>
        <v>CEILINGS &amp; WALLS</v>
      </c>
      <c r="M734" s="14"/>
    </row>
    <row r="735" spans="1:13">
      <c r="A735" s="263"/>
      <c r="B735" s="263"/>
      <c r="C735" s="263" t="s">
        <v>141</v>
      </c>
      <c r="D735" s="263" t="s">
        <v>86</v>
      </c>
      <c r="E735" s="263"/>
      <c r="F735" s="263"/>
      <c r="G735" s="39" cm="1">
        <f t="array" ref="G735">IFERROR(INDEX(Table_dim_price_recipe[Retail Price], MATCH(1, ("Calculator"&lt;&gt;Table_dim_price_recipe[Type.display])*($L735=Table_dim_price_recipe[Category])*($D735=Table_dim_price_recipe[Item Description]) * (G$6=Table_dim_price_recipe[Type])*(Table_dim_price_recipe[Retail Price]&lt;&gt;0)*($C735=Table_dim_price_recipe[Subcategory]), 0))*$B735,"")</f>
        <v>0</v>
      </c>
      <c r="H735" s="39" t="str" cm="1">
        <f t="array" ref="H735">IFERROR(INDEX(Table_dim_price_recipe[Retail Price], MATCH(1, ("Calculator"&lt;&gt;Table_dim_price_recipe[Type.display])*($L735=Table_dim_price_recipe[Category])*($D735=Table_dim_price_recipe[Item Description]) * (H$6=Table_dim_price_recipe[Type])*(Table_dim_price_recipe[Retail Price]&lt;&gt;0)*($C735=Table_dim_price_recipe[Subcategory]), 0))*$B735,"")</f>
        <v/>
      </c>
      <c r="I735" s="39" t="str" cm="1">
        <f t="array" ref="I735">IFERROR(INDEX(Table_dim_price_recipe[Retail Price], MATCH(1, ("Calculator"&lt;&gt;Table_dim_price_recipe[Type.display])*($L735=Table_dim_price_recipe[Category])*($D735=Table_dim_price_recipe[Item Description]) * (I$6=Table_dim_price_recipe[Type])*(Table_dim_price_recipe[Retail Price]&lt;&gt;0)*($C735=Table_dim_price_recipe[Subcategory]), 0))*$B735,"")</f>
        <v/>
      </c>
      <c r="J735" s="39" t="str" cm="1">
        <f t="array" ref="J735">IFERROR(INDEX(Table_dim_price_recipe[Retail Price], MATCH(1, ("Calculator"&lt;&gt;Table_dim_price_recipe[Type.display])*($L735=Table_dim_price_recipe[Category])*($D735=Table_dim_price_recipe[Item Description]) * (J$6=Table_dim_price_recipe[Type])*(Table_dim_price_recipe[Retail Price]&lt;&gt;0)*($C735=Table_dim_price_recipe[Subcategory]), 0))*$B735,"")</f>
        <v/>
      </c>
      <c r="K735" s="39" t="str" cm="1">
        <f t="array" ref="K735">IFERROR(INDEX(Table_dim_price_recipe[Retail Price], MATCH(1, ("Calculator"&lt;&gt;Table_dim_price_recipe[Type.display])*($L735=Table_dim_price_recipe[Category])*($D735=Table_dim_price_recipe[Item Description]) * (K$6=Table_dim_price_recipe[Type])*(Table_dim_price_recipe[Retail Price]&lt;&gt;0)*($C735=Table_dim_price_recipe[Subcategory]), 0))*$B735,"")</f>
        <v/>
      </c>
      <c r="L735" s="39" t="str" cm="1">
        <f t="array" ref="L735">IF($A735&lt;&gt;"", $A735, LOOKUP(2, 1/((A$7:INDEX(A:A, ROW()))&lt;&gt;""), A$7:INDEX(A:A, ROW())))</f>
        <v>CEILINGS &amp; WALLS</v>
      </c>
      <c r="M735" s="14"/>
    </row>
    <row r="736" spans="1:13">
      <c r="A736" s="263"/>
      <c r="B736" s="263"/>
      <c r="C736" s="263" t="s">
        <v>141</v>
      </c>
      <c r="D736" s="263" t="s">
        <v>1134</v>
      </c>
      <c r="E736" s="263"/>
      <c r="F736" s="263"/>
      <c r="G736" s="39" cm="1">
        <f t="array" ref="G736">IFERROR(INDEX(Table_dim_price_recipe[Retail Price], MATCH(1, ("Calculator"&lt;&gt;Table_dim_price_recipe[Type.display])*($L736=Table_dim_price_recipe[Category])*($D736=Table_dim_price_recipe[Item Description]) * (G$6=Table_dim_price_recipe[Type])*(Table_dim_price_recipe[Retail Price]&lt;&gt;0)*($C736=Table_dim_price_recipe[Subcategory]), 0))*$B736,"")</f>
        <v>0</v>
      </c>
      <c r="H736" s="39" t="str" cm="1">
        <f t="array" ref="H736">IFERROR(INDEX(Table_dim_price_recipe[Retail Price], MATCH(1, ("Calculator"&lt;&gt;Table_dim_price_recipe[Type.display])*($L736=Table_dim_price_recipe[Category])*($D736=Table_dim_price_recipe[Item Description]) * (H$6=Table_dim_price_recipe[Type])*(Table_dim_price_recipe[Retail Price]&lt;&gt;0)*($C736=Table_dim_price_recipe[Subcategory]), 0))*$B736,"")</f>
        <v/>
      </c>
      <c r="I736" s="39" t="str" cm="1">
        <f t="array" ref="I736">IFERROR(INDEX(Table_dim_price_recipe[Retail Price], MATCH(1, ("Calculator"&lt;&gt;Table_dim_price_recipe[Type.display])*($L736=Table_dim_price_recipe[Category])*($D736=Table_dim_price_recipe[Item Description]) * (I$6=Table_dim_price_recipe[Type])*(Table_dim_price_recipe[Retail Price]&lt;&gt;0)*($C736=Table_dim_price_recipe[Subcategory]), 0))*$B736,"")</f>
        <v/>
      </c>
      <c r="J736" s="39" t="str" cm="1">
        <f t="array" ref="J736">IFERROR(INDEX(Table_dim_price_recipe[Retail Price], MATCH(1, ("Calculator"&lt;&gt;Table_dim_price_recipe[Type.display])*($L736=Table_dim_price_recipe[Category])*($D736=Table_dim_price_recipe[Item Description]) * (J$6=Table_dim_price_recipe[Type])*(Table_dim_price_recipe[Retail Price]&lt;&gt;0)*($C736=Table_dim_price_recipe[Subcategory]), 0))*$B736,"")</f>
        <v/>
      </c>
      <c r="K736" s="39" t="str" cm="1">
        <f t="array" ref="K736">IFERROR(INDEX(Table_dim_price_recipe[Retail Price], MATCH(1, ("Calculator"&lt;&gt;Table_dim_price_recipe[Type.display])*($L736=Table_dim_price_recipe[Category])*($D736=Table_dim_price_recipe[Item Description]) * (K$6=Table_dim_price_recipe[Type])*(Table_dim_price_recipe[Retail Price]&lt;&gt;0)*($C736=Table_dim_price_recipe[Subcategory]), 0))*$B736,"")</f>
        <v/>
      </c>
      <c r="L736" s="39" t="str" cm="1">
        <f t="array" ref="L736">IF($A736&lt;&gt;"", $A736, LOOKUP(2, 1/((A$7:INDEX(A:A, ROW()))&lt;&gt;""), A$7:INDEX(A:A, ROW())))</f>
        <v>CEILINGS &amp; WALLS</v>
      </c>
      <c r="M736" s="14"/>
    </row>
    <row r="737" spans="1:13">
      <c r="A737" s="263"/>
      <c r="B737" s="263"/>
      <c r="C737" s="263" t="s">
        <v>141</v>
      </c>
      <c r="D737" s="263"/>
      <c r="E737" s="263"/>
      <c r="F737" s="263"/>
      <c r="G737" s="39" t="str" cm="1">
        <f t="array" ref="G737">IFERROR(INDEX(Table_dim_price_recipe[Retail Price], MATCH(1, ("Calculator"&lt;&gt;Table_dim_price_recipe[Type.display])*($L737=Table_dim_price_recipe[Category])*($D737=Table_dim_price_recipe[Item Description]) * (G$6=Table_dim_price_recipe[Type])*(Table_dim_price_recipe[Retail Price]&lt;&gt;0)*($C737=Table_dim_price_recipe[Subcategory]), 0))*$B737,"")</f>
        <v/>
      </c>
      <c r="H737" s="39" t="str" cm="1">
        <f t="array" ref="H737">IFERROR(INDEX(Table_dim_price_recipe[Retail Price], MATCH(1, ("Calculator"&lt;&gt;Table_dim_price_recipe[Type.display])*($L737=Table_dim_price_recipe[Category])*($D737=Table_dim_price_recipe[Item Description]) * (H$6=Table_dim_price_recipe[Type])*(Table_dim_price_recipe[Retail Price]&lt;&gt;0)*($C737=Table_dim_price_recipe[Subcategory]), 0))*$B737,"")</f>
        <v/>
      </c>
      <c r="I737" s="39" t="str" cm="1">
        <f t="array" ref="I737">IFERROR(INDEX(Table_dim_price_recipe[Retail Price], MATCH(1, ("Calculator"&lt;&gt;Table_dim_price_recipe[Type.display])*($L737=Table_dim_price_recipe[Category])*($D737=Table_dim_price_recipe[Item Description]) * (I$6=Table_dim_price_recipe[Type])*(Table_dim_price_recipe[Retail Price]&lt;&gt;0)*($C737=Table_dim_price_recipe[Subcategory]), 0))*$B737,"")</f>
        <v/>
      </c>
      <c r="J737" s="39" t="str" cm="1">
        <f t="array" ref="J737">IFERROR(INDEX(Table_dim_price_recipe[Retail Price], MATCH(1, ("Calculator"&lt;&gt;Table_dim_price_recipe[Type.display])*($L737=Table_dim_price_recipe[Category])*($D737=Table_dim_price_recipe[Item Description]) * (J$6=Table_dim_price_recipe[Type])*(Table_dim_price_recipe[Retail Price]&lt;&gt;0)*($C737=Table_dim_price_recipe[Subcategory]), 0))*$B737,"")</f>
        <v/>
      </c>
      <c r="K737" s="39" t="str" cm="1">
        <f t="array" ref="K737">IFERROR(INDEX(Table_dim_price_recipe[Retail Price], MATCH(1, ("Calculator"&lt;&gt;Table_dim_price_recipe[Type.display])*($L737=Table_dim_price_recipe[Category])*($D737=Table_dim_price_recipe[Item Description]) * (K$6=Table_dim_price_recipe[Type])*(Table_dim_price_recipe[Retail Price]&lt;&gt;0)*($C737=Table_dim_price_recipe[Subcategory]), 0))*$B737,"")</f>
        <v/>
      </c>
      <c r="L737" s="39" t="str" cm="1">
        <f t="array" ref="L737">IF($A737&lt;&gt;"", $A737, LOOKUP(2, 1/((A$7:INDEX(A:A, ROW()))&lt;&gt;""), A$7:INDEX(A:A, ROW())))</f>
        <v>CEILINGS &amp; WALLS</v>
      </c>
      <c r="M737" s="14"/>
    </row>
    <row r="738" spans="1:13">
      <c r="A738" s="263"/>
      <c r="B738" s="263"/>
      <c r="C738" s="263" t="s">
        <v>141</v>
      </c>
      <c r="D738" s="263"/>
      <c r="E738" s="263"/>
      <c r="F738" s="263"/>
      <c r="G738" s="39" t="str" cm="1">
        <f t="array" ref="G738">IFERROR(INDEX(Table_dim_price_recipe[Retail Price], MATCH(1, ("Calculator"&lt;&gt;Table_dim_price_recipe[Type.display])*($L738=Table_dim_price_recipe[Category])*($D738=Table_dim_price_recipe[Item Description]) * (G$6=Table_dim_price_recipe[Type])*(Table_dim_price_recipe[Retail Price]&lt;&gt;0)*($C738=Table_dim_price_recipe[Subcategory]), 0))*$B738,"")</f>
        <v/>
      </c>
      <c r="H738" s="39" t="str" cm="1">
        <f t="array" ref="H738">IFERROR(INDEX(Table_dim_price_recipe[Retail Price], MATCH(1, ("Calculator"&lt;&gt;Table_dim_price_recipe[Type.display])*($L738=Table_dim_price_recipe[Category])*($D738=Table_dim_price_recipe[Item Description]) * (H$6=Table_dim_price_recipe[Type])*(Table_dim_price_recipe[Retail Price]&lt;&gt;0)*($C738=Table_dim_price_recipe[Subcategory]), 0))*$B738,"")</f>
        <v/>
      </c>
      <c r="I738" s="39" t="str" cm="1">
        <f t="array" ref="I738">IFERROR(INDEX(Table_dim_price_recipe[Retail Price], MATCH(1, ("Calculator"&lt;&gt;Table_dim_price_recipe[Type.display])*($L738=Table_dim_price_recipe[Category])*($D738=Table_dim_price_recipe[Item Description]) * (I$6=Table_dim_price_recipe[Type])*(Table_dim_price_recipe[Retail Price]&lt;&gt;0)*($C738=Table_dim_price_recipe[Subcategory]), 0))*$B738,"")</f>
        <v/>
      </c>
      <c r="J738" s="39" t="str" cm="1">
        <f t="array" ref="J738">IFERROR(INDEX(Table_dim_price_recipe[Retail Price], MATCH(1, ("Calculator"&lt;&gt;Table_dim_price_recipe[Type.display])*($L738=Table_dim_price_recipe[Category])*($D738=Table_dim_price_recipe[Item Description]) * (J$6=Table_dim_price_recipe[Type])*(Table_dim_price_recipe[Retail Price]&lt;&gt;0)*($C738=Table_dim_price_recipe[Subcategory]), 0))*$B738,"")</f>
        <v/>
      </c>
      <c r="K738" s="39" t="str" cm="1">
        <f t="array" ref="K738">IFERROR(INDEX(Table_dim_price_recipe[Retail Price], MATCH(1, ("Calculator"&lt;&gt;Table_dim_price_recipe[Type.display])*($L738=Table_dim_price_recipe[Category])*($D738=Table_dim_price_recipe[Item Description]) * (K$6=Table_dim_price_recipe[Type])*(Table_dim_price_recipe[Retail Price]&lt;&gt;0)*($C738=Table_dim_price_recipe[Subcategory]), 0))*$B738,"")</f>
        <v/>
      </c>
      <c r="L738" s="39" t="str" cm="1">
        <f t="array" ref="L738">IF($A738&lt;&gt;"", $A738, LOOKUP(2, 1/((A$7:INDEX(A:A, ROW()))&lt;&gt;""), A$7:INDEX(A:A, ROW())))</f>
        <v>CEILINGS &amp; WALLS</v>
      </c>
      <c r="M738" s="14"/>
    </row>
    <row r="739" spans="1:13">
      <c r="A739" s="263"/>
      <c r="B739" s="263"/>
      <c r="C739" s="263" t="s">
        <v>409</v>
      </c>
      <c r="D739" s="263" t="s">
        <v>410</v>
      </c>
      <c r="E739" s="263" t="s">
        <v>1307</v>
      </c>
      <c r="F739" s="263"/>
      <c r="G739" s="39" t="str" cm="1">
        <f t="array" ref="G739">IFERROR(INDEX(Table_dim_price_recipe[Retail Price], MATCH(1, ("Calculator"&lt;&gt;Table_dim_price_recipe[Type.display])*($L739=Table_dim_price_recipe[Category])*($D739=Table_dim_price_recipe[Item Description]) * (G$6=Table_dim_price_recipe[Type])*(Table_dim_price_recipe[Retail Price]&lt;&gt;0)*($C739=Table_dim_price_recipe[Subcategory]), 0))*$B739,"")</f>
        <v/>
      </c>
      <c r="H739" s="39" t="str" cm="1">
        <f t="array" ref="H739">IFERROR(INDEX(Table_dim_price_recipe[Retail Price], MATCH(1, ("Calculator"&lt;&gt;Table_dim_price_recipe[Type.display])*($L739=Table_dim_price_recipe[Category])*($D739=Table_dim_price_recipe[Item Description]) * (H$6=Table_dim_price_recipe[Type])*(Table_dim_price_recipe[Retail Price]&lt;&gt;0)*($C739=Table_dim_price_recipe[Subcategory]), 0))*$B739,"")</f>
        <v/>
      </c>
      <c r="I739" s="39" t="str" cm="1">
        <f t="array" ref="I739">IFERROR(INDEX(Table_dim_price_recipe[Retail Price], MATCH(1, ("Calculator"&lt;&gt;Table_dim_price_recipe[Type.display])*($L739=Table_dim_price_recipe[Category])*($D739=Table_dim_price_recipe[Item Description]) * (I$6=Table_dim_price_recipe[Type])*(Table_dim_price_recipe[Retail Price]&lt;&gt;0)*($C739=Table_dim_price_recipe[Subcategory]), 0))*$B739,"")</f>
        <v/>
      </c>
      <c r="J739" s="39" t="str" cm="1">
        <f t="array" ref="J739">IFERROR(INDEX(Table_dim_price_recipe[Retail Price], MATCH(1, ("Calculator"&lt;&gt;Table_dim_price_recipe[Type.display])*($L739=Table_dim_price_recipe[Category])*($D739=Table_dim_price_recipe[Item Description]) * (J$6=Table_dim_price_recipe[Type])*(Table_dim_price_recipe[Retail Price]&lt;&gt;0)*($C739=Table_dim_price_recipe[Subcategory]), 0))*$B739,"")</f>
        <v/>
      </c>
      <c r="K739" s="39" t="str" cm="1">
        <f t="array" ref="K739">IFERROR(INDEX(Table_dim_price_recipe[Retail Price], MATCH(1, ("Calculator"&lt;&gt;Table_dim_price_recipe[Type.display])*($L739=Table_dim_price_recipe[Category])*($D739=Table_dim_price_recipe[Item Description]) * (K$6=Table_dim_price_recipe[Type])*(Table_dim_price_recipe[Retail Price]&lt;&gt;0)*($C739=Table_dim_price_recipe[Subcategory]), 0))*$B739,"")</f>
        <v/>
      </c>
      <c r="L739" s="39" t="str" cm="1">
        <f t="array" ref="L739">IF($A739&lt;&gt;"", $A739, LOOKUP(2, 1/((A$7:INDEX(A:A, ROW()))&lt;&gt;""), A$7:INDEX(A:A, ROW())))</f>
        <v>CEILINGS &amp; WALLS</v>
      </c>
      <c r="M739" s="14"/>
    </row>
    <row r="740" spans="1:13">
      <c r="A740" s="263"/>
      <c r="B740" s="263"/>
      <c r="C740" s="263" t="s">
        <v>409</v>
      </c>
      <c r="D740" s="263" t="s">
        <v>411</v>
      </c>
      <c r="E740" s="263" t="s">
        <v>1308</v>
      </c>
      <c r="F740" s="263"/>
      <c r="G740" s="39" cm="1">
        <f t="array" ref="G740">IFERROR(INDEX(Table_dim_price_recipe[Retail Price], MATCH(1, ("Calculator"&lt;&gt;Table_dim_price_recipe[Type.display])*($L740=Table_dim_price_recipe[Category])*($D740=Table_dim_price_recipe[Item Description]) * (G$6=Table_dim_price_recipe[Type])*(Table_dim_price_recipe[Retail Price]&lt;&gt;0)*($C740=Table_dim_price_recipe[Subcategory]), 0))*$B740,"")</f>
        <v>0</v>
      </c>
      <c r="H740" s="39" t="str" cm="1">
        <f t="array" ref="H740">IFERROR(INDEX(Table_dim_price_recipe[Retail Price], MATCH(1, ("Calculator"&lt;&gt;Table_dim_price_recipe[Type.display])*($L740=Table_dim_price_recipe[Category])*($D740=Table_dim_price_recipe[Item Description]) * (H$6=Table_dim_price_recipe[Type])*(Table_dim_price_recipe[Retail Price]&lt;&gt;0)*($C740=Table_dim_price_recipe[Subcategory]), 0))*$B740,"")</f>
        <v/>
      </c>
      <c r="I740" s="39" t="str" cm="1">
        <f t="array" ref="I740">IFERROR(INDEX(Table_dim_price_recipe[Retail Price], MATCH(1, ("Calculator"&lt;&gt;Table_dim_price_recipe[Type.display])*($L740=Table_dim_price_recipe[Category])*($D740=Table_dim_price_recipe[Item Description]) * (I$6=Table_dim_price_recipe[Type])*(Table_dim_price_recipe[Retail Price]&lt;&gt;0)*($C740=Table_dim_price_recipe[Subcategory]), 0))*$B740,"")</f>
        <v/>
      </c>
      <c r="J740" s="39" t="str" cm="1">
        <f t="array" ref="J740">IFERROR(INDEX(Table_dim_price_recipe[Retail Price], MATCH(1, ("Calculator"&lt;&gt;Table_dim_price_recipe[Type.display])*($L740=Table_dim_price_recipe[Category])*($D740=Table_dim_price_recipe[Item Description]) * (J$6=Table_dim_price_recipe[Type])*(Table_dim_price_recipe[Retail Price]&lt;&gt;0)*($C740=Table_dim_price_recipe[Subcategory]), 0))*$B740,"")</f>
        <v/>
      </c>
      <c r="K740" s="39" t="str" cm="1">
        <f t="array" ref="K740">IFERROR(INDEX(Table_dim_price_recipe[Retail Price], MATCH(1, ("Calculator"&lt;&gt;Table_dim_price_recipe[Type.display])*($L740=Table_dim_price_recipe[Category])*($D740=Table_dim_price_recipe[Item Description]) * (K$6=Table_dim_price_recipe[Type])*(Table_dim_price_recipe[Retail Price]&lt;&gt;0)*($C740=Table_dim_price_recipe[Subcategory]), 0))*$B740,"")</f>
        <v/>
      </c>
      <c r="L740" s="39" t="str" cm="1">
        <f t="array" ref="L740">IF($A740&lt;&gt;"", $A740, LOOKUP(2, 1/((A$7:INDEX(A:A, ROW()))&lt;&gt;""), A$7:INDEX(A:A, ROW())))</f>
        <v>CEILINGS &amp; WALLS</v>
      </c>
      <c r="M740" s="14"/>
    </row>
    <row r="741" spans="1:13">
      <c r="A741" s="263"/>
      <c r="B741" s="263"/>
      <c r="C741" s="263" t="s">
        <v>409</v>
      </c>
      <c r="D741" s="263" t="s">
        <v>414</v>
      </c>
      <c r="E741" s="263" t="s">
        <v>1309</v>
      </c>
      <c r="F741" s="263"/>
      <c r="G741" s="39" cm="1">
        <f t="array" ref="G741">IFERROR(INDEX(Table_dim_price_recipe[Retail Price], MATCH(1, ("Calculator"&lt;&gt;Table_dim_price_recipe[Type.display])*($L741=Table_dim_price_recipe[Category])*($D741=Table_dim_price_recipe[Item Description]) * (G$6=Table_dim_price_recipe[Type])*(Table_dim_price_recipe[Retail Price]&lt;&gt;0)*($C741=Table_dim_price_recipe[Subcategory]), 0))*$B741,"")</f>
        <v>0</v>
      </c>
      <c r="H741" s="39" t="str" cm="1">
        <f t="array" ref="H741">IFERROR(INDEX(Table_dim_price_recipe[Retail Price], MATCH(1, ("Calculator"&lt;&gt;Table_dim_price_recipe[Type.display])*($L741=Table_dim_price_recipe[Category])*($D741=Table_dim_price_recipe[Item Description]) * (H$6=Table_dim_price_recipe[Type])*(Table_dim_price_recipe[Retail Price]&lt;&gt;0)*($C741=Table_dim_price_recipe[Subcategory]), 0))*$B741,"")</f>
        <v/>
      </c>
      <c r="I741" s="39" t="str" cm="1">
        <f t="array" ref="I741">IFERROR(INDEX(Table_dim_price_recipe[Retail Price], MATCH(1, ("Calculator"&lt;&gt;Table_dim_price_recipe[Type.display])*($L741=Table_dim_price_recipe[Category])*($D741=Table_dim_price_recipe[Item Description]) * (I$6=Table_dim_price_recipe[Type])*(Table_dim_price_recipe[Retail Price]&lt;&gt;0)*($C741=Table_dim_price_recipe[Subcategory]), 0))*$B741,"")</f>
        <v/>
      </c>
      <c r="J741" s="39" t="str" cm="1">
        <f t="array" ref="J741">IFERROR(INDEX(Table_dim_price_recipe[Retail Price], MATCH(1, ("Calculator"&lt;&gt;Table_dim_price_recipe[Type.display])*($L741=Table_dim_price_recipe[Category])*($D741=Table_dim_price_recipe[Item Description]) * (J$6=Table_dim_price_recipe[Type])*(Table_dim_price_recipe[Retail Price]&lt;&gt;0)*($C741=Table_dim_price_recipe[Subcategory]), 0))*$B741,"")</f>
        <v/>
      </c>
      <c r="K741" s="39" t="str" cm="1">
        <f t="array" ref="K741">IFERROR(INDEX(Table_dim_price_recipe[Retail Price], MATCH(1, ("Calculator"&lt;&gt;Table_dim_price_recipe[Type.display])*($L741=Table_dim_price_recipe[Category])*($D741=Table_dim_price_recipe[Item Description]) * (K$6=Table_dim_price_recipe[Type])*(Table_dim_price_recipe[Retail Price]&lt;&gt;0)*($C741=Table_dim_price_recipe[Subcategory]), 0))*$B741,"")</f>
        <v/>
      </c>
      <c r="L741" s="39" t="str" cm="1">
        <f t="array" ref="L741">IF($A741&lt;&gt;"", $A741, LOOKUP(2, 1/((A$7:INDEX(A:A, ROW()))&lt;&gt;""), A$7:INDEX(A:A, ROW())))</f>
        <v>CEILINGS &amp; WALLS</v>
      </c>
      <c r="M741" s="14"/>
    </row>
    <row r="742" spans="1:13">
      <c r="A742" s="263"/>
      <c r="B742" s="263"/>
      <c r="C742" s="263" t="s">
        <v>409</v>
      </c>
      <c r="D742" s="263" t="s">
        <v>413</v>
      </c>
      <c r="E742" s="263" t="s">
        <v>1310</v>
      </c>
      <c r="F742" s="263"/>
      <c r="G742" s="39" cm="1">
        <f t="array" ref="G742">IFERROR(INDEX(Table_dim_price_recipe[Retail Price], MATCH(1, ("Calculator"&lt;&gt;Table_dim_price_recipe[Type.display])*($L742=Table_dim_price_recipe[Category])*($D742=Table_dim_price_recipe[Item Description]) * (G$6=Table_dim_price_recipe[Type])*(Table_dim_price_recipe[Retail Price]&lt;&gt;0)*($C742=Table_dim_price_recipe[Subcategory]), 0))*$B742,"")</f>
        <v>0</v>
      </c>
      <c r="H742" s="39" t="str" cm="1">
        <f t="array" ref="H742">IFERROR(INDEX(Table_dim_price_recipe[Retail Price], MATCH(1, ("Calculator"&lt;&gt;Table_dim_price_recipe[Type.display])*($L742=Table_dim_price_recipe[Category])*($D742=Table_dim_price_recipe[Item Description]) * (H$6=Table_dim_price_recipe[Type])*(Table_dim_price_recipe[Retail Price]&lt;&gt;0)*($C742=Table_dim_price_recipe[Subcategory]), 0))*$B742,"")</f>
        <v/>
      </c>
      <c r="I742" s="39" t="str" cm="1">
        <f t="array" ref="I742">IFERROR(INDEX(Table_dim_price_recipe[Retail Price], MATCH(1, ("Calculator"&lt;&gt;Table_dim_price_recipe[Type.display])*($L742=Table_dim_price_recipe[Category])*($D742=Table_dim_price_recipe[Item Description]) * (I$6=Table_dim_price_recipe[Type])*(Table_dim_price_recipe[Retail Price]&lt;&gt;0)*($C742=Table_dim_price_recipe[Subcategory]), 0))*$B742,"")</f>
        <v/>
      </c>
      <c r="J742" s="39" t="str" cm="1">
        <f t="array" ref="J742">IFERROR(INDEX(Table_dim_price_recipe[Retail Price], MATCH(1, ("Calculator"&lt;&gt;Table_dim_price_recipe[Type.display])*($L742=Table_dim_price_recipe[Category])*($D742=Table_dim_price_recipe[Item Description]) * (J$6=Table_dim_price_recipe[Type])*(Table_dim_price_recipe[Retail Price]&lt;&gt;0)*($C742=Table_dim_price_recipe[Subcategory]), 0))*$B742,"")</f>
        <v/>
      </c>
      <c r="K742" s="39" t="str" cm="1">
        <f t="array" ref="K742">IFERROR(INDEX(Table_dim_price_recipe[Retail Price], MATCH(1, ("Calculator"&lt;&gt;Table_dim_price_recipe[Type.display])*($L742=Table_dim_price_recipe[Category])*($D742=Table_dim_price_recipe[Item Description]) * (K$6=Table_dim_price_recipe[Type])*(Table_dim_price_recipe[Retail Price]&lt;&gt;0)*($C742=Table_dim_price_recipe[Subcategory]), 0))*$B742,"")</f>
        <v/>
      </c>
      <c r="L742" s="39" t="str" cm="1">
        <f t="array" ref="L742">IF($A742&lt;&gt;"", $A742, LOOKUP(2, 1/((A$7:INDEX(A:A, ROW()))&lt;&gt;""), A$7:INDEX(A:A, ROW())))</f>
        <v>CEILINGS &amp; WALLS</v>
      </c>
      <c r="M742" s="14"/>
    </row>
    <row r="743" spans="1:13">
      <c r="A743" s="263"/>
      <c r="B743" s="263"/>
      <c r="C743" s="263" t="s">
        <v>409</v>
      </c>
      <c r="D743" s="263" t="s">
        <v>416</v>
      </c>
      <c r="E743" s="263" t="s">
        <v>1309</v>
      </c>
      <c r="F743" s="263"/>
      <c r="G743" s="39" cm="1">
        <f t="array" ref="G743">IFERROR(INDEX(Table_dim_price_recipe[Retail Price], MATCH(1, ("Calculator"&lt;&gt;Table_dim_price_recipe[Type.display])*($L743=Table_dim_price_recipe[Category])*($D743=Table_dim_price_recipe[Item Description]) * (G$6=Table_dim_price_recipe[Type])*(Table_dim_price_recipe[Retail Price]&lt;&gt;0)*($C743=Table_dim_price_recipe[Subcategory]), 0))*$B743,"")</f>
        <v>0</v>
      </c>
      <c r="H743" s="39" t="str" cm="1">
        <f t="array" ref="H743">IFERROR(INDEX(Table_dim_price_recipe[Retail Price], MATCH(1, ("Calculator"&lt;&gt;Table_dim_price_recipe[Type.display])*($L743=Table_dim_price_recipe[Category])*($D743=Table_dim_price_recipe[Item Description]) * (H$6=Table_dim_price_recipe[Type])*(Table_dim_price_recipe[Retail Price]&lt;&gt;0)*($C743=Table_dim_price_recipe[Subcategory]), 0))*$B743,"")</f>
        <v/>
      </c>
      <c r="I743" s="39" t="str" cm="1">
        <f t="array" ref="I743">IFERROR(INDEX(Table_dim_price_recipe[Retail Price], MATCH(1, ("Calculator"&lt;&gt;Table_dim_price_recipe[Type.display])*($L743=Table_dim_price_recipe[Category])*($D743=Table_dim_price_recipe[Item Description]) * (I$6=Table_dim_price_recipe[Type])*(Table_dim_price_recipe[Retail Price]&lt;&gt;0)*($C743=Table_dim_price_recipe[Subcategory]), 0))*$B743,"")</f>
        <v/>
      </c>
      <c r="J743" s="39" t="str" cm="1">
        <f t="array" ref="J743">IFERROR(INDEX(Table_dim_price_recipe[Retail Price], MATCH(1, ("Calculator"&lt;&gt;Table_dim_price_recipe[Type.display])*($L743=Table_dim_price_recipe[Category])*($D743=Table_dim_price_recipe[Item Description]) * (J$6=Table_dim_price_recipe[Type])*(Table_dim_price_recipe[Retail Price]&lt;&gt;0)*($C743=Table_dim_price_recipe[Subcategory]), 0))*$B743,"")</f>
        <v/>
      </c>
      <c r="K743" s="39" t="str" cm="1">
        <f t="array" ref="K743">IFERROR(INDEX(Table_dim_price_recipe[Retail Price], MATCH(1, ("Calculator"&lt;&gt;Table_dim_price_recipe[Type.display])*($L743=Table_dim_price_recipe[Category])*($D743=Table_dim_price_recipe[Item Description]) * (K$6=Table_dim_price_recipe[Type])*(Table_dim_price_recipe[Retail Price]&lt;&gt;0)*($C743=Table_dim_price_recipe[Subcategory]), 0))*$B743,"")</f>
        <v/>
      </c>
      <c r="L743" s="39" t="str" cm="1">
        <f t="array" ref="L743">IF($A743&lt;&gt;"", $A743, LOOKUP(2, 1/((A$7:INDEX(A:A, ROW()))&lt;&gt;""), A$7:INDEX(A:A, ROW())))</f>
        <v>CEILINGS &amp; WALLS</v>
      </c>
      <c r="M743" s="14"/>
    </row>
    <row r="744" spans="1:13">
      <c r="A744" s="263"/>
      <c r="B744" s="263"/>
      <c r="C744" s="263" t="s">
        <v>409</v>
      </c>
      <c r="D744" s="263" t="s">
        <v>415</v>
      </c>
      <c r="E744" s="263" t="s">
        <v>1309</v>
      </c>
      <c r="F744" s="263"/>
      <c r="G744" s="39" cm="1">
        <f t="array" ref="G744">IFERROR(INDEX(Table_dim_price_recipe[Retail Price], MATCH(1, ("Calculator"&lt;&gt;Table_dim_price_recipe[Type.display])*($L744=Table_dim_price_recipe[Category])*($D744=Table_dim_price_recipe[Item Description]) * (G$6=Table_dim_price_recipe[Type])*(Table_dim_price_recipe[Retail Price]&lt;&gt;0)*($C744=Table_dim_price_recipe[Subcategory]), 0))*$B744,"")</f>
        <v>0</v>
      </c>
      <c r="H744" s="39" t="str" cm="1">
        <f t="array" ref="H744">IFERROR(INDEX(Table_dim_price_recipe[Retail Price], MATCH(1, ("Calculator"&lt;&gt;Table_dim_price_recipe[Type.display])*($L744=Table_dim_price_recipe[Category])*($D744=Table_dim_price_recipe[Item Description]) * (H$6=Table_dim_price_recipe[Type])*(Table_dim_price_recipe[Retail Price]&lt;&gt;0)*($C744=Table_dim_price_recipe[Subcategory]), 0))*$B744,"")</f>
        <v/>
      </c>
      <c r="I744" s="39" t="str" cm="1">
        <f t="array" ref="I744">IFERROR(INDEX(Table_dim_price_recipe[Retail Price], MATCH(1, ("Calculator"&lt;&gt;Table_dim_price_recipe[Type.display])*($L744=Table_dim_price_recipe[Category])*($D744=Table_dim_price_recipe[Item Description]) * (I$6=Table_dim_price_recipe[Type])*(Table_dim_price_recipe[Retail Price]&lt;&gt;0)*($C744=Table_dim_price_recipe[Subcategory]), 0))*$B744,"")</f>
        <v/>
      </c>
      <c r="J744" s="39" t="str" cm="1">
        <f t="array" ref="J744">IFERROR(INDEX(Table_dim_price_recipe[Retail Price], MATCH(1, ("Calculator"&lt;&gt;Table_dim_price_recipe[Type.display])*($L744=Table_dim_price_recipe[Category])*($D744=Table_dim_price_recipe[Item Description]) * (J$6=Table_dim_price_recipe[Type])*(Table_dim_price_recipe[Retail Price]&lt;&gt;0)*($C744=Table_dim_price_recipe[Subcategory]), 0))*$B744,"")</f>
        <v/>
      </c>
      <c r="K744" s="39" t="str" cm="1">
        <f t="array" ref="K744">IFERROR(INDEX(Table_dim_price_recipe[Retail Price], MATCH(1, ("Calculator"&lt;&gt;Table_dim_price_recipe[Type.display])*($L744=Table_dim_price_recipe[Category])*($D744=Table_dim_price_recipe[Item Description]) * (K$6=Table_dim_price_recipe[Type])*(Table_dim_price_recipe[Retail Price]&lt;&gt;0)*($C744=Table_dim_price_recipe[Subcategory]), 0))*$B744,"")</f>
        <v/>
      </c>
      <c r="L744" s="39" t="str" cm="1">
        <f t="array" ref="L744">IF($A744&lt;&gt;"", $A744, LOOKUP(2, 1/((A$7:INDEX(A:A, ROW()))&lt;&gt;""), A$7:INDEX(A:A, ROW())))</f>
        <v>CEILINGS &amp; WALLS</v>
      </c>
      <c r="M744" s="14"/>
    </row>
    <row r="745" spans="1:13">
      <c r="A745" s="263"/>
      <c r="B745" s="263"/>
      <c r="C745" s="263" t="s">
        <v>409</v>
      </c>
      <c r="D745" s="263" t="s">
        <v>419</v>
      </c>
      <c r="E745" s="263" t="s">
        <v>1309</v>
      </c>
      <c r="F745" s="263"/>
      <c r="G745" s="39" cm="1">
        <f t="array" ref="G745">IFERROR(INDEX(Table_dim_price_recipe[Retail Price], MATCH(1, ("Calculator"&lt;&gt;Table_dim_price_recipe[Type.display])*($L745=Table_dim_price_recipe[Category])*($D745=Table_dim_price_recipe[Item Description]) * (G$6=Table_dim_price_recipe[Type])*(Table_dim_price_recipe[Retail Price]&lt;&gt;0)*($C745=Table_dim_price_recipe[Subcategory]), 0))*$B745,"")</f>
        <v>0</v>
      </c>
      <c r="H745" s="39" t="str" cm="1">
        <f t="array" ref="H745">IFERROR(INDEX(Table_dim_price_recipe[Retail Price], MATCH(1, ("Calculator"&lt;&gt;Table_dim_price_recipe[Type.display])*($L745=Table_dim_price_recipe[Category])*($D745=Table_dim_price_recipe[Item Description]) * (H$6=Table_dim_price_recipe[Type])*(Table_dim_price_recipe[Retail Price]&lt;&gt;0)*($C745=Table_dim_price_recipe[Subcategory]), 0))*$B745,"")</f>
        <v/>
      </c>
      <c r="I745" s="39" t="str" cm="1">
        <f t="array" ref="I745">IFERROR(INDEX(Table_dim_price_recipe[Retail Price], MATCH(1, ("Calculator"&lt;&gt;Table_dim_price_recipe[Type.display])*($L745=Table_dim_price_recipe[Category])*($D745=Table_dim_price_recipe[Item Description]) * (I$6=Table_dim_price_recipe[Type])*(Table_dim_price_recipe[Retail Price]&lt;&gt;0)*($C745=Table_dim_price_recipe[Subcategory]), 0))*$B745,"")</f>
        <v/>
      </c>
      <c r="J745" s="39" t="str" cm="1">
        <f t="array" ref="J745">IFERROR(INDEX(Table_dim_price_recipe[Retail Price], MATCH(1, ("Calculator"&lt;&gt;Table_dim_price_recipe[Type.display])*($L745=Table_dim_price_recipe[Category])*($D745=Table_dim_price_recipe[Item Description]) * (J$6=Table_dim_price_recipe[Type])*(Table_dim_price_recipe[Retail Price]&lt;&gt;0)*($C745=Table_dim_price_recipe[Subcategory]), 0))*$B745,"")</f>
        <v/>
      </c>
      <c r="K745" s="39" t="str" cm="1">
        <f t="array" ref="K745">IFERROR(INDEX(Table_dim_price_recipe[Retail Price], MATCH(1, ("Calculator"&lt;&gt;Table_dim_price_recipe[Type.display])*($L745=Table_dim_price_recipe[Category])*($D745=Table_dim_price_recipe[Item Description]) * (K$6=Table_dim_price_recipe[Type])*(Table_dim_price_recipe[Retail Price]&lt;&gt;0)*($C745=Table_dim_price_recipe[Subcategory]), 0))*$B745,"")</f>
        <v/>
      </c>
      <c r="L745" s="39" t="str" cm="1">
        <f t="array" ref="L745">IF($A745&lt;&gt;"", $A745, LOOKUP(2, 1/((A$7:INDEX(A:A, ROW()))&lt;&gt;""), A$7:INDEX(A:A, ROW())))</f>
        <v>CEILINGS &amp; WALLS</v>
      </c>
      <c r="M745" s="14"/>
    </row>
    <row r="746" spans="1:13">
      <c r="A746" s="263"/>
      <c r="B746" s="263"/>
      <c r="C746" s="263" t="s">
        <v>409</v>
      </c>
      <c r="D746" s="263" t="s">
        <v>417</v>
      </c>
      <c r="E746" s="263" t="s">
        <v>1309</v>
      </c>
      <c r="F746" s="263"/>
      <c r="G746" s="39" cm="1">
        <f t="array" ref="G746">IFERROR(INDEX(Table_dim_price_recipe[Retail Price], MATCH(1, ("Calculator"&lt;&gt;Table_dim_price_recipe[Type.display])*($L746=Table_dim_price_recipe[Category])*($D746=Table_dim_price_recipe[Item Description]) * (G$6=Table_dim_price_recipe[Type])*(Table_dim_price_recipe[Retail Price]&lt;&gt;0)*($C746=Table_dim_price_recipe[Subcategory]), 0))*$B746,"")</f>
        <v>0</v>
      </c>
      <c r="H746" s="39" t="str" cm="1">
        <f t="array" ref="H746">IFERROR(INDEX(Table_dim_price_recipe[Retail Price], MATCH(1, ("Calculator"&lt;&gt;Table_dim_price_recipe[Type.display])*($L746=Table_dim_price_recipe[Category])*($D746=Table_dim_price_recipe[Item Description]) * (H$6=Table_dim_price_recipe[Type])*(Table_dim_price_recipe[Retail Price]&lt;&gt;0)*($C746=Table_dim_price_recipe[Subcategory]), 0))*$B746,"")</f>
        <v/>
      </c>
      <c r="I746" s="39" t="str" cm="1">
        <f t="array" ref="I746">IFERROR(INDEX(Table_dim_price_recipe[Retail Price], MATCH(1, ("Calculator"&lt;&gt;Table_dim_price_recipe[Type.display])*($L746=Table_dim_price_recipe[Category])*($D746=Table_dim_price_recipe[Item Description]) * (I$6=Table_dim_price_recipe[Type])*(Table_dim_price_recipe[Retail Price]&lt;&gt;0)*($C746=Table_dim_price_recipe[Subcategory]), 0))*$B746,"")</f>
        <v/>
      </c>
      <c r="J746" s="39" t="str" cm="1">
        <f t="array" ref="J746">IFERROR(INDEX(Table_dim_price_recipe[Retail Price], MATCH(1, ("Calculator"&lt;&gt;Table_dim_price_recipe[Type.display])*($L746=Table_dim_price_recipe[Category])*($D746=Table_dim_price_recipe[Item Description]) * (J$6=Table_dim_price_recipe[Type])*(Table_dim_price_recipe[Retail Price]&lt;&gt;0)*($C746=Table_dim_price_recipe[Subcategory]), 0))*$B746,"")</f>
        <v/>
      </c>
      <c r="K746" s="39" t="str" cm="1">
        <f t="array" ref="K746">IFERROR(INDEX(Table_dim_price_recipe[Retail Price], MATCH(1, ("Calculator"&lt;&gt;Table_dim_price_recipe[Type.display])*($L746=Table_dim_price_recipe[Category])*($D746=Table_dim_price_recipe[Item Description]) * (K$6=Table_dim_price_recipe[Type])*(Table_dim_price_recipe[Retail Price]&lt;&gt;0)*($C746=Table_dim_price_recipe[Subcategory]), 0))*$B746,"")</f>
        <v/>
      </c>
      <c r="L746" s="39" t="str" cm="1">
        <f t="array" ref="L746">IF($A746&lt;&gt;"", $A746, LOOKUP(2, 1/((A$7:INDEX(A:A, ROW()))&lt;&gt;""), A$7:INDEX(A:A, ROW())))</f>
        <v>CEILINGS &amp; WALLS</v>
      </c>
      <c r="M746" s="14"/>
    </row>
    <row r="747" spans="1:13">
      <c r="A747" s="263"/>
      <c r="B747" s="263"/>
      <c r="C747" s="263" t="s">
        <v>409</v>
      </c>
      <c r="D747" s="263" t="s">
        <v>421</v>
      </c>
      <c r="E747" s="263" t="s">
        <v>1309</v>
      </c>
      <c r="F747" s="263"/>
      <c r="G747" s="39" cm="1">
        <f t="array" ref="G747">IFERROR(INDEX(Table_dim_price_recipe[Retail Price], MATCH(1, ("Calculator"&lt;&gt;Table_dim_price_recipe[Type.display])*($L747=Table_dim_price_recipe[Category])*($D747=Table_dim_price_recipe[Item Description]) * (G$6=Table_dim_price_recipe[Type])*(Table_dim_price_recipe[Retail Price]&lt;&gt;0)*($C747=Table_dim_price_recipe[Subcategory]), 0))*$B747,"")</f>
        <v>0</v>
      </c>
      <c r="H747" s="39" t="str" cm="1">
        <f t="array" ref="H747">IFERROR(INDEX(Table_dim_price_recipe[Retail Price], MATCH(1, ("Calculator"&lt;&gt;Table_dim_price_recipe[Type.display])*($L747=Table_dim_price_recipe[Category])*($D747=Table_dim_price_recipe[Item Description]) * (H$6=Table_dim_price_recipe[Type])*(Table_dim_price_recipe[Retail Price]&lt;&gt;0)*($C747=Table_dim_price_recipe[Subcategory]), 0))*$B747,"")</f>
        <v/>
      </c>
      <c r="I747" s="39" t="str" cm="1">
        <f t="array" ref="I747">IFERROR(INDEX(Table_dim_price_recipe[Retail Price], MATCH(1, ("Calculator"&lt;&gt;Table_dim_price_recipe[Type.display])*($L747=Table_dim_price_recipe[Category])*($D747=Table_dim_price_recipe[Item Description]) * (I$6=Table_dim_price_recipe[Type])*(Table_dim_price_recipe[Retail Price]&lt;&gt;0)*($C747=Table_dim_price_recipe[Subcategory]), 0))*$B747,"")</f>
        <v/>
      </c>
      <c r="J747" s="39" t="str" cm="1">
        <f t="array" ref="J747">IFERROR(INDEX(Table_dim_price_recipe[Retail Price], MATCH(1, ("Calculator"&lt;&gt;Table_dim_price_recipe[Type.display])*($L747=Table_dim_price_recipe[Category])*($D747=Table_dim_price_recipe[Item Description]) * (J$6=Table_dim_price_recipe[Type])*(Table_dim_price_recipe[Retail Price]&lt;&gt;0)*($C747=Table_dim_price_recipe[Subcategory]), 0))*$B747,"")</f>
        <v/>
      </c>
      <c r="K747" s="39" t="str" cm="1">
        <f t="array" ref="K747">IFERROR(INDEX(Table_dim_price_recipe[Retail Price], MATCH(1, ("Calculator"&lt;&gt;Table_dim_price_recipe[Type.display])*($L747=Table_dim_price_recipe[Category])*($D747=Table_dim_price_recipe[Item Description]) * (K$6=Table_dim_price_recipe[Type])*(Table_dim_price_recipe[Retail Price]&lt;&gt;0)*($C747=Table_dim_price_recipe[Subcategory]), 0))*$B747,"")</f>
        <v/>
      </c>
      <c r="L747" s="39" t="str" cm="1">
        <f t="array" ref="L747">IF($A747&lt;&gt;"", $A747, LOOKUP(2, 1/((A$7:INDEX(A:A, ROW()))&lt;&gt;""), A$7:INDEX(A:A, ROW())))</f>
        <v>CEILINGS &amp; WALLS</v>
      </c>
      <c r="M747" s="14"/>
    </row>
    <row r="748" spans="1:13">
      <c r="A748" s="263"/>
      <c r="B748" s="263"/>
      <c r="C748" s="263" t="s">
        <v>409</v>
      </c>
      <c r="D748" s="263" t="s">
        <v>420</v>
      </c>
      <c r="E748" s="263" t="s">
        <v>1309</v>
      </c>
      <c r="F748" s="263"/>
      <c r="G748" s="39" cm="1">
        <f t="array" ref="G748">IFERROR(INDEX(Table_dim_price_recipe[Retail Price], MATCH(1, ("Calculator"&lt;&gt;Table_dim_price_recipe[Type.display])*($L748=Table_dim_price_recipe[Category])*($D748=Table_dim_price_recipe[Item Description]) * (G$6=Table_dim_price_recipe[Type])*(Table_dim_price_recipe[Retail Price]&lt;&gt;0)*($C748=Table_dim_price_recipe[Subcategory]), 0))*$B748,"")</f>
        <v>0</v>
      </c>
      <c r="H748" s="39" t="str" cm="1">
        <f t="array" ref="H748">IFERROR(INDEX(Table_dim_price_recipe[Retail Price], MATCH(1, ("Calculator"&lt;&gt;Table_dim_price_recipe[Type.display])*($L748=Table_dim_price_recipe[Category])*($D748=Table_dim_price_recipe[Item Description]) * (H$6=Table_dim_price_recipe[Type])*(Table_dim_price_recipe[Retail Price]&lt;&gt;0)*($C748=Table_dim_price_recipe[Subcategory]), 0))*$B748,"")</f>
        <v/>
      </c>
      <c r="I748" s="39" t="str" cm="1">
        <f t="array" ref="I748">IFERROR(INDEX(Table_dim_price_recipe[Retail Price], MATCH(1, ("Calculator"&lt;&gt;Table_dim_price_recipe[Type.display])*($L748=Table_dim_price_recipe[Category])*($D748=Table_dim_price_recipe[Item Description]) * (I$6=Table_dim_price_recipe[Type])*(Table_dim_price_recipe[Retail Price]&lt;&gt;0)*($C748=Table_dim_price_recipe[Subcategory]), 0))*$B748,"")</f>
        <v/>
      </c>
      <c r="J748" s="39" t="str" cm="1">
        <f t="array" ref="J748">IFERROR(INDEX(Table_dim_price_recipe[Retail Price], MATCH(1, ("Calculator"&lt;&gt;Table_dim_price_recipe[Type.display])*($L748=Table_dim_price_recipe[Category])*($D748=Table_dim_price_recipe[Item Description]) * (J$6=Table_dim_price_recipe[Type])*(Table_dim_price_recipe[Retail Price]&lt;&gt;0)*($C748=Table_dim_price_recipe[Subcategory]), 0))*$B748,"")</f>
        <v/>
      </c>
      <c r="K748" s="39" t="str" cm="1">
        <f t="array" ref="K748">IFERROR(INDEX(Table_dim_price_recipe[Retail Price], MATCH(1, ("Calculator"&lt;&gt;Table_dim_price_recipe[Type.display])*($L748=Table_dim_price_recipe[Category])*($D748=Table_dim_price_recipe[Item Description]) * (K$6=Table_dim_price_recipe[Type])*(Table_dim_price_recipe[Retail Price]&lt;&gt;0)*($C748=Table_dim_price_recipe[Subcategory]), 0))*$B748,"")</f>
        <v/>
      </c>
      <c r="L748" s="39" t="str" cm="1">
        <f t="array" ref="L748">IF($A748&lt;&gt;"", $A748, LOOKUP(2, 1/((A$7:INDEX(A:A, ROW()))&lt;&gt;""), A$7:INDEX(A:A, ROW())))</f>
        <v>CEILINGS &amp; WALLS</v>
      </c>
      <c r="M748" s="14"/>
    </row>
    <row r="749" spans="1:13">
      <c r="A749" s="263"/>
      <c r="B749" s="263"/>
      <c r="C749" s="263" t="s">
        <v>409</v>
      </c>
      <c r="D749" s="263"/>
      <c r="E749" s="263"/>
      <c r="F749" s="263"/>
      <c r="G749" s="39" t="str" cm="1">
        <f t="array" ref="G749">IFERROR(INDEX(Table_dim_price_recipe[Retail Price], MATCH(1, ("Calculator"&lt;&gt;Table_dim_price_recipe[Type.display])*($L749=Table_dim_price_recipe[Category])*($D749=Table_dim_price_recipe[Item Description]) * (G$6=Table_dim_price_recipe[Type])*(Table_dim_price_recipe[Retail Price]&lt;&gt;0)*($C749=Table_dim_price_recipe[Subcategory]), 0))*$B749,"")</f>
        <v/>
      </c>
      <c r="H749" s="39" t="str" cm="1">
        <f t="array" ref="H749">IFERROR(INDEX(Table_dim_price_recipe[Retail Price], MATCH(1, ("Calculator"&lt;&gt;Table_dim_price_recipe[Type.display])*($L749=Table_dim_price_recipe[Category])*($D749=Table_dim_price_recipe[Item Description]) * (H$6=Table_dim_price_recipe[Type])*(Table_dim_price_recipe[Retail Price]&lt;&gt;0)*($C749=Table_dim_price_recipe[Subcategory]), 0))*$B749,"")</f>
        <v/>
      </c>
      <c r="I749" s="39" t="str" cm="1">
        <f t="array" ref="I749">IFERROR(INDEX(Table_dim_price_recipe[Retail Price], MATCH(1, ("Calculator"&lt;&gt;Table_dim_price_recipe[Type.display])*($L749=Table_dim_price_recipe[Category])*($D749=Table_dim_price_recipe[Item Description]) * (I$6=Table_dim_price_recipe[Type])*(Table_dim_price_recipe[Retail Price]&lt;&gt;0)*($C749=Table_dim_price_recipe[Subcategory]), 0))*$B749,"")</f>
        <v/>
      </c>
      <c r="J749" s="39" t="str" cm="1">
        <f t="array" ref="J749">IFERROR(INDEX(Table_dim_price_recipe[Retail Price], MATCH(1, ("Calculator"&lt;&gt;Table_dim_price_recipe[Type.display])*($L749=Table_dim_price_recipe[Category])*($D749=Table_dim_price_recipe[Item Description]) * (J$6=Table_dim_price_recipe[Type])*(Table_dim_price_recipe[Retail Price]&lt;&gt;0)*($C749=Table_dim_price_recipe[Subcategory]), 0))*$B749,"")</f>
        <v/>
      </c>
      <c r="K749" s="39" t="str" cm="1">
        <f t="array" ref="K749">IFERROR(INDEX(Table_dim_price_recipe[Retail Price], MATCH(1, ("Calculator"&lt;&gt;Table_dim_price_recipe[Type.display])*($L749=Table_dim_price_recipe[Category])*($D749=Table_dim_price_recipe[Item Description]) * (K$6=Table_dim_price_recipe[Type])*(Table_dim_price_recipe[Retail Price]&lt;&gt;0)*($C749=Table_dim_price_recipe[Subcategory]), 0))*$B749,"")</f>
        <v/>
      </c>
      <c r="L749" s="39" t="str" cm="1">
        <f t="array" ref="L749">IF($A749&lt;&gt;"", $A749, LOOKUP(2, 1/((A$7:INDEX(A:A, ROW()))&lt;&gt;""), A$7:INDEX(A:A, ROW())))</f>
        <v>CEILINGS &amp; WALLS</v>
      </c>
      <c r="M749" s="14"/>
    </row>
    <row r="750" spans="1:13">
      <c r="A750" s="263"/>
      <c r="B750" s="263"/>
      <c r="C750" s="263" t="s">
        <v>409</v>
      </c>
      <c r="D750" s="263"/>
      <c r="E750" s="263"/>
      <c r="F750" s="263"/>
      <c r="G750" s="39" t="str" cm="1">
        <f t="array" ref="G750">IFERROR(INDEX(Table_dim_price_recipe[Retail Price], MATCH(1, ("Calculator"&lt;&gt;Table_dim_price_recipe[Type.display])*($L750=Table_dim_price_recipe[Category])*($D750=Table_dim_price_recipe[Item Description]) * (G$6=Table_dim_price_recipe[Type])*(Table_dim_price_recipe[Retail Price]&lt;&gt;0)*($C750=Table_dim_price_recipe[Subcategory]), 0))*$B750,"")</f>
        <v/>
      </c>
      <c r="H750" s="39" t="str" cm="1">
        <f t="array" ref="H750">IFERROR(INDEX(Table_dim_price_recipe[Retail Price], MATCH(1, ("Calculator"&lt;&gt;Table_dim_price_recipe[Type.display])*($L750=Table_dim_price_recipe[Category])*($D750=Table_dim_price_recipe[Item Description]) * (H$6=Table_dim_price_recipe[Type])*(Table_dim_price_recipe[Retail Price]&lt;&gt;0)*($C750=Table_dim_price_recipe[Subcategory]), 0))*$B750,"")</f>
        <v/>
      </c>
      <c r="I750" s="39" t="str" cm="1">
        <f t="array" ref="I750">IFERROR(INDEX(Table_dim_price_recipe[Retail Price], MATCH(1, ("Calculator"&lt;&gt;Table_dim_price_recipe[Type.display])*($L750=Table_dim_price_recipe[Category])*($D750=Table_dim_price_recipe[Item Description]) * (I$6=Table_dim_price_recipe[Type])*(Table_dim_price_recipe[Retail Price]&lt;&gt;0)*($C750=Table_dim_price_recipe[Subcategory]), 0))*$B750,"")</f>
        <v/>
      </c>
      <c r="J750" s="39" t="str" cm="1">
        <f t="array" ref="J750">IFERROR(INDEX(Table_dim_price_recipe[Retail Price], MATCH(1, ("Calculator"&lt;&gt;Table_dim_price_recipe[Type.display])*($L750=Table_dim_price_recipe[Category])*($D750=Table_dim_price_recipe[Item Description]) * (J$6=Table_dim_price_recipe[Type])*(Table_dim_price_recipe[Retail Price]&lt;&gt;0)*($C750=Table_dim_price_recipe[Subcategory]), 0))*$B750,"")</f>
        <v/>
      </c>
      <c r="K750" s="39" t="str" cm="1">
        <f t="array" ref="K750">IFERROR(INDEX(Table_dim_price_recipe[Retail Price], MATCH(1, ("Calculator"&lt;&gt;Table_dim_price_recipe[Type.display])*($L750=Table_dim_price_recipe[Category])*($D750=Table_dim_price_recipe[Item Description]) * (K$6=Table_dim_price_recipe[Type])*(Table_dim_price_recipe[Retail Price]&lt;&gt;0)*($C750=Table_dim_price_recipe[Subcategory]), 0))*$B750,"")</f>
        <v/>
      </c>
      <c r="L750" s="39" t="str" cm="1">
        <f t="array" ref="L750">IF($A750&lt;&gt;"", $A750, LOOKUP(2, 1/((A$7:INDEX(A:A, ROW()))&lt;&gt;""), A$7:INDEX(A:A, ROW())))</f>
        <v>CEILINGS &amp; WALLS</v>
      </c>
      <c r="M750" s="14"/>
    </row>
    <row r="751" spans="1:13">
      <c r="A751" s="263"/>
      <c r="B751" s="263"/>
      <c r="C751" s="263" t="s">
        <v>514</v>
      </c>
      <c r="D751" s="263" t="s">
        <v>24</v>
      </c>
      <c r="E751" s="263" t="s">
        <v>515</v>
      </c>
      <c r="F751" s="263"/>
      <c r="G751" s="39" cm="1">
        <f t="array" ref="G751">IFERROR(INDEX(Table_dim_price_recipe[Retail Price], MATCH(1, ("Calculator"&lt;&gt;Table_dim_price_recipe[Type.display])*($L751=Table_dim_price_recipe[Category])*($D751=Table_dim_price_recipe[Item Description]) * (G$6=Table_dim_price_recipe[Type])*(Table_dim_price_recipe[Retail Price]&lt;&gt;0)*($C751=Table_dim_price_recipe[Subcategory]), 0))*$B751,"")</f>
        <v>0</v>
      </c>
      <c r="H751" s="39" t="str" cm="1">
        <f t="array" ref="H751">IFERROR(INDEX(Table_dim_price_recipe[Retail Price], MATCH(1, ("Calculator"&lt;&gt;Table_dim_price_recipe[Type.display])*($L751=Table_dim_price_recipe[Category])*($D751=Table_dim_price_recipe[Item Description]) * (H$6=Table_dim_price_recipe[Type])*(Table_dim_price_recipe[Retail Price]&lt;&gt;0)*($C751=Table_dim_price_recipe[Subcategory]), 0))*$B751,"")</f>
        <v/>
      </c>
      <c r="I751" s="39" t="str" cm="1">
        <f t="array" ref="I751">IFERROR(INDEX(Table_dim_price_recipe[Retail Price], MATCH(1, ("Calculator"&lt;&gt;Table_dim_price_recipe[Type.display])*($L751=Table_dim_price_recipe[Category])*($D751=Table_dim_price_recipe[Item Description]) * (I$6=Table_dim_price_recipe[Type])*(Table_dim_price_recipe[Retail Price]&lt;&gt;0)*($C751=Table_dim_price_recipe[Subcategory]), 0))*$B751,"")</f>
        <v/>
      </c>
      <c r="J751" s="39" t="str" cm="1">
        <f t="array" ref="J751">IFERROR(INDEX(Table_dim_price_recipe[Retail Price], MATCH(1, ("Calculator"&lt;&gt;Table_dim_price_recipe[Type.display])*($L751=Table_dim_price_recipe[Category])*($D751=Table_dim_price_recipe[Item Description]) * (J$6=Table_dim_price_recipe[Type])*(Table_dim_price_recipe[Retail Price]&lt;&gt;0)*($C751=Table_dim_price_recipe[Subcategory]), 0))*$B751,"")</f>
        <v/>
      </c>
      <c r="K751" s="39" t="str" cm="1">
        <f t="array" ref="K751">IFERROR(INDEX(Table_dim_price_recipe[Retail Price], MATCH(1, ("Calculator"&lt;&gt;Table_dim_price_recipe[Type.display])*($L751=Table_dim_price_recipe[Category])*($D751=Table_dim_price_recipe[Item Description]) * (K$6=Table_dim_price_recipe[Type])*(Table_dim_price_recipe[Retail Price]&lt;&gt;0)*($C751=Table_dim_price_recipe[Subcategory]), 0))*$B751,"")</f>
        <v/>
      </c>
      <c r="L751" s="39" t="str" cm="1">
        <f t="array" ref="L751">IF($A751&lt;&gt;"", $A751, LOOKUP(2, 1/((A$7:INDEX(A:A, ROW()))&lt;&gt;""), A$7:INDEX(A:A, ROW())))</f>
        <v>CEILINGS &amp; WALLS</v>
      </c>
      <c r="M751" s="14"/>
    </row>
    <row r="752" spans="1:13">
      <c r="A752" s="263"/>
      <c r="B752" s="263"/>
      <c r="C752" s="263" t="s">
        <v>514</v>
      </c>
      <c r="D752" s="263" t="s">
        <v>518</v>
      </c>
      <c r="E752" s="263" t="s">
        <v>519</v>
      </c>
      <c r="F752" s="263"/>
      <c r="G752" s="39" cm="1">
        <f t="array" ref="G752">IFERROR(INDEX(Table_dim_price_recipe[Retail Price], MATCH(1, ("Calculator"&lt;&gt;Table_dim_price_recipe[Type.display])*($L752=Table_dim_price_recipe[Category])*($D752=Table_dim_price_recipe[Item Description]) * (G$6=Table_dim_price_recipe[Type])*(Table_dim_price_recipe[Retail Price]&lt;&gt;0)*($C752=Table_dim_price_recipe[Subcategory]), 0))*$B752,"")</f>
        <v>0</v>
      </c>
      <c r="H752" s="39" t="str" cm="1">
        <f t="array" ref="H752">IFERROR(INDEX(Table_dim_price_recipe[Retail Price], MATCH(1, ("Calculator"&lt;&gt;Table_dim_price_recipe[Type.display])*($L752=Table_dim_price_recipe[Category])*($D752=Table_dim_price_recipe[Item Description]) * (H$6=Table_dim_price_recipe[Type])*(Table_dim_price_recipe[Retail Price]&lt;&gt;0)*($C752=Table_dim_price_recipe[Subcategory]), 0))*$B752,"")</f>
        <v/>
      </c>
      <c r="I752" s="39" t="str" cm="1">
        <f t="array" ref="I752">IFERROR(INDEX(Table_dim_price_recipe[Retail Price], MATCH(1, ("Calculator"&lt;&gt;Table_dim_price_recipe[Type.display])*($L752=Table_dim_price_recipe[Category])*($D752=Table_dim_price_recipe[Item Description]) * (I$6=Table_dim_price_recipe[Type])*(Table_dim_price_recipe[Retail Price]&lt;&gt;0)*($C752=Table_dim_price_recipe[Subcategory]), 0))*$B752,"")</f>
        <v/>
      </c>
      <c r="J752" s="39" t="str" cm="1">
        <f t="array" ref="J752">IFERROR(INDEX(Table_dim_price_recipe[Retail Price], MATCH(1, ("Calculator"&lt;&gt;Table_dim_price_recipe[Type.display])*($L752=Table_dim_price_recipe[Category])*($D752=Table_dim_price_recipe[Item Description]) * (J$6=Table_dim_price_recipe[Type])*(Table_dim_price_recipe[Retail Price]&lt;&gt;0)*($C752=Table_dim_price_recipe[Subcategory]), 0))*$B752,"")</f>
        <v/>
      </c>
      <c r="K752" s="39" t="str" cm="1">
        <f t="array" ref="K752">IFERROR(INDEX(Table_dim_price_recipe[Retail Price], MATCH(1, ("Calculator"&lt;&gt;Table_dim_price_recipe[Type.display])*($L752=Table_dim_price_recipe[Category])*($D752=Table_dim_price_recipe[Item Description]) * (K$6=Table_dim_price_recipe[Type])*(Table_dim_price_recipe[Retail Price]&lt;&gt;0)*($C752=Table_dim_price_recipe[Subcategory]), 0))*$B752,"")</f>
        <v/>
      </c>
      <c r="L752" s="39" t="str" cm="1">
        <f t="array" ref="L752">IF($A752&lt;&gt;"", $A752, LOOKUP(2, 1/((A$7:INDEX(A:A, ROW()))&lt;&gt;""), A$7:INDEX(A:A, ROW())))</f>
        <v>CEILINGS &amp; WALLS</v>
      </c>
      <c r="M752" s="14"/>
    </row>
    <row r="753" spans="1:13">
      <c r="A753" s="263"/>
      <c r="B753" s="263"/>
      <c r="C753" s="263" t="s">
        <v>514</v>
      </c>
      <c r="D753" s="263" t="s">
        <v>516</v>
      </c>
      <c r="E753" s="263" t="s">
        <v>517</v>
      </c>
      <c r="F753" s="263"/>
      <c r="G753" s="39" cm="1">
        <f t="array" ref="G753">IFERROR(INDEX(Table_dim_price_recipe[Retail Price], MATCH(1, ("Calculator"&lt;&gt;Table_dim_price_recipe[Type.display])*($L753=Table_dim_price_recipe[Category])*($D753=Table_dim_price_recipe[Item Description]) * (G$6=Table_dim_price_recipe[Type])*(Table_dim_price_recipe[Retail Price]&lt;&gt;0)*($C753=Table_dim_price_recipe[Subcategory]), 0))*$B753,"")</f>
        <v>0</v>
      </c>
      <c r="H753" s="39" t="str" cm="1">
        <f t="array" ref="H753">IFERROR(INDEX(Table_dim_price_recipe[Retail Price], MATCH(1, ("Calculator"&lt;&gt;Table_dim_price_recipe[Type.display])*($L753=Table_dim_price_recipe[Category])*($D753=Table_dim_price_recipe[Item Description]) * (H$6=Table_dim_price_recipe[Type])*(Table_dim_price_recipe[Retail Price]&lt;&gt;0)*($C753=Table_dim_price_recipe[Subcategory]), 0))*$B753,"")</f>
        <v/>
      </c>
      <c r="I753" s="39" t="str" cm="1">
        <f t="array" ref="I753">IFERROR(INDEX(Table_dim_price_recipe[Retail Price], MATCH(1, ("Calculator"&lt;&gt;Table_dim_price_recipe[Type.display])*($L753=Table_dim_price_recipe[Category])*($D753=Table_dim_price_recipe[Item Description]) * (I$6=Table_dim_price_recipe[Type])*(Table_dim_price_recipe[Retail Price]&lt;&gt;0)*($C753=Table_dim_price_recipe[Subcategory]), 0))*$B753,"")</f>
        <v/>
      </c>
      <c r="J753" s="39" t="str" cm="1">
        <f t="array" ref="J753">IFERROR(INDEX(Table_dim_price_recipe[Retail Price], MATCH(1, ("Calculator"&lt;&gt;Table_dim_price_recipe[Type.display])*($L753=Table_dim_price_recipe[Category])*($D753=Table_dim_price_recipe[Item Description]) * (J$6=Table_dim_price_recipe[Type])*(Table_dim_price_recipe[Retail Price]&lt;&gt;0)*($C753=Table_dim_price_recipe[Subcategory]), 0))*$B753,"")</f>
        <v/>
      </c>
      <c r="K753" s="39" t="str" cm="1">
        <f t="array" ref="K753">IFERROR(INDEX(Table_dim_price_recipe[Retail Price], MATCH(1, ("Calculator"&lt;&gt;Table_dim_price_recipe[Type.display])*($L753=Table_dim_price_recipe[Category])*($D753=Table_dim_price_recipe[Item Description]) * (K$6=Table_dim_price_recipe[Type])*(Table_dim_price_recipe[Retail Price]&lt;&gt;0)*($C753=Table_dim_price_recipe[Subcategory]), 0))*$B753,"")</f>
        <v/>
      </c>
      <c r="L753" s="39" t="str" cm="1">
        <f t="array" ref="L753">IF($A753&lt;&gt;"", $A753, LOOKUP(2, 1/((A$7:INDEX(A:A, ROW()))&lt;&gt;""), A$7:INDEX(A:A, ROW())))</f>
        <v>CEILINGS &amp; WALLS</v>
      </c>
      <c r="M753" s="14"/>
    </row>
    <row r="754" spans="1:13">
      <c r="A754" s="263"/>
      <c r="B754" s="263"/>
      <c r="C754" s="263" t="s">
        <v>514</v>
      </c>
      <c r="D754" s="263"/>
      <c r="E754" s="263"/>
      <c r="F754" s="263"/>
      <c r="G754" s="39" t="str" cm="1">
        <f t="array" ref="G754">IFERROR(INDEX(Table_dim_price_recipe[Retail Price], MATCH(1, ("Calculator"&lt;&gt;Table_dim_price_recipe[Type.display])*($L754=Table_dim_price_recipe[Category])*($D754=Table_dim_price_recipe[Item Description]) * (G$6=Table_dim_price_recipe[Type])*(Table_dim_price_recipe[Retail Price]&lt;&gt;0)*($C754=Table_dim_price_recipe[Subcategory]), 0))*$B754,"")</f>
        <v/>
      </c>
      <c r="H754" s="39" t="str" cm="1">
        <f t="array" ref="H754">IFERROR(INDEX(Table_dim_price_recipe[Retail Price], MATCH(1, ("Calculator"&lt;&gt;Table_dim_price_recipe[Type.display])*($L754=Table_dim_price_recipe[Category])*($D754=Table_dim_price_recipe[Item Description]) * (H$6=Table_dim_price_recipe[Type])*(Table_dim_price_recipe[Retail Price]&lt;&gt;0)*($C754=Table_dim_price_recipe[Subcategory]), 0))*$B754,"")</f>
        <v/>
      </c>
      <c r="I754" s="39" t="str" cm="1">
        <f t="array" ref="I754">IFERROR(INDEX(Table_dim_price_recipe[Retail Price], MATCH(1, ("Calculator"&lt;&gt;Table_dim_price_recipe[Type.display])*($L754=Table_dim_price_recipe[Category])*($D754=Table_dim_price_recipe[Item Description]) * (I$6=Table_dim_price_recipe[Type])*(Table_dim_price_recipe[Retail Price]&lt;&gt;0)*($C754=Table_dim_price_recipe[Subcategory]), 0))*$B754,"")</f>
        <v/>
      </c>
      <c r="J754" s="39" t="str" cm="1">
        <f t="array" ref="J754">IFERROR(INDEX(Table_dim_price_recipe[Retail Price], MATCH(1, ("Calculator"&lt;&gt;Table_dim_price_recipe[Type.display])*($L754=Table_dim_price_recipe[Category])*($D754=Table_dim_price_recipe[Item Description]) * (J$6=Table_dim_price_recipe[Type])*(Table_dim_price_recipe[Retail Price]&lt;&gt;0)*($C754=Table_dim_price_recipe[Subcategory]), 0))*$B754,"")</f>
        <v/>
      </c>
      <c r="K754" s="39" t="str" cm="1">
        <f t="array" ref="K754">IFERROR(INDEX(Table_dim_price_recipe[Retail Price], MATCH(1, ("Calculator"&lt;&gt;Table_dim_price_recipe[Type.display])*($L754=Table_dim_price_recipe[Category])*($D754=Table_dim_price_recipe[Item Description]) * (K$6=Table_dim_price_recipe[Type])*(Table_dim_price_recipe[Retail Price]&lt;&gt;0)*($C754=Table_dim_price_recipe[Subcategory]), 0))*$B754,"")</f>
        <v/>
      </c>
      <c r="L754" s="39" t="str" cm="1">
        <f t="array" ref="L754">IF($A754&lt;&gt;"", $A754, LOOKUP(2, 1/((A$7:INDEX(A:A, ROW()))&lt;&gt;""), A$7:INDEX(A:A, ROW())))</f>
        <v>CEILINGS &amp; WALLS</v>
      </c>
      <c r="M754" s="14"/>
    </row>
    <row r="755" spans="1:13">
      <c r="A755" s="263"/>
      <c r="B755" s="263"/>
      <c r="C755" s="263" t="s">
        <v>514</v>
      </c>
      <c r="D755" s="263"/>
      <c r="E755" s="263"/>
      <c r="F755" s="263"/>
      <c r="G755" s="39" t="str" cm="1">
        <f t="array" ref="G755">IFERROR(INDEX(Table_dim_price_recipe[Retail Price], MATCH(1, ("Calculator"&lt;&gt;Table_dim_price_recipe[Type.display])*($L755=Table_dim_price_recipe[Category])*($D755=Table_dim_price_recipe[Item Description]) * (G$6=Table_dim_price_recipe[Type])*(Table_dim_price_recipe[Retail Price]&lt;&gt;0)*($C755=Table_dim_price_recipe[Subcategory]), 0))*$B755,"")</f>
        <v/>
      </c>
      <c r="H755" s="39" t="str" cm="1">
        <f t="array" ref="H755">IFERROR(INDEX(Table_dim_price_recipe[Retail Price], MATCH(1, ("Calculator"&lt;&gt;Table_dim_price_recipe[Type.display])*($L755=Table_dim_price_recipe[Category])*($D755=Table_dim_price_recipe[Item Description]) * (H$6=Table_dim_price_recipe[Type])*(Table_dim_price_recipe[Retail Price]&lt;&gt;0)*($C755=Table_dim_price_recipe[Subcategory]), 0))*$B755,"")</f>
        <v/>
      </c>
      <c r="I755" s="39" t="str" cm="1">
        <f t="array" ref="I755">IFERROR(INDEX(Table_dim_price_recipe[Retail Price], MATCH(1, ("Calculator"&lt;&gt;Table_dim_price_recipe[Type.display])*($L755=Table_dim_price_recipe[Category])*($D755=Table_dim_price_recipe[Item Description]) * (I$6=Table_dim_price_recipe[Type])*(Table_dim_price_recipe[Retail Price]&lt;&gt;0)*($C755=Table_dim_price_recipe[Subcategory]), 0))*$B755,"")</f>
        <v/>
      </c>
      <c r="J755" s="39" t="str" cm="1">
        <f t="array" ref="J755">IFERROR(INDEX(Table_dim_price_recipe[Retail Price], MATCH(1, ("Calculator"&lt;&gt;Table_dim_price_recipe[Type.display])*($L755=Table_dim_price_recipe[Category])*($D755=Table_dim_price_recipe[Item Description]) * (J$6=Table_dim_price_recipe[Type])*(Table_dim_price_recipe[Retail Price]&lt;&gt;0)*($C755=Table_dim_price_recipe[Subcategory]), 0))*$B755,"")</f>
        <v/>
      </c>
      <c r="K755" s="39" t="str" cm="1">
        <f t="array" ref="K755">IFERROR(INDEX(Table_dim_price_recipe[Retail Price], MATCH(1, ("Calculator"&lt;&gt;Table_dim_price_recipe[Type.display])*($L755=Table_dim_price_recipe[Category])*($D755=Table_dim_price_recipe[Item Description]) * (K$6=Table_dim_price_recipe[Type])*(Table_dim_price_recipe[Retail Price]&lt;&gt;0)*($C755=Table_dim_price_recipe[Subcategory]), 0))*$B755,"")</f>
        <v/>
      </c>
      <c r="L755" s="39" t="str" cm="1">
        <f t="array" ref="L755">IF($A755&lt;&gt;"", $A755, LOOKUP(2, 1/((A$7:INDEX(A:A, ROW()))&lt;&gt;""), A$7:INDEX(A:A, ROW())))</f>
        <v>CEILINGS &amp; WALLS</v>
      </c>
      <c r="M755" s="14"/>
    </row>
    <row r="756" spans="1:13">
      <c r="A756" s="263"/>
      <c r="B756" s="263"/>
      <c r="C756" s="263" t="s">
        <v>428</v>
      </c>
      <c r="D756" s="263" t="s">
        <v>92</v>
      </c>
      <c r="E756" s="263"/>
      <c r="F756" s="263"/>
      <c r="G756" s="39" cm="1">
        <f t="array" ref="G756">IFERROR(INDEX(Table_dim_price_recipe[Retail Price], MATCH(1, ("Calculator"&lt;&gt;Table_dim_price_recipe[Type.display])*($L756=Table_dim_price_recipe[Category])*($D756=Table_dim_price_recipe[Item Description]) * (G$6=Table_dim_price_recipe[Type])*(Table_dim_price_recipe[Retail Price]&lt;&gt;0)*($C756=Table_dim_price_recipe[Subcategory]), 0))*$B756,"")</f>
        <v>0</v>
      </c>
      <c r="H756" s="39" t="str" cm="1">
        <f t="array" ref="H756">IFERROR(INDEX(Table_dim_price_recipe[Retail Price], MATCH(1, ("Calculator"&lt;&gt;Table_dim_price_recipe[Type.display])*($L756=Table_dim_price_recipe[Category])*($D756=Table_dim_price_recipe[Item Description]) * (H$6=Table_dim_price_recipe[Type])*(Table_dim_price_recipe[Retail Price]&lt;&gt;0)*($C756=Table_dim_price_recipe[Subcategory]), 0))*$B756,"")</f>
        <v/>
      </c>
      <c r="I756" s="39" t="str" cm="1">
        <f t="array" ref="I756">IFERROR(INDEX(Table_dim_price_recipe[Retail Price], MATCH(1, ("Calculator"&lt;&gt;Table_dim_price_recipe[Type.display])*($L756=Table_dim_price_recipe[Category])*($D756=Table_dim_price_recipe[Item Description]) * (I$6=Table_dim_price_recipe[Type])*(Table_dim_price_recipe[Retail Price]&lt;&gt;0)*($C756=Table_dim_price_recipe[Subcategory]), 0))*$B756,"")</f>
        <v/>
      </c>
      <c r="J756" s="39" t="str" cm="1">
        <f t="array" ref="J756">IFERROR(INDEX(Table_dim_price_recipe[Retail Price], MATCH(1, ("Calculator"&lt;&gt;Table_dim_price_recipe[Type.display])*($L756=Table_dim_price_recipe[Category])*($D756=Table_dim_price_recipe[Item Description]) * (J$6=Table_dim_price_recipe[Type])*(Table_dim_price_recipe[Retail Price]&lt;&gt;0)*($C756=Table_dim_price_recipe[Subcategory]), 0))*$B756,"")</f>
        <v/>
      </c>
      <c r="K756" s="39" t="str" cm="1">
        <f t="array" ref="K756">IFERROR(INDEX(Table_dim_price_recipe[Retail Price], MATCH(1, ("Calculator"&lt;&gt;Table_dim_price_recipe[Type.display])*($L756=Table_dim_price_recipe[Category])*($D756=Table_dim_price_recipe[Item Description]) * (K$6=Table_dim_price_recipe[Type])*(Table_dim_price_recipe[Retail Price]&lt;&gt;0)*($C756=Table_dim_price_recipe[Subcategory]), 0))*$B756,"")</f>
        <v/>
      </c>
      <c r="L756" s="39" t="str" cm="1">
        <f t="array" ref="L756">IF($A756&lt;&gt;"", $A756, LOOKUP(2, 1/((A$7:INDEX(A:A, ROW()))&lt;&gt;""), A$7:INDEX(A:A, ROW())))</f>
        <v>CEILINGS &amp; WALLS</v>
      </c>
      <c r="M756" s="14"/>
    </row>
    <row r="757" spans="1:13">
      <c r="A757" s="263"/>
      <c r="B757" s="263"/>
      <c r="C757" s="263" t="s">
        <v>428</v>
      </c>
      <c r="D757" s="263" t="s">
        <v>93</v>
      </c>
      <c r="E757" s="263"/>
      <c r="F757" s="263"/>
      <c r="G757" s="39" t="str" cm="1">
        <f t="array" ref="G757">IFERROR(INDEX(Table_dim_price_recipe[Retail Price], MATCH(1, ("Calculator"&lt;&gt;Table_dim_price_recipe[Type.display])*($L757=Table_dim_price_recipe[Category])*($D757=Table_dim_price_recipe[Item Description]) * (G$6=Table_dim_price_recipe[Type])*(Table_dim_price_recipe[Retail Price]&lt;&gt;0)*($C757=Table_dim_price_recipe[Subcategory]), 0))*$B757,"")</f>
        <v/>
      </c>
      <c r="H757" s="39" t="str" cm="1">
        <f t="array" ref="H757">IFERROR(INDEX(Table_dim_price_recipe[Retail Price], MATCH(1, ("Calculator"&lt;&gt;Table_dim_price_recipe[Type.display])*($L757=Table_dim_price_recipe[Category])*($D757=Table_dim_price_recipe[Item Description]) * (H$6=Table_dim_price_recipe[Type])*(Table_dim_price_recipe[Retail Price]&lt;&gt;0)*($C757=Table_dim_price_recipe[Subcategory]), 0))*$B757,"")</f>
        <v/>
      </c>
      <c r="I757" s="39" t="str" cm="1">
        <f t="array" ref="I757">IFERROR(INDEX(Table_dim_price_recipe[Retail Price], MATCH(1, ("Calculator"&lt;&gt;Table_dim_price_recipe[Type.display])*($L757=Table_dim_price_recipe[Category])*($D757=Table_dim_price_recipe[Item Description]) * (I$6=Table_dim_price_recipe[Type])*(Table_dim_price_recipe[Retail Price]&lt;&gt;0)*($C757=Table_dim_price_recipe[Subcategory]), 0))*$B757,"")</f>
        <v/>
      </c>
      <c r="J757" s="39" t="str" cm="1">
        <f t="array" ref="J757">IFERROR(INDEX(Table_dim_price_recipe[Retail Price], MATCH(1, ("Calculator"&lt;&gt;Table_dim_price_recipe[Type.display])*($L757=Table_dim_price_recipe[Category])*($D757=Table_dim_price_recipe[Item Description]) * (J$6=Table_dim_price_recipe[Type])*(Table_dim_price_recipe[Retail Price]&lt;&gt;0)*($C757=Table_dim_price_recipe[Subcategory]), 0))*$B757,"")</f>
        <v/>
      </c>
      <c r="K757" s="39" t="str" cm="1">
        <f t="array" ref="K757">IFERROR(INDEX(Table_dim_price_recipe[Retail Price], MATCH(1, ("Calculator"&lt;&gt;Table_dim_price_recipe[Type.display])*($L757=Table_dim_price_recipe[Category])*($D757=Table_dim_price_recipe[Item Description]) * (K$6=Table_dim_price_recipe[Type])*(Table_dim_price_recipe[Retail Price]&lt;&gt;0)*($C757=Table_dim_price_recipe[Subcategory]), 0))*$B757,"")</f>
        <v/>
      </c>
      <c r="L757" s="39" t="str" cm="1">
        <f t="array" ref="L757">IF($A757&lt;&gt;"", $A757, LOOKUP(2, 1/((A$7:INDEX(A:A, ROW()))&lt;&gt;""), A$7:INDEX(A:A, ROW())))</f>
        <v>CEILINGS &amp; WALLS</v>
      </c>
      <c r="M757" s="14"/>
    </row>
    <row r="758" spans="1:13">
      <c r="A758" s="263"/>
      <c r="B758" s="263"/>
      <c r="C758" s="263" t="s">
        <v>428</v>
      </c>
      <c r="D758" s="263" t="s">
        <v>1138</v>
      </c>
      <c r="E758" s="263"/>
      <c r="F758" s="263"/>
      <c r="G758" s="39" cm="1">
        <f t="array" ref="G758">IFERROR(INDEX(Table_dim_price_recipe[Retail Price], MATCH(1, ("Calculator"&lt;&gt;Table_dim_price_recipe[Type.display])*($L758=Table_dim_price_recipe[Category])*($D758=Table_dim_price_recipe[Item Description]) * (G$6=Table_dim_price_recipe[Type])*(Table_dim_price_recipe[Retail Price]&lt;&gt;0)*($C758=Table_dim_price_recipe[Subcategory]), 0))*$B758,"")</f>
        <v>0</v>
      </c>
      <c r="H758" s="39" t="str" cm="1">
        <f t="array" ref="H758">IFERROR(INDEX(Table_dim_price_recipe[Retail Price], MATCH(1, ("Calculator"&lt;&gt;Table_dim_price_recipe[Type.display])*($L758=Table_dim_price_recipe[Category])*($D758=Table_dim_price_recipe[Item Description]) * (H$6=Table_dim_price_recipe[Type])*(Table_dim_price_recipe[Retail Price]&lt;&gt;0)*($C758=Table_dim_price_recipe[Subcategory]), 0))*$B758,"")</f>
        <v/>
      </c>
      <c r="I758" s="39" t="str" cm="1">
        <f t="array" ref="I758">IFERROR(INDEX(Table_dim_price_recipe[Retail Price], MATCH(1, ("Calculator"&lt;&gt;Table_dim_price_recipe[Type.display])*($L758=Table_dim_price_recipe[Category])*($D758=Table_dim_price_recipe[Item Description]) * (I$6=Table_dim_price_recipe[Type])*(Table_dim_price_recipe[Retail Price]&lt;&gt;0)*($C758=Table_dim_price_recipe[Subcategory]), 0))*$B758,"")</f>
        <v/>
      </c>
      <c r="J758" s="39" t="str" cm="1">
        <f t="array" ref="J758">IFERROR(INDEX(Table_dim_price_recipe[Retail Price], MATCH(1, ("Calculator"&lt;&gt;Table_dim_price_recipe[Type.display])*($L758=Table_dim_price_recipe[Category])*($D758=Table_dim_price_recipe[Item Description]) * (J$6=Table_dim_price_recipe[Type])*(Table_dim_price_recipe[Retail Price]&lt;&gt;0)*($C758=Table_dim_price_recipe[Subcategory]), 0))*$B758,"")</f>
        <v/>
      </c>
      <c r="K758" s="39" t="str" cm="1">
        <f t="array" ref="K758">IFERROR(INDEX(Table_dim_price_recipe[Retail Price], MATCH(1, ("Calculator"&lt;&gt;Table_dim_price_recipe[Type.display])*($L758=Table_dim_price_recipe[Category])*($D758=Table_dim_price_recipe[Item Description]) * (K$6=Table_dim_price_recipe[Type])*(Table_dim_price_recipe[Retail Price]&lt;&gt;0)*($C758=Table_dim_price_recipe[Subcategory]), 0))*$B758,"")</f>
        <v/>
      </c>
      <c r="L758" s="39" t="str" cm="1">
        <f t="array" ref="L758">IF($A758&lt;&gt;"", $A758, LOOKUP(2, 1/((A$7:INDEX(A:A, ROW()))&lt;&gt;""), A$7:INDEX(A:A, ROW())))</f>
        <v>CEILINGS &amp; WALLS</v>
      </c>
      <c r="M758" s="14"/>
    </row>
    <row r="759" spans="1:13">
      <c r="A759" s="263"/>
      <c r="B759" s="263"/>
      <c r="C759" s="263" t="s">
        <v>428</v>
      </c>
      <c r="D759" s="263" t="s">
        <v>1139</v>
      </c>
      <c r="E759" s="263"/>
      <c r="F759" s="263"/>
      <c r="G759" s="39" cm="1">
        <f t="array" ref="G759">IFERROR(INDEX(Table_dim_price_recipe[Retail Price], MATCH(1, ("Calculator"&lt;&gt;Table_dim_price_recipe[Type.display])*($L759=Table_dim_price_recipe[Category])*($D759=Table_dim_price_recipe[Item Description]) * (G$6=Table_dim_price_recipe[Type])*(Table_dim_price_recipe[Retail Price]&lt;&gt;0)*($C759=Table_dim_price_recipe[Subcategory]), 0))*$B759,"")</f>
        <v>0</v>
      </c>
      <c r="H759" s="39" t="str" cm="1">
        <f t="array" ref="H759">IFERROR(INDEX(Table_dim_price_recipe[Retail Price], MATCH(1, ("Calculator"&lt;&gt;Table_dim_price_recipe[Type.display])*($L759=Table_dim_price_recipe[Category])*($D759=Table_dim_price_recipe[Item Description]) * (H$6=Table_dim_price_recipe[Type])*(Table_dim_price_recipe[Retail Price]&lt;&gt;0)*($C759=Table_dim_price_recipe[Subcategory]), 0))*$B759,"")</f>
        <v/>
      </c>
      <c r="I759" s="39" t="str" cm="1">
        <f t="array" ref="I759">IFERROR(INDEX(Table_dim_price_recipe[Retail Price], MATCH(1, ("Calculator"&lt;&gt;Table_dim_price_recipe[Type.display])*($L759=Table_dim_price_recipe[Category])*($D759=Table_dim_price_recipe[Item Description]) * (I$6=Table_dim_price_recipe[Type])*(Table_dim_price_recipe[Retail Price]&lt;&gt;0)*($C759=Table_dim_price_recipe[Subcategory]), 0))*$B759,"")</f>
        <v/>
      </c>
      <c r="J759" s="39" t="str" cm="1">
        <f t="array" ref="J759">IFERROR(INDEX(Table_dim_price_recipe[Retail Price], MATCH(1, ("Calculator"&lt;&gt;Table_dim_price_recipe[Type.display])*($L759=Table_dim_price_recipe[Category])*($D759=Table_dim_price_recipe[Item Description]) * (J$6=Table_dim_price_recipe[Type])*(Table_dim_price_recipe[Retail Price]&lt;&gt;0)*($C759=Table_dim_price_recipe[Subcategory]), 0))*$B759,"")</f>
        <v/>
      </c>
      <c r="K759" s="39" t="str" cm="1">
        <f t="array" ref="K759">IFERROR(INDEX(Table_dim_price_recipe[Retail Price], MATCH(1, ("Calculator"&lt;&gt;Table_dim_price_recipe[Type.display])*($L759=Table_dim_price_recipe[Category])*($D759=Table_dim_price_recipe[Item Description]) * (K$6=Table_dim_price_recipe[Type])*(Table_dim_price_recipe[Retail Price]&lt;&gt;0)*($C759=Table_dim_price_recipe[Subcategory]), 0))*$B759,"")</f>
        <v/>
      </c>
      <c r="L759" s="39" t="str" cm="1">
        <f t="array" ref="L759">IF($A759&lt;&gt;"", $A759, LOOKUP(2, 1/((A$7:INDEX(A:A, ROW()))&lt;&gt;""), A$7:INDEX(A:A, ROW())))</f>
        <v>CEILINGS &amp; WALLS</v>
      </c>
      <c r="M759" s="14"/>
    </row>
    <row r="760" spans="1:13">
      <c r="A760" s="263"/>
      <c r="B760" s="263"/>
      <c r="C760" s="263" t="s">
        <v>428</v>
      </c>
      <c r="D760" s="263" t="s">
        <v>1140</v>
      </c>
      <c r="E760" s="263"/>
      <c r="F760" s="263"/>
      <c r="G760" s="39" cm="1">
        <f t="array" ref="G760">IFERROR(INDEX(Table_dim_price_recipe[Retail Price], MATCH(1, ("Calculator"&lt;&gt;Table_dim_price_recipe[Type.display])*($L760=Table_dim_price_recipe[Category])*($D760=Table_dim_price_recipe[Item Description]) * (G$6=Table_dim_price_recipe[Type])*(Table_dim_price_recipe[Retail Price]&lt;&gt;0)*($C760=Table_dim_price_recipe[Subcategory]), 0))*$B760,"")</f>
        <v>0</v>
      </c>
      <c r="H760" s="39" t="str" cm="1">
        <f t="array" ref="H760">IFERROR(INDEX(Table_dim_price_recipe[Retail Price], MATCH(1, ("Calculator"&lt;&gt;Table_dim_price_recipe[Type.display])*($L760=Table_dim_price_recipe[Category])*($D760=Table_dim_price_recipe[Item Description]) * (H$6=Table_dim_price_recipe[Type])*(Table_dim_price_recipe[Retail Price]&lt;&gt;0)*($C760=Table_dim_price_recipe[Subcategory]), 0))*$B760,"")</f>
        <v/>
      </c>
      <c r="I760" s="39" t="str" cm="1">
        <f t="array" ref="I760">IFERROR(INDEX(Table_dim_price_recipe[Retail Price], MATCH(1, ("Calculator"&lt;&gt;Table_dim_price_recipe[Type.display])*($L760=Table_dim_price_recipe[Category])*($D760=Table_dim_price_recipe[Item Description]) * (I$6=Table_dim_price_recipe[Type])*(Table_dim_price_recipe[Retail Price]&lt;&gt;0)*($C760=Table_dim_price_recipe[Subcategory]), 0))*$B760,"")</f>
        <v/>
      </c>
      <c r="J760" s="39" t="str" cm="1">
        <f t="array" ref="J760">IFERROR(INDEX(Table_dim_price_recipe[Retail Price], MATCH(1, ("Calculator"&lt;&gt;Table_dim_price_recipe[Type.display])*($L760=Table_dim_price_recipe[Category])*($D760=Table_dim_price_recipe[Item Description]) * (J$6=Table_dim_price_recipe[Type])*(Table_dim_price_recipe[Retail Price]&lt;&gt;0)*($C760=Table_dim_price_recipe[Subcategory]), 0))*$B760,"")</f>
        <v/>
      </c>
      <c r="K760" s="39" t="str" cm="1">
        <f t="array" ref="K760">IFERROR(INDEX(Table_dim_price_recipe[Retail Price], MATCH(1, ("Calculator"&lt;&gt;Table_dim_price_recipe[Type.display])*($L760=Table_dim_price_recipe[Category])*($D760=Table_dim_price_recipe[Item Description]) * (K$6=Table_dim_price_recipe[Type])*(Table_dim_price_recipe[Retail Price]&lt;&gt;0)*($C760=Table_dim_price_recipe[Subcategory]), 0))*$B760,"")</f>
        <v/>
      </c>
      <c r="L760" s="39" t="str" cm="1">
        <f t="array" ref="L760">IF($A760&lt;&gt;"", $A760, LOOKUP(2, 1/((A$7:INDEX(A:A, ROW()))&lt;&gt;""), A$7:INDEX(A:A, ROW())))</f>
        <v>CEILINGS &amp; WALLS</v>
      </c>
      <c r="M760" s="14"/>
    </row>
    <row r="761" spans="1:13">
      <c r="A761" s="263"/>
      <c r="B761" s="263"/>
      <c r="C761" s="263" t="s">
        <v>428</v>
      </c>
      <c r="D761" s="263" t="s">
        <v>1141</v>
      </c>
      <c r="E761" s="263"/>
      <c r="F761" s="263"/>
      <c r="G761" s="39" cm="1">
        <f t="array" ref="G761">IFERROR(INDEX(Table_dim_price_recipe[Retail Price], MATCH(1, ("Calculator"&lt;&gt;Table_dim_price_recipe[Type.display])*($L761=Table_dim_price_recipe[Category])*($D761=Table_dim_price_recipe[Item Description]) * (G$6=Table_dim_price_recipe[Type])*(Table_dim_price_recipe[Retail Price]&lt;&gt;0)*($C761=Table_dim_price_recipe[Subcategory]), 0))*$B761,"")</f>
        <v>0</v>
      </c>
      <c r="H761" s="39" t="str" cm="1">
        <f t="array" ref="H761">IFERROR(INDEX(Table_dim_price_recipe[Retail Price], MATCH(1, ("Calculator"&lt;&gt;Table_dim_price_recipe[Type.display])*($L761=Table_dim_price_recipe[Category])*($D761=Table_dim_price_recipe[Item Description]) * (H$6=Table_dim_price_recipe[Type])*(Table_dim_price_recipe[Retail Price]&lt;&gt;0)*($C761=Table_dim_price_recipe[Subcategory]), 0))*$B761,"")</f>
        <v/>
      </c>
      <c r="I761" s="39" t="str" cm="1">
        <f t="array" ref="I761">IFERROR(INDEX(Table_dim_price_recipe[Retail Price], MATCH(1, ("Calculator"&lt;&gt;Table_dim_price_recipe[Type.display])*($L761=Table_dim_price_recipe[Category])*($D761=Table_dim_price_recipe[Item Description]) * (I$6=Table_dim_price_recipe[Type])*(Table_dim_price_recipe[Retail Price]&lt;&gt;0)*($C761=Table_dim_price_recipe[Subcategory]), 0))*$B761,"")</f>
        <v/>
      </c>
      <c r="J761" s="39" t="str" cm="1">
        <f t="array" ref="J761">IFERROR(INDEX(Table_dim_price_recipe[Retail Price], MATCH(1, ("Calculator"&lt;&gt;Table_dim_price_recipe[Type.display])*($L761=Table_dim_price_recipe[Category])*($D761=Table_dim_price_recipe[Item Description]) * (J$6=Table_dim_price_recipe[Type])*(Table_dim_price_recipe[Retail Price]&lt;&gt;0)*($C761=Table_dim_price_recipe[Subcategory]), 0))*$B761,"")</f>
        <v/>
      </c>
      <c r="K761" s="39" t="str" cm="1">
        <f t="array" ref="K761">IFERROR(INDEX(Table_dim_price_recipe[Retail Price], MATCH(1, ("Calculator"&lt;&gt;Table_dim_price_recipe[Type.display])*($L761=Table_dim_price_recipe[Category])*($D761=Table_dim_price_recipe[Item Description]) * (K$6=Table_dim_price_recipe[Type])*(Table_dim_price_recipe[Retail Price]&lt;&gt;0)*($C761=Table_dim_price_recipe[Subcategory]), 0))*$B761,"")</f>
        <v/>
      </c>
      <c r="L761" s="39" t="str" cm="1">
        <f t="array" ref="L761">IF($A761&lt;&gt;"", $A761, LOOKUP(2, 1/((A$7:INDEX(A:A, ROW()))&lt;&gt;""), A$7:INDEX(A:A, ROW())))</f>
        <v>CEILINGS &amp; WALLS</v>
      </c>
      <c r="M761" s="14"/>
    </row>
    <row r="762" spans="1:13">
      <c r="A762" s="263"/>
      <c r="B762" s="263"/>
      <c r="C762" s="263" t="s">
        <v>428</v>
      </c>
      <c r="D762" s="263" t="s">
        <v>1142</v>
      </c>
      <c r="E762" s="263"/>
      <c r="F762" s="263"/>
      <c r="G762" s="39" cm="1">
        <f t="array" ref="G762">IFERROR(INDEX(Table_dim_price_recipe[Retail Price], MATCH(1, ("Calculator"&lt;&gt;Table_dim_price_recipe[Type.display])*($L762=Table_dim_price_recipe[Category])*($D762=Table_dim_price_recipe[Item Description]) * (G$6=Table_dim_price_recipe[Type])*(Table_dim_price_recipe[Retail Price]&lt;&gt;0)*($C762=Table_dim_price_recipe[Subcategory]), 0))*$B762,"")</f>
        <v>0</v>
      </c>
      <c r="H762" s="39" t="str" cm="1">
        <f t="array" ref="H762">IFERROR(INDEX(Table_dim_price_recipe[Retail Price], MATCH(1, ("Calculator"&lt;&gt;Table_dim_price_recipe[Type.display])*($L762=Table_dim_price_recipe[Category])*($D762=Table_dim_price_recipe[Item Description]) * (H$6=Table_dim_price_recipe[Type])*(Table_dim_price_recipe[Retail Price]&lt;&gt;0)*($C762=Table_dim_price_recipe[Subcategory]), 0))*$B762,"")</f>
        <v/>
      </c>
      <c r="I762" s="39" t="str" cm="1">
        <f t="array" ref="I762">IFERROR(INDEX(Table_dim_price_recipe[Retail Price], MATCH(1, ("Calculator"&lt;&gt;Table_dim_price_recipe[Type.display])*($L762=Table_dim_price_recipe[Category])*($D762=Table_dim_price_recipe[Item Description]) * (I$6=Table_dim_price_recipe[Type])*(Table_dim_price_recipe[Retail Price]&lt;&gt;0)*($C762=Table_dim_price_recipe[Subcategory]), 0))*$B762,"")</f>
        <v/>
      </c>
      <c r="J762" s="39" t="str" cm="1">
        <f t="array" ref="J762">IFERROR(INDEX(Table_dim_price_recipe[Retail Price], MATCH(1, ("Calculator"&lt;&gt;Table_dim_price_recipe[Type.display])*($L762=Table_dim_price_recipe[Category])*($D762=Table_dim_price_recipe[Item Description]) * (J$6=Table_dim_price_recipe[Type])*(Table_dim_price_recipe[Retail Price]&lt;&gt;0)*($C762=Table_dim_price_recipe[Subcategory]), 0))*$B762,"")</f>
        <v/>
      </c>
      <c r="K762" s="39" t="str" cm="1">
        <f t="array" ref="K762">IFERROR(INDEX(Table_dim_price_recipe[Retail Price], MATCH(1, ("Calculator"&lt;&gt;Table_dim_price_recipe[Type.display])*($L762=Table_dim_price_recipe[Category])*($D762=Table_dim_price_recipe[Item Description]) * (K$6=Table_dim_price_recipe[Type])*(Table_dim_price_recipe[Retail Price]&lt;&gt;0)*($C762=Table_dim_price_recipe[Subcategory]), 0))*$B762,"")</f>
        <v/>
      </c>
      <c r="L762" s="39" t="str" cm="1">
        <f t="array" ref="L762">IF($A762&lt;&gt;"", $A762, LOOKUP(2, 1/((A$7:INDEX(A:A, ROW()))&lt;&gt;""), A$7:INDEX(A:A, ROW())))</f>
        <v>CEILINGS &amp; WALLS</v>
      </c>
      <c r="M762" s="14"/>
    </row>
    <row r="763" spans="1:13">
      <c r="A763" s="263"/>
      <c r="B763" s="263"/>
      <c r="C763" s="263" t="s">
        <v>428</v>
      </c>
      <c r="D763" s="263" t="s">
        <v>437</v>
      </c>
      <c r="E763" s="263"/>
      <c r="F763" s="263"/>
      <c r="G763" s="39" cm="1">
        <f t="array" ref="G763">IFERROR(INDEX(Table_dim_price_recipe[Retail Price], MATCH(1, ("Calculator"&lt;&gt;Table_dim_price_recipe[Type.display])*($L763=Table_dim_price_recipe[Category])*($D763=Table_dim_price_recipe[Item Description]) * (G$6=Table_dim_price_recipe[Type])*(Table_dim_price_recipe[Retail Price]&lt;&gt;0)*($C763=Table_dim_price_recipe[Subcategory]), 0))*$B763,"")</f>
        <v>0</v>
      </c>
      <c r="H763" s="39" t="str" cm="1">
        <f t="array" ref="H763">IFERROR(INDEX(Table_dim_price_recipe[Retail Price], MATCH(1, ("Calculator"&lt;&gt;Table_dim_price_recipe[Type.display])*($L763=Table_dim_price_recipe[Category])*($D763=Table_dim_price_recipe[Item Description]) * (H$6=Table_dim_price_recipe[Type])*(Table_dim_price_recipe[Retail Price]&lt;&gt;0)*($C763=Table_dim_price_recipe[Subcategory]), 0))*$B763,"")</f>
        <v/>
      </c>
      <c r="I763" s="39" t="str" cm="1">
        <f t="array" ref="I763">IFERROR(INDEX(Table_dim_price_recipe[Retail Price], MATCH(1, ("Calculator"&lt;&gt;Table_dim_price_recipe[Type.display])*($L763=Table_dim_price_recipe[Category])*($D763=Table_dim_price_recipe[Item Description]) * (I$6=Table_dim_price_recipe[Type])*(Table_dim_price_recipe[Retail Price]&lt;&gt;0)*($C763=Table_dim_price_recipe[Subcategory]), 0))*$B763,"")</f>
        <v/>
      </c>
      <c r="J763" s="39" t="str" cm="1">
        <f t="array" ref="J763">IFERROR(INDEX(Table_dim_price_recipe[Retail Price], MATCH(1, ("Calculator"&lt;&gt;Table_dim_price_recipe[Type.display])*($L763=Table_dim_price_recipe[Category])*($D763=Table_dim_price_recipe[Item Description]) * (J$6=Table_dim_price_recipe[Type])*(Table_dim_price_recipe[Retail Price]&lt;&gt;0)*($C763=Table_dim_price_recipe[Subcategory]), 0))*$B763,"")</f>
        <v/>
      </c>
      <c r="K763" s="39" t="str" cm="1">
        <f t="array" ref="K763">IFERROR(INDEX(Table_dim_price_recipe[Retail Price], MATCH(1, ("Calculator"&lt;&gt;Table_dim_price_recipe[Type.display])*($L763=Table_dim_price_recipe[Category])*($D763=Table_dim_price_recipe[Item Description]) * (K$6=Table_dim_price_recipe[Type])*(Table_dim_price_recipe[Retail Price]&lt;&gt;0)*($C763=Table_dim_price_recipe[Subcategory]), 0))*$B763,"")</f>
        <v/>
      </c>
      <c r="L763" s="39" t="str" cm="1">
        <f t="array" ref="L763">IF($A763&lt;&gt;"", $A763, LOOKUP(2, 1/((A$7:INDEX(A:A, ROW()))&lt;&gt;""), A$7:INDEX(A:A, ROW())))</f>
        <v>CEILINGS &amp; WALLS</v>
      </c>
      <c r="M763" s="14"/>
    </row>
    <row r="764" spans="1:13">
      <c r="A764" s="263"/>
      <c r="B764" s="263"/>
      <c r="C764" s="263" t="s">
        <v>428</v>
      </c>
      <c r="D764" s="263" t="s">
        <v>91</v>
      </c>
      <c r="E764" s="263"/>
      <c r="F764" s="263"/>
      <c r="G764" s="39" cm="1">
        <f t="array" ref="G764">IFERROR(INDEX(Table_dim_price_recipe[Retail Price], MATCH(1, ("Calculator"&lt;&gt;Table_dim_price_recipe[Type.display])*($L764=Table_dim_price_recipe[Category])*($D764=Table_dim_price_recipe[Item Description]) * (G$6=Table_dim_price_recipe[Type])*(Table_dim_price_recipe[Retail Price]&lt;&gt;0)*($C764=Table_dim_price_recipe[Subcategory]), 0))*$B764,"")</f>
        <v>0</v>
      </c>
      <c r="H764" s="39" t="str" cm="1">
        <f t="array" ref="H764">IFERROR(INDEX(Table_dim_price_recipe[Retail Price], MATCH(1, ("Calculator"&lt;&gt;Table_dim_price_recipe[Type.display])*($L764=Table_dim_price_recipe[Category])*($D764=Table_dim_price_recipe[Item Description]) * (H$6=Table_dim_price_recipe[Type])*(Table_dim_price_recipe[Retail Price]&lt;&gt;0)*($C764=Table_dim_price_recipe[Subcategory]), 0))*$B764,"")</f>
        <v/>
      </c>
      <c r="I764" s="39" t="str" cm="1">
        <f t="array" ref="I764">IFERROR(INDEX(Table_dim_price_recipe[Retail Price], MATCH(1, ("Calculator"&lt;&gt;Table_dim_price_recipe[Type.display])*($L764=Table_dim_price_recipe[Category])*($D764=Table_dim_price_recipe[Item Description]) * (I$6=Table_dim_price_recipe[Type])*(Table_dim_price_recipe[Retail Price]&lt;&gt;0)*($C764=Table_dim_price_recipe[Subcategory]), 0))*$B764,"")</f>
        <v/>
      </c>
      <c r="J764" s="39" t="str" cm="1">
        <f t="array" ref="J764">IFERROR(INDEX(Table_dim_price_recipe[Retail Price], MATCH(1, ("Calculator"&lt;&gt;Table_dim_price_recipe[Type.display])*($L764=Table_dim_price_recipe[Category])*($D764=Table_dim_price_recipe[Item Description]) * (J$6=Table_dim_price_recipe[Type])*(Table_dim_price_recipe[Retail Price]&lt;&gt;0)*($C764=Table_dim_price_recipe[Subcategory]), 0))*$B764,"")</f>
        <v/>
      </c>
      <c r="K764" s="39" t="str" cm="1">
        <f t="array" ref="K764">IFERROR(INDEX(Table_dim_price_recipe[Retail Price], MATCH(1, ("Calculator"&lt;&gt;Table_dim_price_recipe[Type.display])*($L764=Table_dim_price_recipe[Category])*($D764=Table_dim_price_recipe[Item Description]) * (K$6=Table_dim_price_recipe[Type])*(Table_dim_price_recipe[Retail Price]&lt;&gt;0)*($C764=Table_dim_price_recipe[Subcategory]), 0))*$B764,"")</f>
        <v/>
      </c>
      <c r="L764" s="39" t="str" cm="1">
        <f t="array" ref="L764">IF($A764&lt;&gt;"", $A764, LOOKUP(2, 1/((A$7:INDEX(A:A, ROW()))&lt;&gt;""), A$7:INDEX(A:A, ROW())))</f>
        <v>CEILINGS &amp; WALLS</v>
      </c>
      <c r="M764" s="14"/>
    </row>
    <row r="765" spans="1:13">
      <c r="A765" s="263"/>
      <c r="B765" s="263"/>
      <c r="C765" s="263" t="s">
        <v>428</v>
      </c>
      <c r="D765" s="263" t="s">
        <v>1135</v>
      </c>
      <c r="E765" s="263"/>
      <c r="F765" s="263"/>
      <c r="G765" s="39" cm="1">
        <f t="array" ref="G765">IFERROR(INDEX(Table_dim_price_recipe[Retail Price], MATCH(1, ("Calculator"&lt;&gt;Table_dim_price_recipe[Type.display])*($L765=Table_dim_price_recipe[Category])*($D765=Table_dim_price_recipe[Item Description]) * (G$6=Table_dim_price_recipe[Type])*(Table_dim_price_recipe[Retail Price]&lt;&gt;0)*($C765=Table_dim_price_recipe[Subcategory]), 0))*$B765,"")</f>
        <v>0</v>
      </c>
      <c r="H765" s="39" t="str" cm="1">
        <f t="array" ref="H765">IFERROR(INDEX(Table_dim_price_recipe[Retail Price], MATCH(1, ("Calculator"&lt;&gt;Table_dim_price_recipe[Type.display])*($L765=Table_dim_price_recipe[Category])*($D765=Table_dim_price_recipe[Item Description]) * (H$6=Table_dim_price_recipe[Type])*(Table_dim_price_recipe[Retail Price]&lt;&gt;0)*($C765=Table_dim_price_recipe[Subcategory]), 0))*$B765,"")</f>
        <v/>
      </c>
      <c r="I765" s="39" t="str" cm="1">
        <f t="array" ref="I765">IFERROR(INDEX(Table_dim_price_recipe[Retail Price], MATCH(1, ("Calculator"&lt;&gt;Table_dim_price_recipe[Type.display])*($L765=Table_dim_price_recipe[Category])*($D765=Table_dim_price_recipe[Item Description]) * (I$6=Table_dim_price_recipe[Type])*(Table_dim_price_recipe[Retail Price]&lt;&gt;0)*($C765=Table_dim_price_recipe[Subcategory]), 0))*$B765,"")</f>
        <v/>
      </c>
      <c r="J765" s="39" t="str" cm="1">
        <f t="array" ref="J765">IFERROR(INDEX(Table_dim_price_recipe[Retail Price], MATCH(1, ("Calculator"&lt;&gt;Table_dim_price_recipe[Type.display])*($L765=Table_dim_price_recipe[Category])*($D765=Table_dim_price_recipe[Item Description]) * (J$6=Table_dim_price_recipe[Type])*(Table_dim_price_recipe[Retail Price]&lt;&gt;0)*($C765=Table_dim_price_recipe[Subcategory]), 0))*$B765,"")</f>
        <v/>
      </c>
      <c r="K765" s="39" t="str" cm="1">
        <f t="array" ref="K765">IFERROR(INDEX(Table_dim_price_recipe[Retail Price], MATCH(1, ("Calculator"&lt;&gt;Table_dim_price_recipe[Type.display])*($L765=Table_dim_price_recipe[Category])*($D765=Table_dim_price_recipe[Item Description]) * (K$6=Table_dim_price_recipe[Type])*(Table_dim_price_recipe[Retail Price]&lt;&gt;0)*($C765=Table_dim_price_recipe[Subcategory]), 0))*$B765,"")</f>
        <v/>
      </c>
      <c r="L765" s="39" t="str" cm="1">
        <f t="array" ref="L765">IF($A765&lt;&gt;"", $A765, LOOKUP(2, 1/((A$7:INDEX(A:A, ROW()))&lt;&gt;""), A$7:INDEX(A:A, ROW())))</f>
        <v>CEILINGS &amp; WALLS</v>
      </c>
      <c r="M765" s="14"/>
    </row>
    <row r="766" spans="1:13">
      <c r="A766" s="263"/>
      <c r="B766" s="263"/>
      <c r="C766" s="263" t="s">
        <v>428</v>
      </c>
      <c r="D766" s="263" t="s">
        <v>1136</v>
      </c>
      <c r="E766" s="263"/>
      <c r="F766" s="263"/>
      <c r="G766" s="39" cm="1">
        <f t="array" ref="G766">IFERROR(INDEX(Table_dim_price_recipe[Retail Price], MATCH(1, ("Calculator"&lt;&gt;Table_dim_price_recipe[Type.display])*($L766=Table_dim_price_recipe[Category])*($D766=Table_dim_price_recipe[Item Description]) * (G$6=Table_dim_price_recipe[Type])*(Table_dim_price_recipe[Retail Price]&lt;&gt;0)*($C766=Table_dim_price_recipe[Subcategory]), 0))*$B766,"")</f>
        <v>0</v>
      </c>
      <c r="H766" s="39" t="str" cm="1">
        <f t="array" ref="H766">IFERROR(INDEX(Table_dim_price_recipe[Retail Price], MATCH(1, ("Calculator"&lt;&gt;Table_dim_price_recipe[Type.display])*($L766=Table_dim_price_recipe[Category])*($D766=Table_dim_price_recipe[Item Description]) * (H$6=Table_dim_price_recipe[Type])*(Table_dim_price_recipe[Retail Price]&lt;&gt;0)*($C766=Table_dim_price_recipe[Subcategory]), 0))*$B766,"")</f>
        <v/>
      </c>
      <c r="I766" s="39" t="str" cm="1">
        <f t="array" ref="I766">IFERROR(INDEX(Table_dim_price_recipe[Retail Price], MATCH(1, ("Calculator"&lt;&gt;Table_dim_price_recipe[Type.display])*($L766=Table_dim_price_recipe[Category])*($D766=Table_dim_price_recipe[Item Description]) * (I$6=Table_dim_price_recipe[Type])*(Table_dim_price_recipe[Retail Price]&lt;&gt;0)*($C766=Table_dim_price_recipe[Subcategory]), 0))*$B766,"")</f>
        <v/>
      </c>
      <c r="J766" s="39" t="str" cm="1">
        <f t="array" ref="J766">IFERROR(INDEX(Table_dim_price_recipe[Retail Price], MATCH(1, ("Calculator"&lt;&gt;Table_dim_price_recipe[Type.display])*($L766=Table_dim_price_recipe[Category])*($D766=Table_dim_price_recipe[Item Description]) * (J$6=Table_dim_price_recipe[Type])*(Table_dim_price_recipe[Retail Price]&lt;&gt;0)*($C766=Table_dim_price_recipe[Subcategory]), 0))*$B766,"")</f>
        <v/>
      </c>
      <c r="K766" s="39" t="str" cm="1">
        <f t="array" ref="K766">IFERROR(INDEX(Table_dim_price_recipe[Retail Price], MATCH(1, ("Calculator"&lt;&gt;Table_dim_price_recipe[Type.display])*($L766=Table_dim_price_recipe[Category])*($D766=Table_dim_price_recipe[Item Description]) * (K$6=Table_dim_price_recipe[Type])*(Table_dim_price_recipe[Retail Price]&lt;&gt;0)*($C766=Table_dim_price_recipe[Subcategory]), 0))*$B766,"")</f>
        <v/>
      </c>
      <c r="L766" s="39" t="str" cm="1">
        <f t="array" ref="L766">IF($A766&lt;&gt;"", $A766, LOOKUP(2, 1/((A$7:INDEX(A:A, ROW()))&lt;&gt;""), A$7:INDEX(A:A, ROW())))</f>
        <v>CEILINGS &amp; WALLS</v>
      </c>
      <c r="M766" s="14"/>
    </row>
    <row r="767" spans="1:13">
      <c r="A767" s="263"/>
      <c r="B767" s="263"/>
      <c r="C767" s="263" t="s">
        <v>428</v>
      </c>
      <c r="D767" s="263" t="s">
        <v>1137</v>
      </c>
      <c r="E767" s="263"/>
      <c r="F767" s="263"/>
      <c r="G767" s="39" cm="1">
        <f t="array" ref="G767">IFERROR(INDEX(Table_dim_price_recipe[Retail Price], MATCH(1, ("Calculator"&lt;&gt;Table_dim_price_recipe[Type.display])*($L767=Table_dim_price_recipe[Category])*($D767=Table_dim_price_recipe[Item Description]) * (G$6=Table_dim_price_recipe[Type])*(Table_dim_price_recipe[Retail Price]&lt;&gt;0)*($C767=Table_dim_price_recipe[Subcategory]), 0))*$B767,"")</f>
        <v>0</v>
      </c>
      <c r="H767" s="39" t="str" cm="1">
        <f t="array" ref="H767">IFERROR(INDEX(Table_dim_price_recipe[Retail Price], MATCH(1, ("Calculator"&lt;&gt;Table_dim_price_recipe[Type.display])*($L767=Table_dim_price_recipe[Category])*($D767=Table_dim_price_recipe[Item Description]) * (H$6=Table_dim_price_recipe[Type])*(Table_dim_price_recipe[Retail Price]&lt;&gt;0)*($C767=Table_dim_price_recipe[Subcategory]), 0))*$B767,"")</f>
        <v/>
      </c>
      <c r="I767" s="39" t="str" cm="1">
        <f t="array" ref="I767">IFERROR(INDEX(Table_dim_price_recipe[Retail Price], MATCH(1, ("Calculator"&lt;&gt;Table_dim_price_recipe[Type.display])*($L767=Table_dim_price_recipe[Category])*($D767=Table_dim_price_recipe[Item Description]) * (I$6=Table_dim_price_recipe[Type])*(Table_dim_price_recipe[Retail Price]&lt;&gt;0)*($C767=Table_dim_price_recipe[Subcategory]), 0))*$B767,"")</f>
        <v/>
      </c>
      <c r="J767" s="39" t="str" cm="1">
        <f t="array" ref="J767">IFERROR(INDEX(Table_dim_price_recipe[Retail Price], MATCH(1, ("Calculator"&lt;&gt;Table_dim_price_recipe[Type.display])*($L767=Table_dim_price_recipe[Category])*($D767=Table_dim_price_recipe[Item Description]) * (J$6=Table_dim_price_recipe[Type])*(Table_dim_price_recipe[Retail Price]&lt;&gt;0)*($C767=Table_dim_price_recipe[Subcategory]), 0))*$B767,"")</f>
        <v/>
      </c>
      <c r="K767" s="39" t="str" cm="1">
        <f t="array" ref="K767">IFERROR(INDEX(Table_dim_price_recipe[Retail Price], MATCH(1, ("Calculator"&lt;&gt;Table_dim_price_recipe[Type.display])*($L767=Table_dim_price_recipe[Category])*($D767=Table_dim_price_recipe[Item Description]) * (K$6=Table_dim_price_recipe[Type])*(Table_dim_price_recipe[Retail Price]&lt;&gt;0)*($C767=Table_dim_price_recipe[Subcategory]), 0))*$B767,"")</f>
        <v/>
      </c>
      <c r="L767" s="39" t="str" cm="1">
        <f t="array" ref="L767">IF($A767&lt;&gt;"", $A767, LOOKUP(2, 1/((A$7:INDEX(A:A, ROW()))&lt;&gt;""), A$7:INDEX(A:A, ROW())))</f>
        <v>CEILINGS &amp; WALLS</v>
      </c>
      <c r="M767" s="14"/>
    </row>
    <row r="768" spans="1:13">
      <c r="A768" s="263"/>
      <c r="B768" s="263"/>
      <c r="C768" s="263" t="s">
        <v>428</v>
      </c>
      <c r="D768" s="263"/>
      <c r="E768" s="263"/>
      <c r="F768" s="263"/>
      <c r="G768" s="39" t="str" cm="1">
        <f t="array" ref="G768">IFERROR(INDEX(Table_dim_price_recipe[Retail Price], MATCH(1, ("Calculator"&lt;&gt;Table_dim_price_recipe[Type.display])*($L768=Table_dim_price_recipe[Category])*($D768=Table_dim_price_recipe[Item Description]) * (G$6=Table_dim_price_recipe[Type])*(Table_dim_price_recipe[Retail Price]&lt;&gt;0)*($C768=Table_dim_price_recipe[Subcategory]), 0))*$B768,"")</f>
        <v/>
      </c>
      <c r="H768" s="39" t="str" cm="1">
        <f t="array" ref="H768">IFERROR(INDEX(Table_dim_price_recipe[Retail Price], MATCH(1, ("Calculator"&lt;&gt;Table_dim_price_recipe[Type.display])*($L768=Table_dim_price_recipe[Category])*($D768=Table_dim_price_recipe[Item Description]) * (H$6=Table_dim_price_recipe[Type])*(Table_dim_price_recipe[Retail Price]&lt;&gt;0)*($C768=Table_dim_price_recipe[Subcategory]), 0))*$B768,"")</f>
        <v/>
      </c>
      <c r="I768" s="39" t="str" cm="1">
        <f t="array" ref="I768">IFERROR(INDEX(Table_dim_price_recipe[Retail Price], MATCH(1, ("Calculator"&lt;&gt;Table_dim_price_recipe[Type.display])*($L768=Table_dim_price_recipe[Category])*($D768=Table_dim_price_recipe[Item Description]) * (I$6=Table_dim_price_recipe[Type])*(Table_dim_price_recipe[Retail Price]&lt;&gt;0)*($C768=Table_dim_price_recipe[Subcategory]), 0))*$B768,"")</f>
        <v/>
      </c>
      <c r="J768" s="39" t="str" cm="1">
        <f t="array" ref="J768">IFERROR(INDEX(Table_dim_price_recipe[Retail Price], MATCH(1, ("Calculator"&lt;&gt;Table_dim_price_recipe[Type.display])*($L768=Table_dim_price_recipe[Category])*($D768=Table_dim_price_recipe[Item Description]) * (J$6=Table_dim_price_recipe[Type])*(Table_dim_price_recipe[Retail Price]&lt;&gt;0)*($C768=Table_dim_price_recipe[Subcategory]), 0))*$B768,"")</f>
        <v/>
      </c>
      <c r="K768" s="39" t="str" cm="1">
        <f t="array" ref="K768">IFERROR(INDEX(Table_dim_price_recipe[Retail Price], MATCH(1, ("Calculator"&lt;&gt;Table_dim_price_recipe[Type.display])*($L768=Table_dim_price_recipe[Category])*($D768=Table_dim_price_recipe[Item Description]) * (K$6=Table_dim_price_recipe[Type])*(Table_dim_price_recipe[Retail Price]&lt;&gt;0)*($C768=Table_dim_price_recipe[Subcategory]), 0))*$B768,"")</f>
        <v/>
      </c>
      <c r="L768" s="39" t="str" cm="1">
        <f t="array" ref="L768">IF($A768&lt;&gt;"", $A768, LOOKUP(2, 1/((A$7:INDEX(A:A, ROW()))&lt;&gt;""), A$7:INDEX(A:A, ROW())))</f>
        <v>CEILINGS &amp; WALLS</v>
      </c>
      <c r="M768" s="14"/>
    </row>
    <row r="769" spans="1:13">
      <c r="A769" s="263"/>
      <c r="B769" s="263"/>
      <c r="C769" s="263" t="s">
        <v>428</v>
      </c>
      <c r="D769" s="263"/>
      <c r="E769" s="263"/>
      <c r="F769" s="263"/>
      <c r="G769" s="39" t="str" cm="1">
        <f t="array" ref="G769">IFERROR(INDEX(Table_dim_price_recipe[Retail Price], MATCH(1, ("Calculator"&lt;&gt;Table_dim_price_recipe[Type.display])*($L769=Table_dim_price_recipe[Category])*($D769=Table_dim_price_recipe[Item Description]) * (G$6=Table_dim_price_recipe[Type])*(Table_dim_price_recipe[Retail Price]&lt;&gt;0)*($C769=Table_dim_price_recipe[Subcategory]), 0))*$B769,"")</f>
        <v/>
      </c>
      <c r="H769" s="39" t="str" cm="1">
        <f t="array" ref="H769">IFERROR(INDEX(Table_dim_price_recipe[Retail Price], MATCH(1, ("Calculator"&lt;&gt;Table_dim_price_recipe[Type.display])*($L769=Table_dim_price_recipe[Category])*($D769=Table_dim_price_recipe[Item Description]) * (H$6=Table_dim_price_recipe[Type])*(Table_dim_price_recipe[Retail Price]&lt;&gt;0)*($C769=Table_dim_price_recipe[Subcategory]), 0))*$B769,"")</f>
        <v/>
      </c>
      <c r="I769" s="39" t="str" cm="1">
        <f t="array" ref="I769">IFERROR(INDEX(Table_dim_price_recipe[Retail Price], MATCH(1, ("Calculator"&lt;&gt;Table_dim_price_recipe[Type.display])*($L769=Table_dim_price_recipe[Category])*($D769=Table_dim_price_recipe[Item Description]) * (I$6=Table_dim_price_recipe[Type])*(Table_dim_price_recipe[Retail Price]&lt;&gt;0)*($C769=Table_dim_price_recipe[Subcategory]), 0))*$B769,"")</f>
        <v/>
      </c>
      <c r="J769" s="39" t="str" cm="1">
        <f t="array" ref="J769">IFERROR(INDEX(Table_dim_price_recipe[Retail Price], MATCH(1, ("Calculator"&lt;&gt;Table_dim_price_recipe[Type.display])*($L769=Table_dim_price_recipe[Category])*($D769=Table_dim_price_recipe[Item Description]) * (J$6=Table_dim_price_recipe[Type])*(Table_dim_price_recipe[Retail Price]&lt;&gt;0)*($C769=Table_dim_price_recipe[Subcategory]), 0))*$B769,"")</f>
        <v/>
      </c>
      <c r="K769" s="39" t="str" cm="1">
        <f t="array" ref="K769">IFERROR(INDEX(Table_dim_price_recipe[Retail Price], MATCH(1, ("Calculator"&lt;&gt;Table_dim_price_recipe[Type.display])*($L769=Table_dim_price_recipe[Category])*($D769=Table_dim_price_recipe[Item Description]) * (K$6=Table_dim_price_recipe[Type])*(Table_dim_price_recipe[Retail Price]&lt;&gt;0)*($C769=Table_dim_price_recipe[Subcategory]), 0))*$B769,"")</f>
        <v/>
      </c>
      <c r="L769" s="39" t="str" cm="1">
        <f t="array" ref="L769">IF($A769&lt;&gt;"", $A769, LOOKUP(2, 1/((A$7:INDEX(A:A, ROW()))&lt;&gt;""), A$7:INDEX(A:A, ROW())))</f>
        <v>CEILINGS &amp; WALLS</v>
      </c>
      <c r="M769" s="14"/>
    </row>
    <row r="770" spans="1:13">
      <c r="A770" s="263"/>
      <c r="B770" s="263"/>
      <c r="C770" s="263" t="s">
        <v>371</v>
      </c>
      <c r="D770" s="263" t="s">
        <v>372</v>
      </c>
      <c r="E770" s="263"/>
      <c r="F770" s="263"/>
      <c r="G770" s="39" t="str" cm="1">
        <f t="array" ref="G770">IFERROR(INDEX(Table_dim_price_recipe[Retail Price], MATCH(1, ("Calculator"&lt;&gt;Table_dim_price_recipe[Type.display])*($L770=Table_dim_price_recipe[Category])*($D770=Table_dim_price_recipe[Item Description]) * (G$6=Table_dim_price_recipe[Type])*(Table_dim_price_recipe[Retail Price]&lt;&gt;0)*($C770=Table_dim_price_recipe[Subcategory]), 0))*$B770,"")</f>
        <v/>
      </c>
      <c r="H770" s="39" t="str" cm="1">
        <f t="array" ref="H770">IFERROR(INDEX(Table_dim_price_recipe[Retail Price], MATCH(1, ("Calculator"&lt;&gt;Table_dim_price_recipe[Type.display])*($L770=Table_dim_price_recipe[Category])*($D770=Table_dim_price_recipe[Item Description]) * (H$6=Table_dim_price_recipe[Type])*(Table_dim_price_recipe[Retail Price]&lt;&gt;0)*($C770=Table_dim_price_recipe[Subcategory]), 0))*$B770,"")</f>
        <v/>
      </c>
      <c r="I770" s="39" t="str" cm="1">
        <f t="array" ref="I770">IFERROR(INDEX(Table_dim_price_recipe[Retail Price], MATCH(1, ("Calculator"&lt;&gt;Table_dim_price_recipe[Type.display])*($L770=Table_dim_price_recipe[Category])*($D770=Table_dim_price_recipe[Item Description]) * (I$6=Table_dim_price_recipe[Type])*(Table_dim_price_recipe[Retail Price]&lt;&gt;0)*($C770=Table_dim_price_recipe[Subcategory]), 0))*$B770,"")</f>
        <v/>
      </c>
      <c r="J770" s="39" t="str" cm="1">
        <f t="array" ref="J770">IFERROR(INDEX(Table_dim_price_recipe[Retail Price], MATCH(1, ("Calculator"&lt;&gt;Table_dim_price_recipe[Type.display])*($L770=Table_dim_price_recipe[Category])*($D770=Table_dim_price_recipe[Item Description]) * (J$6=Table_dim_price_recipe[Type])*(Table_dim_price_recipe[Retail Price]&lt;&gt;0)*($C770=Table_dim_price_recipe[Subcategory]), 0))*$B770,"")</f>
        <v/>
      </c>
      <c r="K770" s="39" t="str" cm="1">
        <f t="array" ref="K770">IFERROR(INDEX(Table_dim_price_recipe[Retail Price], MATCH(1, ("Calculator"&lt;&gt;Table_dim_price_recipe[Type.display])*($L770=Table_dim_price_recipe[Category])*($D770=Table_dim_price_recipe[Item Description]) * (K$6=Table_dim_price_recipe[Type])*(Table_dim_price_recipe[Retail Price]&lt;&gt;0)*($C770=Table_dim_price_recipe[Subcategory]), 0))*$B770,"")</f>
        <v/>
      </c>
      <c r="L770" s="39" t="str" cm="1">
        <f t="array" ref="L770">IF($A770&lt;&gt;"", $A770, LOOKUP(2, 1/((A$7:INDEX(A:A, ROW()))&lt;&gt;""), A$7:INDEX(A:A, ROW())))</f>
        <v>CEILINGS &amp; WALLS</v>
      </c>
      <c r="M770" s="14"/>
    </row>
    <row r="771" spans="1:13">
      <c r="A771" s="263"/>
      <c r="B771" s="263"/>
      <c r="C771" s="263" t="s">
        <v>371</v>
      </c>
      <c r="D771" s="263" t="s">
        <v>373</v>
      </c>
      <c r="E771" s="263"/>
      <c r="F771" s="263"/>
      <c r="G771" s="39" t="str" cm="1">
        <f t="array" ref="G771">IFERROR(INDEX(Table_dim_price_recipe[Retail Price], MATCH(1, ("Calculator"&lt;&gt;Table_dim_price_recipe[Type.display])*($L771=Table_dim_price_recipe[Category])*($D771=Table_dim_price_recipe[Item Description]) * (G$6=Table_dim_price_recipe[Type])*(Table_dim_price_recipe[Retail Price]&lt;&gt;0)*($C771=Table_dim_price_recipe[Subcategory]), 0))*$B771,"")</f>
        <v/>
      </c>
      <c r="H771" s="39" t="str" cm="1">
        <f t="array" ref="H771">IFERROR(INDEX(Table_dim_price_recipe[Retail Price], MATCH(1, ("Calculator"&lt;&gt;Table_dim_price_recipe[Type.display])*($L771=Table_dim_price_recipe[Category])*($D771=Table_dim_price_recipe[Item Description]) * (H$6=Table_dim_price_recipe[Type])*(Table_dim_price_recipe[Retail Price]&lt;&gt;0)*($C771=Table_dim_price_recipe[Subcategory]), 0))*$B771,"")</f>
        <v/>
      </c>
      <c r="I771" s="39" t="str" cm="1">
        <f t="array" ref="I771">IFERROR(INDEX(Table_dim_price_recipe[Retail Price], MATCH(1, ("Calculator"&lt;&gt;Table_dim_price_recipe[Type.display])*($L771=Table_dim_price_recipe[Category])*($D771=Table_dim_price_recipe[Item Description]) * (I$6=Table_dim_price_recipe[Type])*(Table_dim_price_recipe[Retail Price]&lt;&gt;0)*($C771=Table_dim_price_recipe[Subcategory]), 0))*$B771,"")</f>
        <v/>
      </c>
      <c r="J771" s="39" t="str" cm="1">
        <f t="array" ref="J771">IFERROR(INDEX(Table_dim_price_recipe[Retail Price], MATCH(1, ("Calculator"&lt;&gt;Table_dim_price_recipe[Type.display])*($L771=Table_dim_price_recipe[Category])*($D771=Table_dim_price_recipe[Item Description]) * (J$6=Table_dim_price_recipe[Type])*(Table_dim_price_recipe[Retail Price]&lt;&gt;0)*($C771=Table_dim_price_recipe[Subcategory]), 0))*$B771,"")</f>
        <v/>
      </c>
      <c r="K771" s="39" t="str" cm="1">
        <f t="array" ref="K771">IFERROR(INDEX(Table_dim_price_recipe[Retail Price], MATCH(1, ("Calculator"&lt;&gt;Table_dim_price_recipe[Type.display])*($L771=Table_dim_price_recipe[Category])*($D771=Table_dim_price_recipe[Item Description]) * (K$6=Table_dim_price_recipe[Type])*(Table_dim_price_recipe[Retail Price]&lt;&gt;0)*($C771=Table_dim_price_recipe[Subcategory]), 0))*$B771,"")</f>
        <v/>
      </c>
      <c r="L771" s="39" t="str" cm="1">
        <f t="array" ref="L771">IF($A771&lt;&gt;"", $A771, LOOKUP(2, 1/((A$7:INDEX(A:A, ROW()))&lt;&gt;""), A$7:INDEX(A:A, ROW())))</f>
        <v>CEILINGS &amp; WALLS</v>
      </c>
      <c r="M771" s="14"/>
    </row>
    <row r="772" spans="1:13">
      <c r="A772" s="263"/>
      <c r="B772" s="263"/>
      <c r="C772" s="263" t="s">
        <v>371</v>
      </c>
      <c r="D772" s="263" t="s">
        <v>374</v>
      </c>
      <c r="E772" s="263"/>
      <c r="F772" s="263"/>
      <c r="G772" s="39" t="str" cm="1">
        <f t="array" ref="G772">IFERROR(INDEX(Table_dim_price_recipe[Retail Price], MATCH(1, ("Calculator"&lt;&gt;Table_dim_price_recipe[Type.display])*($L772=Table_dim_price_recipe[Category])*($D772=Table_dim_price_recipe[Item Description]) * (G$6=Table_dim_price_recipe[Type])*(Table_dim_price_recipe[Retail Price]&lt;&gt;0)*($C772=Table_dim_price_recipe[Subcategory]), 0))*$B772,"")</f>
        <v/>
      </c>
      <c r="H772" s="39" t="str" cm="1">
        <f t="array" ref="H772">IFERROR(INDEX(Table_dim_price_recipe[Retail Price], MATCH(1, ("Calculator"&lt;&gt;Table_dim_price_recipe[Type.display])*($L772=Table_dim_price_recipe[Category])*($D772=Table_dim_price_recipe[Item Description]) * (H$6=Table_dim_price_recipe[Type])*(Table_dim_price_recipe[Retail Price]&lt;&gt;0)*($C772=Table_dim_price_recipe[Subcategory]), 0))*$B772,"")</f>
        <v/>
      </c>
      <c r="I772" s="39" t="str" cm="1">
        <f t="array" ref="I772">IFERROR(INDEX(Table_dim_price_recipe[Retail Price], MATCH(1, ("Calculator"&lt;&gt;Table_dim_price_recipe[Type.display])*($L772=Table_dim_price_recipe[Category])*($D772=Table_dim_price_recipe[Item Description]) * (I$6=Table_dim_price_recipe[Type])*(Table_dim_price_recipe[Retail Price]&lt;&gt;0)*($C772=Table_dim_price_recipe[Subcategory]), 0))*$B772,"")</f>
        <v/>
      </c>
      <c r="J772" s="39" t="str" cm="1">
        <f t="array" ref="J772">IFERROR(INDEX(Table_dim_price_recipe[Retail Price], MATCH(1, ("Calculator"&lt;&gt;Table_dim_price_recipe[Type.display])*($L772=Table_dim_price_recipe[Category])*($D772=Table_dim_price_recipe[Item Description]) * (J$6=Table_dim_price_recipe[Type])*(Table_dim_price_recipe[Retail Price]&lt;&gt;0)*($C772=Table_dim_price_recipe[Subcategory]), 0))*$B772,"")</f>
        <v/>
      </c>
      <c r="K772" s="39" t="str" cm="1">
        <f t="array" ref="K772">IFERROR(INDEX(Table_dim_price_recipe[Retail Price], MATCH(1, ("Calculator"&lt;&gt;Table_dim_price_recipe[Type.display])*($L772=Table_dim_price_recipe[Category])*($D772=Table_dim_price_recipe[Item Description]) * (K$6=Table_dim_price_recipe[Type])*(Table_dim_price_recipe[Retail Price]&lt;&gt;0)*($C772=Table_dim_price_recipe[Subcategory]), 0))*$B772,"")</f>
        <v/>
      </c>
      <c r="L772" s="39" t="str" cm="1">
        <f t="array" ref="L772">IF($A772&lt;&gt;"", $A772, LOOKUP(2, 1/((A$7:INDEX(A:A, ROW()))&lt;&gt;""), A$7:INDEX(A:A, ROW())))</f>
        <v>CEILINGS &amp; WALLS</v>
      </c>
      <c r="M772" s="14"/>
    </row>
    <row r="773" spans="1:13">
      <c r="A773" s="263"/>
      <c r="B773" s="263"/>
      <c r="C773" s="263" t="s">
        <v>371</v>
      </c>
      <c r="D773" s="263"/>
      <c r="E773" s="263"/>
      <c r="F773" s="263"/>
      <c r="G773" s="39" t="str" cm="1">
        <f t="array" ref="G773">IFERROR(INDEX(Table_dim_price_recipe[Retail Price], MATCH(1, ("Calculator"&lt;&gt;Table_dim_price_recipe[Type.display])*($L773=Table_dim_price_recipe[Category])*($D773=Table_dim_price_recipe[Item Description]) * (G$6=Table_dim_price_recipe[Type])*(Table_dim_price_recipe[Retail Price]&lt;&gt;0)*($C773=Table_dim_price_recipe[Subcategory]), 0))*$B773,"")</f>
        <v/>
      </c>
      <c r="H773" s="39" t="str" cm="1">
        <f t="array" ref="H773">IFERROR(INDEX(Table_dim_price_recipe[Retail Price], MATCH(1, ("Calculator"&lt;&gt;Table_dim_price_recipe[Type.display])*($L773=Table_dim_price_recipe[Category])*($D773=Table_dim_price_recipe[Item Description]) * (H$6=Table_dim_price_recipe[Type])*(Table_dim_price_recipe[Retail Price]&lt;&gt;0)*($C773=Table_dim_price_recipe[Subcategory]), 0))*$B773,"")</f>
        <v/>
      </c>
      <c r="I773" s="39" t="str" cm="1">
        <f t="array" ref="I773">IFERROR(INDEX(Table_dim_price_recipe[Retail Price], MATCH(1, ("Calculator"&lt;&gt;Table_dim_price_recipe[Type.display])*($L773=Table_dim_price_recipe[Category])*($D773=Table_dim_price_recipe[Item Description]) * (I$6=Table_dim_price_recipe[Type])*(Table_dim_price_recipe[Retail Price]&lt;&gt;0)*($C773=Table_dim_price_recipe[Subcategory]), 0))*$B773,"")</f>
        <v/>
      </c>
      <c r="J773" s="39" t="str" cm="1">
        <f t="array" ref="J773">IFERROR(INDEX(Table_dim_price_recipe[Retail Price], MATCH(1, ("Calculator"&lt;&gt;Table_dim_price_recipe[Type.display])*($L773=Table_dim_price_recipe[Category])*($D773=Table_dim_price_recipe[Item Description]) * (J$6=Table_dim_price_recipe[Type])*(Table_dim_price_recipe[Retail Price]&lt;&gt;0)*($C773=Table_dim_price_recipe[Subcategory]), 0))*$B773,"")</f>
        <v/>
      </c>
      <c r="K773" s="39" t="str" cm="1">
        <f t="array" ref="K773">IFERROR(INDEX(Table_dim_price_recipe[Retail Price], MATCH(1, ("Calculator"&lt;&gt;Table_dim_price_recipe[Type.display])*($L773=Table_dim_price_recipe[Category])*($D773=Table_dim_price_recipe[Item Description]) * (K$6=Table_dim_price_recipe[Type])*(Table_dim_price_recipe[Retail Price]&lt;&gt;0)*($C773=Table_dim_price_recipe[Subcategory]), 0))*$B773,"")</f>
        <v/>
      </c>
      <c r="L773" s="39" t="str" cm="1">
        <f t="array" ref="L773">IF($A773&lt;&gt;"", $A773, LOOKUP(2, 1/((A$7:INDEX(A:A, ROW()))&lt;&gt;""), A$7:INDEX(A:A, ROW())))</f>
        <v>CEILINGS &amp; WALLS</v>
      </c>
      <c r="M773" s="14"/>
    </row>
    <row r="774" spans="1:13">
      <c r="A774" s="263"/>
      <c r="B774" s="263"/>
      <c r="C774" s="263" t="s">
        <v>371</v>
      </c>
      <c r="D774" s="263"/>
      <c r="E774" s="263"/>
      <c r="F774" s="263"/>
      <c r="G774" s="39" t="str" cm="1">
        <f t="array" ref="G774">IFERROR(INDEX(Table_dim_price_recipe[Retail Price], MATCH(1, ("Calculator"&lt;&gt;Table_dim_price_recipe[Type.display])*($L774=Table_dim_price_recipe[Category])*($D774=Table_dim_price_recipe[Item Description]) * (G$6=Table_dim_price_recipe[Type])*(Table_dim_price_recipe[Retail Price]&lt;&gt;0)*($C774=Table_dim_price_recipe[Subcategory]), 0))*$B774,"")</f>
        <v/>
      </c>
      <c r="H774" s="39" t="str" cm="1">
        <f t="array" ref="H774">IFERROR(INDEX(Table_dim_price_recipe[Retail Price], MATCH(1, ("Calculator"&lt;&gt;Table_dim_price_recipe[Type.display])*($L774=Table_dim_price_recipe[Category])*($D774=Table_dim_price_recipe[Item Description]) * (H$6=Table_dim_price_recipe[Type])*(Table_dim_price_recipe[Retail Price]&lt;&gt;0)*($C774=Table_dim_price_recipe[Subcategory]), 0))*$B774,"")</f>
        <v/>
      </c>
      <c r="I774" s="39" t="str" cm="1">
        <f t="array" ref="I774">IFERROR(INDEX(Table_dim_price_recipe[Retail Price], MATCH(1, ("Calculator"&lt;&gt;Table_dim_price_recipe[Type.display])*($L774=Table_dim_price_recipe[Category])*($D774=Table_dim_price_recipe[Item Description]) * (I$6=Table_dim_price_recipe[Type])*(Table_dim_price_recipe[Retail Price]&lt;&gt;0)*($C774=Table_dim_price_recipe[Subcategory]), 0))*$B774,"")</f>
        <v/>
      </c>
      <c r="J774" s="39" t="str" cm="1">
        <f t="array" ref="J774">IFERROR(INDEX(Table_dim_price_recipe[Retail Price], MATCH(1, ("Calculator"&lt;&gt;Table_dim_price_recipe[Type.display])*($L774=Table_dim_price_recipe[Category])*($D774=Table_dim_price_recipe[Item Description]) * (J$6=Table_dim_price_recipe[Type])*(Table_dim_price_recipe[Retail Price]&lt;&gt;0)*($C774=Table_dim_price_recipe[Subcategory]), 0))*$B774,"")</f>
        <v/>
      </c>
      <c r="K774" s="39" t="str" cm="1">
        <f t="array" ref="K774">IFERROR(INDEX(Table_dim_price_recipe[Retail Price], MATCH(1, ("Calculator"&lt;&gt;Table_dim_price_recipe[Type.display])*($L774=Table_dim_price_recipe[Category])*($D774=Table_dim_price_recipe[Item Description]) * (K$6=Table_dim_price_recipe[Type])*(Table_dim_price_recipe[Retail Price]&lt;&gt;0)*($C774=Table_dim_price_recipe[Subcategory]), 0))*$B774,"")</f>
        <v/>
      </c>
      <c r="L774" s="39" t="str" cm="1">
        <f t="array" ref="L774">IF($A774&lt;&gt;"", $A774, LOOKUP(2, 1/((A$7:INDEX(A:A, ROW()))&lt;&gt;""), A$7:INDEX(A:A, ROW())))</f>
        <v>CEILINGS &amp; WALLS</v>
      </c>
      <c r="M774" s="14"/>
    </row>
    <row r="775" spans="1:13">
      <c r="A775" s="263"/>
      <c r="B775" s="263"/>
      <c r="C775" s="263" t="s">
        <v>368</v>
      </c>
      <c r="D775" s="263" t="s">
        <v>369</v>
      </c>
      <c r="E775" s="263"/>
      <c r="F775" s="263"/>
      <c r="G775" s="39" cm="1">
        <f t="array" ref="G775">IFERROR(INDEX(Table_dim_price_recipe[Retail Price], MATCH(1, ("Calculator"&lt;&gt;Table_dim_price_recipe[Type.display])*($L775=Table_dim_price_recipe[Category])*($D775=Table_dim_price_recipe[Item Description]) * (G$6=Table_dim_price_recipe[Type])*(Table_dim_price_recipe[Retail Price]&lt;&gt;0)*($C775=Table_dim_price_recipe[Subcategory]), 0))*$B775,"")</f>
        <v>0</v>
      </c>
      <c r="H775" s="39" t="str" cm="1">
        <f t="array" ref="H775">IFERROR(INDEX(Table_dim_price_recipe[Retail Price], MATCH(1, ("Calculator"&lt;&gt;Table_dim_price_recipe[Type.display])*($L775=Table_dim_price_recipe[Category])*($D775=Table_dim_price_recipe[Item Description]) * (H$6=Table_dim_price_recipe[Type])*(Table_dim_price_recipe[Retail Price]&lt;&gt;0)*($C775=Table_dim_price_recipe[Subcategory]), 0))*$B775,"")</f>
        <v/>
      </c>
      <c r="I775" s="39" t="str" cm="1">
        <f t="array" ref="I775">IFERROR(INDEX(Table_dim_price_recipe[Retail Price], MATCH(1, ("Calculator"&lt;&gt;Table_dim_price_recipe[Type.display])*($L775=Table_dim_price_recipe[Category])*($D775=Table_dim_price_recipe[Item Description]) * (I$6=Table_dim_price_recipe[Type])*(Table_dim_price_recipe[Retail Price]&lt;&gt;0)*($C775=Table_dim_price_recipe[Subcategory]), 0))*$B775,"")</f>
        <v/>
      </c>
      <c r="J775" s="39" t="str" cm="1">
        <f t="array" ref="J775">IFERROR(INDEX(Table_dim_price_recipe[Retail Price], MATCH(1, ("Calculator"&lt;&gt;Table_dim_price_recipe[Type.display])*($L775=Table_dim_price_recipe[Category])*($D775=Table_dim_price_recipe[Item Description]) * (J$6=Table_dim_price_recipe[Type])*(Table_dim_price_recipe[Retail Price]&lt;&gt;0)*($C775=Table_dim_price_recipe[Subcategory]), 0))*$B775,"")</f>
        <v/>
      </c>
      <c r="K775" s="39" t="str" cm="1">
        <f t="array" ref="K775">IFERROR(INDEX(Table_dim_price_recipe[Retail Price], MATCH(1, ("Calculator"&lt;&gt;Table_dim_price_recipe[Type.display])*($L775=Table_dim_price_recipe[Category])*($D775=Table_dim_price_recipe[Item Description]) * (K$6=Table_dim_price_recipe[Type])*(Table_dim_price_recipe[Retail Price]&lt;&gt;0)*($C775=Table_dim_price_recipe[Subcategory]), 0))*$B775,"")</f>
        <v/>
      </c>
      <c r="L775" s="39" t="str" cm="1">
        <f t="array" ref="L775">IF($A775&lt;&gt;"", $A775, LOOKUP(2, 1/((A$7:INDEX(A:A, ROW()))&lt;&gt;""), A$7:INDEX(A:A, ROW())))</f>
        <v>CEILINGS &amp; WALLS</v>
      </c>
      <c r="M775" s="14"/>
    </row>
    <row r="776" spans="1:13">
      <c r="A776" s="263"/>
      <c r="B776" s="263"/>
      <c r="C776" s="263" t="s">
        <v>368</v>
      </c>
      <c r="D776" s="263"/>
      <c r="E776" s="263"/>
      <c r="F776" s="263"/>
      <c r="G776" s="39" t="str" cm="1">
        <f t="array" ref="G776">IFERROR(INDEX(Table_dim_price_recipe[Retail Price], MATCH(1, ("Calculator"&lt;&gt;Table_dim_price_recipe[Type.display])*($L776=Table_dim_price_recipe[Category])*($D776=Table_dim_price_recipe[Item Description]) * (G$6=Table_dim_price_recipe[Type])*(Table_dim_price_recipe[Retail Price]&lt;&gt;0)*($C776=Table_dim_price_recipe[Subcategory]), 0))*$B776,"")</f>
        <v/>
      </c>
      <c r="H776" s="39" t="str" cm="1">
        <f t="array" ref="H776">IFERROR(INDEX(Table_dim_price_recipe[Retail Price], MATCH(1, ("Calculator"&lt;&gt;Table_dim_price_recipe[Type.display])*($L776=Table_dim_price_recipe[Category])*($D776=Table_dim_price_recipe[Item Description]) * (H$6=Table_dim_price_recipe[Type])*(Table_dim_price_recipe[Retail Price]&lt;&gt;0)*($C776=Table_dim_price_recipe[Subcategory]), 0))*$B776,"")</f>
        <v/>
      </c>
      <c r="I776" s="39" t="str" cm="1">
        <f t="array" ref="I776">IFERROR(INDEX(Table_dim_price_recipe[Retail Price], MATCH(1, ("Calculator"&lt;&gt;Table_dim_price_recipe[Type.display])*($L776=Table_dim_price_recipe[Category])*($D776=Table_dim_price_recipe[Item Description]) * (I$6=Table_dim_price_recipe[Type])*(Table_dim_price_recipe[Retail Price]&lt;&gt;0)*($C776=Table_dim_price_recipe[Subcategory]), 0))*$B776,"")</f>
        <v/>
      </c>
      <c r="J776" s="39" t="str" cm="1">
        <f t="array" ref="J776">IFERROR(INDEX(Table_dim_price_recipe[Retail Price], MATCH(1, ("Calculator"&lt;&gt;Table_dim_price_recipe[Type.display])*($L776=Table_dim_price_recipe[Category])*($D776=Table_dim_price_recipe[Item Description]) * (J$6=Table_dim_price_recipe[Type])*(Table_dim_price_recipe[Retail Price]&lt;&gt;0)*($C776=Table_dim_price_recipe[Subcategory]), 0))*$B776,"")</f>
        <v/>
      </c>
      <c r="K776" s="39" t="str" cm="1">
        <f t="array" ref="K776">IFERROR(INDEX(Table_dim_price_recipe[Retail Price], MATCH(1, ("Calculator"&lt;&gt;Table_dim_price_recipe[Type.display])*($L776=Table_dim_price_recipe[Category])*($D776=Table_dim_price_recipe[Item Description]) * (K$6=Table_dim_price_recipe[Type])*(Table_dim_price_recipe[Retail Price]&lt;&gt;0)*($C776=Table_dim_price_recipe[Subcategory]), 0))*$B776,"")</f>
        <v/>
      </c>
      <c r="L776" s="39" t="str" cm="1">
        <f t="array" ref="L776">IF($A776&lt;&gt;"", $A776, LOOKUP(2, 1/((A$7:INDEX(A:A, ROW()))&lt;&gt;""), A$7:INDEX(A:A, ROW())))</f>
        <v>CEILINGS &amp; WALLS</v>
      </c>
      <c r="M776" s="14"/>
    </row>
    <row r="777" spans="1:13">
      <c r="A777" s="263"/>
      <c r="B777" s="263"/>
      <c r="C777" s="263" t="s">
        <v>368</v>
      </c>
      <c r="D777" s="263"/>
      <c r="E777" s="263"/>
      <c r="F777" s="263"/>
      <c r="G777" s="39" t="str" cm="1">
        <f t="array" ref="G777">IFERROR(INDEX(Table_dim_price_recipe[Retail Price], MATCH(1, ("Calculator"&lt;&gt;Table_dim_price_recipe[Type.display])*($L777=Table_dim_price_recipe[Category])*($D777=Table_dim_price_recipe[Item Description]) * (G$6=Table_dim_price_recipe[Type])*(Table_dim_price_recipe[Retail Price]&lt;&gt;0)*($C777=Table_dim_price_recipe[Subcategory]), 0))*$B777,"")</f>
        <v/>
      </c>
      <c r="H777" s="39" t="str" cm="1">
        <f t="array" ref="H777">IFERROR(INDEX(Table_dim_price_recipe[Retail Price], MATCH(1, ("Calculator"&lt;&gt;Table_dim_price_recipe[Type.display])*($L777=Table_dim_price_recipe[Category])*($D777=Table_dim_price_recipe[Item Description]) * (H$6=Table_dim_price_recipe[Type])*(Table_dim_price_recipe[Retail Price]&lt;&gt;0)*($C777=Table_dim_price_recipe[Subcategory]), 0))*$B777,"")</f>
        <v/>
      </c>
      <c r="I777" s="39" t="str" cm="1">
        <f t="array" ref="I777">IFERROR(INDEX(Table_dim_price_recipe[Retail Price], MATCH(1, ("Calculator"&lt;&gt;Table_dim_price_recipe[Type.display])*($L777=Table_dim_price_recipe[Category])*($D777=Table_dim_price_recipe[Item Description]) * (I$6=Table_dim_price_recipe[Type])*(Table_dim_price_recipe[Retail Price]&lt;&gt;0)*($C777=Table_dim_price_recipe[Subcategory]), 0))*$B777,"")</f>
        <v/>
      </c>
      <c r="J777" s="39" t="str" cm="1">
        <f t="array" ref="J777">IFERROR(INDEX(Table_dim_price_recipe[Retail Price], MATCH(1, ("Calculator"&lt;&gt;Table_dim_price_recipe[Type.display])*($L777=Table_dim_price_recipe[Category])*($D777=Table_dim_price_recipe[Item Description]) * (J$6=Table_dim_price_recipe[Type])*(Table_dim_price_recipe[Retail Price]&lt;&gt;0)*($C777=Table_dim_price_recipe[Subcategory]), 0))*$B777,"")</f>
        <v/>
      </c>
      <c r="K777" s="39" t="str" cm="1">
        <f t="array" ref="K777">IFERROR(INDEX(Table_dim_price_recipe[Retail Price], MATCH(1, ("Calculator"&lt;&gt;Table_dim_price_recipe[Type.display])*($L777=Table_dim_price_recipe[Category])*($D777=Table_dim_price_recipe[Item Description]) * (K$6=Table_dim_price_recipe[Type])*(Table_dim_price_recipe[Retail Price]&lt;&gt;0)*($C777=Table_dim_price_recipe[Subcategory]), 0))*$B777,"")</f>
        <v/>
      </c>
      <c r="L777" s="39" t="str" cm="1">
        <f t="array" ref="L777">IF($A777&lt;&gt;"", $A777, LOOKUP(2, 1/((A$7:INDEX(A:A, ROW()))&lt;&gt;""), A$7:INDEX(A:A, ROW())))</f>
        <v>CEILINGS &amp; WALLS</v>
      </c>
      <c r="M777" s="14"/>
    </row>
    <row r="778" spans="1:13">
      <c r="A778" s="263"/>
      <c r="B778" s="263"/>
      <c r="C778" s="263" t="s">
        <v>440</v>
      </c>
      <c r="D778" s="263" t="s">
        <v>443</v>
      </c>
      <c r="E778" s="263"/>
      <c r="F778" s="263"/>
      <c r="G778" s="39" t="str" cm="1">
        <f t="array" ref="G778">IFERROR(INDEX(Table_dim_price_recipe[Retail Price], MATCH(1, ("Calculator"&lt;&gt;Table_dim_price_recipe[Type.display])*($L778=Table_dim_price_recipe[Category])*($D778=Table_dim_price_recipe[Item Description]) * (G$6=Table_dim_price_recipe[Type])*(Table_dim_price_recipe[Retail Price]&lt;&gt;0)*($C778=Table_dim_price_recipe[Subcategory]), 0))*$B778,"")</f>
        <v/>
      </c>
      <c r="H778" s="39" t="str" cm="1">
        <f t="array" ref="H778">IFERROR(INDEX(Table_dim_price_recipe[Retail Price], MATCH(1, ("Calculator"&lt;&gt;Table_dim_price_recipe[Type.display])*($L778=Table_dim_price_recipe[Category])*($D778=Table_dim_price_recipe[Item Description]) * (H$6=Table_dim_price_recipe[Type])*(Table_dim_price_recipe[Retail Price]&lt;&gt;0)*($C778=Table_dim_price_recipe[Subcategory]), 0))*$B778,"")</f>
        <v/>
      </c>
      <c r="I778" s="39" t="str" cm="1">
        <f t="array" ref="I778">IFERROR(INDEX(Table_dim_price_recipe[Retail Price], MATCH(1, ("Calculator"&lt;&gt;Table_dim_price_recipe[Type.display])*($L778=Table_dim_price_recipe[Category])*($D778=Table_dim_price_recipe[Item Description]) * (I$6=Table_dim_price_recipe[Type])*(Table_dim_price_recipe[Retail Price]&lt;&gt;0)*($C778=Table_dim_price_recipe[Subcategory]), 0))*$B778,"")</f>
        <v/>
      </c>
      <c r="J778" s="39" t="str" cm="1">
        <f t="array" ref="J778">IFERROR(INDEX(Table_dim_price_recipe[Retail Price], MATCH(1, ("Calculator"&lt;&gt;Table_dim_price_recipe[Type.display])*($L778=Table_dim_price_recipe[Category])*($D778=Table_dim_price_recipe[Item Description]) * (J$6=Table_dim_price_recipe[Type])*(Table_dim_price_recipe[Retail Price]&lt;&gt;0)*($C778=Table_dim_price_recipe[Subcategory]), 0))*$B778,"")</f>
        <v/>
      </c>
      <c r="K778" s="39" t="str" cm="1">
        <f t="array" ref="K778">IFERROR(INDEX(Table_dim_price_recipe[Retail Price], MATCH(1, ("Calculator"&lt;&gt;Table_dim_price_recipe[Type.display])*($L778=Table_dim_price_recipe[Category])*($D778=Table_dim_price_recipe[Item Description]) * (K$6=Table_dim_price_recipe[Type])*(Table_dim_price_recipe[Retail Price]&lt;&gt;0)*($C778=Table_dim_price_recipe[Subcategory]), 0))*$B778,"")</f>
        <v/>
      </c>
      <c r="L778" s="39" t="str" cm="1">
        <f t="array" ref="L778">IF($A778&lt;&gt;"", $A778, LOOKUP(2, 1/((A$7:INDEX(A:A, ROW()))&lt;&gt;""), A$7:INDEX(A:A, ROW())))</f>
        <v>CEILINGS &amp; WALLS</v>
      </c>
      <c r="M778" s="14"/>
    </row>
    <row r="779" spans="1:13">
      <c r="A779" s="263"/>
      <c r="B779" s="263"/>
      <c r="C779" s="263" t="s">
        <v>440</v>
      </c>
      <c r="D779" s="263" t="s">
        <v>441</v>
      </c>
      <c r="E779" s="263"/>
      <c r="F779" s="263"/>
      <c r="G779" s="39" cm="1">
        <f t="array" ref="G779">IFERROR(INDEX(Table_dim_price_recipe[Retail Price], MATCH(1, ("Calculator"&lt;&gt;Table_dim_price_recipe[Type.display])*($L779=Table_dim_price_recipe[Category])*($D779=Table_dim_price_recipe[Item Description]) * (G$6=Table_dim_price_recipe[Type])*(Table_dim_price_recipe[Retail Price]&lt;&gt;0)*($C779=Table_dim_price_recipe[Subcategory]), 0))*$B779,"")</f>
        <v>0</v>
      </c>
      <c r="H779" s="39" t="str" cm="1">
        <f t="array" ref="H779">IFERROR(INDEX(Table_dim_price_recipe[Retail Price], MATCH(1, ("Calculator"&lt;&gt;Table_dim_price_recipe[Type.display])*($L779=Table_dim_price_recipe[Category])*($D779=Table_dim_price_recipe[Item Description]) * (H$6=Table_dim_price_recipe[Type])*(Table_dim_price_recipe[Retail Price]&lt;&gt;0)*($C779=Table_dim_price_recipe[Subcategory]), 0))*$B779,"")</f>
        <v/>
      </c>
      <c r="I779" s="39" t="str" cm="1">
        <f t="array" ref="I779">IFERROR(INDEX(Table_dim_price_recipe[Retail Price], MATCH(1, ("Calculator"&lt;&gt;Table_dim_price_recipe[Type.display])*($L779=Table_dim_price_recipe[Category])*($D779=Table_dim_price_recipe[Item Description]) * (I$6=Table_dim_price_recipe[Type])*(Table_dim_price_recipe[Retail Price]&lt;&gt;0)*($C779=Table_dim_price_recipe[Subcategory]), 0))*$B779,"")</f>
        <v/>
      </c>
      <c r="J779" s="39" t="str" cm="1">
        <f t="array" ref="J779">IFERROR(INDEX(Table_dim_price_recipe[Retail Price], MATCH(1, ("Calculator"&lt;&gt;Table_dim_price_recipe[Type.display])*($L779=Table_dim_price_recipe[Category])*($D779=Table_dim_price_recipe[Item Description]) * (J$6=Table_dim_price_recipe[Type])*(Table_dim_price_recipe[Retail Price]&lt;&gt;0)*($C779=Table_dim_price_recipe[Subcategory]), 0))*$B779,"")</f>
        <v/>
      </c>
      <c r="K779" s="39" t="str" cm="1">
        <f t="array" ref="K779">IFERROR(INDEX(Table_dim_price_recipe[Retail Price], MATCH(1, ("Calculator"&lt;&gt;Table_dim_price_recipe[Type.display])*($L779=Table_dim_price_recipe[Category])*($D779=Table_dim_price_recipe[Item Description]) * (K$6=Table_dim_price_recipe[Type])*(Table_dim_price_recipe[Retail Price]&lt;&gt;0)*($C779=Table_dim_price_recipe[Subcategory]), 0))*$B779,"")</f>
        <v/>
      </c>
      <c r="L779" s="39" t="str" cm="1">
        <f t="array" ref="L779">IF($A779&lt;&gt;"", $A779, LOOKUP(2, 1/((A$7:INDEX(A:A, ROW()))&lt;&gt;""), A$7:INDEX(A:A, ROW())))</f>
        <v>CEILINGS &amp; WALLS</v>
      </c>
      <c r="M779" s="14"/>
    </row>
    <row r="780" spans="1:13">
      <c r="A780" s="263"/>
      <c r="B780" s="263"/>
      <c r="C780" s="263" t="s">
        <v>440</v>
      </c>
      <c r="D780" s="263" t="s">
        <v>442</v>
      </c>
      <c r="E780" s="263"/>
      <c r="F780" s="263"/>
      <c r="G780" s="39" cm="1">
        <f t="array" ref="G780">IFERROR(INDEX(Table_dim_price_recipe[Retail Price], MATCH(1, ("Calculator"&lt;&gt;Table_dim_price_recipe[Type.display])*($L780=Table_dim_price_recipe[Category])*($D780=Table_dim_price_recipe[Item Description]) * (G$6=Table_dim_price_recipe[Type])*(Table_dim_price_recipe[Retail Price]&lt;&gt;0)*($C780=Table_dim_price_recipe[Subcategory]), 0))*$B780,"")</f>
        <v>0</v>
      </c>
      <c r="H780" s="39" t="str" cm="1">
        <f t="array" ref="H780">IFERROR(INDEX(Table_dim_price_recipe[Retail Price], MATCH(1, ("Calculator"&lt;&gt;Table_dim_price_recipe[Type.display])*($L780=Table_dim_price_recipe[Category])*($D780=Table_dim_price_recipe[Item Description]) * (H$6=Table_dim_price_recipe[Type])*(Table_dim_price_recipe[Retail Price]&lt;&gt;0)*($C780=Table_dim_price_recipe[Subcategory]), 0))*$B780,"")</f>
        <v/>
      </c>
      <c r="I780" s="39" t="str" cm="1">
        <f t="array" ref="I780">IFERROR(INDEX(Table_dim_price_recipe[Retail Price], MATCH(1, ("Calculator"&lt;&gt;Table_dim_price_recipe[Type.display])*($L780=Table_dim_price_recipe[Category])*($D780=Table_dim_price_recipe[Item Description]) * (I$6=Table_dim_price_recipe[Type])*(Table_dim_price_recipe[Retail Price]&lt;&gt;0)*($C780=Table_dim_price_recipe[Subcategory]), 0))*$B780,"")</f>
        <v/>
      </c>
      <c r="J780" s="39" t="str" cm="1">
        <f t="array" ref="J780">IFERROR(INDEX(Table_dim_price_recipe[Retail Price], MATCH(1, ("Calculator"&lt;&gt;Table_dim_price_recipe[Type.display])*($L780=Table_dim_price_recipe[Category])*($D780=Table_dim_price_recipe[Item Description]) * (J$6=Table_dim_price_recipe[Type])*(Table_dim_price_recipe[Retail Price]&lt;&gt;0)*($C780=Table_dim_price_recipe[Subcategory]), 0))*$B780,"")</f>
        <v/>
      </c>
      <c r="K780" s="39" t="str" cm="1">
        <f t="array" ref="K780">IFERROR(INDEX(Table_dim_price_recipe[Retail Price], MATCH(1, ("Calculator"&lt;&gt;Table_dim_price_recipe[Type.display])*($L780=Table_dim_price_recipe[Category])*($D780=Table_dim_price_recipe[Item Description]) * (K$6=Table_dim_price_recipe[Type])*(Table_dim_price_recipe[Retail Price]&lt;&gt;0)*($C780=Table_dim_price_recipe[Subcategory]), 0))*$B780,"")</f>
        <v/>
      </c>
      <c r="L780" s="39" t="str" cm="1">
        <f t="array" ref="L780">IF($A780&lt;&gt;"", $A780, LOOKUP(2, 1/((A$7:INDEX(A:A, ROW()))&lt;&gt;""), A$7:INDEX(A:A, ROW())))</f>
        <v>CEILINGS &amp; WALLS</v>
      </c>
      <c r="M780" s="14"/>
    </row>
    <row r="781" spans="1:13">
      <c r="A781" s="263"/>
      <c r="B781" s="263"/>
      <c r="C781" s="263" t="s">
        <v>440</v>
      </c>
      <c r="D781" s="263"/>
      <c r="E781" s="263"/>
      <c r="F781" s="263"/>
      <c r="G781" s="39" t="str" cm="1">
        <f t="array" ref="G781">IFERROR(INDEX(Table_dim_price_recipe[Retail Price], MATCH(1, ("Calculator"&lt;&gt;Table_dim_price_recipe[Type.display])*($L781=Table_dim_price_recipe[Category])*($D781=Table_dim_price_recipe[Item Description]) * (G$6=Table_dim_price_recipe[Type])*(Table_dim_price_recipe[Retail Price]&lt;&gt;0)*($C781=Table_dim_price_recipe[Subcategory]), 0))*$B781,"")</f>
        <v/>
      </c>
      <c r="H781" s="39" t="str" cm="1">
        <f t="array" ref="H781">IFERROR(INDEX(Table_dim_price_recipe[Retail Price], MATCH(1, ("Calculator"&lt;&gt;Table_dim_price_recipe[Type.display])*($L781=Table_dim_price_recipe[Category])*($D781=Table_dim_price_recipe[Item Description]) * (H$6=Table_dim_price_recipe[Type])*(Table_dim_price_recipe[Retail Price]&lt;&gt;0)*($C781=Table_dim_price_recipe[Subcategory]), 0))*$B781,"")</f>
        <v/>
      </c>
      <c r="I781" s="39" t="str" cm="1">
        <f t="array" ref="I781">IFERROR(INDEX(Table_dim_price_recipe[Retail Price], MATCH(1, ("Calculator"&lt;&gt;Table_dim_price_recipe[Type.display])*($L781=Table_dim_price_recipe[Category])*($D781=Table_dim_price_recipe[Item Description]) * (I$6=Table_dim_price_recipe[Type])*(Table_dim_price_recipe[Retail Price]&lt;&gt;0)*($C781=Table_dim_price_recipe[Subcategory]), 0))*$B781,"")</f>
        <v/>
      </c>
      <c r="J781" s="39" t="str" cm="1">
        <f t="array" ref="J781">IFERROR(INDEX(Table_dim_price_recipe[Retail Price], MATCH(1, ("Calculator"&lt;&gt;Table_dim_price_recipe[Type.display])*($L781=Table_dim_price_recipe[Category])*($D781=Table_dim_price_recipe[Item Description]) * (J$6=Table_dim_price_recipe[Type])*(Table_dim_price_recipe[Retail Price]&lt;&gt;0)*($C781=Table_dim_price_recipe[Subcategory]), 0))*$B781,"")</f>
        <v/>
      </c>
      <c r="K781" s="39" t="str" cm="1">
        <f t="array" ref="K781">IFERROR(INDEX(Table_dim_price_recipe[Retail Price], MATCH(1, ("Calculator"&lt;&gt;Table_dim_price_recipe[Type.display])*($L781=Table_dim_price_recipe[Category])*($D781=Table_dim_price_recipe[Item Description]) * (K$6=Table_dim_price_recipe[Type])*(Table_dim_price_recipe[Retail Price]&lt;&gt;0)*($C781=Table_dim_price_recipe[Subcategory]), 0))*$B781,"")</f>
        <v/>
      </c>
      <c r="L781" s="39" t="str" cm="1">
        <f t="array" ref="L781">IF($A781&lt;&gt;"", $A781, LOOKUP(2, 1/((A$7:INDEX(A:A, ROW()))&lt;&gt;""), A$7:INDEX(A:A, ROW())))</f>
        <v>CEILINGS &amp; WALLS</v>
      </c>
      <c r="M781" s="14"/>
    </row>
    <row r="782" spans="1:13">
      <c r="A782" s="263"/>
      <c r="B782" s="263"/>
      <c r="C782" s="263" t="s">
        <v>440</v>
      </c>
      <c r="D782" s="263"/>
      <c r="E782" s="263"/>
      <c r="F782" s="263"/>
      <c r="G782" s="39" t="str" cm="1">
        <f t="array" ref="G782">IFERROR(INDEX(Table_dim_price_recipe[Retail Price], MATCH(1, ("Calculator"&lt;&gt;Table_dim_price_recipe[Type.display])*($L782=Table_dim_price_recipe[Category])*($D782=Table_dim_price_recipe[Item Description]) * (G$6=Table_dim_price_recipe[Type])*(Table_dim_price_recipe[Retail Price]&lt;&gt;0)*($C782=Table_dim_price_recipe[Subcategory]), 0))*$B782,"")</f>
        <v/>
      </c>
      <c r="H782" s="39" t="str" cm="1">
        <f t="array" ref="H782">IFERROR(INDEX(Table_dim_price_recipe[Retail Price], MATCH(1, ("Calculator"&lt;&gt;Table_dim_price_recipe[Type.display])*($L782=Table_dim_price_recipe[Category])*($D782=Table_dim_price_recipe[Item Description]) * (H$6=Table_dim_price_recipe[Type])*(Table_dim_price_recipe[Retail Price]&lt;&gt;0)*($C782=Table_dim_price_recipe[Subcategory]), 0))*$B782,"")</f>
        <v/>
      </c>
      <c r="I782" s="39" t="str" cm="1">
        <f t="array" ref="I782">IFERROR(INDEX(Table_dim_price_recipe[Retail Price], MATCH(1, ("Calculator"&lt;&gt;Table_dim_price_recipe[Type.display])*($L782=Table_dim_price_recipe[Category])*($D782=Table_dim_price_recipe[Item Description]) * (I$6=Table_dim_price_recipe[Type])*(Table_dim_price_recipe[Retail Price]&lt;&gt;0)*($C782=Table_dim_price_recipe[Subcategory]), 0))*$B782,"")</f>
        <v/>
      </c>
      <c r="J782" s="39" t="str" cm="1">
        <f t="array" ref="J782">IFERROR(INDEX(Table_dim_price_recipe[Retail Price], MATCH(1, ("Calculator"&lt;&gt;Table_dim_price_recipe[Type.display])*($L782=Table_dim_price_recipe[Category])*($D782=Table_dim_price_recipe[Item Description]) * (J$6=Table_dim_price_recipe[Type])*(Table_dim_price_recipe[Retail Price]&lt;&gt;0)*($C782=Table_dim_price_recipe[Subcategory]), 0))*$B782,"")</f>
        <v/>
      </c>
      <c r="K782" s="39" t="str" cm="1">
        <f t="array" ref="K782">IFERROR(INDEX(Table_dim_price_recipe[Retail Price], MATCH(1, ("Calculator"&lt;&gt;Table_dim_price_recipe[Type.display])*($L782=Table_dim_price_recipe[Category])*($D782=Table_dim_price_recipe[Item Description]) * (K$6=Table_dim_price_recipe[Type])*(Table_dim_price_recipe[Retail Price]&lt;&gt;0)*($C782=Table_dim_price_recipe[Subcategory]), 0))*$B782,"")</f>
        <v/>
      </c>
      <c r="L782" s="39" t="str" cm="1">
        <f t="array" ref="L782">IF($A782&lt;&gt;"", $A782, LOOKUP(2, 1/((A$7:INDEX(A:A, ROW()))&lt;&gt;""), A$7:INDEX(A:A, ROW())))</f>
        <v>CEILINGS &amp; WALLS</v>
      </c>
      <c r="M782" s="14"/>
    </row>
    <row r="783" spans="1:13">
      <c r="A783" s="263"/>
      <c r="B783" s="263"/>
      <c r="C783" s="263" t="s">
        <v>438</v>
      </c>
      <c r="D783" s="263" t="s">
        <v>439</v>
      </c>
      <c r="E783" s="263"/>
      <c r="F783" s="263"/>
      <c r="G783" s="39" cm="1">
        <f t="array" ref="G783">IFERROR(INDEX(Table_dim_price_recipe[Retail Price], MATCH(1, ("Calculator"&lt;&gt;Table_dim_price_recipe[Type.display])*($L783=Table_dim_price_recipe[Category])*($D783=Table_dim_price_recipe[Item Description]) * (G$6=Table_dim_price_recipe[Type])*(Table_dim_price_recipe[Retail Price]&lt;&gt;0)*($C783=Table_dim_price_recipe[Subcategory]), 0))*$B783,"")</f>
        <v>0</v>
      </c>
      <c r="H783" s="39" t="str" cm="1">
        <f t="array" ref="H783">IFERROR(INDEX(Table_dim_price_recipe[Retail Price], MATCH(1, ("Calculator"&lt;&gt;Table_dim_price_recipe[Type.display])*($L783=Table_dim_price_recipe[Category])*($D783=Table_dim_price_recipe[Item Description]) * (H$6=Table_dim_price_recipe[Type])*(Table_dim_price_recipe[Retail Price]&lt;&gt;0)*($C783=Table_dim_price_recipe[Subcategory]), 0))*$B783,"")</f>
        <v/>
      </c>
      <c r="I783" s="39" t="str" cm="1">
        <f t="array" ref="I783">IFERROR(INDEX(Table_dim_price_recipe[Retail Price], MATCH(1, ("Calculator"&lt;&gt;Table_dim_price_recipe[Type.display])*($L783=Table_dim_price_recipe[Category])*($D783=Table_dim_price_recipe[Item Description]) * (I$6=Table_dim_price_recipe[Type])*(Table_dim_price_recipe[Retail Price]&lt;&gt;0)*($C783=Table_dim_price_recipe[Subcategory]), 0))*$B783,"")</f>
        <v/>
      </c>
      <c r="J783" s="39" t="str" cm="1">
        <f t="array" ref="J783">IFERROR(INDEX(Table_dim_price_recipe[Retail Price], MATCH(1, ("Calculator"&lt;&gt;Table_dim_price_recipe[Type.display])*($L783=Table_dim_price_recipe[Category])*($D783=Table_dim_price_recipe[Item Description]) * (J$6=Table_dim_price_recipe[Type])*(Table_dim_price_recipe[Retail Price]&lt;&gt;0)*($C783=Table_dim_price_recipe[Subcategory]), 0))*$B783,"")</f>
        <v/>
      </c>
      <c r="K783" s="39" t="str" cm="1">
        <f t="array" ref="K783">IFERROR(INDEX(Table_dim_price_recipe[Retail Price], MATCH(1, ("Calculator"&lt;&gt;Table_dim_price_recipe[Type.display])*($L783=Table_dim_price_recipe[Category])*($D783=Table_dim_price_recipe[Item Description]) * (K$6=Table_dim_price_recipe[Type])*(Table_dim_price_recipe[Retail Price]&lt;&gt;0)*($C783=Table_dim_price_recipe[Subcategory]), 0))*$B783,"")</f>
        <v/>
      </c>
      <c r="L783" s="39" t="str" cm="1">
        <f t="array" ref="L783">IF($A783&lt;&gt;"", $A783, LOOKUP(2, 1/((A$7:INDEX(A:A, ROW()))&lt;&gt;""), A$7:INDEX(A:A, ROW())))</f>
        <v>CEILINGS &amp; WALLS</v>
      </c>
      <c r="M783" s="14"/>
    </row>
    <row r="784" spans="1:13">
      <c r="A784" s="263"/>
      <c r="B784" s="263"/>
      <c r="C784" s="263" t="s">
        <v>438</v>
      </c>
      <c r="D784" s="263"/>
      <c r="E784" s="263"/>
      <c r="F784" s="263"/>
      <c r="G784" s="39" t="str" cm="1">
        <f t="array" ref="G784">IFERROR(INDEX(Table_dim_price_recipe[Retail Price], MATCH(1, ("Calculator"&lt;&gt;Table_dim_price_recipe[Type.display])*($L784=Table_dim_price_recipe[Category])*($D784=Table_dim_price_recipe[Item Description]) * (G$6=Table_dim_price_recipe[Type])*(Table_dim_price_recipe[Retail Price]&lt;&gt;0)*($C784=Table_dim_price_recipe[Subcategory]), 0))*$B784,"")</f>
        <v/>
      </c>
      <c r="H784" s="39" t="str" cm="1">
        <f t="array" ref="H784">IFERROR(INDEX(Table_dim_price_recipe[Retail Price], MATCH(1, ("Calculator"&lt;&gt;Table_dim_price_recipe[Type.display])*($L784=Table_dim_price_recipe[Category])*($D784=Table_dim_price_recipe[Item Description]) * (H$6=Table_dim_price_recipe[Type])*(Table_dim_price_recipe[Retail Price]&lt;&gt;0)*($C784=Table_dim_price_recipe[Subcategory]), 0))*$B784,"")</f>
        <v/>
      </c>
      <c r="I784" s="39" t="str" cm="1">
        <f t="array" ref="I784">IFERROR(INDEX(Table_dim_price_recipe[Retail Price], MATCH(1, ("Calculator"&lt;&gt;Table_dim_price_recipe[Type.display])*($L784=Table_dim_price_recipe[Category])*($D784=Table_dim_price_recipe[Item Description]) * (I$6=Table_dim_price_recipe[Type])*(Table_dim_price_recipe[Retail Price]&lt;&gt;0)*($C784=Table_dim_price_recipe[Subcategory]), 0))*$B784,"")</f>
        <v/>
      </c>
      <c r="J784" s="39" t="str" cm="1">
        <f t="array" ref="J784">IFERROR(INDEX(Table_dim_price_recipe[Retail Price], MATCH(1, ("Calculator"&lt;&gt;Table_dim_price_recipe[Type.display])*($L784=Table_dim_price_recipe[Category])*($D784=Table_dim_price_recipe[Item Description]) * (J$6=Table_dim_price_recipe[Type])*(Table_dim_price_recipe[Retail Price]&lt;&gt;0)*($C784=Table_dim_price_recipe[Subcategory]), 0))*$B784,"")</f>
        <v/>
      </c>
      <c r="K784" s="39" t="str" cm="1">
        <f t="array" ref="K784">IFERROR(INDEX(Table_dim_price_recipe[Retail Price], MATCH(1, ("Calculator"&lt;&gt;Table_dim_price_recipe[Type.display])*($L784=Table_dim_price_recipe[Category])*($D784=Table_dim_price_recipe[Item Description]) * (K$6=Table_dim_price_recipe[Type])*(Table_dim_price_recipe[Retail Price]&lt;&gt;0)*($C784=Table_dim_price_recipe[Subcategory]), 0))*$B784,"")</f>
        <v/>
      </c>
      <c r="L784" s="39" t="str" cm="1">
        <f t="array" ref="L784">IF($A784&lt;&gt;"", $A784, LOOKUP(2, 1/((A$7:INDEX(A:A, ROW()))&lt;&gt;""), A$7:INDEX(A:A, ROW())))</f>
        <v>CEILINGS &amp; WALLS</v>
      </c>
      <c r="M784" s="14"/>
    </row>
    <row r="785" spans="1:13">
      <c r="A785" s="263"/>
      <c r="B785" s="263"/>
      <c r="C785" s="263" t="s">
        <v>438</v>
      </c>
      <c r="D785" s="263"/>
      <c r="E785" s="263"/>
      <c r="F785" s="263"/>
      <c r="G785" s="39" t="str" cm="1">
        <f t="array" ref="G785">IFERROR(INDEX(Table_dim_price_recipe[Retail Price], MATCH(1, ("Calculator"&lt;&gt;Table_dim_price_recipe[Type.display])*($L785=Table_dim_price_recipe[Category])*($D785=Table_dim_price_recipe[Item Description]) * (G$6=Table_dim_price_recipe[Type])*(Table_dim_price_recipe[Retail Price]&lt;&gt;0)*($C785=Table_dim_price_recipe[Subcategory]), 0))*$B785,"")</f>
        <v/>
      </c>
      <c r="H785" s="39" t="str" cm="1">
        <f t="array" ref="H785">IFERROR(INDEX(Table_dim_price_recipe[Retail Price], MATCH(1, ("Calculator"&lt;&gt;Table_dim_price_recipe[Type.display])*($L785=Table_dim_price_recipe[Category])*($D785=Table_dim_price_recipe[Item Description]) * (H$6=Table_dim_price_recipe[Type])*(Table_dim_price_recipe[Retail Price]&lt;&gt;0)*($C785=Table_dim_price_recipe[Subcategory]), 0))*$B785,"")</f>
        <v/>
      </c>
      <c r="I785" s="39" t="str" cm="1">
        <f t="array" ref="I785">IFERROR(INDEX(Table_dim_price_recipe[Retail Price], MATCH(1, ("Calculator"&lt;&gt;Table_dim_price_recipe[Type.display])*($L785=Table_dim_price_recipe[Category])*($D785=Table_dim_price_recipe[Item Description]) * (I$6=Table_dim_price_recipe[Type])*(Table_dim_price_recipe[Retail Price]&lt;&gt;0)*($C785=Table_dim_price_recipe[Subcategory]), 0))*$B785,"")</f>
        <v/>
      </c>
      <c r="J785" s="39" t="str" cm="1">
        <f t="array" ref="J785">IFERROR(INDEX(Table_dim_price_recipe[Retail Price], MATCH(1, ("Calculator"&lt;&gt;Table_dim_price_recipe[Type.display])*($L785=Table_dim_price_recipe[Category])*($D785=Table_dim_price_recipe[Item Description]) * (J$6=Table_dim_price_recipe[Type])*(Table_dim_price_recipe[Retail Price]&lt;&gt;0)*($C785=Table_dim_price_recipe[Subcategory]), 0))*$B785,"")</f>
        <v/>
      </c>
      <c r="K785" s="39" t="str" cm="1">
        <f t="array" ref="K785">IFERROR(INDEX(Table_dim_price_recipe[Retail Price], MATCH(1, ("Calculator"&lt;&gt;Table_dim_price_recipe[Type.display])*($L785=Table_dim_price_recipe[Category])*($D785=Table_dim_price_recipe[Item Description]) * (K$6=Table_dim_price_recipe[Type])*(Table_dim_price_recipe[Retail Price]&lt;&gt;0)*($C785=Table_dim_price_recipe[Subcategory]), 0))*$B785,"")</f>
        <v/>
      </c>
      <c r="L785" s="39" t="str" cm="1">
        <f t="array" ref="L785">IF($A785&lt;&gt;"", $A785, LOOKUP(2, 1/((A$7:INDEX(A:A, ROW()))&lt;&gt;""), A$7:INDEX(A:A, ROW())))</f>
        <v>CEILINGS &amp; WALLS</v>
      </c>
      <c r="M785" s="14"/>
    </row>
    <row r="786" spans="1:13">
      <c r="A786" s="263"/>
      <c r="B786" s="263"/>
      <c r="C786" s="263" t="s">
        <v>915</v>
      </c>
      <c r="D786" s="263" t="s">
        <v>927</v>
      </c>
      <c r="E786" s="263"/>
      <c r="F786" s="263"/>
      <c r="G786" s="39" t="str" cm="1">
        <f t="array" ref="G786">IFERROR(INDEX(Table_dim_price_recipe[Retail Price], MATCH(1, ("Calculator"&lt;&gt;Table_dim_price_recipe[Type.display])*($L786=Table_dim_price_recipe[Category])*($D786=Table_dim_price_recipe[Item Description]) * (G$6=Table_dim_price_recipe[Type])*(Table_dim_price_recipe[Retail Price]&lt;&gt;0)*($C786=Table_dim_price_recipe[Subcategory]), 0))*$B786,"")</f>
        <v/>
      </c>
      <c r="H786" s="39" cm="1">
        <f t="array" ref="H786">IFERROR(INDEX(Table_dim_price_recipe[Retail Price], MATCH(1, ("Calculator"&lt;&gt;Table_dim_price_recipe[Type.display])*($L786=Table_dim_price_recipe[Category])*($D786=Table_dim_price_recipe[Item Description]) * (H$6=Table_dim_price_recipe[Type])*(Table_dim_price_recipe[Retail Price]&lt;&gt;0)*($C786=Table_dim_price_recipe[Subcategory]), 0))*$B786,"")</f>
        <v>0</v>
      </c>
      <c r="I786" s="39" t="str" cm="1">
        <f t="array" ref="I786">IFERROR(INDEX(Table_dim_price_recipe[Retail Price], MATCH(1, ("Calculator"&lt;&gt;Table_dim_price_recipe[Type.display])*($L786=Table_dim_price_recipe[Category])*($D786=Table_dim_price_recipe[Item Description]) * (I$6=Table_dim_price_recipe[Type])*(Table_dim_price_recipe[Retail Price]&lt;&gt;0)*($C786=Table_dim_price_recipe[Subcategory]), 0))*$B786,"")</f>
        <v/>
      </c>
      <c r="J786" s="39" t="str" cm="1">
        <f t="array" ref="J786">IFERROR(INDEX(Table_dim_price_recipe[Retail Price], MATCH(1, ("Calculator"&lt;&gt;Table_dim_price_recipe[Type.display])*($L786=Table_dim_price_recipe[Category])*($D786=Table_dim_price_recipe[Item Description]) * (J$6=Table_dim_price_recipe[Type])*(Table_dim_price_recipe[Retail Price]&lt;&gt;0)*($C786=Table_dim_price_recipe[Subcategory]), 0))*$B786,"")</f>
        <v/>
      </c>
      <c r="K786" s="39" t="str" cm="1">
        <f t="array" ref="K786">IFERROR(INDEX(Table_dim_price_recipe[Retail Price], MATCH(1, ("Calculator"&lt;&gt;Table_dim_price_recipe[Type.display])*($L786=Table_dim_price_recipe[Category])*($D786=Table_dim_price_recipe[Item Description]) * (K$6=Table_dim_price_recipe[Type])*(Table_dim_price_recipe[Retail Price]&lt;&gt;0)*($C786=Table_dim_price_recipe[Subcategory]), 0))*$B786,"")</f>
        <v/>
      </c>
      <c r="L786" s="39" t="str" cm="1">
        <f t="array" ref="L786">IF($A786&lt;&gt;"", $A786, LOOKUP(2, 1/((A$7:INDEX(A:A, ROW()))&lt;&gt;""), A$7:INDEX(A:A, ROW())))</f>
        <v>CEILINGS &amp; WALLS</v>
      </c>
      <c r="M786" s="14"/>
    </row>
    <row r="787" spans="1:13">
      <c r="A787" s="263"/>
      <c r="B787" s="263"/>
      <c r="C787" s="263" t="s">
        <v>915</v>
      </c>
      <c r="D787" s="263" t="s">
        <v>926</v>
      </c>
      <c r="E787" s="263"/>
      <c r="F787" s="263"/>
      <c r="G787" s="39" t="str" cm="1">
        <f t="array" ref="G787">IFERROR(INDEX(Table_dim_price_recipe[Retail Price], MATCH(1, ("Calculator"&lt;&gt;Table_dim_price_recipe[Type.display])*($L787=Table_dim_price_recipe[Category])*($D787=Table_dim_price_recipe[Item Description]) * (G$6=Table_dim_price_recipe[Type])*(Table_dim_price_recipe[Retail Price]&lt;&gt;0)*($C787=Table_dim_price_recipe[Subcategory]), 0))*$B787,"")</f>
        <v/>
      </c>
      <c r="H787" s="39" cm="1">
        <f t="array" ref="H787">IFERROR(INDEX(Table_dim_price_recipe[Retail Price], MATCH(1, ("Calculator"&lt;&gt;Table_dim_price_recipe[Type.display])*($L787=Table_dim_price_recipe[Category])*($D787=Table_dim_price_recipe[Item Description]) * (H$6=Table_dim_price_recipe[Type])*(Table_dim_price_recipe[Retail Price]&lt;&gt;0)*($C787=Table_dim_price_recipe[Subcategory]), 0))*$B787,"")</f>
        <v>0</v>
      </c>
      <c r="I787" s="39" t="str" cm="1">
        <f t="array" ref="I787">IFERROR(INDEX(Table_dim_price_recipe[Retail Price], MATCH(1, ("Calculator"&lt;&gt;Table_dim_price_recipe[Type.display])*($L787=Table_dim_price_recipe[Category])*($D787=Table_dim_price_recipe[Item Description]) * (I$6=Table_dim_price_recipe[Type])*(Table_dim_price_recipe[Retail Price]&lt;&gt;0)*($C787=Table_dim_price_recipe[Subcategory]), 0))*$B787,"")</f>
        <v/>
      </c>
      <c r="J787" s="39" t="str" cm="1">
        <f t="array" ref="J787">IFERROR(INDEX(Table_dim_price_recipe[Retail Price], MATCH(1, ("Calculator"&lt;&gt;Table_dim_price_recipe[Type.display])*($L787=Table_dim_price_recipe[Category])*($D787=Table_dim_price_recipe[Item Description]) * (J$6=Table_dim_price_recipe[Type])*(Table_dim_price_recipe[Retail Price]&lt;&gt;0)*($C787=Table_dim_price_recipe[Subcategory]), 0))*$B787,"")</f>
        <v/>
      </c>
      <c r="K787" s="39" t="str" cm="1">
        <f t="array" ref="K787">IFERROR(INDEX(Table_dim_price_recipe[Retail Price], MATCH(1, ("Calculator"&lt;&gt;Table_dim_price_recipe[Type.display])*($L787=Table_dim_price_recipe[Category])*($D787=Table_dim_price_recipe[Item Description]) * (K$6=Table_dim_price_recipe[Type])*(Table_dim_price_recipe[Retail Price]&lt;&gt;0)*($C787=Table_dim_price_recipe[Subcategory]), 0))*$B787,"")</f>
        <v/>
      </c>
      <c r="L787" s="39" t="str" cm="1">
        <f t="array" ref="L787">IF($A787&lt;&gt;"", $A787, LOOKUP(2, 1/((A$7:INDEX(A:A, ROW()))&lt;&gt;""), A$7:INDEX(A:A, ROW())))</f>
        <v>CEILINGS &amp; WALLS</v>
      </c>
      <c r="M787" s="14"/>
    </row>
    <row r="788" spans="1:13">
      <c r="A788" s="263"/>
      <c r="B788" s="263"/>
      <c r="C788" s="263" t="s">
        <v>915</v>
      </c>
      <c r="D788" s="263"/>
      <c r="E788" s="263"/>
      <c r="F788" s="263"/>
      <c r="G788" s="39" t="str" cm="1">
        <f t="array" ref="G788">IFERROR(INDEX(Table_dim_price_recipe[Retail Price], MATCH(1, ("Calculator"&lt;&gt;Table_dim_price_recipe[Type.display])*($L788=Table_dim_price_recipe[Category])*($D788=Table_dim_price_recipe[Item Description]) * (G$6=Table_dim_price_recipe[Type])*(Table_dim_price_recipe[Retail Price]&lt;&gt;0)*($C788=Table_dim_price_recipe[Subcategory]), 0))*$B788,"")</f>
        <v/>
      </c>
      <c r="H788" s="39" t="str" cm="1">
        <f t="array" ref="H788">IFERROR(INDEX(Table_dim_price_recipe[Retail Price], MATCH(1, ("Calculator"&lt;&gt;Table_dim_price_recipe[Type.display])*($L788=Table_dim_price_recipe[Category])*($D788=Table_dim_price_recipe[Item Description]) * (H$6=Table_dim_price_recipe[Type])*(Table_dim_price_recipe[Retail Price]&lt;&gt;0)*($C788=Table_dim_price_recipe[Subcategory]), 0))*$B788,"")</f>
        <v/>
      </c>
      <c r="I788" s="39" t="str" cm="1">
        <f t="array" ref="I788">IFERROR(INDEX(Table_dim_price_recipe[Retail Price], MATCH(1, ("Calculator"&lt;&gt;Table_dim_price_recipe[Type.display])*($L788=Table_dim_price_recipe[Category])*($D788=Table_dim_price_recipe[Item Description]) * (I$6=Table_dim_price_recipe[Type])*(Table_dim_price_recipe[Retail Price]&lt;&gt;0)*($C788=Table_dim_price_recipe[Subcategory]), 0))*$B788,"")</f>
        <v/>
      </c>
      <c r="J788" s="39" t="str" cm="1">
        <f t="array" ref="J788">IFERROR(INDEX(Table_dim_price_recipe[Retail Price], MATCH(1, ("Calculator"&lt;&gt;Table_dim_price_recipe[Type.display])*($L788=Table_dim_price_recipe[Category])*($D788=Table_dim_price_recipe[Item Description]) * (J$6=Table_dim_price_recipe[Type])*(Table_dim_price_recipe[Retail Price]&lt;&gt;0)*($C788=Table_dim_price_recipe[Subcategory]), 0))*$B788,"")</f>
        <v/>
      </c>
      <c r="K788" s="39" t="str" cm="1">
        <f t="array" ref="K788">IFERROR(INDEX(Table_dim_price_recipe[Retail Price], MATCH(1, ("Calculator"&lt;&gt;Table_dim_price_recipe[Type.display])*($L788=Table_dim_price_recipe[Category])*($D788=Table_dim_price_recipe[Item Description]) * (K$6=Table_dim_price_recipe[Type])*(Table_dim_price_recipe[Retail Price]&lt;&gt;0)*($C788=Table_dim_price_recipe[Subcategory]), 0))*$B788,"")</f>
        <v/>
      </c>
      <c r="L788" s="39" t="str" cm="1">
        <f t="array" ref="L788">IF($A788&lt;&gt;"", $A788, LOOKUP(2, 1/((A$7:INDEX(A:A, ROW()))&lt;&gt;""), A$7:INDEX(A:A, ROW())))</f>
        <v>CEILINGS &amp; WALLS</v>
      </c>
      <c r="M788" s="14"/>
    </row>
    <row r="789" spans="1:13">
      <c r="A789" s="263"/>
      <c r="B789" s="263"/>
      <c r="C789" s="263" t="s">
        <v>915</v>
      </c>
      <c r="D789" s="263"/>
      <c r="E789" s="263"/>
      <c r="F789" s="263"/>
      <c r="G789" s="39" t="str" cm="1">
        <f t="array" ref="G789">IFERROR(INDEX(Table_dim_price_recipe[Retail Price], MATCH(1, ("Calculator"&lt;&gt;Table_dim_price_recipe[Type.display])*($L789=Table_dim_price_recipe[Category])*($D789=Table_dim_price_recipe[Item Description]) * (G$6=Table_dim_price_recipe[Type])*(Table_dim_price_recipe[Retail Price]&lt;&gt;0)*($C789=Table_dim_price_recipe[Subcategory]), 0))*$B789,"")</f>
        <v/>
      </c>
      <c r="H789" s="39" t="str" cm="1">
        <f t="array" ref="H789">IFERROR(INDEX(Table_dim_price_recipe[Retail Price], MATCH(1, ("Calculator"&lt;&gt;Table_dim_price_recipe[Type.display])*($L789=Table_dim_price_recipe[Category])*($D789=Table_dim_price_recipe[Item Description]) * (H$6=Table_dim_price_recipe[Type])*(Table_dim_price_recipe[Retail Price]&lt;&gt;0)*($C789=Table_dim_price_recipe[Subcategory]), 0))*$B789,"")</f>
        <v/>
      </c>
      <c r="I789" s="39" t="str" cm="1">
        <f t="array" ref="I789">IFERROR(INDEX(Table_dim_price_recipe[Retail Price], MATCH(1, ("Calculator"&lt;&gt;Table_dim_price_recipe[Type.display])*($L789=Table_dim_price_recipe[Category])*($D789=Table_dim_price_recipe[Item Description]) * (I$6=Table_dim_price_recipe[Type])*(Table_dim_price_recipe[Retail Price]&lt;&gt;0)*($C789=Table_dim_price_recipe[Subcategory]), 0))*$B789,"")</f>
        <v/>
      </c>
      <c r="J789" s="39" t="str" cm="1">
        <f t="array" ref="J789">IFERROR(INDEX(Table_dim_price_recipe[Retail Price], MATCH(1, ("Calculator"&lt;&gt;Table_dim_price_recipe[Type.display])*($L789=Table_dim_price_recipe[Category])*($D789=Table_dim_price_recipe[Item Description]) * (J$6=Table_dim_price_recipe[Type])*(Table_dim_price_recipe[Retail Price]&lt;&gt;0)*($C789=Table_dim_price_recipe[Subcategory]), 0))*$B789,"")</f>
        <v/>
      </c>
      <c r="K789" s="39" t="str" cm="1">
        <f t="array" ref="K789">IFERROR(INDEX(Table_dim_price_recipe[Retail Price], MATCH(1, ("Calculator"&lt;&gt;Table_dim_price_recipe[Type.display])*($L789=Table_dim_price_recipe[Category])*($D789=Table_dim_price_recipe[Item Description]) * (K$6=Table_dim_price_recipe[Type])*(Table_dim_price_recipe[Retail Price]&lt;&gt;0)*($C789=Table_dim_price_recipe[Subcategory]), 0))*$B789,"")</f>
        <v/>
      </c>
      <c r="L789" s="39" t="str" cm="1">
        <f t="array" ref="L789">IF($A789&lt;&gt;"", $A789, LOOKUP(2, 1/((A$7:INDEX(A:A, ROW()))&lt;&gt;""), A$7:INDEX(A:A, ROW())))</f>
        <v>CEILINGS &amp; WALLS</v>
      </c>
      <c r="M789" s="14"/>
    </row>
    <row r="790" spans="1:13">
      <c r="A790" s="263"/>
      <c r="B790" s="263"/>
      <c r="C790" s="263" t="s">
        <v>987</v>
      </c>
      <c r="D790" s="263" t="s">
        <v>988</v>
      </c>
      <c r="E790" s="263"/>
      <c r="F790" s="263"/>
      <c r="G790" s="39" t="str" cm="1">
        <f t="array" ref="G790">IFERROR(INDEX(Table_dim_price_recipe[Retail Price], MATCH(1, ("Calculator"&lt;&gt;Table_dim_price_recipe[Type.display])*($L790=Table_dim_price_recipe[Category])*($D790=Table_dim_price_recipe[Item Description]) * (G$6=Table_dim_price_recipe[Type])*(Table_dim_price_recipe[Retail Price]&lt;&gt;0)*($C790=Table_dim_price_recipe[Subcategory]), 0))*$B790,"")</f>
        <v/>
      </c>
      <c r="H790" s="39" t="str" cm="1">
        <f t="array" ref="H790">IFERROR(INDEX(Table_dim_price_recipe[Retail Price], MATCH(1, ("Calculator"&lt;&gt;Table_dim_price_recipe[Type.display])*($L790=Table_dim_price_recipe[Category])*($D790=Table_dim_price_recipe[Item Description]) * (H$6=Table_dim_price_recipe[Type])*(Table_dim_price_recipe[Retail Price]&lt;&gt;0)*($C790=Table_dim_price_recipe[Subcategory]), 0))*$B790,"")</f>
        <v/>
      </c>
      <c r="I790" s="39" t="str" cm="1">
        <f t="array" ref="I790">IFERROR(INDEX(Table_dim_price_recipe[Retail Price], MATCH(1, ("Calculator"&lt;&gt;Table_dim_price_recipe[Type.display])*($L790=Table_dim_price_recipe[Category])*($D790=Table_dim_price_recipe[Item Description]) * (I$6=Table_dim_price_recipe[Type])*(Table_dim_price_recipe[Retail Price]&lt;&gt;0)*($C790=Table_dim_price_recipe[Subcategory]), 0))*$B790,"")</f>
        <v/>
      </c>
      <c r="J790" s="39" t="str" cm="1">
        <f t="array" ref="J790">IFERROR(INDEX(Table_dim_price_recipe[Retail Price], MATCH(1, ("Calculator"&lt;&gt;Table_dim_price_recipe[Type.display])*($L790=Table_dim_price_recipe[Category])*($D790=Table_dim_price_recipe[Item Description]) * (J$6=Table_dim_price_recipe[Type])*(Table_dim_price_recipe[Retail Price]&lt;&gt;0)*($C790=Table_dim_price_recipe[Subcategory]), 0))*$B790,"")</f>
        <v/>
      </c>
      <c r="K790" s="39" t="str" cm="1">
        <f t="array" ref="K790">IFERROR(INDEX(Table_dim_price_recipe[Retail Price], MATCH(1, ("Calculator"&lt;&gt;Table_dim_price_recipe[Type.display])*($L790=Table_dim_price_recipe[Category])*($D790=Table_dim_price_recipe[Item Description]) * (K$6=Table_dim_price_recipe[Type])*(Table_dim_price_recipe[Retail Price]&lt;&gt;0)*($C790=Table_dim_price_recipe[Subcategory]), 0))*$B790,"")</f>
        <v/>
      </c>
      <c r="L790" s="39" t="str" cm="1">
        <f t="array" ref="L790">IF($A790&lt;&gt;"", $A790, LOOKUP(2, 1/((A$7:INDEX(A:A, ROW()))&lt;&gt;""), A$7:INDEX(A:A, ROW())))</f>
        <v>CEILINGS &amp; WALLS</v>
      </c>
      <c r="M790" s="14"/>
    </row>
    <row r="791" spans="1:13">
      <c r="A791" s="263"/>
      <c r="B791" s="263"/>
      <c r="C791" s="263" t="s">
        <v>987</v>
      </c>
      <c r="D791" s="263" t="s">
        <v>989</v>
      </c>
      <c r="E791" s="263"/>
      <c r="F791" s="263"/>
      <c r="G791" s="39" t="str" cm="1">
        <f t="array" ref="G791">IFERROR(INDEX(Table_dim_price_recipe[Retail Price], MATCH(1, ("Calculator"&lt;&gt;Table_dim_price_recipe[Type.display])*($L791=Table_dim_price_recipe[Category])*($D791=Table_dim_price_recipe[Item Description]) * (G$6=Table_dim_price_recipe[Type])*(Table_dim_price_recipe[Retail Price]&lt;&gt;0)*($C791=Table_dim_price_recipe[Subcategory]), 0))*$B791,"")</f>
        <v/>
      </c>
      <c r="H791" s="39" cm="1">
        <f t="array" ref="H791">IFERROR(INDEX(Table_dim_price_recipe[Retail Price], MATCH(1, ("Calculator"&lt;&gt;Table_dim_price_recipe[Type.display])*($L791=Table_dim_price_recipe[Category])*($D791=Table_dim_price_recipe[Item Description]) * (H$6=Table_dim_price_recipe[Type])*(Table_dim_price_recipe[Retail Price]&lt;&gt;0)*($C791=Table_dim_price_recipe[Subcategory]), 0))*$B791,"")</f>
        <v>0</v>
      </c>
      <c r="I791" s="39" t="str" cm="1">
        <f t="array" ref="I791">IFERROR(INDEX(Table_dim_price_recipe[Retail Price], MATCH(1, ("Calculator"&lt;&gt;Table_dim_price_recipe[Type.display])*($L791=Table_dim_price_recipe[Category])*($D791=Table_dim_price_recipe[Item Description]) * (I$6=Table_dim_price_recipe[Type])*(Table_dim_price_recipe[Retail Price]&lt;&gt;0)*($C791=Table_dim_price_recipe[Subcategory]), 0))*$B791,"")</f>
        <v/>
      </c>
      <c r="J791" s="39" t="str" cm="1">
        <f t="array" ref="J791">IFERROR(INDEX(Table_dim_price_recipe[Retail Price], MATCH(1, ("Calculator"&lt;&gt;Table_dim_price_recipe[Type.display])*($L791=Table_dim_price_recipe[Category])*($D791=Table_dim_price_recipe[Item Description]) * (J$6=Table_dim_price_recipe[Type])*(Table_dim_price_recipe[Retail Price]&lt;&gt;0)*($C791=Table_dim_price_recipe[Subcategory]), 0))*$B791,"")</f>
        <v/>
      </c>
      <c r="K791" s="39" t="str" cm="1">
        <f t="array" ref="K791">IFERROR(INDEX(Table_dim_price_recipe[Retail Price], MATCH(1, ("Calculator"&lt;&gt;Table_dim_price_recipe[Type.display])*($L791=Table_dim_price_recipe[Category])*($D791=Table_dim_price_recipe[Item Description]) * (K$6=Table_dim_price_recipe[Type])*(Table_dim_price_recipe[Retail Price]&lt;&gt;0)*($C791=Table_dim_price_recipe[Subcategory]), 0))*$B791,"")</f>
        <v/>
      </c>
      <c r="L791" s="39" t="str" cm="1">
        <f t="array" ref="L791">IF($A791&lt;&gt;"", $A791, LOOKUP(2, 1/((A$7:INDEX(A:A, ROW()))&lt;&gt;""), A$7:INDEX(A:A, ROW())))</f>
        <v>CEILINGS &amp; WALLS</v>
      </c>
      <c r="M791" s="14"/>
    </row>
    <row r="792" spans="1:13">
      <c r="A792" s="263"/>
      <c r="B792" s="263"/>
      <c r="C792" s="263" t="s">
        <v>987</v>
      </c>
      <c r="D792" s="263"/>
      <c r="E792" s="263"/>
      <c r="F792" s="263"/>
      <c r="G792" s="39" t="str" cm="1">
        <f t="array" ref="G792">IFERROR(INDEX(Table_dim_price_recipe[Retail Price], MATCH(1, ("Calculator"&lt;&gt;Table_dim_price_recipe[Type.display])*($L792=Table_dim_price_recipe[Category])*($D792=Table_dim_price_recipe[Item Description]) * (G$6=Table_dim_price_recipe[Type])*(Table_dim_price_recipe[Retail Price]&lt;&gt;0)*($C792=Table_dim_price_recipe[Subcategory]), 0))*$B792,"")</f>
        <v/>
      </c>
      <c r="H792" s="39" cm="1">
        <f t="array" ref="H792">IFERROR(INDEX(Table_dim_price_recipe[Retail Price], MATCH(1, ("Calculator"&lt;&gt;Table_dim_price_recipe[Type.display])*($L792=Table_dim_price_recipe[Category])*($D792=Table_dim_price_recipe[Item Description]) * (H$6=Table_dim_price_recipe[Type])*(Table_dim_price_recipe[Retail Price]&lt;&gt;0)*($C792=Table_dim_price_recipe[Subcategory]), 0))*$B792,"")</f>
        <v>0</v>
      </c>
      <c r="I792" s="39" t="str" cm="1">
        <f t="array" ref="I792">IFERROR(INDEX(Table_dim_price_recipe[Retail Price], MATCH(1, ("Calculator"&lt;&gt;Table_dim_price_recipe[Type.display])*($L792=Table_dim_price_recipe[Category])*($D792=Table_dim_price_recipe[Item Description]) * (I$6=Table_dim_price_recipe[Type])*(Table_dim_price_recipe[Retail Price]&lt;&gt;0)*($C792=Table_dim_price_recipe[Subcategory]), 0))*$B792,"")</f>
        <v/>
      </c>
      <c r="J792" s="39" t="str" cm="1">
        <f t="array" ref="J792">IFERROR(INDEX(Table_dim_price_recipe[Retail Price], MATCH(1, ("Calculator"&lt;&gt;Table_dim_price_recipe[Type.display])*($L792=Table_dim_price_recipe[Category])*($D792=Table_dim_price_recipe[Item Description]) * (J$6=Table_dim_price_recipe[Type])*(Table_dim_price_recipe[Retail Price]&lt;&gt;0)*($C792=Table_dim_price_recipe[Subcategory]), 0))*$B792,"")</f>
        <v/>
      </c>
      <c r="K792" s="39" t="str" cm="1">
        <f t="array" ref="K792">IFERROR(INDEX(Table_dim_price_recipe[Retail Price], MATCH(1, ("Calculator"&lt;&gt;Table_dim_price_recipe[Type.display])*($L792=Table_dim_price_recipe[Category])*($D792=Table_dim_price_recipe[Item Description]) * (K$6=Table_dim_price_recipe[Type])*(Table_dim_price_recipe[Retail Price]&lt;&gt;0)*($C792=Table_dim_price_recipe[Subcategory]), 0))*$B792,"")</f>
        <v/>
      </c>
      <c r="L792" s="39" t="str" cm="1">
        <f t="array" ref="L792">IF($A792&lt;&gt;"", $A792, LOOKUP(2, 1/((A$7:INDEX(A:A, ROW()))&lt;&gt;""), A$7:INDEX(A:A, ROW())))</f>
        <v>CEILINGS &amp; WALLS</v>
      </c>
      <c r="M792" s="14"/>
    </row>
    <row r="793" spans="1:13">
      <c r="A793" s="263"/>
      <c r="B793" s="263"/>
      <c r="C793" s="263" t="s">
        <v>987</v>
      </c>
      <c r="D793" s="263"/>
      <c r="E793" s="263"/>
      <c r="F793" s="263"/>
      <c r="G793" s="39" t="str" cm="1">
        <f t="array" ref="G793">IFERROR(INDEX(Table_dim_price_recipe[Retail Price], MATCH(1, ("Calculator"&lt;&gt;Table_dim_price_recipe[Type.display])*($L793=Table_dim_price_recipe[Category])*($D793=Table_dim_price_recipe[Item Description]) * (G$6=Table_dim_price_recipe[Type])*(Table_dim_price_recipe[Retail Price]&lt;&gt;0)*($C793=Table_dim_price_recipe[Subcategory]), 0))*$B793,"")</f>
        <v/>
      </c>
      <c r="H793" s="39" cm="1">
        <f t="array" ref="H793">IFERROR(INDEX(Table_dim_price_recipe[Retail Price], MATCH(1, ("Calculator"&lt;&gt;Table_dim_price_recipe[Type.display])*($L793=Table_dim_price_recipe[Category])*($D793=Table_dim_price_recipe[Item Description]) * (H$6=Table_dim_price_recipe[Type])*(Table_dim_price_recipe[Retail Price]&lt;&gt;0)*($C793=Table_dim_price_recipe[Subcategory]), 0))*$B793,"")</f>
        <v>0</v>
      </c>
      <c r="I793" s="39" t="str" cm="1">
        <f t="array" ref="I793">IFERROR(INDEX(Table_dim_price_recipe[Retail Price], MATCH(1, ("Calculator"&lt;&gt;Table_dim_price_recipe[Type.display])*($L793=Table_dim_price_recipe[Category])*($D793=Table_dim_price_recipe[Item Description]) * (I$6=Table_dim_price_recipe[Type])*(Table_dim_price_recipe[Retail Price]&lt;&gt;0)*($C793=Table_dim_price_recipe[Subcategory]), 0))*$B793,"")</f>
        <v/>
      </c>
      <c r="J793" s="39" t="str" cm="1">
        <f t="array" ref="J793">IFERROR(INDEX(Table_dim_price_recipe[Retail Price], MATCH(1, ("Calculator"&lt;&gt;Table_dim_price_recipe[Type.display])*($L793=Table_dim_price_recipe[Category])*($D793=Table_dim_price_recipe[Item Description]) * (J$6=Table_dim_price_recipe[Type])*(Table_dim_price_recipe[Retail Price]&lt;&gt;0)*($C793=Table_dim_price_recipe[Subcategory]), 0))*$B793,"")</f>
        <v/>
      </c>
      <c r="K793" s="39" t="str" cm="1">
        <f t="array" ref="K793">IFERROR(INDEX(Table_dim_price_recipe[Retail Price], MATCH(1, ("Calculator"&lt;&gt;Table_dim_price_recipe[Type.display])*($L793=Table_dim_price_recipe[Category])*($D793=Table_dim_price_recipe[Item Description]) * (K$6=Table_dim_price_recipe[Type])*(Table_dim_price_recipe[Retail Price]&lt;&gt;0)*($C793=Table_dim_price_recipe[Subcategory]), 0))*$B793,"")</f>
        <v/>
      </c>
      <c r="L793" s="39" t="str" cm="1">
        <f t="array" ref="L793">IF($A793&lt;&gt;"", $A793, LOOKUP(2, 1/((A$7:INDEX(A:A, ROW()))&lt;&gt;""), A$7:INDEX(A:A, ROW())))</f>
        <v>CEILINGS &amp; WALLS</v>
      </c>
      <c r="M793" s="14"/>
    </row>
    <row r="794" spans="1:13">
      <c r="A794" s="263"/>
      <c r="B794" s="263"/>
      <c r="C794" s="263" t="s">
        <v>990</v>
      </c>
      <c r="D794" s="263" t="s">
        <v>991</v>
      </c>
      <c r="E794" s="263"/>
      <c r="F794" s="263"/>
      <c r="G794" s="39" t="str" cm="1">
        <f t="array" ref="G794">IFERROR(INDEX(Table_dim_price_recipe[Retail Price], MATCH(1, ("Calculator"&lt;&gt;Table_dim_price_recipe[Type.display])*($L794=Table_dim_price_recipe[Category])*($D794=Table_dim_price_recipe[Item Description]) * (G$6=Table_dim_price_recipe[Type])*(Table_dim_price_recipe[Retail Price]&lt;&gt;0)*($C794=Table_dim_price_recipe[Subcategory]), 0))*$B794,"")</f>
        <v/>
      </c>
      <c r="H794" s="39" cm="1">
        <f t="array" ref="H794">IFERROR(INDEX(Table_dim_price_recipe[Retail Price], MATCH(1, ("Calculator"&lt;&gt;Table_dim_price_recipe[Type.display])*($L794=Table_dim_price_recipe[Category])*($D794=Table_dim_price_recipe[Item Description]) * (H$6=Table_dim_price_recipe[Type])*(Table_dim_price_recipe[Retail Price]&lt;&gt;0)*($C794=Table_dim_price_recipe[Subcategory]), 0))*$B794,"")</f>
        <v>0</v>
      </c>
      <c r="I794" s="39" t="str" cm="1">
        <f t="array" ref="I794">IFERROR(INDEX(Table_dim_price_recipe[Retail Price], MATCH(1, ("Calculator"&lt;&gt;Table_dim_price_recipe[Type.display])*($L794=Table_dim_price_recipe[Category])*($D794=Table_dim_price_recipe[Item Description]) * (I$6=Table_dim_price_recipe[Type])*(Table_dim_price_recipe[Retail Price]&lt;&gt;0)*($C794=Table_dim_price_recipe[Subcategory]), 0))*$B794,"")</f>
        <v/>
      </c>
      <c r="J794" s="39" t="str" cm="1">
        <f t="array" ref="J794">IFERROR(INDEX(Table_dim_price_recipe[Retail Price], MATCH(1, ("Calculator"&lt;&gt;Table_dim_price_recipe[Type.display])*($L794=Table_dim_price_recipe[Category])*($D794=Table_dim_price_recipe[Item Description]) * (J$6=Table_dim_price_recipe[Type])*(Table_dim_price_recipe[Retail Price]&lt;&gt;0)*($C794=Table_dim_price_recipe[Subcategory]), 0))*$B794,"")</f>
        <v/>
      </c>
      <c r="K794" s="39" t="str" cm="1">
        <f t="array" ref="K794">IFERROR(INDEX(Table_dim_price_recipe[Retail Price], MATCH(1, ("Calculator"&lt;&gt;Table_dim_price_recipe[Type.display])*($L794=Table_dim_price_recipe[Category])*($D794=Table_dim_price_recipe[Item Description]) * (K$6=Table_dim_price_recipe[Type])*(Table_dim_price_recipe[Retail Price]&lt;&gt;0)*($C794=Table_dim_price_recipe[Subcategory]), 0))*$B794,"")</f>
        <v/>
      </c>
      <c r="L794" s="39" t="str" cm="1">
        <f t="array" ref="L794">IF($A794&lt;&gt;"", $A794, LOOKUP(2, 1/((A$7:INDEX(A:A, ROW()))&lt;&gt;""), A$7:INDEX(A:A, ROW())))</f>
        <v>CEILINGS &amp; WALLS</v>
      </c>
      <c r="M794" s="14"/>
    </row>
    <row r="795" spans="1:13">
      <c r="A795" s="263"/>
      <c r="B795" s="263"/>
      <c r="C795" s="263" t="s">
        <v>990</v>
      </c>
      <c r="D795" s="263"/>
      <c r="E795" s="263"/>
      <c r="F795" s="263"/>
      <c r="G795" s="39" t="str" cm="1">
        <f t="array" ref="G795">IFERROR(INDEX(Table_dim_price_recipe[Retail Price], MATCH(1, ("Calculator"&lt;&gt;Table_dim_price_recipe[Type.display])*($L795=Table_dim_price_recipe[Category])*($D795=Table_dim_price_recipe[Item Description]) * (G$6=Table_dim_price_recipe[Type])*(Table_dim_price_recipe[Retail Price]&lt;&gt;0)*($C795=Table_dim_price_recipe[Subcategory]), 0))*$B795,"")</f>
        <v/>
      </c>
      <c r="H795" s="39" t="str" cm="1">
        <f t="array" ref="H795">IFERROR(INDEX(Table_dim_price_recipe[Retail Price], MATCH(1, ("Calculator"&lt;&gt;Table_dim_price_recipe[Type.display])*($L795=Table_dim_price_recipe[Category])*($D795=Table_dim_price_recipe[Item Description]) * (H$6=Table_dim_price_recipe[Type])*(Table_dim_price_recipe[Retail Price]&lt;&gt;0)*($C795=Table_dim_price_recipe[Subcategory]), 0))*$B795,"")</f>
        <v/>
      </c>
      <c r="I795" s="39" t="str" cm="1">
        <f t="array" ref="I795">IFERROR(INDEX(Table_dim_price_recipe[Retail Price], MATCH(1, ("Calculator"&lt;&gt;Table_dim_price_recipe[Type.display])*($L795=Table_dim_price_recipe[Category])*($D795=Table_dim_price_recipe[Item Description]) * (I$6=Table_dim_price_recipe[Type])*(Table_dim_price_recipe[Retail Price]&lt;&gt;0)*($C795=Table_dim_price_recipe[Subcategory]), 0))*$B795,"")</f>
        <v/>
      </c>
      <c r="J795" s="39" t="str" cm="1">
        <f t="array" ref="J795">IFERROR(INDEX(Table_dim_price_recipe[Retail Price], MATCH(1, ("Calculator"&lt;&gt;Table_dim_price_recipe[Type.display])*($L795=Table_dim_price_recipe[Category])*($D795=Table_dim_price_recipe[Item Description]) * (J$6=Table_dim_price_recipe[Type])*(Table_dim_price_recipe[Retail Price]&lt;&gt;0)*($C795=Table_dim_price_recipe[Subcategory]), 0))*$B795,"")</f>
        <v/>
      </c>
      <c r="K795" s="39" t="str" cm="1">
        <f t="array" ref="K795">IFERROR(INDEX(Table_dim_price_recipe[Retail Price], MATCH(1, ("Calculator"&lt;&gt;Table_dim_price_recipe[Type.display])*($L795=Table_dim_price_recipe[Category])*($D795=Table_dim_price_recipe[Item Description]) * (K$6=Table_dim_price_recipe[Type])*(Table_dim_price_recipe[Retail Price]&lt;&gt;0)*($C795=Table_dim_price_recipe[Subcategory]), 0))*$B795,"")</f>
        <v/>
      </c>
      <c r="L795" s="39" t="str" cm="1">
        <f t="array" ref="L795">IF($A795&lt;&gt;"", $A795, LOOKUP(2, 1/((A$7:INDEX(A:A, ROW()))&lt;&gt;""), A$7:INDEX(A:A, ROW())))</f>
        <v>CEILINGS &amp; WALLS</v>
      </c>
      <c r="M795" s="14"/>
    </row>
    <row r="796" spans="1:13">
      <c r="A796" s="263"/>
      <c r="B796" s="263"/>
      <c r="C796" s="263" t="s">
        <v>990</v>
      </c>
      <c r="D796" s="263"/>
      <c r="E796" s="263"/>
      <c r="F796" s="263"/>
      <c r="G796" s="39" t="str" cm="1">
        <f t="array" ref="G796">IFERROR(INDEX(Table_dim_price_recipe[Retail Price], MATCH(1, ("Calculator"&lt;&gt;Table_dim_price_recipe[Type.display])*($L796=Table_dim_price_recipe[Category])*($D796=Table_dim_price_recipe[Item Description]) * (G$6=Table_dim_price_recipe[Type])*(Table_dim_price_recipe[Retail Price]&lt;&gt;0)*($C796=Table_dim_price_recipe[Subcategory]), 0))*$B796,"")</f>
        <v/>
      </c>
      <c r="H796" s="39" t="str" cm="1">
        <f t="array" ref="H796">IFERROR(INDEX(Table_dim_price_recipe[Retail Price], MATCH(1, ("Calculator"&lt;&gt;Table_dim_price_recipe[Type.display])*($L796=Table_dim_price_recipe[Category])*($D796=Table_dim_price_recipe[Item Description]) * (H$6=Table_dim_price_recipe[Type])*(Table_dim_price_recipe[Retail Price]&lt;&gt;0)*($C796=Table_dim_price_recipe[Subcategory]), 0))*$B796,"")</f>
        <v/>
      </c>
      <c r="I796" s="39" t="str" cm="1">
        <f t="array" ref="I796">IFERROR(INDEX(Table_dim_price_recipe[Retail Price], MATCH(1, ("Calculator"&lt;&gt;Table_dim_price_recipe[Type.display])*($L796=Table_dim_price_recipe[Category])*($D796=Table_dim_price_recipe[Item Description]) * (I$6=Table_dim_price_recipe[Type])*(Table_dim_price_recipe[Retail Price]&lt;&gt;0)*($C796=Table_dim_price_recipe[Subcategory]), 0))*$B796,"")</f>
        <v/>
      </c>
      <c r="J796" s="39" t="str" cm="1">
        <f t="array" ref="J796">IFERROR(INDEX(Table_dim_price_recipe[Retail Price], MATCH(1, ("Calculator"&lt;&gt;Table_dim_price_recipe[Type.display])*($L796=Table_dim_price_recipe[Category])*($D796=Table_dim_price_recipe[Item Description]) * (J$6=Table_dim_price_recipe[Type])*(Table_dim_price_recipe[Retail Price]&lt;&gt;0)*($C796=Table_dim_price_recipe[Subcategory]), 0))*$B796,"")</f>
        <v/>
      </c>
      <c r="K796" s="39" t="str" cm="1">
        <f t="array" ref="K796">IFERROR(INDEX(Table_dim_price_recipe[Retail Price], MATCH(1, ("Calculator"&lt;&gt;Table_dim_price_recipe[Type.display])*($L796=Table_dim_price_recipe[Category])*($D796=Table_dim_price_recipe[Item Description]) * (K$6=Table_dim_price_recipe[Type])*(Table_dim_price_recipe[Retail Price]&lt;&gt;0)*($C796=Table_dim_price_recipe[Subcategory]), 0))*$B796,"")</f>
        <v/>
      </c>
      <c r="L796" s="39" t="str" cm="1">
        <f t="array" ref="L796">IF($A796&lt;&gt;"", $A796, LOOKUP(2, 1/((A$7:INDEX(A:A, ROW()))&lt;&gt;""), A$7:INDEX(A:A, ROW())))</f>
        <v>CEILINGS &amp; WALLS</v>
      </c>
      <c r="M796" s="14"/>
    </row>
    <row r="797" spans="1:13">
      <c r="A797" s="263"/>
      <c r="B797" s="263"/>
      <c r="C797" s="263" t="s">
        <v>980</v>
      </c>
      <c r="D797" s="263" t="s">
        <v>1168</v>
      </c>
      <c r="E797" s="263"/>
      <c r="F797" s="263"/>
      <c r="G797" s="39" t="str" cm="1">
        <f t="array" ref="G797">IFERROR(INDEX(Table_dim_price_recipe[Retail Price], MATCH(1, ("Calculator"&lt;&gt;Table_dim_price_recipe[Type.display])*($L797=Table_dim_price_recipe[Category])*($D797=Table_dim_price_recipe[Item Description]) * (G$6=Table_dim_price_recipe[Type])*(Table_dim_price_recipe[Retail Price]&lt;&gt;0)*($C797=Table_dim_price_recipe[Subcategory]), 0))*$B797,"")</f>
        <v/>
      </c>
      <c r="H797" s="39" t="str" cm="1">
        <f t="array" ref="H797">IFERROR(INDEX(Table_dim_price_recipe[Retail Price], MATCH(1, ("Calculator"&lt;&gt;Table_dim_price_recipe[Type.display])*($L797=Table_dim_price_recipe[Category])*($D797=Table_dim_price_recipe[Item Description]) * (H$6=Table_dim_price_recipe[Type])*(Table_dim_price_recipe[Retail Price]&lt;&gt;0)*($C797=Table_dim_price_recipe[Subcategory]), 0))*$B797,"")</f>
        <v/>
      </c>
      <c r="I797" s="39" t="str" cm="1">
        <f t="array" ref="I797">IFERROR(INDEX(Table_dim_price_recipe[Retail Price], MATCH(1, ("Calculator"&lt;&gt;Table_dim_price_recipe[Type.display])*($L797=Table_dim_price_recipe[Category])*($D797=Table_dim_price_recipe[Item Description]) * (I$6=Table_dim_price_recipe[Type])*(Table_dim_price_recipe[Retail Price]&lt;&gt;0)*($C797=Table_dim_price_recipe[Subcategory]), 0))*$B797,"")</f>
        <v/>
      </c>
      <c r="J797" s="39" t="str" cm="1">
        <f t="array" ref="J797">IFERROR(INDEX(Table_dim_price_recipe[Retail Price], MATCH(1, ("Calculator"&lt;&gt;Table_dim_price_recipe[Type.display])*($L797=Table_dim_price_recipe[Category])*($D797=Table_dim_price_recipe[Item Description]) * (J$6=Table_dim_price_recipe[Type])*(Table_dim_price_recipe[Retail Price]&lt;&gt;0)*($C797=Table_dim_price_recipe[Subcategory]), 0))*$B797,"")</f>
        <v/>
      </c>
      <c r="K797" s="39" t="str" cm="1">
        <f t="array" ref="K797">IFERROR(INDEX(Table_dim_price_recipe[Retail Price], MATCH(1, ("Calculator"&lt;&gt;Table_dim_price_recipe[Type.display])*($L797=Table_dim_price_recipe[Category])*($D797=Table_dim_price_recipe[Item Description]) * (K$6=Table_dim_price_recipe[Type])*(Table_dim_price_recipe[Retail Price]&lt;&gt;0)*($C797=Table_dim_price_recipe[Subcategory]), 0))*$B797,"")</f>
        <v/>
      </c>
      <c r="L797" s="39" t="str" cm="1">
        <f t="array" ref="L797">IF($A797&lt;&gt;"", $A797, LOOKUP(2, 1/((A$7:INDEX(A:A, ROW()))&lt;&gt;""), A$7:INDEX(A:A, ROW())))</f>
        <v>CEILINGS &amp; WALLS</v>
      </c>
      <c r="M797" s="14"/>
    </row>
    <row r="798" spans="1:13">
      <c r="A798" s="263"/>
      <c r="B798" s="263"/>
      <c r="C798" s="263" t="s">
        <v>980</v>
      </c>
      <c r="D798" s="263"/>
      <c r="E798" s="263"/>
      <c r="F798" s="263"/>
      <c r="G798" s="39" t="str" cm="1">
        <f t="array" ref="G798">IFERROR(INDEX(Table_dim_price_recipe[Retail Price], MATCH(1, ("Calculator"&lt;&gt;Table_dim_price_recipe[Type.display])*($L798=Table_dim_price_recipe[Category])*($D798=Table_dim_price_recipe[Item Description]) * (G$6=Table_dim_price_recipe[Type])*(Table_dim_price_recipe[Retail Price]&lt;&gt;0)*($C798=Table_dim_price_recipe[Subcategory]), 0))*$B798,"")</f>
        <v/>
      </c>
      <c r="H798" s="39" t="str" cm="1">
        <f t="array" ref="H798">IFERROR(INDEX(Table_dim_price_recipe[Retail Price], MATCH(1, ("Calculator"&lt;&gt;Table_dim_price_recipe[Type.display])*($L798=Table_dim_price_recipe[Category])*($D798=Table_dim_price_recipe[Item Description]) * (H$6=Table_dim_price_recipe[Type])*(Table_dim_price_recipe[Retail Price]&lt;&gt;0)*($C798=Table_dim_price_recipe[Subcategory]), 0))*$B798,"")</f>
        <v/>
      </c>
      <c r="I798" s="39" t="str" cm="1">
        <f t="array" ref="I798">IFERROR(INDEX(Table_dim_price_recipe[Retail Price], MATCH(1, ("Calculator"&lt;&gt;Table_dim_price_recipe[Type.display])*($L798=Table_dim_price_recipe[Category])*($D798=Table_dim_price_recipe[Item Description]) * (I$6=Table_dim_price_recipe[Type])*(Table_dim_price_recipe[Retail Price]&lt;&gt;0)*($C798=Table_dim_price_recipe[Subcategory]), 0))*$B798,"")</f>
        <v/>
      </c>
      <c r="J798" s="39" t="str" cm="1">
        <f t="array" ref="J798">IFERROR(INDEX(Table_dim_price_recipe[Retail Price], MATCH(1, ("Calculator"&lt;&gt;Table_dim_price_recipe[Type.display])*($L798=Table_dim_price_recipe[Category])*($D798=Table_dim_price_recipe[Item Description]) * (J$6=Table_dim_price_recipe[Type])*(Table_dim_price_recipe[Retail Price]&lt;&gt;0)*($C798=Table_dim_price_recipe[Subcategory]), 0))*$B798,"")</f>
        <v/>
      </c>
      <c r="K798" s="39" t="str" cm="1">
        <f t="array" ref="K798">IFERROR(INDEX(Table_dim_price_recipe[Retail Price], MATCH(1, ("Calculator"&lt;&gt;Table_dim_price_recipe[Type.display])*($L798=Table_dim_price_recipe[Category])*($D798=Table_dim_price_recipe[Item Description]) * (K$6=Table_dim_price_recipe[Type])*(Table_dim_price_recipe[Retail Price]&lt;&gt;0)*($C798=Table_dim_price_recipe[Subcategory]), 0))*$B798,"")</f>
        <v/>
      </c>
      <c r="L798" s="39" t="str" cm="1">
        <f t="array" ref="L798">IF($A798&lt;&gt;"", $A798, LOOKUP(2, 1/((A$7:INDEX(A:A, ROW()))&lt;&gt;""), A$7:INDEX(A:A, ROW())))</f>
        <v>CEILINGS &amp; WALLS</v>
      </c>
      <c r="M798" s="14"/>
    </row>
    <row r="799" spans="1:13">
      <c r="A799" s="263"/>
      <c r="B799" s="263"/>
      <c r="C799" s="263" t="s">
        <v>980</v>
      </c>
      <c r="D799" s="263"/>
      <c r="E799" s="263"/>
      <c r="F799" s="263"/>
      <c r="G799" s="39" t="str" cm="1">
        <f t="array" ref="G799">IFERROR(INDEX(Table_dim_price_recipe[Retail Price], MATCH(1, ("Calculator"&lt;&gt;Table_dim_price_recipe[Type.display])*($L799=Table_dim_price_recipe[Category])*($D799=Table_dim_price_recipe[Item Description]) * (G$6=Table_dim_price_recipe[Type])*(Table_dim_price_recipe[Retail Price]&lt;&gt;0)*($C799=Table_dim_price_recipe[Subcategory]), 0))*$B799,"")</f>
        <v/>
      </c>
      <c r="H799" s="39" t="str" cm="1">
        <f t="array" ref="H799">IFERROR(INDEX(Table_dim_price_recipe[Retail Price], MATCH(1, ("Calculator"&lt;&gt;Table_dim_price_recipe[Type.display])*($L799=Table_dim_price_recipe[Category])*($D799=Table_dim_price_recipe[Item Description]) * (H$6=Table_dim_price_recipe[Type])*(Table_dim_price_recipe[Retail Price]&lt;&gt;0)*($C799=Table_dim_price_recipe[Subcategory]), 0))*$B799,"")</f>
        <v/>
      </c>
      <c r="I799" s="39" t="str" cm="1">
        <f t="array" ref="I799">IFERROR(INDEX(Table_dim_price_recipe[Retail Price], MATCH(1, ("Calculator"&lt;&gt;Table_dim_price_recipe[Type.display])*($L799=Table_dim_price_recipe[Category])*($D799=Table_dim_price_recipe[Item Description]) * (I$6=Table_dim_price_recipe[Type])*(Table_dim_price_recipe[Retail Price]&lt;&gt;0)*($C799=Table_dim_price_recipe[Subcategory]), 0))*$B799,"")</f>
        <v/>
      </c>
      <c r="J799" s="39" t="str" cm="1">
        <f t="array" ref="J799">IFERROR(INDEX(Table_dim_price_recipe[Retail Price], MATCH(1, ("Calculator"&lt;&gt;Table_dim_price_recipe[Type.display])*($L799=Table_dim_price_recipe[Category])*($D799=Table_dim_price_recipe[Item Description]) * (J$6=Table_dim_price_recipe[Type])*(Table_dim_price_recipe[Retail Price]&lt;&gt;0)*($C799=Table_dim_price_recipe[Subcategory]), 0))*$B799,"")</f>
        <v/>
      </c>
      <c r="K799" s="39" t="str" cm="1">
        <f t="array" ref="K799">IFERROR(INDEX(Table_dim_price_recipe[Retail Price], MATCH(1, ("Calculator"&lt;&gt;Table_dim_price_recipe[Type.display])*($L799=Table_dim_price_recipe[Category])*($D799=Table_dim_price_recipe[Item Description]) * (K$6=Table_dim_price_recipe[Type])*(Table_dim_price_recipe[Retail Price]&lt;&gt;0)*($C799=Table_dim_price_recipe[Subcategory]), 0))*$B799,"")</f>
        <v/>
      </c>
      <c r="L799" s="39" t="str" cm="1">
        <f t="array" ref="L799">IF($A799&lt;&gt;"", $A799, LOOKUP(2, 1/((A$7:INDEX(A:A, ROW()))&lt;&gt;""), A$7:INDEX(A:A, ROW())))</f>
        <v>CEILINGS &amp; WALLS</v>
      </c>
      <c r="M799" s="14"/>
    </row>
    <row r="800" spans="1:13">
      <c r="A800" s="263"/>
      <c r="B800" s="263"/>
      <c r="C800" s="263" t="s">
        <v>976</v>
      </c>
      <c r="D800" s="263" t="s">
        <v>979</v>
      </c>
      <c r="E800" s="263"/>
      <c r="F800" s="263"/>
      <c r="G800" s="39" t="str" cm="1">
        <f t="array" ref="G800">IFERROR(INDEX(Table_dim_price_recipe[Retail Price], MATCH(1, ("Calculator"&lt;&gt;Table_dim_price_recipe[Type.display])*($L800=Table_dim_price_recipe[Category])*($D800=Table_dim_price_recipe[Item Description]) * (G$6=Table_dim_price_recipe[Type])*(Table_dim_price_recipe[Retail Price]&lt;&gt;0)*($C800=Table_dim_price_recipe[Subcategory]), 0))*$B800,"")</f>
        <v/>
      </c>
      <c r="H800" s="39" cm="1">
        <f t="array" ref="H800">IFERROR(INDEX(Table_dim_price_recipe[Retail Price], MATCH(1, ("Calculator"&lt;&gt;Table_dim_price_recipe[Type.display])*($L800=Table_dim_price_recipe[Category])*($D800=Table_dim_price_recipe[Item Description]) * (H$6=Table_dim_price_recipe[Type])*(Table_dim_price_recipe[Retail Price]&lt;&gt;0)*($C800=Table_dim_price_recipe[Subcategory]), 0))*$B800,"")</f>
        <v>0</v>
      </c>
      <c r="I800" s="39" t="str" cm="1">
        <f t="array" ref="I800">IFERROR(INDEX(Table_dim_price_recipe[Retail Price], MATCH(1, ("Calculator"&lt;&gt;Table_dim_price_recipe[Type.display])*($L800=Table_dim_price_recipe[Category])*($D800=Table_dim_price_recipe[Item Description]) * (I$6=Table_dim_price_recipe[Type])*(Table_dim_price_recipe[Retail Price]&lt;&gt;0)*($C800=Table_dim_price_recipe[Subcategory]), 0))*$B800,"")</f>
        <v/>
      </c>
      <c r="J800" s="39" t="str" cm="1">
        <f t="array" ref="J800">IFERROR(INDEX(Table_dim_price_recipe[Retail Price], MATCH(1, ("Calculator"&lt;&gt;Table_dim_price_recipe[Type.display])*($L800=Table_dim_price_recipe[Category])*($D800=Table_dim_price_recipe[Item Description]) * (J$6=Table_dim_price_recipe[Type])*(Table_dim_price_recipe[Retail Price]&lt;&gt;0)*($C800=Table_dim_price_recipe[Subcategory]), 0))*$B800,"")</f>
        <v/>
      </c>
      <c r="K800" s="39" t="str" cm="1">
        <f t="array" ref="K800">IFERROR(INDEX(Table_dim_price_recipe[Retail Price], MATCH(1, ("Calculator"&lt;&gt;Table_dim_price_recipe[Type.display])*($L800=Table_dim_price_recipe[Category])*($D800=Table_dim_price_recipe[Item Description]) * (K$6=Table_dim_price_recipe[Type])*(Table_dim_price_recipe[Retail Price]&lt;&gt;0)*($C800=Table_dim_price_recipe[Subcategory]), 0))*$B800,"")</f>
        <v/>
      </c>
      <c r="L800" s="39" t="str" cm="1">
        <f t="array" ref="L800">IF($A800&lt;&gt;"", $A800, LOOKUP(2, 1/((A$7:INDEX(A:A, ROW()))&lt;&gt;""), A$7:INDEX(A:A, ROW())))</f>
        <v>CEILINGS &amp; WALLS</v>
      </c>
      <c r="M800" s="14"/>
    </row>
    <row r="801" spans="1:13">
      <c r="A801" s="263"/>
      <c r="B801" s="263"/>
      <c r="C801" s="263" t="s">
        <v>976</v>
      </c>
      <c r="D801" s="263" t="s">
        <v>977</v>
      </c>
      <c r="E801" s="263"/>
      <c r="F801" s="263"/>
      <c r="G801" s="39" t="str" cm="1">
        <f t="array" ref="G801">IFERROR(INDEX(Table_dim_price_recipe[Retail Price], MATCH(1, ("Calculator"&lt;&gt;Table_dim_price_recipe[Type.display])*($L801=Table_dim_price_recipe[Category])*($D801=Table_dim_price_recipe[Item Description]) * (G$6=Table_dim_price_recipe[Type])*(Table_dim_price_recipe[Retail Price]&lt;&gt;0)*($C801=Table_dim_price_recipe[Subcategory]), 0))*$B801,"")</f>
        <v/>
      </c>
      <c r="H801" s="39" cm="1">
        <f t="array" ref="H801">IFERROR(INDEX(Table_dim_price_recipe[Retail Price], MATCH(1, ("Calculator"&lt;&gt;Table_dim_price_recipe[Type.display])*($L801=Table_dim_price_recipe[Category])*($D801=Table_dim_price_recipe[Item Description]) * (H$6=Table_dim_price_recipe[Type])*(Table_dim_price_recipe[Retail Price]&lt;&gt;0)*($C801=Table_dim_price_recipe[Subcategory]), 0))*$B801,"")</f>
        <v>0</v>
      </c>
      <c r="I801" s="39" t="str" cm="1">
        <f t="array" ref="I801">IFERROR(INDEX(Table_dim_price_recipe[Retail Price], MATCH(1, ("Calculator"&lt;&gt;Table_dim_price_recipe[Type.display])*($L801=Table_dim_price_recipe[Category])*($D801=Table_dim_price_recipe[Item Description]) * (I$6=Table_dim_price_recipe[Type])*(Table_dim_price_recipe[Retail Price]&lt;&gt;0)*($C801=Table_dim_price_recipe[Subcategory]), 0))*$B801,"")</f>
        <v/>
      </c>
      <c r="J801" s="39" t="str" cm="1">
        <f t="array" ref="J801">IFERROR(INDEX(Table_dim_price_recipe[Retail Price], MATCH(1, ("Calculator"&lt;&gt;Table_dim_price_recipe[Type.display])*($L801=Table_dim_price_recipe[Category])*($D801=Table_dim_price_recipe[Item Description]) * (J$6=Table_dim_price_recipe[Type])*(Table_dim_price_recipe[Retail Price]&lt;&gt;0)*($C801=Table_dim_price_recipe[Subcategory]), 0))*$B801,"")</f>
        <v/>
      </c>
      <c r="K801" s="39" t="str" cm="1">
        <f t="array" ref="K801">IFERROR(INDEX(Table_dim_price_recipe[Retail Price], MATCH(1, ("Calculator"&lt;&gt;Table_dim_price_recipe[Type.display])*($L801=Table_dim_price_recipe[Category])*($D801=Table_dim_price_recipe[Item Description]) * (K$6=Table_dim_price_recipe[Type])*(Table_dim_price_recipe[Retail Price]&lt;&gt;0)*($C801=Table_dim_price_recipe[Subcategory]), 0))*$B801,"")</f>
        <v/>
      </c>
      <c r="L801" s="39" t="str" cm="1">
        <f t="array" ref="L801">IF($A801&lt;&gt;"", $A801, LOOKUP(2, 1/((A$7:INDEX(A:A, ROW()))&lt;&gt;""), A$7:INDEX(A:A, ROW())))</f>
        <v>CEILINGS &amp; WALLS</v>
      </c>
      <c r="M801" s="14"/>
    </row>
    <row r="802" spans="1:13">
      <c r="A802" s="263"/>
      <c r="B802" s="263"/>
      <c r="C802" s="263" t="s">
        <v>976</v>
      </c>
      <c r="D802" s="263" t="s">
        <v>978</v>
      </c>
      <c r="E802" s="263"/>
      <c r="F802" s="263"/>
      <c r="G802" s="39" t="str" cm="1">
        <f t="array" ref="G802">IFERROR(INDEX(Table_dim_price_recipe[Retail Price], MATCH(1, ("Calculator"&lt;&gt;Table_dim_price_recipe[Type.display])*($L802=Table_dim_price_recipe[Category])*($D802=Table_dim_price_recipe[Item Description]) * (G$6=Table_dim_price_recipe[Type])*(Table_dim_price_recipe[Retail Price]&lt;&gt;0)*($C802=Table_dim_price_recipe[Subcategory]), 0))*$B802,"")</f>
        <v/>
      </c>
      <c r="H802" s="39" cm="1">
        <f t="array" ref="H802">IFERROR(INDEX(Table_dim_price_recipe[Retail Price], MATCH(1, ("Calculator"&lt;&gt;Table_dim_price_recipe[Type.display])*($L802=Table_dim_price_recipe[Category])*($D802=Table_dim_price_recipe[Item Description]) * (H$6=Table_dim_price_recipe[Type])*(Table_dim_price_recipe[Retail Price]&lt;&gt;0)*($C802=Table_dim_price_recipe[Subcategory]), 0))*$B802,"")</f>
        <v>0</v>
      </c>
      <c r="I802" s="39" t="str" cm="1">
        <f t="array" ref="I802">IFERROR(INDEX(Table_dim_price_recipe[Retail Price], MATCH(1, ("Calculator"&lt;&gt;Table_dim_price_recipe[Type.display])*($L802=Table_dim_price_recipe[Category])*($D802=Table_dim_price_recipe[Item Description]) * (I$6=Table_dim_price_recipe[Type])*(Table_dim_price_recipe[Retail Price]&lt;&gt;0)*($C802=Table_dim_price_recipe[Subcategory]), 0))*$B802,"")</f>
        <v/>
      </c>
      <c r="J802" s="39" t="str" cm="1">
        <f t="array" ref="J802">IFERROR(INDEX(Table_dim_price_recipe[Retail Price], MATCH(1, ("Calculator"&lt;&gt;Table_dim_price_recipe[Type.display])*($L802=Table_dim_price_recipe[Category])*($D802=Table_dim_price_recipe[Item Description]) * (J$6=Table_dim_price_recipe[Type])*(Table_dim_price_recipe[Retail Price]&lt;&gt;0)*($C802=Table_dim_price_recipe[Subcategory]), 0))*$B802,"")</f>
        <v/>
      </c>
      <c r="K802" s="39" t="str" cm="1">
        <f t="array" ref="K802">IFERROR(INDEX(Table_dim_price_recipe[Retail Price], MATCH(1, ("Calculator"&lt;&gt;Table_dim_price_recipe[Type.display])*($L802=Table_dim_price_recipe[Category])*($D802=Table_dim_price_recipe[Item Description]) * (K$6=Table_dim_price_recipe[Type])*(Table_dim_price_recipe[Retail Price]&lt;&gt;0)*($C802=Table_dim_price_recipe[Subcategory]), 0))*$B802,"")</f>
        <v/>
      </c>
      <c r="L802" s="39" t="str" cm="1">
        <f t="array" ref="L802">IF($A802&lt;&gt;"", $A802, LOOKUP(2, 1/((A$7:INDEX(A:A, ROW()))&lt;&gt;""), A$7:INDEX(A:A, ROW())))</f>
        <v>CEILINGS &amp; WALLS</v>
      </c>
      <c r="M802" s="14"/>
    </row>
    <row r="803" spans="1:13">
      <c r="A803" s="263"/>
      <c r="B803" s="263"/>
      <c r="C803" s="263" t="s">
        <v>976</v>
      </c>
      <c r="D803" s="263"/>
      <c r="E803" s="263"/>
      <c r="F803" s="263"/>
      <c r="G803" s="39" t="str" cm="1">
        <f t="array" ref="G803">IFERROR(INDEX(Table_dim_price_recipe[Retail Price], MATCH(1, ("Calculator"&lt;&gt;Table_dim_price_recipe[Type.display])*($L803=Table_dim_price_recipe[Category])*($D803=Table_dim_price_recipe[Item Description]) * (G$6=Table_dim_price_recipe[Type])*(Table_dim_price_recipe[Retail Price]&lt;&gt;0)*($C803=Table_dim_price_recipe[Subcategory]), 0))*$B803,"")</f>
        <v/>
      </c>
      <c r="H803" s="39" t="str" cm="1">
        <f t="array" ref="H803">IFERROR(INDEX(Table_dim_price_recipe[Retail Price], MATCH(1, ("Calculator"&lt;&gt;Table_dim_price_recipe[Type.display])*($L803=Table_dim_price_recipe[Category])*($D803=Table_dim_price_recipe[Item Description]) * (H$6=Table_dim_price_recipe[Type])*(Table_dim_price_recipe[Retail Price]&lt;&gt;0)*($C803=Table_dim_price_recipe[Subcategory]), 0))*$B803,"")</f>
        <v/>
      </c>
      <c r="I803" s="39" t="str" cm="1">
        <f t="array" ref="I803">IFERROR(INDEX(Table_dim_price_recipe[Retail Price], MATCH(1, ("Calculator"&lt;&gt;Table_dim_price_recipe[Type.display])*($L803=Table_dim_price_recipe[Category])*($D803=Table_dim_price_recipe[Item Description]) * (I$6=Table_dim_price_recipe[Type])*(Table_dim_price_recipe[Retail Price]&lt;&gt;0)*($C803=Table_dim_price_recipe[Subcategory]), 0))*$B803,"")</f>
        <v/>
      </c>
      <c r="J803" s="39" t="str" cm="1">
        <f t="array" ref="J803">IFERROR(INDEX(Table_dim_price_recipe[Retail Price], MATCH(1, ("Calculator"&lt;&gt;Table_dim_price_recipe[Type.display])*($L803=Table_dim_price_recipe[Category])*($D803=Table_dim_price_recipe[Item Description]) * (J$6=Table_dim_price_recipe[Type])*(Table_dim_price_recipe[Retail Price]&lt;&gt;0)*($C803=Table_dim_price_recipe[Subcategory]), 0))*$B803,"")</f>
        <v/>
      </c>
      <c r="K803" s="39" t="str" cm="1">
        <f t="array" ref="K803">IFERROR(INDEX(Table_dim_price_recipe[Retail Price], MATCH(1, ("Calculator"&lt;&gt;Table_dim_price_recipe[Type.display])*($L803=Table_dim_price_recipe[Category])*($D803=Table_dim_price_recipe[Item Description]) * (K$6=Table_dim_price_recipe[Type])*(Table_dim_price_recipe[Retail Price]&lt;&gt;0)*($C803=Table_dim_price_recipe[Subcategory]), 0))*$B803,"")</f>
        <v/>
      </c>
      <c r="L803" s="39" t="str" cm="1">
        <f t="array" ref="L803">IF($A803&lt;&gt;"", $A803, LOOKUP(2, 1/((A$7:INDEX(A:A, ROW()))&lt;&gt;""), A$7:INDEX(A:A, ROW())))</f>
        <v>CEILINGS &amp; WALLS</v>
      </c>
      <c r="M803" s="14"/>
    </row>
    <row r="804" spans="1:13">
      <c r="A804" s="263"/>
      <c r="B804" s="263"/>
      <c r="C804" s="263" t="s">
        <v>976</v>
      </c>
      <c r="D804" s="263"/>
      <c r="E804" s="263"/>
      <c r="F804" s="263"/>
      <c r="G804" s="39" t="str" cm="1">
        <f t="array" ref="G804">IFERROR(INDEX(Table_dim_price_recipe[Retail Price], MATCH(1, ("Calculator"&lt;&gt;Table_dim_price_recipe[Type.display])*($L804=Table_dim_price_recipe[Category])*($D804=Table_dim_price_recipe[Item Description]) * (G$6=Table_dim_price_recipe[Type])*(Table_dim_price_recipe[Retail Price]&lt;&gt;0)*($C804=Table_dim_price_recipe[Subcategory]), 0))*$B804,"")</f>
        <v/>
      </c>
      <c r="H804" s="39" t="str" cm="1">
        <f t="array" ref="H804">IFERROR(INDEX(Table_dim_price_recipe[Retail Price], MATCH(1, ("Calculator"&lt;&gt;Table_dim_price_recipe[Type.display])*($L804=Table_dim_price_recipe[Category])*($D804=Table_dim_price_recipe[Item Description]) * (H$6=Table_dim_price_recipe[Type])*(Table_dim_price_recipe[Retail Price]&lt;&gt;0)*($C804=Table_dim_price_recipe[Subcategory]), 0))*$B804,"")</f>
        <v/>
      </c>
      <c r="I804" s="39" t="str" cm="1">
        <f t="array" ref="I804">IFERROR(INDEX(Table_dim_price_recipe[Retail Price], MATCH(1, ("Calculator"&lt;&gt;Table_dim_price_recipe[Type.display])*($L804=Table_dim_price_recipe[Category])*($D804=Table_dim_price_recipe[Item Description]) * (I$6=Table_dim_price_recipe[Type])*(Table_dim_price_recipe[Retail Price]&lt;&gt;0)*($C804=Table_dim_price_recipe[Subcategory]), 0))*$B804,"")</f>
        <v/>
      </c>
      <c r="J804" s="39" t="str" cm="1">
        <f t="array" ref="J804">IFERROR(INDEX(Table_dim_price_recipe[Retail Price], MATCH(1, ("Calculator"&lt;&gt;Table_dim_price_recipe[Type.display])*($L804=Table_dim_price_recipe[Category])*($D804=Table_dim_price_recipe[Item Description]) * (J$6=Table_dim_price_recipe[Type])*(Table_dim_price_recipe[Retail Price]&lt;&gt;0)*($C804=Table_dim_price_recipe[Subcategory]), 0))*$B804,"")</f>
        <v/>
      </c>
      <c r="K804" s="39" t="str" cm="1">
        <f t="array" ref="K804">IFERROR(INDEX(Table_dim_price_recipe[Retail Price], MATCH(1, ("Calculator"&lt;&gt;Table_dim_price_recipe[Type.display])*($L804=Table_dim_price_recipe[Category])*($D804=Table_dim_price_recipe[Item Description]) * (K$6=Table_dim_price_recipe[Type])*(Table_dim_price_recipe[Retail Price]&lt;&gt;0)*($C804=Table_dim_price_recipe[Subcategory]), 0))*$B804,"")</f>
        <v/>
      </c>
      <c r="L804" s="39" t="str" cm="1">
        <f t="array" ref="L804">IF($A804&lt;&gt;"", $A804, LOOKUP(2, 1/((A$7:INDEX(A:A, ROW()))&lt;&gt;""), A$7:INDEX(A:A, ROW())))</f>
        <v>CEILINGS &amp; WALLS</v>
      </c>
      <c r="M804" s="14"/>
    </row>
    <row r="805" spans="1:13">
      <c r="A805" s="263"/>
      <c r="B805" s="263"/>
      <c r="C805" s="263" t="s">
        <v>963</v>
      </c>
      <c r="D805" s="263" t="s">
        <v>966</v>
      </c>
      <c r="E805" s="263"/>
      <c r="F805" s="263"/>
      <c r="G805" s="39" t="str" cm="1">
        <f t="array" ref="G805">IFERROR(INDEX(Table_dim_price_recipe[Retail Price], MATCH(1, ("Calculator"&lt;&gt;Table_dim_price_recipe[Type.display])*($L805=Table_dim_price_recipe[Category])*($D805=Table_dim_price_recipe[Item Description]) * (G$6=Table_dim_price_recipe[Type])*(Table_dim_price_recipe[Retail Price]&lt;&gt;0)*($C805=Table_dim_price_recipe[Subcategory]), 0))*$B805,"")</f>
        <v/>
      </c>
      <c r="H805" s="39" cm="1">
        <f t="array" ref="H805">IFERROR(INDEX(Table_dim_price_recipe[Retail Price], MATCH(1, ("Calculator"&lt;&gt;Table_dim_price_recipe[Type.display])*($L805=Table_dim_price_recipe[Category])*($D805=Table_dim_price_recipe[Item Description]) * (H$6=Table_dim_price_recipe[Type])*(Table_dim_price_recipe[Retail Price]&lt;&gt;0)*($C805=Table_dim_price_recipe[Subcategory]), 0))*$B805,"")</f>
        <v>0</v>
      </c>
      <c r="I805" s="39" t="str" cm="1">
        <f t="array" ref="I805">IFERROR(INDEX(Table_dim_price_recipe[Retail Price], MATCH(1, ("Calculator"&lt;&gt;Table_dim_price_recipe[Type.display])*($L805=Table_dim_price_recipe[Category])*($D805=Table_dim_price_recipe[Item Description]) * (I$6=Table_dim_price_recipe[Type])*(Table_dim_price_recipe[Retail Price]&lt;&gt;0)*($C805=Table_dim_price_recipe[Subcategory]), 0))*$B805,"")</f>
        <v/>
      </c>
      <c r="J805" s="39" t="str" cm="1">
        <f t="array" ref="J805">IFERROR(INDEX(Table_dim_price_recipe[Retail Price], MATCH(1, ("Calculator"&lt;&gt;Table_dim_price_recipe[Type.display])*($L805=Table_dim_price_recipe[Category])*($D805=Table_dim_price_recipe[Item Description]) * (J$6=Table_dim_price_recipe[Type])*(Table_dim_price_recipe[Retail Price]&lt;&gt;0)*($C805=Table_dim_price_recipe[Subcategory]), 0))*$B805,"")</f>
        <v/>
      </c>
      <c r="K805" s="39" t="str" cm="1">
        <f t="array" ref="K805">IFERROR(INDEX(Table_dim_price_recipe[Retail Price], MATCH(1, ("Calculator"&lt;&gt;Table_dim_price_recipe[Type.display])*($L805=Table_dim_price_recipe[Category])*($D805=Table_dim_price_recipe[Item Description]) * (K$6=Table_dim_price_recipe[Type])*(Table_dim_price_recipe[Retail Price]&lt;&gt;0)*($C805=Table_dim_price_recipe[Subcategory]), 0))*$B805,"")</f>
        <v/>
      </c>
      <c r="L805" s="39" t="str" cm="1">
        <f t="array" ref="L805">IF($A805&lt;&gt;"", $A805, LOOKUP(2, 1/((A$7:INDEX(A:A, ROW()))&lt;&gt;""), A$7:INDEX(A:A, ROW())))</f>
        <v>CEILINGS &amp; WALLS</v>
      </c>
      <c r="M805" s="14"/>
    </row>
    <row r="806" spans="1:13">
      <c r="A806" s="263"/>
      <c r="B806" s="263"/>
      <c r="C806" s="263" t="s">
        <v>963</v>
      </c>
      <c r="D806" s="263" t="s">
        <v>965</v>
      </c>
      <c r="E806" s="263"/>
      <c r="F806" s="263"/>
      <c r="G806" s="39" t="str" cm="1">
        <f t="array" ref="G806">IFERROR(INDEX(Table_dim_price_recipe[Retail Price], MATCH(1, ("Calculator"&lt;&gt;Table_dim_price_recipe[Type.display])*($L806=Table_dim_price_recipe[Category])*($D806=Table_dim_price_recipe[Item Description]) * (G$6=Table_dim_price_recipe[Type])*(Table_dim_price_recipe[Retail Price]&lt;&gt;0)*($C806=Table_dim_price_recipe[Subcategory]), 0))*$B806,"")</f>
        <v/>
      </c>
      <c r="H806" s="39" cm="1">
        <f t="array" ref="H806">IFERROR(INDEX(Table_dim_price_recipe[Retail Price], MATCH(1, ("Calculator"&lt;&gt;Table_dim_price_recipe[Type.display])*($L806=Table_dim_price_recipe[Category])*($D806=Table_dim_price_recipe[Item Description]) * (H$6=Table_dim_price_recipe[Type])*(Table_dim_price_recipe[Retail Price]&lt;&gt;0)*($C806=Table_dim_price_recipe[Subcategory]), 0))*$B806,"")</f>
        <v>0</v>
      </c>
      <c r="I806" s="39" t="str" cm="1">
        <f t="array" ref="I806">IFERROR(INDEX(Table_dim_price_recipe[Retail Price], MATCH(1, ("Calculator"&lt;&gt;Table_dim_price_recipe[Type.display])*($L806=Table_dim_price_recipe[Category])*($D806=Table_dim_price_recipe[Item Description]) * (I$6=Table_dim_price_recipe[Type])*(Table_dim_price_recipe[Retail Price]&lt;&gt;0)*($C806=Table_dim_price_recipe[Subcategory]), 0))*$B806,"")</f>
        <v/>
      </c>
      <c r="J806" s="39" t="str" cm="1">
        <f t="array" ref="J806">IFERROR(INDEX(Table_dim_price_recipe[Retail Price], MATCH(1, ("Calculator"&lt;&gt;Table_dim_price_recipe[Type.display])*($L806=Table_dim_price_recipe[Category])*($D806=Table_dim_price_recipe[Item Description]) * (J$6=Table_dim_price_recipe[Type])*(Table_dim_price_recipe[Retail Price]&lt;&gt;0)*($C806=Table_dim_price_recipe[Subcategory]), 0))*$B806,"")</f>
        <v/>
      </c>
      <c r="K806" s="39" t="str" cm="1">
        <f t="array" ref="K806">IFERROR(INDEX(Table_dim_price_recipe[Retail Price], MATCH(1, ("Calculator"&lt;&gt;Table_dim_price_recipe[Type.display])*($L806=Table_dim_price_recipe[Category])*($D806=Table_dim_price_recipe[Item Description]) * (K$6=Table_dim_price_recipe[Type])*(Table_dim_price_recipe[Retail Price]&lt;&gt;0)*($C806=Table_dim_price_recipe[Subcategory]), 0))*$B806,"")</f>
        <v/>
      </c>
      <c r="L806" s="39" t="str" cm="1">
        <f t="array" ref="L806">IF($A806&lt;&gt;"", $A806, LOOKUP(2, 1/((A$7:INDEX(A:A, ROW()))&lt;&gt;""), A$7:INDEX(A:A, ROW())))</f>
        <v>CEILINGS &amp; WALLS</v>
      </c>
      <c r="M806" s="14"/>
    </row>
    <row r="807" spans="1:13">
      <c r="A807" s="263"/>
      <c r="B807" s="263"/>
      <c r="C807" s="263" t="s">
        <v>963</v>
      </c>
      <c r="D807" s="263" t="s">
        <v>964</v>
      </c>
      <c r="E807" s="263"/>
      <c r="F807" s="263"/>
      <c r="G807" s="39" t="str" cm="1">
        <f t="array" ref="G807">IFERROR(INDEX(Table_dim_price_recipe[Retail Price], MATCH(1, ("Calculator"&lt;&gt;Table_dim_price_recipe[Type.display])*($L807=Table_dim_price_recipe[Category])*($D807=Table_dim_price_recipe[Item Description]) * (G$6=Table_dim_price_recipe[Type])*(Table_dim_price_recipe[Retail Price]&lt;&gt;0)*($C807=Table_dim_price_recipe[Subcategory]), 0))*$B807,"")</f>
        <v/>
      </c>
      <c r="H807" s="39" t="str" cm="1">
        <f t="array" ref="H807">IFERROR(INDEX(Table_dim_price_recipe[Retail Price], MATCH(1, ("Calculator"&lt;&gt;Table_dim_price_recipe[Type.display])*($L807=Table_dim_price_recipe[Category])*($D807=Table_dim_price_recipe[Item Description]) * (H$6=Table_dim_price_recipe[Type])*(Table_dim_price_recipe[Retail Price]&lt;&gt;0)*($C807=Table_dim_price_recipe[Subcategory]), 0))*$B807,"")</f>
        <v/>
      </c>
      <c r="I807" s="39" t="str" cm="1">
        <f t="array" ref="I807">IFERROR(INDEX(Table_dim_price_recipe[Retail Price], MATCH(1, ("Calculator"&lt;&gt;Table_dim_price_recipe[Type.display])*($L807=Table_dim_price_recipe[Category])*($D807=Table_dim_price_recipe[Item Description]) * (I$6=Table_dim_price_recipe[Type])*(Table_dim_price_recipe[Retail Price]&lt;&gt;0)*($C807=Table_dim_price_recipe[Subcategory]), 0))*$B807,"")</f>
        <v/>
      </c>
      <c r="J807" s="39" t="str" cm="1">
        <f t="array" ref="J807">IFERROR(INDEX(Table_dim_price_recipe[Retail Price], MATCH(1, ("Calculator"&lt;&gt;Table_dim_price_recipe[Type.display])*($L807=Table_dim_price_recipe[Category])*($D807=Table_dim_price_recipe[Item Description]) * (J$6=Table_dim_price_recipe[Type])*(Table_dim_price_recipe[Retail Price]&lt;&gt;0)*($C807=Table_dim_price_recipe[Subcategory]), 0))*$B807,"")</f>
        <v/>
      </c>
      <c r="K807" s="39" t="str" cm="1">
        <f t="array" ref="K807">IFERROR(INDEX(Table_dim_price_recipe[Retail Price], MATCH(1, ("Calculator"&lt;&gt;Table_dim_price_recipe[Type.display])*($L807=Table_dim_price_recipe[Category])*($D807=Table_dim_price_recipe[Item Description]) * (K$6=Table_dim_price_recipe[Type])*(Table_dim_price_recipe[Retail Price]&lt;&gt;0)*($C807=Table_dim_price_recipe[Subcategory]), 0))*$B807,"")</f>
        <v/>
      </c>
      <c r="L807" s="39" t="str" cm="1">
        <f t="array" ref="L807">IF($A807&lt;&gt;"", $A807, LOOKUP(2, 1/((A$7:INDEX(A:A, ROW()))&lt;&gt;""), A$7:INDEX(A:A, ROW())))</f>
        <v>CEILINGS &amp; WALLS</v>
      </c>
      <c r="M807" s="14"/>
    </row>
    <row r="808" spans="1:13">
      <c r="A808" s="263"/>
      <c r="B808" s="263"/>
      <c r="C808" s="263" t="s">
        <v>963</v>
      </c>
      <c r="D808" s="263" t="s">
        <v>968</v>
      </c>
      <c r="E808" s="263"/>
      <c r="F808" s="263"/>
      <c r="G808" s="39" t="str" cm="1">
        <f t="array" ref="G808">IFERROR(INDEX(Table_dim_price_recipe[Retail Price], MATCH(1, ("Calculator"&lt;&gt;Table_dim_price_recipe[Type.display])*($L808=Table_dim_price_recipe[Category])*($D808=Table_dim_price_recipe[Item Description]) * (G$6=Table_dim_price_recipe[Type])*(Table_dim_price_recipe[Retail Price]&lt;&gt;0)*($C808=Table_dim_price_recipe[Subcategory]), 0))*$B808,"")</f>
        <v/>
      </c>
      <c r="H808" s="39" cm="1">
        <f t="array" ref="H808">IFERROR(INDEX(Table_dim_price_recipe[Retail Price], MATCH(1, ("Calculator"&lt;&gt;Table_dim_price_recipe[Type.display])*($L808=Table_dim_price_recipe[Category])*($D808=Table_dim_price_recipe[Item Description]) * (H$6=Table_dim_price_recipe[Type])*(Table_dim_price_recipe[Retail Price]&lt;&gt;0)*($C808=Table_dim_price_recipe[Subcategory]), 0))*$B808,"")</f>
        <v>0</v>
      </c>
      <c r="I808" s="39" t="str" cm="1">
        <f t="array" ref="I808">IFERROR(INDEX(Table_dim_price_recipe[Retail Price], MATCH(1, ("Calculator"&lt;&gt;Table_dim_price_recipe[Type.display])*($L808=Table_dim_price_recipe[Category])*($D808=Table_dim_price_recipe[Item Description]) * (I$6=Table_dim_price_recipe[Type])*(Table_dim_price_recipe[Retail Price]&lt;&gt;0)*($C808=Table_dim_price_recipe[Subcategory]), 0))*$B808,"")</f>
        <v/>
      </c>
      <c r="J808" s="39" t="str" cm="1">
        <f t="array" ref="J808">IFERROR(INDEX(Table_dim_price_recipe[Retail Price], MATCH(1, ("Calculator"&lt;&gt;Table_dim_price_recipe[Type.display])*($L808=Table_dim_price_recipe[Category])*($D808=Table_dim_price_recipe[Item Description]) * (J$6=Table_dim_price_recipe[Type])*(Table_dim_price_recipe[Retail Price]&lt;&gt;0)*($C808=Table_dim_price_recipe[Subcategory]), 0))*$B808,"")</f>
        <v/>
      </c>
      <c r="K808" s="39" t="str" cm="1">
        <f t="array" ref="K808">IFERROR(INDEX(Table_dim_price_recipe[Retail Price], MATCH(1, ("Calculator"&lt;&gt;Table_dim_price_recipe[Type.display])*($L808=Table_dim_price_recipe[Category])*($D808=Table_dim_price_recipe[Item Description]) * (K$6=Table_dim_price_recipe[Type])*(Table_dim_price_recipe[Retail Price]&lt;&gt;0)*($C808=Table_dim_price_recipe[Subcategory]), 0))*$B808,"")</f>
        <v/>
      </c>
      <c r="L808" s="39" t="str" cm="1">
        <f t="array" ref="L808">IF($A808&lt;&gt;"", $A808, LOOKUP(2, 1/((A$7:INDEX(A:A, ROW()))&lt;&gt;""), A$7:INDEX(A:A, ROW())))</f>
        <v>CEILINGS &amp; WALLS</v>
      </c>
      <c r="M808" s="14"/>
    </row>
    <row r="809" spans="1:13">
      <c r="A809" s="263"/>
      <c r="B809" s="263"/>
      <c r="C809" s="263" t="s">
        <v>963</v>
      </c>
      <c r="D809" s="263" t="s">
        <v>969</v>
      </c>
      <c r="E809" s="263"/>
      <c r="F809" s="263"/>
      <c r="G809" s="39" t="str" cm="1">
        <f t="array" ref="G809">IFERROR(INDEX(Table_dim_price_recipe[Retail Price], MATCH(1, ("Calculator"&lt;&gt;Table_dim_price_recipe[Type.display])*($L809=Table_dim_price_recipe[Category])*($D809=Table_dim_price_recipe[Item Description]) * (G$6=Table_dim_price_recipe[Type])*(Table_dim_price_recipe[Retail Price]&lt;&gt;0)*($C809=Table_dim_price_recipe[Subcategory]), 0))*$B809,"")</f>
        <v/>
      </c>
      <c r="H809" s="39" cm="1">
        <f t="array" ref="H809">IFERROR(INDEX(Table_dim_price_recipe[Retail Price], MATCH(1, ("Calculator"&lt;&gt;Table_dim_price_recipe[Type.display])*($L809=Table_dim_price_recipe[Category])*($D809=Table_dim_price_recipe[Item Description]) * (H$6=Table_dim_price_recipe[Type])*(Table_dim_price_recipe[Retail Price]&lt;&gt;0)*($C809=Table_dim_price_recipe[Subcategory]), 0))*$B809,"")</f>
        <v>0</v>
      </c>
      <c r="I809" s="39" t="str" cm="1">
        <f t="array" ref="I809">IFERROR(INDEX(Table_dim_price_recipe[Retail Price], MATCH(1, ("Calculator"&lt;&gt;Table_dim_price_recipe[Type.display])*($L809=Table_dim_price_recipe[Category])*($D809=Table_dim_price_recipe[Item Description]) * (I$6=Table_dim_price_recipe[Type])*(Table_dim_price_recipe[Retail Price]&lt;&gt;0)*($C809=Table_dim_price_recipe[Subcategory]), 0))*$B809,"")</f>
        <v/>
      </c>
      <c r="J809" s="39" t="str" cm="1">
        <f t="array" ref="J809">IFERROR(INDEX(Table_dim_price_recipe[Retail Price], MATCH(1, ("Calculator"&lt;&gt;Table_dim_price_recipe[Type.display])*($L809=Table_dim_price_recipe[Category])*($D809=Table_dim_price_recipe[Item Description]) * (J$6=Table_dim_price_recipe[Type])*(Table_dim_price_recipe[Retail Price]&lt;&gt;0)*($C809=Table_dim_price_recipe[Subcategory]), 0))*$B809,"")</f>
        <v/>
      </c>
      <c r="K809" s="39" t="str" cm="1">
        <f t="array" ref="K809">IFERROR(INDEX(Table_dim_price_recipe[Retail Price], MATCH(1, ("Calculator"&lt;&gt;Table_dim_price_recipe[Type.display])*($L809=Table_dim_price_recipe[Category])*($D809=Table_dim_price_recipe[Item Description]) * (K$6=Table_dim_price_recipe[Type])*(Table_dim_price_recipe[Retail Price]&lt;&gt;0)*($C809=Table_dim_price_recipe[Subcategory]), 0))*$B809,"")</f>
        <v/>
      </c>
      <c r="L809" s="39" t="str" cm="1">
        <f t="array" ref="L809">IF($A809&lt;&gt;"", $A809, LOOKUP(2, 1/((A$7:INDEX(A:A, ROW()))&lt;&gt;""), A$7:INDEX(A:A, ROW())))</f>
        <v>CEILINGS &amp; WALLS</v>
      </c>
      <c r="M809" s="14"/>
    </row>
    <row r="810" spans="1:13">
      <c r="A810" s="263"/>
      <c r="B810" s="263"/>
      <c r="C810" s="263" t="s">
        <v>963</v>
      </c>
      <c r="D810" s="263" t="s">
        <v>967</v>
      </c>
      <c r="E810" s="263"/>
      <c r="F810" s="263"/>
      <c r="G810" s="39" t="str" cm="1">
        <f t="array" ref="G810">IFERROR(INDEX(Table_dim_price_recipe[Retail Price], MATCH(1, ("Calculator"&lt;&gt;Table_dim_price_recipe[Type.display])*($L810=Table_dim_price_recipe[Category])*($D810=Table_dim_price_recipe[Item Description]) * (G$6=Table_dim_price_recipe[Type])*(Table_dim_price_recipe[Retail Price]&lt;&gt;0)*($C810=Table_dim_price_recipe[Subcategory]), 0))*$B810,"")</f>
        <v/>
      </c>
      <c r="H810" s="39" cm="1">
        <f t="array" ref="H810">IFERROR(INDEX(Table_dim_price_recipe[Retail Price], MATCH(1, ("Calculator"&lt;&gt;Table_dim_price_recipe[Type.display])*($L810=Table_dim_price_recipe[Category])*($D810=Table_dim_price_recipe[Item Description]) * (H$6=Table_dim_price_recipe[Type])*(Table_dim_price_recipe[Retail Price]&lt;&gt;0)*($C810=Table_dim_price_recipe[Subcategory]), 0))*$B810,"")</f>
        <v>0</v>
      </c>
      <c r="I810" s="39" t="str" cm="1">
        <f t="array" ref="I810">IFERROR(INDEX(Table_dim_price_recipe[Retail Price], MATCH(1, ("Calculator"&lt;&gt;Table_dim_price_recipe[Type.display])*($L810=Table_dim_price_recipe[Category])*($D810=Table_dim_price_recipe[Item Description]) * (I$6=Table_dim_price_recipe[Type])*(Table_dim_price_recipe[Retail Price]&lt;&gt;0)*($C810=Table_dim_price_recipe[Subcategory]), 0))*$B810,"")</f>
        <v/>
      </c>
      <c r="J810" s="39" t="str" cm="1">
        <f t="array" ref="J810">IFERROR(INDEX(Table_dim_price_recipe[Retail Price], MATCH(1, ("Calculator"&lt;&gt;Table_dim_price_recipe[Type.display])*($L810=Table_dim_price_recipe[Category])*($D810=Table_dim_price_recipe[Item Description]) * (J$6=Table_dim_price_recipe[Type])*(Table_dim_price_recipe[Retail Price]&lt;&gt;0)*($C810=Table_dim_price_recipe[Subcategory]), 0))*$B810,"")</f>
        <v/>
      </c>
      <c r="K810" s="39" t="str" cm="1">
        <f t="array" ref="K810">IFERROR(INDEX(Table_dim_price_recipe[Retail Price], MATCH(1, ("Calculator"&lt;&gt;Table_dim_price_recipe[Type.display])*($L810=Table_dim_price_recipe[Category])*($D810=Table_dim_price_recipe[Item Description]) * (K$6=Table_dim_price_recipe[Type])*(Table_dim_price_recipe[Retail Price]&lt;&gt;0)*($C810=Table_dim_price_recipe[Subcategory]), 0))*$B810,"")</f>
        <v/>
      </c>
      <c r="L810" s="39" t="str" cm="1">
        <f t="array" ref="L810">IF($A810&lt;&gt;"", $A810, LOOKUP(2, 1/((A$7:INDEX(A:A, ROW()))&lt;&gt;""), A$7:INDEX(A:A, ROW())))</f>
        <v>CEILINGS &amp; WALLS</v>
      </c>
      <c r="M810" s="14"/>
    </row>
    <row r="811" spans="1:13">
      <c r="A811" s="263"/>
      <c r="B811" s="263"/>
      <c r="C811" s="263" t="s">
        <v>963</v>
      </c>
      <c r="D811" s="263" t="s">
        <v>970</v>
      </c>
      <c r="E811" s="263"/>
      <c r="F811" s="263"/>
      <c r="G811" s="39" t="str" cm="1">
        <f t="array" ref="G811">IFERROR(INDEX(Table_dim_price_recipe[Retail Price], MATCH(1, ("Calculator"&lt;&gt;Table_dim_price_recipe[Type.display])*($L811=Table_dim_price_recipe[Category])*($D811=Table_dim_price_recipe[Item Description]) * (G$6=Table_dim_price_recipe[Type])*(Table_dim_price_recipe[Retail Price]&lt;&gt;0)*($C811=Table_dim_price_recipe[Subcategory]), 0))*$B811,"")</f>
        <v/>
      </c>
      <c r="H811" s="39" t="str" cm="1">
        <f t="array" ref="H811">IFERROR(INDEX(Table_dim_price_recipe[Retail Price], MATCH(1, ("Calculator"&lt;&gt;Table_dim_price_recipe[Type.display])*($L811=Table_dim_price_recipe[Category])*($D811=Table_dim_price_recipe[Item Description]) * (H$6=Table_dim_price_recipe[Type])*(Table_dim_price_recipe[Retail Price]&lt;&gt;0)*($C811=Table_dim_price_recipe[Subcategory]), 0))*$B811,"")</f>
        <v/>
      </c>
      <c r="I811" s="39" t="str" cm="1">
        <f t="array" ref="I811">IFERROR(INDEX(Table_dim_price_recipe[Retail Price], MATCH(1, ("Calculator"&lt;&gt;Table_dim_price_recipe[Type.display])*($L811=Table_dim_price_recipe[Category])*($D811=Table_dim_price_recipe[Item Description]) * (I$6=Table_dim_price_recipe[Type])*(Table_dim_price_recipe[Retail Price]&lt;&gt;0)*($C811=Table_dim_price_recipe[Subcategory]), 0))*$B811,"")</f>
        <v/>
      </c>
      <c r="J811" s="39" t="str" cm="1">
        <f t="array" ref="J811">IFERROR(INDEX(Table_dim_price_recipe[Retail Price], MATCH(1, ("Calculator"&lt;&gt;Table_dim_price_recipe[Type.display])*($L811=Table_dim_price_recipe[Category])*($D811=Table_dim_price_recipe[Item Description]) * (J$6=Table_dim_price_recipe[Type])*(Table_dim_price_recipe[Retail Price]&lt;&gt;0)*($C811=Table_dim_price_recipe[Subcategory]), 0))*$B811,"")</f>
        <v/>
      </c>
      <c r="K811" s="39" t="str" cm="1">
        <f t="array" ref="K811">IFERROR(INDEX(Table_dim_price_recipe[Retail Price], MATCH(1, ("Calculator"&lt;&gt;Table_dim_price_recipe[Type.display])*($L811=Table_dim_price_recipe[Category])*($D811=Table_dim_price_recipe[Item Description]) * (K$6=Table_dim_price_recipe[Type])*(Table_dim_price_recipe[Retail Price]&lt;&gt;0)*($C811=Table_dim_price_recipe[Subcategory]), 0))*$B811,"")</f>
        <v/>
      </c>
      <c r="L811" s="39" t="str" cm="1">
        <f t="array" ref="L811">IF($A811&lt;&gt;"", $A811, LOOKUP(2, 1/((A$7:INDEX(A:A, ROW()))&lt;&gt;""), A$7:INDEX(A:A, ROW())))</f>
        <v>CEILINGS &amp; WALLS</v>
      </c>
      <c r="M811" s="14"/>
    </row>
    <row r="812" spans="1:13">
      <c r="A812" s="263"/>
      <c r="B812" s="263"/>
      <c r="C812" s="263" t="s">
        <v>963</v>
      </c>
      <c r="D812" s="263"/>
      <c r="E812" s="263"/>
      <c r="F812" s="263"/>
      <c r="G812" s="39" t="str" cm="1">
        <f t="array" ref="G812">IFERROR(INDEX(Table_dim_price_recipe[Retail Price], MATCH(1, ("Calculator"&lt;&gt;Table_dim_price_recipe[Type.display])*($L812=Table_dim_price_recipe[Category])*($D812=Table_dim_price_recipe[Item Description]) * (G$6=Table_dim_price_recipe[Type])*(Table_dim_price_recipe[Retail Price]&lt;&gt;0)*($C812=Table_dim_price_recipe[Subcategory]), 0))*$B812,"")</f>
        <v/>
      </c>
      <c r="H812" s="39" cm="1">
        <f t="array" ref="H812">IFERROR(INDEX(Table_dim_price_recipe[Retail Price], MATCH(1, ("Calculator"&lt;&gt;Table_dim_price_recipe[Type.display])*($L812=Table_dim_price_recipe[Category])*($D812=Table_dim_price_recipe[Item Description]) * (H$6=Table_dim_price_recipe[Type])*(Table_dim_price_recipe[Retail Price]&lt;&gt;0)*($C812=Table_dim_price_recipe[Subcategory]), 0))*$B812,"")</f>
        <v>0</v>
      </c>
      <c r="I812" s="39" t="str" cm="1">
        <f t="array" ref="I812">IFERROR(INDEX(Table_dim_price_recipe[Retail Price], MATCH(1, ("Calculator"&lt;&gt;Table_dim_price_recipe[Type.display])*($L812=Table_dim_price_recipe[Category])*($D812=Table_dim_price_recipe[Item Description]) * (I$6=Table_dim_price_recipe[Type])*(Table_dim_price_recipe[Retail Price]&lt;&gt;0)*($C812=Table_dim_price_recipe[Subcategory]), 0))*$B812,"")</f>
        <v/>
      </c>
      <c r="J812" s="39" t="str" cm="1">
        <f t="array" ref="J812">IFERROR(INDEX(Table_dim_price_recipe[Retail Price], MATCH(1, ("Calculator"&lt;&gt;Table_dim_price_recipe[Type.display])*($L812=Table_dim_price_recipe[Category])*($D812=Table_dim_price_recipe[Item Description]) * (J$6=Table_dim_price_recipe[Type])*(Table_dim_price_recipe[Retail Price]&lt;&gt;0)*($C812=Table_dim_price_recipe[Subcategory]), 0))*$B812,"")</f>
        <v/>
      </c>
      <c r="K812" s="39" t="str" cm="1">
        <f t="array" ref="K812">IFERROR(INDEX(Table_dim_price_recipe[Retail Price], MATCH(1, ("Calculator"&lt;&gt;Table_dim_price_recipe[Type.display])*($L812=Table_dim_price_recipe[Category])*($D812=Table_dim_price_recipe[Item Description]) * (K$6=Table_dim_price_recipe[Type])*(Table_dim_price_recipe[Retail Price]&lt;&gt;0)*($C812=Table_dim_price_recipe[Subcategory]), 0))*$B812,"")</f>
        <v/>
      </c>
      <c r="L812" s="39" t="str" cm="1">
        <f t="array" ref="L812">IF($A812&lt;&gt;"", $A812, LOOKUP(2, 1/((A$7:INDEX(A:A, ROW()))&lt;&gt;""), A$7:INDEX(A:A, ROW())))</f>
        <v>CEILINGS &amp; WALLS</v>
      </c>
      <c r="M812" s="14"/>
    </row>
    <row r="813" spans="1:13">
      <c r="A813" s="263"/>
      <c r="B813" s="263"/>
      <c r="C813" s="263" t="s">
        <v>963</v>
      </c>
      <c r="D813" s="263"/>
      <c r="E813" s="263"/>
      <c r="F813" s="263"/>
      <c r="G813" s="39" t="str" cm="1">
        <f t="array" ref="G813">IFERROR(INDEX(Table_dim_price_recipe[Retail Price], MATCH(1, ("Calculator"&lt;&gt;Table_dim_price_recipe[Type.display])*($L813=Table_dim_price_recipe[Category])*($D813=Table_dim_price_recipe[Item Description]) * (G$6=Table_dim_price_recipe[Type])*(Table_dim_price_recipe[Retail Price]&lt;&gt;0)*($C813=Table_dim_price_recipe[Subcategory]), 0))*$B813,"")</f>
        <v/>
      </c>
      <c r="H813" s="39" cm="1">
        <f t="array" ref="H813">IFERROR(INDEX(Table_dim_price_recipe[Retail Price], MATCH(1, ("Calculator"&lt;&gt;Table_dim_price_recipe[Type.display])*($L813=Table_dim_price_recipe[Category])*($D813=Table_dim_price_recipe[Item Description]) * (H$6=Table_dim_price_recipe[Type])*(Table_dim_price_recipe[Retail Price]&lt;&gt;0)*($C813=Table_dim_price_recipe[Subcategory]), 0))*$B813,"")</f>
        <v>0</v>
      </c>
      <c r="I813" s="39" t="str" cm="1">
        <f t="array" ref="I813">IFERROR(INDEX(Table_dim_price_recipe[Retail Price], MATCH(1, ("Calculator"&lt;&gt;Table_dim_price_recipe[Type.display])*($L813=Table_dim_price_recipe[Category])*($D813=Table_dim_price_recipe[Item Description]) * (I$6=Table_dim_price_recipe[Type])*(Table_dim_price_recipe[Retail Price]&lt;&gt;0)*($C813=Table_dim_price_recipe[Subcategory]), 0))*$B813,"")</f>
        <v/>
      </c>
      <c r="J813" s="39" t="str" cm="1">
        <f t="array" ref="J813">IFERROR(INDEX(Table_dim_price_recipe[Retail Price], MATCH(1, ("Calculator"&lt;&gt;Table_dim_price_recipe[Type.display])*($L813=Table_dim_price_recipe[Category])*($D813=Table_dim_price_recipe[Item Description]) * (J$6=Table_dim_price_recipe[Type])*(Table_dim_price_recipe[Retail Price]&lt;&gt;0)*($C813=Table_dim_price_recipe[Subcategory]), 0))*$B813,"")</f>
        <v/>
      </c>
      <c r="K813" s="39" t="str" cm="1">
        <f t="array" ref="K813">IFERROR(INDEX(Table_dim_price_recipe[Retail Price], MATCH(1, ("Calculator"&lt;&gt;Table_dim_price_recipe[Type.display])*($L813=Table_dim_price_recipe[Category])*($D813=Table_dim_price_recipe[Item Description]) * (K$6=Table_dim_price_recipe[Type])*(Table_dim_price_recipe[Retail Price]&lt;&gt;0)*($C813=Table_dim_price_recipe[Subcategory]), 0))*$B813,"")</f>
        <v/>
      </c>
      <c r="L813" s="39" t="str" cm="1">
        <f t="array" ref="L813">IF($A813&lt;&gt;"", $A813, LOOKUP(2, 1/((A$7:INDEX(A:A, ROW()))&lt;&gt;""), A$7:INDEX(A:A, ROW())))</f>
        <v>CEILINGS &amp; WALLS</v>
      </c>
      <c r="M813" s="14"/>
    </row>
    <row r="814" spans="1:13">
      <c r="A814" s="263"/>
      <c r="B814" s="263"/>
      <c r="C814" s="263" t="s">
        <v>982</v>
      </c>
      <c r="D814" s="263" t="s">
        <v>986</v>
      </c>
      <c r="E814" s="263"/>
      <c r="F814" s="263"/>
      <c r="G814" s="39" t="str" cm="1">
        <f t="array" ref="G814">IFERROR(INDEX(Table_dim_price_recipe[Retail Price], MATCH(1, ("Calculator"&lt;&gt;Table_dim_price_recipe[Type.display])*($L814=Table_dim_price_recipe[Category])*($D814=Table_dim_price_recipe[Item Description]) * (G$6=Table_dim_price_recipe[Type])*(Table_dim_price_recipe[Retail Price]&lt;&gt;0)*($C814=Table_dim_price_recipe[Subcategory]), 0))*$B814,"")</f>
        <v/>
      </c>
      <c r="H814" s="39" cm="1">
        <f t="array" ref="H814">IFERROR(INDEX(Table_dim_price_recipe[Retail Price], MATCH(1, ("Calculator"&lt;&gt;Table_dim_price_recipe[Type.display])*($L814=Table_dim_price_recipe[Category])*($D814=Table_dim_price_recipe[Item Description]) * (H$6=Table_dim_price_recipe[Type])*(Table_dim_price_recipe[Retail Price]&lt;&gt;0)*($C814=Table_dim_price_recipe[Subcategory]), 0))*$B814,"")</f>
        <v>0</v>
      </c>
      <c r="I814" s="39" t="str" cm="1">
        <f t="array" ref="I814">IFERROR(INDEX(Table_dim_price_recipe[Retail Price], MATCH(1, ("Calculator"&lt;&gt;Table_dim_price_recipe[Type.display])*($L814=Table_dim_price_recipe[Category])*($D814=Table_dim_price_recipe[Item Description]) * (I$6=Table_dim_price_recipe[Type])*(Table_dim_price_recipe[Retail Price]&lt;&gt;0)*($C814=Table_dim_price_recipe[Subcategory]), 0))*$B814,"")</f>
        <v/>
      </c>
      <c r="J814" s="39" t="str" cm="1">
        <f t="array" ref="J814">IFERROR(INDEX(Table_dim_price_recipe[Retail Price], MATCH(1, ("Calculator"&lt;&gt;Table_dim_price_recipe[Type.display])*($L814=Table_dim_price_recipe[Category])*($D814=Table_dim_price_recipe[Item Description]) * (J$6=Table_dim_price_recipe[Type])*(Table_dim_price_recipe[Retail Price]&lt;&gt;0)*($C814=Table_dim_price_recipe[Subcategory]), 0))*$B814,"")</f>
        <v/>
      </c>
      <c r="K814" s="39" t="str" cm="1">
        <f t="array" ref="K814">IFERROR(INDEX(Table_dim_price_recipe[Retail Price], MATCH(1, ("Calculator"&lt;&gt;Table_dim_price_recipe[Type.display])*($L814=Table_dim_price_recipe[Category])*($D814=Table_dim_price_recipe[Item Description]) * (K$6=Table_dim_price_recipe[Type])*(Table_dim_price_recipe[Retail Price]&lt;&gt;0)*($C814=Table_dim_price_recipe[Subcategory]), 0))*$B814,"")</f>
        <v/>
      </c>
      <c r="L814" s="39" t="str" cm="1">
        <f t="array" ref="L814">IF($A814&lt;&gt;"", $A814, LOOKUP(2, 1/((A$7:INDEX(A:A, ROW()))&lt;&gt;""), A$7:INDEX(A:A, ROW())))</f>
        <v>CEILINGS &amp; WALLS</v>
      </c>
      <c r="M814" s="14"/>
    </row>
    <row r="815" spans="1:13">
      <c r="A815" s="263"/>
      <c r="B815" s="263"/>
      <c r="C815" s="263" t="s">
        <v>982</v>
      </c>
      <c r="D815" s="263" t="s">
        <v>983</v>
      </c>
      <c r="E815" s="263"/>
      <c r="F815" s="263"/>
      <c r="G815" s="39" t="str" cm="1">
        <f t="array" ref="G815">IFERROR(INDEX(Table_dim_price_recipe[Retail Price], MATCH(1, ("Calculator"&lt;&gt;Table_dim_price_recipe[Type.display])*($L815=Table_dim_price_recipe[Category])*($D815=Table_dim_price_recipe[Item Description]) * (G$6=Table_dim_price_recipe[Type])*(Table_dim_price_recipe[Retail Price]&lt;&gt;0)*($C815=Table_dim_price_recipe[Subcategory]), 0))*$B815,"")</f>
        <v/>
      </c>
      <c r="H815" s="39" cm="1">
        <f t="array" ref="H815">IFERROR(INDEX(Table_dim_price_recipe[Retail Price], MATCH(1, ("Calculator"&lt;&gt;Table_dim_price_recipe[Type.display])*($L815=Table_dim_price_recipe[Category])*($D815=Table_dim_price_recipe[Item Description]) * (H$6=Table_dim_price_recipe[Type])*(Table_dim_price_recipe[Retail Price]&lt;&gt;0)*($C815=Table_dim_price_recipe[Subcategory]), 0))*$B815,"")</f>
        <v>0</v>
      </c>
      <c r="I815" s="39" t="str" cm="1">
        <f t="array" ref="I815">IFERROR(INDEX(Table_dim_price_recipe[Retail Price], MATCH(1, ("Calculator"&lt;&gt;Table_dim_price_recipe[Type.display])*($L815=Table_dim_price_recipe[Category])*($D815=Table_dim_price_recipe[Item Description]) * (I$6=Table_dim_price_recipe[Type])*(Table_dim_price_recipe[Retail Price]&lt;&gt;0)*($C815=Table_dim_price_recipe[Subcategory]), 0))*$B815,"")</f>
        <v/>
      </c>
      <c r="J815" s="39" t="str" cm="1">
        <f t="array" ref="J815">IFERROR(INDEX(Table_dim_price_recipe[Retail Price], MATCH(1, ("Calculator"&lt;&gt;Table_dim_price_recipe[Type.display])*($L815=Table_dim_price_recipe[Category])*($D815=Table_dim_price_recipe[Item Description]) * (J$6=Table_dim_price_recipe[Type])*(Table_dim_price_recipe[Retail Price]&lt;&gt;0)*($C815=Table_dim_price_recipe[Subcategory]), 0))*$B815,"")</f>
        <v/>
      </c>
      <c r="K815" s="39" t="str" cm="1">
        <f t="array" ref="K815">IFERROR(INDEX(Table_dim_price_recipe[Retail Price], MATCH(1, ("Calculator"&lt;&gt;Table_dim_price_recipe[Type.display])*($L815=Table_dim_price_recipe[Category])*($D815=Table_dim_price_recipe[Item Description]) * (K$6=Table_dim_price_recipe[Type])*(Table_dim_price_recipe[Retail Price]&lt;&gt;0)*($C815=Table_dim_price_recipe[Subcategory]), 0))*$B815,"")</f>
        <v/>
      </c>
      <c r="L815" s="39" t="str" cm="1">
        <f t="array" ref="L815">IF($A815&lt;&gt;"", $A815, LOOKUP(2, 1/((A$7:INDEX(A:A, ROW()))&lt;&gt;""), A$7:INDEX(A:A, ROW())))</f>
        <v>CEILINGS &amp; WALLS</v>
      </c>
      <c r="M815" s="14"/>
    </row>
    <row r="816" spans="1:13">
      <c r="A816" s="263"/>
      <c r="B816" s="263"/>
      <c r="C816" s="263" t="s">
        <v>982</v>
      </c>
      <c r="D816" s="263" t="s">
        <v>984</v>
      </c>
      <c r="E816" s="263"/>
      <c r="F816" s="263"/>
      <c r="G816" s="39" t="str" cm="1">
        <f t="array" ref="G816">IFERROR(INDEX(Table_dim_price_recipe[Retail Price], MATCH(1, ("Calculator"&lt;&gt;Table_dim_price_recipe[Type.display])*($L816=Table_dim_price_recipe[Category])*($D816=Table_dim_price_recipe[Item Description]) * (G$6=Table_dim_price_recipe[Type])*(Table_dim_price_recipe[Retail Price]&lt;&gt;0)*($C816=Table_dim_price_recipe[Subcategory]), 0))*$B816,"")</f>
        <v/>
      </c>
      <c r="H816" s="39" cm="1">
        <f t="array" ref="H816">IFERROR(INDEX(Table_dim_price_recipe[Retail Price], MATCH(1, ("Calculator"&lt;&gt;Table_dim_price_recipe[Type.display])*($L816=Table_dim_price_recipe[Category])*($D816=Table_dim_price_recipe[Item Description]) * (H$6=Table_dim_price_recipe[Type])*(Table_dim_price_recipe[Retail Price]&lt;&gt;0)*($C816=Table_dim_price_recipe[Subcategory]), 0))*$B816,"")</f>
        <v>0</v>
      </c>
      <c r="I816" s="39" t="str" cm="1">
        <f t="array" ref="I816">IFERROR(INDEX(Table_dim_price_recipe[Retail Price], MATCH(1, ("Calculator"&lt;&gt;Table_dim_price_recipe[Type.display])*($L816=Table_dim_price_recipe[Category])*($D816=Table_dim_price_recipe[Item Description]) * (I$6=Table_dim_price_recipe[Type])*(Table_dim_price_recipe[Retail Price]&lt;&gt;0)*($C816=Table_dim_price_recipe[Subcategory]), 0))*$B816,"")</f>
        <v/>
      </c>
      <c r="J816" s="39" t="str" cm="1">
        <f t="array" ref="J816">IFERROR(INDEX(Table_dim_price_recipe[Retail Price], MATCH(1, ("Calculator"&lt;&gt;Table_dim_price_recipe[Type.display])*($L816=Table_dim_price_recipe[Category])*($D816=Table_dim_price_recipe[Item Description]) * (J$6=Table_dim_price_recipe[Type])*(Table_dim_price_recipe[Retail Price]&lt;&gt;0)*($C816=Table_dim_price_recipe[Subcategory]), 0))*$B816,"")</f>
        <v/>
      </c>
      <c r="K816" s="39" t="str" cm="1">
        <f t="array" ref="K816">IFERROR(INDEX(Table_dim_price_recipe[Retail Price], MATCH(1, ("Calculator"&lt;&gt;Table_dim_price_recipe[Type.display])*($L816=Table_dim_price_recipe[Category])*($D816=Table_dim_price_recipe[Item Description]) * (K$6=Table_dim_price_recipe[Type])*(Table_dim_price_recipe[Retail Price]&lt;&gt;0)*($C816=Table_dim_price_recipe[Subcategory]), 0))*$B816,"")</f>
        <v/>
      </c>
      <c r="L816" s="39" t="str" cm="1">
        <f t="array" ref="L816">IF($A816&lt;&gt;"", $A816, LOOKUP(2, 1/((A$7:INDEX(A:A, ROW()))&lt;&gt;""), A$7:INDEX(A:A, ROW())))</f>
        <v>CEILINGS &amp; WALLS</v>
      </c>
      <c r="M816" s="14"/>
    </row>
    <row r="817" spans="1:13">
      <c r="A817" s="263"/>
      <c r="B817" s="263"/>
      <c r="C817" s="263" t="s">
        <v>982</v>
      </c>
      <c r="D817" s="263" t="s">
        <v>985</v>
      </c>
      <c r="E817" s="263"/>
      <c r="F817" s="263"/>
      <c r="G817" s="39" t="str" cm="1">
        <f t="array" ref="G817">IFERROR(INDEX(Table_dim_price_recipe[Retail Price], MATCH(1, ("Calculator"&lt;&gt;Table_dim_price_recipe[Type.display])*($L817=Table_dim_price_recipe[Category])*($D817=Table_dim_price_recipe[Item Description]) * (G$6=Table_dim_price_recipe[Type])*(Table_dim_price_recipe[Retail Price]&lt;&gt;0)*($C817=Table_dim_price_recipe[Subcategory]), 0))*$B817,"")</f>
        <v/>
      </c>
      <c r="H817" s="39" cm="1">
        <f t="array" ref="H817">IFERROR(INDEX(Table_dim_price_recipe[Retail Price], MATCH(1, ("Calculator"&lt;&gt;Table_dim_price_recipe[Type.display])*($L817=Table_dim_price_recipe[Category])*($D817=Table_dim_price_recipe[Item Description]) * (H$6=Table_dim_price_recipe[Type])*(Table_dim_price_recipe[Retail Price]&lt;&gt;0)*($C817=Table_dim_price_recipe[Subcategory]), 0))*$B817,"")</f>
        <v>0</v>
      </c>
      <c r="I817" s="39" t="str" cm="1">
        <f t="array" ref="I817">IFERROR(INDEX(Table_dim_price_recipe[Retail Price], MATCH(1, ("Calculator"&lt;&gt;Table_dim_price_recipe[Type.display])*($L817=Table_dim_price_recipe[Category])*($D817=Table_dim_price_recipe[Item Description]) * (I$6=Table_dim_price_recipe[Type])*(Table_dim_price_recipe[Retail Price]&lt;&gt;0)*($C817=Table_dim_price_recipe[Subcategory]), 0))*$B817,"")</f>
        <v/>
      </c>
      <c r="J817" s="39" t="str" cm="1">
        <f t="array" ref="J817">IFERROR(INDEX(Table_dim_price_recipe[Retail Price], MATCH(1, ("Calculator"&lt;&gt;Table_dim_price_recipe[Type.display])*($L817=Table_dim_price_recipe[Category])*($D817=Table_dim_price_recipe[Item Description]) * (J$6=Table_dim_price_recipe[Type])*(Table_dim_price_recipe[Retail Price]&lt;&gt;0)*($C817=Table_dim_price_recipe[Subcategory]), 0))*$B817,"")</f>
        <v/>
      </c>
      <c r="K817" s="39" t="str" cm="1">
        <f t="array" ref="K817">IFERROR(INDEX(Table_dim_price_recipe[Retail Price], MATCH(1, ("Calculator"&lt;&gt;Table_dim_price_recipe[Type.display])*($L817=Table_dim_price_recipe[Category])*($D817=Table_dim_price_recipe[Item Description]) * (K$6=Table_dim_price_recipe[Type])*(Table_dim_price_recipe[Retail Price]&lt;&gt;0)*($C817=Table_dim_price_recipe[Subcategory]), 0))*$B817,"")</f>
        <v/>
      </c>
      <c r="L817" s="39" t="str" cm="1">
        <f t="array" ref="L817">IF($A817&lt;&gt;"", $A817, LOOKUP(2, 1/((A$7:INDEX(A:A, ROW()))&lt;&gt;""), A$7:INDEX(A:A, ROW())))</f>
        <v>CEILINGS &amp; WALLS</v>
      </c>
      <c r="M817" s="14"/>
    </row>
    <row r="818" spans="1:13">
      <c r="A818" s="263"/>
      <c r="B818" s="263"/>
      <c r="C818" s="263" t="s">
        <v>982</v>
      </c>
      <c r="D818" s="263"/>
      <c r="E818" s="263"/>
      <c r="F818" s="263"/>
      <c r="G818" s="39" t="str" cm="1">
        <f t="array" ref="G818">IFERROR(INDEX(Table_dim_price_recipe[Retail Price], MATCH(1, ("Calculator"&lt;&gt;Table_dim_price_recipe[Type.display])*($L818=Table_dim_price_recipe[Category])*($D818=Table_dim_price_recipe[Item Description]) * (G$6=Table_dim_price_recipe[Type])*(Table_dim_price_recipe[Retail Price]&lt;&gt;0)*($C818=Table_dim_price_recipe[Subcategory]), 0))*$B818,"")</f>
        <v/>
      </c>
      <c r="H818" s="39" t="str" cm="1">
        <f t="array" ref="H818">IFERROR(INDEX(Table_dim_price_recipe[Retail Price], MATCH(1, ("Calculator"&lt;&gt;Table_dim_price_recipe[Type.display])*($L818=Table_dim_price_recipe[Category])*($D818=Table_dim_price_recipe[Item Description]) * (H$6=Table_dim_price_recipe[Type])*(Table_dim_price_recipe[Retail Price]&lt;&gt;0)*($C818=Table_dim_price_recipe[Subcategory]), 0))*$B818,"")</f>
        <v/>
      </c>
      <c r="I818" s="39" t="str" cm="1">
        <f t="array" ref="I818">IFERROR(INDEX(Table_dim_price_recipe[Retail Price], MATCH(1, ("Calculator"&lt;&gt;Table_dim_price_recipe[Type.display])*($L818=Table_dim_price_recipe[Category])*($D818=Table_dim_price_recipe[Item Description]) * (I$6=Table_dim_price_recipe[Type])*(Table_dim_price_recipe[Retail Price]&lt;&gt;0)*($C818=Table_dim_price_recipe[Subcategory]), 0))*$B818,"")</f>
        <v/>
      </c>
      <c r="J818" s="39" t="str" cm="1">
        <f t="array" ref="J818">IFERROR(INDEX(Table_dim_price_recipe[Retail Price], MATCH(1, ("Calculator"&lt;&gt;Table_dim_price_recipe[Type.display])*($L818=Table_dim_price_recipe[Category])*($D818=Table_dim_price_recipe[Item Description]) * (J$6=Table_dim_price_recipe[Type])*(Table_dim_price_recipe[Retail Price]&lt;&gt;0)*($C818=Table_dim_price_recipe[Subcategory]), 0))*$B818,"")</f>
        <v/>
      </c>
      <c r="K818" s="39" t="str" cm="1">
        <f t="array" ref="K818">IFERROR(INDEX(Table_dim_price_recipe[Retail Price], MATCH(1, ("Calculator"&lt;&gt;Table_dim_price_recipe[Type.display])*($L818=Table_dim_price_recipe[Category])*($D818=Table_dim_price_recipe[Item Description]) * (K$6=Table_dim_price_recipe[Type])*(Table_dim_price_recipe[Retail Price]&lt;&gt;0)*($C818=Table_dim_price_recipe[Subcategory]), 0))*$B818,"")</f>
        <v/>
      </c>
      <c r="L818" s="39" t="str" cm="1">
        <f t="array" ref="L818">IF($A818&lt;&gt;"", $A818, LOOKUP(2, 1/((A$7:INDEX(A:A, ROW()))&lt;&gt;""), A$7:INDEX(A:A, ROW())))</f>
        <v>CEILINGS &amp; WALLS</v>
      </c>
      <c r="M818" s="14"/>
    </row>
    <row r="819" spans="1:13">
      <c r="A819" s="263"/>
      <c r="B819" s="263"/>
      <c r="C819" s="263" t="s">
        <v>982</v>
      </c>
      <c r="D819" s="263"/>
      <c r="E819" s="263"/>
      <c r="F819" s="263"/>
      <c r="G819" s="39" t="str" cm="1">
        <f t="array" ref="G819">IFERROR(INDEX(Table_dim_price_recipe[Retail Price], MATCH(1, ("Calculator"&lt;&gt;Table_dim_price_recipe[Type.display])*($L819=Table_dim_price_recipe[Category])*($D819=Table_dim_price_recipe[Item Description]) * (G$6=Table_dim_price_recipe[Type])*(Table_dim_price_recipe[Retail Price]&lt;&gt;0)*($C819=Table_dim_price_recipe[Subcategory]), 0))*$B819,"")</f>
        <v/>
      </c>
      <c r="H819" s="39" t="str" cm="1">
        <f t="array" ref="H819">IFERROR(INDEX(Table_dim_price_recipe[Retail Price], MATCH(1, ("Calculator"&lt;&gt;Table_dim_price_recipe[Type.display])*($L819=Table_dim_price_recipe[Category])*($D819=Table_dim_price_recipe[Item Description]) * (H$6=Table_dim_price_recipe[Type])*(Table_dim_price_recipe[Retail Price]&lt;&gt;0)*($C819=Table_dim_price_recipe[Subcategory]), 0))*$B819,"")</f>
        <v/>
      </c>
      <c r="I819" s="39" t="str" cm="1">
        <f t="array" ref="I819">IFERROR(INDEX(Table_dim_price_recipe[Retail Price], MATCH(1, ("Calculator"&lt;&gt;Table_dim_price_recipe[Type.display])*($L819=Table_dim_price_recipe[Category])*($D819=Table_dim_price_recipe[Item Description]) * (I$6=Table_dim_price_recipe[Type])*(Table_dim_price_recipe[Retail Price]&lt;&gt;0)*($C819=Table_dim_price_recipe[Subcategory]), 0))*$B819,"")</f>
        <v/>
      </c>
      <c r="J819" s="39" t="str" cm="1">
        <f t="array" ref="J819">IFERROR(INDEX(Table_dim_price_recipe[Retail Price], MATCH(1, ("Calculator"&lt;&gt;Table_dim_price_recipe[Type.display])*($L819=Table_dim_price_recipe[Category])*($D819=Table_dim_price_recipe[Item Description]) * (J$6=Table_dim_price_recipe[Type])*(Table_dim_price_recipe[Retail Price]&lt;&gt;0)*($C819=Table_dim_price_recipe[Subcategory]), 0))*$B819,"")</f>
        <v/>
      </c>
      <c r="K819" s="39" t="str" cm="1">
        <f t="array" ref="K819">IFERROR(INDEX(Table_dim_price_recipe[Retail Price], MATCH(1, ("Calculator"&lt;&gt;Table_dim_price_recipe[Type.display])*($L819=Table_dim_price_recipe[Category])*($D819=Table_dim_price_recipe[Item Description]) * (K$6=Table_dim_price_recipe[Type])*(Table_dim_price_recipe[Retail Price]&lt;&gt;0)*($C819=Table_dim_price_recipe[Subcategory]), 0))*$B819,"")</f>
        <v/>
      </c>
      <c r="L819" s="39" t="str" cm="1">
        <f t="array" ref="L819">IF($A819&lt;&gt;"", $A819, LOOKUP(2, 1/((A$7:INDEX(A:A, ROW()))&lt;&gt;""), A$7:INDEX(A:A, ROW())))</f>
        <v>CEILINGS &amp; WALLS</v>
      </c>
      <c r="M819" s="14"/>
    </row>
    <row r="820" spans="1:13">
      <c r="A820" s="263"/>
      <c r="B820" s="263"/>
      <c r="C820" s="263" t="s">
        <v>948</v>
      </c>
      <c r="D820" s="263" t="s">
        <v>959</v>
      </c>
      <c r="E820" s="263"/>
      <c r="F820" s="263"/>
      <c r="G820" s="39" t="str" cm="1">
        <f t="array" ref="G820">IFERROR(INDEX(Table_dim_price_recipe[Retail Price], MATCH(1, ("Calculator"&lt;&gt;Table_dim_price_recipe[Type.display])*($L820=Table_dim_price_recipe[Category])*($D820=Table_dim_price_recipe[Item Description]) * (G$6=Table_dim_price_recipe[Type])*(Table_dim_price_recipe[Retail Price]&lt;&gt;0)*($C820=Table_dim_price_recipe[Subcategory]), 0))*$B820,"")</f>
        <v/>
      </c>
      <c r="H820" s="39" cm="1">
        <f t="array" ref="H820">IFERROR(INDEX(Table_dim_price_recipe[Retail Price], MATCH(1, ("Calculator"&lt;&gt;Table_dim_price_recipe[Type.display])*($L820=Table_dim_price_recipe[Category])*($D820=Table_dim_price_recipe[Item Description]) * (H$6=Table_dim_price_recipe[Type])*(Table_dim_price_recipe[Retail Price]&lt;&gt;0)*($C820=Table_dim_price_recipe[Subcategory]), 0))*$B820,"")</f>
        <v>0</v>
      </c>
      <c r="I820" s="39" t="str" cm="1">
        <f t="array" ref="I820">IFERROR(INDEX(Table_dim_price_recipe[Retail Price], MATCH(1, ("Calculator"&lt;&gt;Table_dim_price_recipe[Type.display])*($L820=Table_dim_price_recipe[Category])*($D820=Table_dim_price_recipe[Item Description]) * (I$6=Table_dim_price_recipe[Type])*(Table_dim_price_recipe[Retail Price]&lt;&gt;0)*($C820=Table_dim_price_recipe[Subcategory]), 0))*$B820,"")</f>
        <v/>
      </c>
      <c r="J820" s="39" t="str" cm="1">
        <f t="array" ref="J820">IFERROR(INDEX(Table_dim_price_recipe[Retail Price], MATCH(1, ("Calculator"&lt;&gt;Table_dim_price_recipe[Type.display])*($L820=Table_dim_price_recipe[Category])*($D820=Table_dim_price_recipe[Item Description]) * (J$6=Table_dim_price_recipe[Type])*(Table_dim_price_recipe[Retail Price]&lt;&gt;0)*($C820=Table_dim_price_recipe[Subcategory]), 0))*$B820,"")</f>
        <v/>
      </c>
      <c r="K820" s="39" t="str" cm="1">
        <f t="array" ref="K820">IFERROR(INDEX(Table_dim_price_recipe[Retail Price], MATCH(1, ("Calculator"&lt;&gt;Table_dim_price_recipe[Type.display])*($L820=Table_dim_price_recipe[Category])*($D820=Table_dim_price_recipe[Item Description]) * (K$6=Table_dim_price_recipe[Type])*(Table_dim_price_recipe[Retail Price]&lt;&gt;0)*($C820=Table_dim_price_recipe[Subcategory]), 0))*$B820,"")</f>
        <v/>
      </c>
      <c r="L820" s="39" t="str" cm="1">
        <f t="array" ref="L820">IF($A820&lt;&gt;"", $A820, LOOKUP(2, 1/((A$7:INDEX(A:A, ROW()))&lt;&gt;""), A$7:INDEX(A:A, ROW())))</f>
        <v>CEILINGS &amp; WALLS</v>
      </c>
      <c r="M820" s="14"/>
    </row>
    <row r="821" spans="1:13">
      <c r="A821" s="263"/>
      <c r="B821" s="263"/>
      <c r="C821" s="263" t="s">
        <v>948</v>
      </c>
      <c r="D821" s="263" t="s">
        <v>957</v>
      </c>
      <c r="E821" s="263"/>
      <c r="F821" s="263"/>
      <c r="G821" s="39" t="str" cm="1">
        <f t="array" ref="G821">IFERROR(INDEX(Table_dim_price_recipe[Retail Price], MATCH(1, ("Calculator"&lt;&gt;Table_dim_price_recipe[Type.display])*($L821=Table_dim_price_recipe[Category])*($D821=Table_dim_price_recipe[Item Description]) * (G$6=Table_dim_price_recipe[Type])*(Table_dim_price_recipe[Retail Price]&lt;&gt;0)*($C821=Table_dim_price_recipe[Subcategory]), 0))*$B821,"")</f>
        <v/>
      </c>
      <c r="H821" s="39" cm="1">
        <f t="array" ref="H821">IFERROR(INDEX(Table_dim_price_recipe[Retail Price], MATCH(1, ("Calculator"&lt;&gt;Table_dim_price_recipe[Type.display])*($L821=Table_dim_price_recipe[Category])*($D821=Table_dim_price_recipe[Item Description]) * (H$6=Table_dim_price_recipe[Type])*(Table_dim_price_recipe[Retail Price]&lt;&gt;0)*($C821=Table_dim_price_recipe[Subcategory]), 0))*$B821,"")</f>
        <v>0</v>
      </c>
      <c r="I821" s="39" t="str" cm="1">
        <f t="array" ref="I821">IFERROR(INDEX(Table_dim_price_recipe[Retail Price], MATCH(1, ("Calculator"&lt;&gt;Table_dim_price_recipe[Type.display])*($L821=Table_dim_price_recipe[Category])*($D821=Table_dim_price_recipe[Item Description]) * (I$6=Table_dim_price_recipe[Type])*(Table_dim_price_recipe[Retail Price]&lt;&gt;0)*($C821=Table_dim_price_recipe[Subcategory]), 0))*$B821,"")</f>
        <v/>
      </c>
      <c r="J821" s="39" t="str" cm="1">
        <f t="array" ref="J821">IFERROR(INDEX(Table_dim_price_recipe[Retail Price], MATCH(1, ("Calculator"&lt;&gt;Table_dim_price_recipe[Type.display])*($L821=Table_dim_price_recipe[Category])*($D821=Table_dim_price_recipe[Item Description]) * (J$6=Table_dim_price_recipe[Type])*(Table_dim_price_recipe[Retail Price]&lt;&gt;0)*($C821=Table_dim_price_recipe[Subcategory]), 0))*$B821,"")</f>
        <v/>
      </c>
      <c r="K821" s="39" t="str" cm="1">
        <f t="array" ref="K821">IFERROR(INDEX(Table_dim_price_recipe[Retail Price], MATCH(1, ("Calculator"&lt;&gt;Table_dim_price_recipe[Type.display])*($L821=Table_dim_price_recipe[Category])*($D821=Table_dim_price_recipe[Item Description]) * (K$6=Table_dim_price_recipe[Type])*(Table_dim_price_recipe[Retail Price]&lt;&gt;0)*($C821=Table_dim_price_recipe[Subcategory]), 0))*$B821,"")</f>
        <v/>
      </c>
      <c r="L821" s="39" t="str" cm="1">
        <f t="array" ref="L821">IF($A821&lt;&gt;"", $A821, LOOKUP(2, 1/((A$7:INDEX(A:A, ROW()))&lt;&gt;""), A$7:INDEX(A:A, ROW())))</f>
        <v>CEILINGS &amp; WALLS</v>
      </c>
      <c r="M821" s="14"/>
    </row>
    <row r="822" spans="1:13">
      <c r="A822" s="263"/>
      <c r="B822" s="263"/>
      <c r="C822" s="263" t="s">
        <v>948</v>
      </c>
      <c r="D822" s="263" t="s">
        <v>1165</v>
      </c>
      <c r="E822" s="263"/>
      <c r="F822" s="263"/>
      <c r="G822" s="39" t="str" cm="1">
        <f t="array" ref="G822">IFERROR(INDEX(Table_dim_price_recipe[Retail Price], MATCH(1, ("Calculator"&lt;&gt;Table_dim_price_recipe[Type.display])*($L822=Table_dim_price_recipe[Category])*($D822=Table_dim_price_recipe[Item Description]) * (G$6=Table_dim_price_recipe[Type])*(Table_dim_price_recipe[Retail Price]&lt;&gt;0)*($C822=Table_dim_price_recipe[Subcategory]), 0))*$B822,"")</f>
        <v/>
      </c>
      <c r="H822" s="39" cm="1">
        <f t="array" ref="H822">IFERROR(INDEX(Table_dim_price_recipe[Retail Price], MATCH(1, ("Calculator"&lt;&gt;Table_dim_price_recipe[Type.display])*($L822=Table_dim_price_recipe[Category])*($D822=Table_dim_price_recipe[Item Description]) * (H$6=Table_dim_price_recipe[Type])*(Table_dim_price_recipe[Retail Price]&lt;&gt;0)*($C822=Table_dim_price_recipe[Subcategory]), 0))*$B822,"")</f>
        <v>0</v>
      </c>
      <c r="I822" s="39" t="str" cm="1">
        <f t="array" ref="I822">IFERROR(INDEX(Table_dim_price_recipe[Retail Price], MATCH(1, ("Calculator"&lt;&gt;Table_dim_price_recipe[Type.display])*($L822=Table_dim_price_recipe[Category])*($D822=Table_dim_price_recipe[Item Description]) * (I$6=Table_dim_price_recipe[Type])*(Table_dim_price_recipe[Retail Price]&lt;&gt;0)*($C822=Table_dim_price_recipe[Subcategory]), 0))*$B822,"")</f>
        <v/>
      </c>
      <c r="J822" s="39" t="str" cm="1">
        <f t="array" ref="J822">IFERROR(INDEX(Table_dim_price_recipe[Retail Price], MATCH(1, ("Calculator"&lt;&gt;Table_dim_price_recipe[Type.display])*($L822=Table_dim_price_recipe[Category])*($D822=Table_dim_price_recipe[Item Description]) * (J$6=Table_dim_price_recipe[Type])*(Table_dim_price_recipe[Retail Price]&lt;&gt;0)*($C822=Table_dim_price_recipe[Subcategory]), 0))*$B822,"")</f>
        <v/>
      </c>
      <c r="K822" s="39" t="str" cm="1">
        <f t="array" ref="K822">IFERROR(INDEX(Table_dim_price_recipe[Retail Price], MATCH(1, ("Calculator"&lt;&gt;Table_dim_price_recipe[Type.display])*($L822=Table_dim_price_recipe[Category])*($D822=Table_dim_price_recipe[Item Description]) * (K$6=Table_dim_price_recipe[Type])*(Table_dim_price_recipe[Retail Price]&lt;&gt;0)*($C822=Table_dim_price_recipe[Subcategory]), 0))*$B822,"")</f>
        <v/>
      </c>
      <c r="L822" s="39" t="str" cm="1">
        <f t="array" ref="L822">IF($A822&lt;&gt;"", $A822, LOOKUP(2, 1/((A$7:INDEX(A:A, ROW()))&lt;&gt;""), A$7:INDEX(A:A, ROW())))</f>
        <v>CEILINGS &amp; WALLS</v>
      </c>
      <c r="M822" s="14"/>
    </row>
    <row r="823" spans="1:13">
      <c r="A823" s="263"/>
      <c r="B823" s="263"/>
      <c r="C823" s="263" t="s">
        <v>948</v>
      </c>
      <c r="D823" s="263" t="s">
        <v>960</v>
      </c>
      <c r="E823" s="263"/>
      <c r="F823" s="263"/>
      <c r="G823" s="39" t="str" cm="1">
        <f t="array" ref="G823">IFERROR(INDEX(Table_dim_price_recipe[Retail Price], MATCH(1, ("Calculator"&lt;&gt;Table_dim_price_recipe[Type.display])*($L823=Table_dim_price_recipe[Category])*($D823=Table_dim_price_recipe[Item Description]) * (G$6=Table_dim_price_recipe[Type])*(Table_dim_price_recipe[Retail Price]&lt;&gt;0)*($C823=Table_dim_price_recipe[Subcategory]), 0))*$B823,"")</f>
        <v/>
      </c>
      <c r="H823" s="39" cm="1">
        <f t="array" ref="H823">IFERROR(INDEX(Table_dim_price_recipe[Retail Price], MATCH(1, ("Calculator"&lt;&gt;Table_dim_price_recipe[Type.display])*($L823=Table_dim_price_recipe[Category])*($D823=Table_dim_price_recipe[Item Description]) * (H$6=Table_dim_price_recipe[Type])*(Table_dim_price_recipe[Retail Price]&lt;&gt;0)*($C823=Table_dim_price_recipe[Subcategory]), 0))*$B823,"")</f>
        <v>0</v>
      </c>
      <c r="I823" s="39" t="str" cm="1">
        <f t="array" ref="I823">IFERROR(INDEX(Table_dim_price_recipe[Retail Price], MATCH(1, ("Calculator"&lt;&gt;Table_dim_price_recipe[Type.display])*($L823=Table_dim_price_recipe[Category])*($D823=Table_dim_price_recipe[Item Description]) * (I$6=Table_dim_price_recipe[Type])*(Table_dim_price_recipe[Retail Price]&lt;&gt;0)*($C823=Table_dim_price_recipe[Subcategory]), 0))*$B823,"")</f>
        <v/>
      </c>
      <c r="J823" s="39" t="str" cm="1">
        <f t="array" ref="J823">IFERROR(INDEX(Table_dim_price_recipe[Retail Price], MATCH(1, ("Calculator"&lt;&gt;Table_dim_price_recipe[Type.display])*($L823=Table_dim_price_recipe[Category])*($D823=Table_dim_price_recipe[Item Description]) * (J$6=Table_dim_price_recipe[Type])*(Table_dim_price_recipe[Retail Price]&lt;&gt;0)*($C823=Table_dim_price_recipe[Subcategory]), 0))*$B823,"")</f>
        <v/>
      </c>
      <c r="K823" s="39" t="str" cm="1">
        <f t="array" ref="K823">IFERROR(INDEX(Table_dim_price_recipe[Retail Price], MATCH(1, ("Calculator"&lt;&gt;Table_dim_price_recipe[Type.display])*($L823=Table_dim_price_recipe[Category])*($D823=Table_dim_price_recipe[Item Description]) * (K$6=Table_dim_price_recipe[Type])*(Table_dim_price_recipe[Retail Price]&lt;&gt;0)*($C823=Table_dim_price_recipe[Subcategory]), 0))*$B823,"")</f>
        <v/>
      </c>
      <c r="L823" s="39" t="str" cm="1">
        <f t="array" ref="L823">IF($A823&lt;&gt;"", $A823, LOOKUP(2, 1/((A$7:INDEX(A:A, ROW()))&lt;&gt;""), A$7:INDEX(A:A, ROW())))</f>
        <v>CEILINGS &amp; WALLS</v>
      </c>
      <c r="M823" s="14"/>
    </row>
    <row r="824" spans="1:13">
      <c r="A824" s="263"/>
      <c r="B824" s="263"/>
      <c r="C824" s="263" t="s">
        <v>948</v>
      </c>
      <c r="D824" s="263" t="s">
        <v>958</v>
      </c>
      <c r="E824" s="263"/>
      <c r="F824" s="263"/>
      <c r="G824" s="39" t="str" cm="1">
        <f t="array" ref="G824">IFERROR(INDEX(Table_dim_price_recipe[Retail Price], MATCH(1, ("Calculator"&lt;&gt;Table_dim_price_recipe[Type.display])*($L824=Table_dim_price_recipe[Category])*($D824=Table_dim_price_recipe[Item Description]) * (G$6=Table_dim_price_recipe[Type])*(Table_dim_price_recipe[Retail Price]&lt;&gt;0)*($C824=Table_dim_price_recipe[Subcategory]), 0))*$B824,"")</f>
        <v/>
      </c>
      <c r="H824" s="39" cm="1">
        <f t="array" ref="H824">IFERROR(INDEX(Table_dim_price_recipe[Retail Price], MATCH(1, ("Calculator"&lt;&gt;Table_dim_price_recipe[Type.display])*($L824=Table_dim_price_recipe[Category])*($D824=Table_dim_price_recipe[Item Description]) * (H$6=Table_dim_price_recipe[Type])*(Table_dim_price_recipe[Retail Price]&lt;&gt;0)*($C824=Table_dim_price_recipe[Subcategory]), 0))*$B824,"")</f>
        <v>0</v>
      </c>
      <c r="I824" s="39" t="str" cm="1">
        <f t="array" ref="I824">IFERROR(INDEX(Table_dim_price_recipe[Retail Price], MATCH(1, ("Calculator"&lt;&gt;Table_dim_price_recipe[Type.display])*($L824=Table_dim_price_recipe[Category])*($D824=Table_dim_price_recipe[Item Description]) * (I$6=Table_dim_price_recipe[Type])*(Table_dim_price_recipe[Retail Price]&lt;&gt;0)*($C824=Table_dim_price_recipe[Subcategory]), 0))*$B824,"")</f>
        <v/>
      </c>
      <c r="J824" s="39" t="str" cm="1">
        <f t="array" ref="J824">IFERROR(INDEX(Table_dim_price_recipe[Retail Price], MATCH(1, ("Calculator"&lt;&gt;Table_dim_price_recipe[Type.display])*($L824=Table_dim_price_recipe[Category])*($D824=Table_dim_price_recipe[Item Description]) * (J$6=Table_dim_price_recipe[Type])*(Table_dim_price_recipe[Retail Price]&lt;&gt;0)*($C824=Table_dim_price_recipe[Subcategory]), 0))*$B824,"")</f>
        <v/>
      </c>
      <c r="K824" s="39" t="str" cm="1">
        <f t="array" ref="K824">IFERROR(INDEX(Table_dim_price_recipe[Retail Price], MATCH(1, ("Calculator"&lt;&gt;Table_dim_price_recipe[Type.display])*($L824=Table_dim_price_recipe[Category])*($D824=Table_dim_price_recipe[Item Description]) * (K$6=Table_dim_price_recipe[Type])*(Table_dim_price_recipe[Retail Price]&lt;&gt;0)*($C824=Table_dim_price_recipe[Subcategory]), 0))*$B824,"")</f>
        <v/>
      </c>
      <c r="L824" s="39" t="str" cm="1">
        <f t="array" ref="L824">IF($A824&lt;&gt;"", $A824, LOOKUP(2, 1/((A$7:INDEX(A:A, ROW()))&lt;&gt;""), A$7:INDEX(A:A, ROW())))</f>
        <v>CEILINGS &amp; WALLS</v>
      </c>
      <c r="M824" s="14"/>
    </row>
    <row r="825" spans="1:13">
      <c r="A825" s="263"/>
      <c r="B825" s="263"/>
      <c r="C825" s="263" t="s">
        <v>948</v>
      </c>
      <c r="D825" s="263" t="s">
        <v>1164</v>
      </c>
      <c r="E825" s="263"/>
      <c r="F825" s="263"/>
      <c r="G825" s="39" t="str" cm="1">
        <f t="array" ref="G825">IFERROR(INDEX(Table_dim_price_recipe[Retail Price], MATCH(1, ("Calculator"&lt;&gt;Table_dim_price_recipe[Type.display])*($L825=Table_dim_price_recipe[Category])*($D825=Table_dim_price_recipe[Item Description]) * (G$6=Table_dim_price_recipe[Type])*(Table_dim_price_recipe[Retail Price]&lt;&gt;0)*($C825=Table_dim_price_recipe[Subcategory]), 0))*$B825,"")</f>
        <v/>
      </c>
      <c r="H825" s="39" cm="1">
        <f t="array" ref="H825">IFERROR(INDEX(Table_dim_price_recipe[Retail Price], MATCH(1, ("Calculator"&lt;&gt;Table_dim_price_recipe[Type.display])*($L825=Table_dim_price_recipe[Category])*($D825=Table_dim_price_recipe[Item Description]) * (H$6=Table_dim_price_recipe[Type])*(Table_dim_price_recipe[Retail Price]&lt;&gt;0)*($C825=Table_dim_price_recipe[Subcategory]), 0))*$B825,"")</f>
        <v>0</v>
      </c>
      <c r="I825" s="39" t="str" cm="1">
        <f t="array" ref="I825">IFERROR(INDEX(Table_dim_price_recipe[Retail Price], MATCH(1, ("Calculator"&lt;&gt;Table_dim_price_recipe[Type.display])*($L825=Table_dim_price_recipe[Category])*($D825=Table_dim_price_recipe[Item Description]) * (I$6=Table_dim_price_recipe[Type])*(Table_dim_price_recipe[Retail Price]&lt;&gt;0)*($C825=Table_dim_price_recipe[Subcategory]), 0))*$B825,"")</f>
        <v/>
      </c>
      <c r="J825" s="39" t="str" cm="1">
        <f t="array" ref="J825">IFERROR(INDEX(Table_dim_price_recipe[Retail Price], MATCH(1, ("Calculator"&lt;&gt;Table_dim_price_recipe[Type.display])*($L825=Table_dim_price_recipe[Category])*($D825=Table_dim_price_recipe[Item Description]) * (J$6=Table_dim_price_recipe[Type])*(Table_dim_price_recipe[Retail Price]&lt;&gt;0)*($C825=Table_dim_price_recipe[Subcategory]), 0))*$B825,"")</f>
        <v/>
      </c>
      <c r="K825" s="39" t="str" cm="1">
        <f t="array" ref="K825">IFERROR(INDEX(Table_dim_price_recipe[Retail Price], MATCH(1, ("Calculator"&lt;&gt;Table_dim_price_recipe[Type.display])*($L825=Table_dim_price_recipe[Category])*($D825=Table_dim_price_recipe[Item Description]) * (K$6=Table_dim_price_recipe[Type])*(Table_dim_price_recipe[Retail Price]&lt;&gt;0)*($C825=Table_dim_price_recipe[Subcategory]), 0))*$B825,"")</f>
        <v/>
      </c>
      <c r="L825" s="39" t="str" cm="1">
        <f t="array" ref="L825">IF($A825&lt;&gt;"", $A825, LOOKUP(2, 1/((A$7:INDEX(A:A, ROW()))&lt;&gt;""), A$7:INDEX(A:A, ROW())))</f>
        <v>CEILINGS &amp; WALLS</v>
      </c>
      <c r="M825" s="14"/>
    </row>
    <row r="826" spans="1:13">
      <c r="A826" s="263"/>
      <c r="B826" s="263"/>
      <c r="C826" s="263" t="s">
        <v>948</v>
      </c>
      <c r="D826" s="263" t="s">
        <v>953</v>
      </c>
      <c r="E826" s="263"/>
      <c r="F826" s="263"/>
      <c r="G826" s="39" t="str" cm="1">
        <f t="array" ref="G826">IFERROR(INDEX(Table_dim_price_recipe[Retail Price], MATCH(1, ("Calculator"&lt;&gt;Table_dim_price_recipe[Type.display])*($L826=Table_dim_price_recipe[Category])*($D826=Table_dim_price_recipe[Item Description]) * (G$6=Table_dim_price_recipe[Type])*(Table_dim_price_recipe[Retail Price]&lt;&gt;0)*($C826=Table_dim_price_recipe[Subcategory]), 0))*$B826,"")</f>
        <v/>
      </c>
      <c r="H826" s="39" cm="1">
        <f t="array" ref="H826">IFERROR(INDEX(Table_dim_price_recipe[Retail Price], MATCH(1, ("Calculator"&lt;&gt;Table_dim_price_recipe[Type.display])*($L826=Table_dim_price_recipe[Category])*($D826=Table_dim_price_recipe[Item Description]) * (H$6=Table_dim_price_recipe[Type])*(Table_dim_price_recipe[Retail Price]&lt;&gt;0)*($C826=Table_dim_price_recipe[Subcategory]), 0))*$B826,"")</f>
        <v>0</v>
      </c>
      <c r="I826" s="39" t="str" cm="1">
        <f t="array" ref="I826">IFERROR(INDEX(Table_dim_price_recipe[Retail Price], MATCH(1, ("Calculator"&lt;&gt;Table_dim_price_recipe[Type.display])*($L826=Table_dim_price_recipe[Category])*($D826=Table_dim_price_recipe[Item Description]) * (I$6=Table_dim_price_recipe[Type])*(Table_dim_price_recipe[Retail Price]&lt;&gt;0)*($C826=Table_dim_price_recipe[Subcategory]), 0))*$B826,"")</f>
        <v/>
      </c>
      <c r="J826" s="39" t="str" cm="1">
        <f t="array" ref="J826">IFERROR(INDEX(Table_dim_price_recipe[Retail Price], MATCH(1, ("Calculator"&lt;&gt;Table_dim_price_recipe[Type.display])*($L826=Table_dim_price_recipe[Category])*($D826=Table_dim_price_recipe[Item Description]) * (J$6=Table_dim_price_recipe[Type])*(Table_dim_price_recipe[Retail Price]&lt;&gt;0)*($C826=Table_dim_price_recipe[Subcategory]), 0))*$B826,"")</f>
        <v/>
      </c>
      <c r="K826" s="39" t="str" cm="1">
        <f t="array" ref="K826">IFERROR(INDEX(Table_dim_price_recipe[Retail Price], MATCH(1, ("Calculator"&lt;&gt;Table_dim_price_recipe[Type.display])*($L826=Table_dim_price_recipe[Category])*($D826=Table_dim_price_recipe[Item Description]) * (K$6=Table_dim_price_recipe[Type])*(Table_dim_price_recipe[Retail Price]&lt;&gt;0)*($C826=Table_dim_price_recipe[Subcategory]), 0))*$B826,"")</f>
        <v/>
      </c>
      <c r="L826" s="39" t="str" cm="1">
        <f t="array" ref="L826">IF($A826&lt;&gt;"", $A826, LOOKUP(2, 1/((A$7:INDEX(A:A, ROW()))&lt;&gt;""), A$7:INDEX(A:A, ROW())))</f>
        <v>CEILINGS &amp; WALLS</v>
      </c>
      <c r="M826" s="14"/>
    </row>
    <row r="827" spans="1:13">
      <c r="A827" s="263"/>
      <c r="B827" s="263"/>
      <c r="C827" s="263" t="s">
        <v>948</v>
      </c>
      <c r="D827" s="263" t="s">
        <v>1166</v>
      </c>
      <c r="E827" s="263"/>
      <c r="F827" s="263"/>
      <c r="G827" s="39" t="str" cm="1">
        <f t="array" ref="G827">IFERROR(INDEX(Table_dim_price_recipe[Retail Price], MATCH(1, ("Calculator"&lt;&gt;Table_dim_price_recipe[Type.display])*($L827=Table_dim_price_recipe[Category])*($D827=Table_dim_price_recipe[Item Description]) * (G$6=Table_dim_price_recipe[Type])*(Table_dim_price_recipe[Retail Price]&lt;&gt;0)*($C827=Table_dim_price_recipe[Subcategory]), 0))*$B827,"")</f>
        <v/>
      </c>
      <c r="H827" s="39" cm="1">
        <f t="array" ref="H827">IFERROR(INDEX(Table_dim_price_recipe[Retail Price], MATCH(1, ("Calculator"&lt;&gt;Table_dim_price_recipe[Type.display])*($L827=Table_dim_price_recipe[Category])*($D827=Table_dim_price_recipe[Item Description]) * (H$6=Table_dim_price_recipe[Type])*(Table_dim_price_recipe[Retail Price]&lt;&gt;0)*($C827=Table_dim_price_recipe[Subcategory]), 0))*$B827,"")</f>
        <v>0</v>
      </c>
      <c r="I827" s="39" t="str" cm="1">
        <f t="array" ref="I827">IFERROR(INDEX(Table_dim_price_recipe[Retail Price], MATCH(1, ("Calculator"&lt;&gt;Table_dim_price_recipe[Type.display])*($L827=Table_dim_price_recipe[Category])*($D827=Table_dim_price_recipe[Item Description]) * (I$6=Table_dim_price_recipe[Type])*(Table_dim_price_recipe[Retail Price]&lt;&gt;0)*($C827=Table_dim_price_recipe[Subcategory]), 0))*$B827,"")</f>
        <v/>
      </c>
      <c r="J827" s="39" t="str" cm="1">
        <f t="array" ref="J827">IFERROR(INDEX(Table_dim_price_recipe[Retail Price], MATCH(1, ("Calculator"&lt;&gt;Table_dim_price_recipe[Type.display])*($L827=Table_dim_price_recipe[Category])*($D827=Table_dim_price_recipe[Item Description]) * (J$6=Table_dim_price_recipe[Type])*(Table_dim_price_recipe[Retail Price]&lt;&gt;0)*($C827=Table_dim_price_recipe[Subcategory]), 0))*$B827,"")</f>
        <v/>
      </c>
      <c r="K827" s="39" t="str" cm="1">
        <f t="array" ref="K827">IFERROR(INDEX(Table_dim_price_recipe[Retail Price], MATCH(1, ("Calculator"&lt;&gt;Table_dim_price_recipe[Type.display])*($L827=Table_dim_price_recipe[Category])*($D827=Table_dim_price_recipe[Item Description]) * (K$6=Table_dim_price_recipe[Type])*(Table_dim_price_recipe[Retail Price]&lt;&gt;0)*($C827=Table_dim_price_recipe[Subcategory]), 0))*$B827,"")</f>
        <v/>
      </c>
      <c r="L827" s="39" t="str" cm="1">
        <f t="array" ref="L827">IF($A827&lt;&gt;"", $A827, LOOKUP(2, 1/((A$7:INDEX(A:A, ROW()))&lt;&gt;""), A$7:INDEX(A:A, ROW())))</f>
        <v>CEILINGS &amp; WALLS</v>
      </c>
      <c r="M827" s="14"/>
    </row>
    <row r="828" spans="1:13">
      <c r="A828" s="263"/>
      <c r="B828" s="263"/>
      <c r="C828" s="263" t="s">
        <v>948</v>
      </c>
      <c r="D828" s="263" t="s">
        <v>1167</v>
      </c>
      <c r="E828" s="263"/>
      <c r="F828" s="263"/>
      <c r="G828" s="39" t="str" cm="1">
        <f t="array" ref="G828">IFERROR(INDEX(Table_dim_price_recipe[Retail Price], MATCH(1, ("Calculator"&lt;&gt;Table_dim_price_recipe[Type.display])*($L828=Table_dim_price_recipe[Category])*($D828=Table_dim_price_recipe[Item Description]) * (G$6=Table_dim_price_recipe[Type])*(Table_dim_price_recipe[Retail Price]&lt;&gt;0)*($C828=Table_dim_price_recipe[Subcategory]), 0))*$B828,"")</f>
        <v/>
      </c>
      <c r="H828" s="39" cm="1">
        <f t="array" ref="H828">IFERROR(INDEX(Table_dim_price_recipe[Retail Price], MATCH(1, ("Calculator"&lt;&gt;Table_dim_price_recipe[Type.display])*($L828=Table_dim_price_recipe[Category])*($D828=Table_dim_price_recipe[Item Description]) * (H$6=Table_dim_price_recipe[Type])*(Table_dim_price_recipe[Retail Price]&lt;&gt;0)*($C828=Table_dim_price_recipe[Subcategory]), 0))*$B828,"")</f>
        <v>0</v>
      </c>
      <c r="I828" s="39" t="str" cm="1">
        <f t="array" ref="I828">IFERROR(INDEX(Table_dim_price_recipe[Retail Price], MATCH(1, ("Calculator"&lt;&gt;Table_dim_price_recipe[Type.display])*($L828=Table_dim_price_recipe[Category])*($D828=Table_dim_price_recipe[Item Description]) * (I$6=Table_dim_price_recipe[Type])*(Table_dim_price_recipe[Retail Price]&lt;&gt;0)*($C828=Table_dim_price_recipe[Subcategory]), 0))*$B828,"")</f>
        <v/>
      </c>
      <c r="J828" s="39" t="str" cm="1">
        <f t="array" ref="J828">IFERROR(INDEX(Table_dim_price_recipe[Retail Price], MATCH(1, ("Calculator"&lt;&gt;Table_dim_price_recipe[Type.display])*($L828=Table_dim_price_recipe[Category])*($D828=Table_dim_price_recipe[Item Description]) * (J$6=Table_dim_price_recipe[Type])*(Table_dim_price_recipe[Retail Price]&lt;&gt;0)*($C828=Table_dim_price_recipe[Subcategory]), 0))*$B828,"")</f>
        <v/>
      </c>
      <c r="K828" s="39" t="str" cm="1">
        <f t="array" ref="K828">IFERROR(INDEX(Table_dim_price_recipe[Retail Price], MATCH(1, ("Calculator"&lt;&gt;Table_dim_price_recipe[Type.display])*($L828=Table_dim_price_recipe[Category])*($D828=Table_dim_price_recipe[Item Description]) * (K$6=Table_dim_price_recipe[Type])*(Table_dim_price_recipe[Retail Price]&lt;&gt;0)*($C828=Table_dim_price_recipe[Subcategory]), 0))*$B828,"")</f>
        <v/>
      </c>
      <c r="L828" s="39" t="str" cm="1">
        <f t="array" ref="L828">IF($A828&lt;&gt;"", $A828, LOOKUP(2, 1/((A$7:INDEX(A:A, ROW()))&lt;&gt;""), A$7:INDEX(A:A, ROW())))</f>
        <v>CEILINGS &amp; WALLS</v>
      </c>
      <c r="M828" s="14"/>
    </row>
    <row r="829" spans="1:13">
      <c r="A829" s="263"/>
      <c r="B829" s="263"/>
      <c r="C829" s="263" t="s">
        <v>948</v>
      </c>
      <c r="D829" s="263" t="s">
        <v>954</v>
      </c>
      <c r="E829" s="263"/>
      <c r="F829" s="263"/>
      <c r="G829" s="39" t="str" cm="1">
        <f t="array" ref="G829">IFERROR(INDEX(Table_dim_price_recipe[Retail Price], MATCH(1, ("Calculator"&lt;&gt;Table_dim_price_recipe[Type.display])*($L829=Table_dim_price_recipe[Category])*($D829=Table_dim_price_recipe[Item Description]) * (G$6=Table_dim_price_recipe[Type])*(Table_dim_price_recipe[Retail Price]&lt;&gt;0)*($C829=Table_dim_price_recipe[Subcategory]), 0))*$B829,"")</f>
        <v/>
      </c>
      <c r="H829" s="39" cm="1">
        <f t="array" ref="H829">IFERROR(INDEX(Table_dim_price_recipe[Retail Price], MATCH(1, ("Calculator"&lt;&gt;Table_dim_price_recipe[Type.display])*($L829=Table_dim_price_recipe[Category])*($D829=Table_dim_price_recipe[Item Description]) * (H$6=Table_dim_price_recipe[Type])*(Table_dim_price_recipe[Retail Price]&lt;&gt;0)*($C829=Table_dim_price_recipe[Subcategory]), 0))*$B829,"")</f>
        <v>0</v>
      </c>
      <c r="I829" s="39" t="str" cm="1">
        <f t="array" ref="I829">IFERROR(INDEX(Table_dim_price_recipe[Retail Price], MATCH(1, ("Calculator"&lt;&gt;Table_dim_price_recipe[Type.display])*($L829=Table_dim_price_recipe[Category])*($D829=Table_dim_price_recipe[Item Description]) * (I$6=Table_dim_price_recipe[Type])*(Table_dim_price_recipe[Retail Price]&lt;&gt;0)*($C829=Table_dim_price_recipe[Subcategory]), 0))*$B829,"")</f>
        <v/>
      </c>
      <c r="J829" s="39" t="str" cm="1">
        <f t="array" ref="J829">IFERROR(INDEX(Table_dim_price_recipe[Retail Price], MATCH(1, ("Calculator"&lt;&gt;Table_dim_price_recipe[Type.display])*($L829=Table_dim_price_recipe[Category])*($D829=Table_dim_price_recipe[Item Description]) * (J$6=Table_dim_price_recipe[Type])*(Table_dim_price_recipe[Retail Price]&lt;&gt;0)*($C829=Table_dim_price_recipe[Subcategory]), 0))*$B829,"")</f>
        <v/>
      </c>
      <c r="K829" s="39" t="str" cm="1">
        <f t="array" ref="K829">IFERROR(INDEX(Table_dim_price_recipe[Retail Price], MATCH(1, ("Calculator"&lt;&gt;Table_dim_price_recipe[Type.display])*($L829=Table_dim_price_recipe[Category])*($D829=Table_dim_price_recipe[Item Description]) * (K$6=Table_dim_price_recipe[Type])*(Table_dim_price_recipe[Retail Price]&lt;&gt;0)*($C829=Table_dim_price_recipe[Subcategory]), 0))*$B829,"")</f>
        <v/>
      </c>
      <c r="L829" s="39" t="str" cm="1">
        <f t="array" ref="L829">IF($A829&lt;&gt;"", $A829, LOOKUP(2, 1/((A$7:INDEX(A:A, ROW()))&lt;&gt;""), A$7:INDEX(A:A, ROW())))</f>
        <v>CEILINGS &amp; WALLS</v>
      </c>
      <c r="M829" s="14"/>
    </row>
    <row r="830" spans="1:13">
      <c r="A830" s="263"/>
      <c r="B830" s="263"/>
      <c r="C830" s="263" t="s">
        <v>948</v>
      </c>
      <c r="D830" s="263" t="s">
        <v>949</v>
      </c>
      <c r="E830" s="263"/>
      <c r="F830" s="263"/>
      <c r="G830" s="39" t="str" cm="1">
        <f t="array" ref="G830">IFERROR(INDEX(Table_dim_price_recipe[Retail Price], MATCH(1, ("Calculator"&lt;&gt;Table_dim_price_recipe[Type.display])*($L830=Table_dim_price_recipe[Category])*($D830=Table_dim_price_recipe[Item Description]) * (G$6=Table_dim_price_recipe[Type])*(Table_dim_price_recipe[Retail Price]&lt;&gt;0)*($C830=Table_dim_price_recipe[Subcategory]), 0))*$B830,"")</f>
        <v/>
      </c>
      <c r="H830" s="39" cm="1">
        <f t="array" ref="H830">IFERROR(INDEX(Table_dim_price_recipe[Retail Price], MATCH(1, ("Calculator"&lt;&gt;Table_dim_price_recipe[Type.display])*($L830=Table_dim_price_recipe[Category])*($D830=Table_dim_price_recipe[Item Description]) * (H$6=Table_dim_price_recipe[Type])*(Table_dim_price_recipe[Retail Price]&lt;&gt;0)*($C830=Table_dim_price_recipe[Subcategory]), 0))*$B830,"")</f>
        <v>0</v>
      </c>
      <c r="I830" s="39" t="str" cm="1">
        <f t="array" ref="I830">IFERROR(INDEX(Table_dim_price_recipe[Retail Price], MATCH(1, ("Calculator"&lt;&gt;Table_dim_price_recipe[Type.display])*($L830=Table_dim_price_recipe[Category])*($D830=Table_dim_price_recipe[Item Description]) * (I$6=Table_dim_price_recipe[Type])*(Table_dim_price_recipe[Retail Price]&lt;&gt;0)*($C830=Table_dim_price_recipe[Subcategory]), 0))*$B830,"")</f>
        <v/>
      </c>
      <c r="J830" s="39" t="str" cm="1">
        <f t="array" ref="J830">IFERROR(INDEX(Table_dim_price_recipe[Retail Price], MATCH(1, ("Calculator"&lt;&gt;Table_dim_price_recipe[Type.display])*($L830=Table_dim_price_recipe[Category])*($D830=Table_dim_price_recipe[Item Description]) * (J$6=Table_dim_price_recipe[Type])*(Table_dim_price_recipe[Retail Price]&lt;&gt;0)*($C830=Table_dim_price_recipe[Subcategory]), 0))*$B830,"")</f>
        <v/>
      </c>
      <c r="K830" s="39" t="str" cm="1">
        <f t="array" ref="K830">IFERROR(INDEX(Table_dim_price_recipe[Retail Price], MATCH(1, ("Calculator"&lt;&gt;Table_dim_price_recipe[Type.display])*($L830=Table_dim_price_recipe[Category])*($D830=Table_dim_price_recipe[Item Description]) * (K$6=Table_dim_price_recipe[Type])*(Table_dim_price_recipe[Retail Price]&lt;&gt;0)*($C830=Table_dim_price_recipe[Subcategory]), 0))*$B830,"")</f>
        <v/>
      </c>
      <c r="L830" s="39" t="str" cm="1">
        <f t="array" ref="L830">IF($A830&lt;&gt;"", $A830, LOOKUP(2, 1/((A$7:INDEX(A:A, ROW()))&lt;&gt;""), A$7:INDEX(A:A, ROW())))</f>
        <v>CEILINGS &amp; WALLS</v>
      </c>
      <c r="M830" s="14"/>
    </row>
    <row r="831" spans="1:13">
      <c r="A831" s="263"/>
      <c r="B831" s="263"/>
      <c r="C831" s="263" t="s">
        <v>948</v>
      </c>
      <c r="D831" s="263" t="s">
        <v>951</v>
      </c>
      <c r="E831" s="263"/>
      <c r="F831" s="263"/>
      <c r="G831" s="39" t="str" cm="1">
        <f t="array" ref="G831">IFERROR(INDEX(Table_dim_price_recipe[Retail Price], MATCH(1, ("Calculator"&lt;&gt;Table_dim_price_recipe[Type.display])*($L831=Table_dim_price_recipe[Category])*($D831=Table_dim_price_recipe[Item Description]) * (G$6=Table_dim_price_recipe[Type])*(Table_dim_price_recipe[Retail Price]&lt;&gt;0)*($C831=Table_dim_price_recipe[Subcategory]), 0))*$B831,"")</f>
        <v/>
      </c>
      <c r="H831" s="39" cm="1">
        <f t="array" ref="H831">IFERROR(INDEX(Table_dim_price_recipe[Retail Price], MATCH(1, ("Calculator"&lt;&gt;Table_dim_price_recipe[Type.display])*($L831=Table_dim_price_recipe[Category])*($D831=Table_dim_price_recipe[Item Description]) * (H$6=Table_dim_price_recipe[Type])*(Table_dim_price_recipe[Retail Price]&lt;&gt;0)*($C831=Table_dim_price_recipe[Subcategory]), 0))*$B831,"")</f>
        <v>0</v>
      </c>
      <c r="I831" s="39" t="str" cm="1">
        <f t="array" ref="I831">IFERROR(INDEX(Table_dim_price_recipe[Retail Price], MATCH(1, ("Calculator"&lt;&gt;Table_dim_price_recipe[Type.display])*($L831=Table_dim_price_recipe[Category])*($D831=Table_dim_price_recipe[Item Description]) * (I$6=Table_dim_price_recipe[Type])*(Table_dim_price_recipe[Retail Price]&lt;&gt;0)*($C831=Table_dim_price_recipe[Subcategory]), 0))*$B831,"")</f>
        <v/>
      </c>
      <c r="J831" s="39" t="str" cm="1">
        <f t="array" ref="J831">IFERROR(INDEX(Table_dim_price_recipe[Retail Price], MATCH(1, ("Calculator"&lt;&gt;Table_dim_price_recipe[Type.display])*($L831=Table_dim_price_recipe[Category])*($D831=Table_dim_price_recipe[Item Description]) * (J$6=Table_dim_price_recipe[Type])*(Table_dim_price_recipe[Retail Price]&lt;&gt;0)*($C831=Table_dim_price_recipe[Subcategory]), 0))*$B831,"")</f>
        <v/>
      </c>
      <c r="K831" s="39" t="str" cm="1">
        <f t="array" ref="K831">IFERROR(INDEX(Table_dim_price_recipe[Retail Price], MATCH(1, ("Calculator"&lt;&gt;Table_dim_price_recipe[Type.display])*($L831=Table_dim_price_recipe[Category])*($D831=Table_dim_price_recipe[Item Description]) * (K$6=Table_dim_price_recipe[Type])*(Table_dim_price_recipe[Retail Price]&lt;&gt;0)*($C831=Table_dim_price_recipe[Subcategory]), 0))*$B831,"")</f>
        <v/>
      </c>
      <c r="L831" s="39" t="str" cm="1">
        <f t="array" ref="L831">IF($A831&lt;&gt;"", $A831, LOOKUP(2, 1/((A$7:INDEX(A:A, ROW()))&lt;&gt;""), A$7:INDEX(A:A, ROW())))</f>
        <v>CEILINGS &amp; WALLS</v>
      </c>
      <c r="M831" s="14"/>
    </row>
    <row r="832" spans="1:13">
      <c r="A832" s="263"/>
      <c r="B832" s="263"/>
      <c r="C832" s="263" t="s">
        <v>948</v>
      </c>
      <c r="D832" s="263" t="s">
        <v>950</v>
      </c>
      <c r="E832" s="263"/>
      <c r="F832" s="263"/>
      <c r="G832" s="39" t="str" cm="1">
        <f t="array" ref="G832">IFERROR(INDEX(Table_dim_price_recipe[Retail Price], MATCH(1, ("Calculator"&lt;&gt;Table_dim_price_recipe[Type.display])*($L832=Table_dim_price_recipe[Category])*($D832=Table_dim_price_recipe[Item Description]) * (G$6=Table_dim_price_recipe[Type])*(Table_dim_price_recipe[Retail Price]&lt;&gt;0)*($C832=Table_dim_price_recipe[Subcategory]), 0))*$B832,"")</f>
        <v/>
      </c>
      <c r="H832" s="39" cm="1">
        <f t="array" ref="H832">IFERROR(INDEX(Table_dim_price_recipe[Retail Price], MATCH(1, ("Calculator"&lt;&gt;Table_dim_price_recipe[Type.display])*($L832=Table_dim_price_recipe[Category])*($D832=Table_dim_price_recipe[Item Description]) * (H$6=Table_dim_price_recipe[Type])*(Table_dim_price_recipe[Retail Price]&lt;&gt;0)*($C832=Table_dim_price_recipe[Subcategory]), 0))*$B832,"")</f>
        <v>0</v>
      </c>
      <c r="I832" s="39" t="str" cm="1">
        <f t="array" ref="I832">IFERROR(INDEX(Table_dim_price_recipe[Retail Price], MATCH(1, ("Calculator"&lt;&gt;Table_dim_price_recipe[Type.display])*($L832=Table_dim_price_recipe[Category])*($D832=Table_dim_price_recipe[Item Description]) * (I$6=Table_dim_price_recipe[Type])*(Table_dim_price_recipe[Retail Price]&lt;&gt;0)*($C832=Table_dim_price_recipe[Subcategory]), 0))*$B832,"")</f>
        <v/>
      </c>
      <c r="J832" s="39" t="str" cm="1">
        <f t="array" ref="J832">IFERROR(INDEX(Table_dim_price_recipe[Retail Price], MATCH(1, ("Calculator"&lt;&gt;Table_dim_price_recipe[Type.display])*($L832=Table_dim_price_recipe[Category])*($D832=Table_dim_price_recipe[Item Description]) * (J$6=Table_dim_price_recipe[Type])*(Table_dim_price_recipe[Retail Price]&lt;&gt;0)*($C832=Table_dim_price_recipe[Subcategory]), 0))*$B832,"")</f>
        <v/>
      </c>
      <c r="K832" s="39" t="str" cm="1">
        <f t="array" ref="K832">IFERROR(INDEX(Table_dim_price_recipe[Retail Price], MATCH(1, ("Calculator"&lt;&gt;Table_dim_price_recipe[Type.display])*($L832=Table_dim_price_recipe[Category])*($D832=Table_dim_price_recipe[Item Description]) * (K$6=Table_dim_price_recipe[Type])*(Table_dim_price_recipe[Retail Price]&lt;&gt;0)*($C832=Table_dim_price_recipe[Subcategory]), 0))*$B832,"")</f>
        <v/>
      </c>
      <c r="L832" s="39" t="str" cm="1">
        <f t="array" ref="L832">IF($A832&lt;&gt;"", $A832, LOOKUP(2, 1/((A$7:INDEX(A:A, ROW()))&lt;&gt;""), A$7:INDEX(A:A, ROW())))</f>
        <v>CEILINGS &amp; WALLS</v>
      </c>
      <c r="M832" s="14"/>
    </row>
    <row r="833" spans="1:13">
      <c r="A833" s="263"/>
      <c r="B833" s="263"/>
      <c r="C833" s="263" t="s">
        <v>948</v>
      </c>
      <c r="D833" s="263" t="s">
        <v>46</v>
      </c>
      <c r="E833" s="263"/>
      <c r="F833" s="263"/>
      <c r="G833" s="39" t="str" cm="1">
        <f t="array" ref="G833">IFERROR(INDEX(Table_dim_price_recipe[Retail Price], MATCH(1, ("Calculator"&lt;&gt;Table_dim_price_recipe[Type.display])*($L833=Table_dim_price_recipe[Category])*($D833=Table_dim_price_recipe[Item Description]) * (G$6=Table_dim_price_recipe[Type])*(Table_dim_price_recipe[Retail Price]&lt;&gt;0)*($C833=Table_dim_price_recipe[Subcategory]), 0))*$B833,"")</f>
        <v/>
      </c>
      <c r="H833" s="39" cm="1">
        <f t="array" ref="H833">IFERROR(INDEX(Table_dim_price_recipe[Retail Price], MATCH(1, ("Calculator"&lt;&gt;Table_dim_price_recipe[Type.display])*($L833=Table_dim_price_recipe[Category])*($D833=Table_dim_price_recipe[Item Description]) * (H$6=Table_dim_price_recipe[Type])*(Table_dim_price_recipe[Retail Price]&lt;&gt;0)*($C833=Table_dim_price_recipe[Subcategory]), 0))*$B833,"")</f>
        <v>0</v>
      </c>
      <c r="I833" s="39" t="str" cm="1">
        <f t="array" ref="I833">IFERROR(INDEX(Table_dim_price_recipe[Retail Price], MATCH(1, ("Calculator"&lt;&gt;Table_dim_price_recipe[Type.display])*($L833=Table_dim_price_recipe[Category])*($D833=Table_dim_price_recipe[Item Description]) * (I$6=Table_dim_price_recipe[Type])*(Table_dim_price_recipe[Retail Price]&lt;&gt;0)*($C833=Table_dim_price_recipe[Subcategory]), 0))*$B833,"")</f>
        <v/>
      </c>
      <c r="J833" s="39" t="str" cm="1">
        <f t="array" ref="J833">IFERROR(INDEX(Table_dim_price_recipe[Retail Price], MATCH(1, ("Calculator"&lt;&gt;Table_dim_price_recipe[Type.display])*($L833=Table_dim_price_recipe[Category])*($D833=Table_dim_price_recipe[Item Description]) * (J$6=Table_dim_price_recipe[Type])*(Table_dim_price_recipe[Retail Price]&lt;&gt;0)*($C833=Table_dim_price_recipe[Subcategory]), 0))*$B833,"")</f>
        <v/>
      </c>
      <c r="K833" s="39" t="str" cm="1">
        <f t="array" ref="K833">IFERROR(INDEX(Table_dim_price_recipe[Retail Price], MATCH(1, ("Calculator"&lt;&gt;Table_dim_price_recipe[Type.display])*($L833=Table_dim_price_recipe[Category])*($D833=Table_dim_price_recipe[Item Description]) * (K$6=Table_dim_price_recipe[Type])*(Table_dim_price_recipe[Retail Price]&lt;&gt;0)*($C833=Table_dim_price_recipe[Subcategory]), 0))*$B833,"")</f>
        <v/>
      </c>
      <c r="L833" s="39" t="str" cm="1">
        <f t="array" ref="L833">IF($A833&lt;&gt;"", $A833, LOOKUP(2, 1/((A$7:INDEX(A:A, ROW()))&lt;&gt;""), A$7:INDEX(A:A, ROW())))</f>
        <v>CEILINGS &amp; WALLS</v>
      </c>
      <c r="M833" s="14"/>
    </row>
    <row r="834" spans="1:13">
      <c r="A834" s="263"/>
      <c r="B834" s="263"/>
      <c r="C834" s="263" t="s">
        <v>948</v>
      </c>
      <c r="D834" s="263" t="s">
        <v>47</v>
      </c>
      <c r="E834" s="263"/>
      <c r="F834" s="263"/>
      <c r="G834" s="39" t="str" cm="1">
        <f t="array" ref="G834">IFERROR(INDEX(Table_dim_price_recipe[Retail Price], MATCH(1, ("Calculator"&lt;&gt;Table_dim_price_recipe[Type.display])*($L834=Table_dim_price_recipe[Category])*($D834=Table_dim_price_recipe[Item Description]) * (G$6=Table_dim_price_recipe[Type])*(Table_dim_price_recipe[Retail Price]&lt;&gt;0)*($C834=Table_dim_price_recipe[Subcategory]), 0))*$B834,"")</f>
        <v/>
      </c>
      <c r="H834" s="39" cm="1">
        <f t="array" ref="H834">IFERROR(INDEX(Table_dim_price_recipe[Retail Price], MATCH(1, ("Calculator"&lt;&gt;Table_dim_price_recipe[Type.display])*($L834=Table_dim_price_recipe[Category])*($D834=Table_dim_price_recipe[Item Description]) * (H$6=Table_dim_price_recipe[Type])*(Table_dim_price_recipe[Retail Price]&lt;&gt;0)*($C834=Table_dim_price_recipe[Subcategory]), 0))*$B834,"")</f>
        <v>0</v>
      </c>
      <c r="I834" s="39" t="str" cm="1">
        <f t="array" ref="I834">IFERROR(INDEX(Table_dim_price_recipe[Retail Price], MATCH(1, ("Calculator"&lt;&gt;Table_dim_price_recipe[Type.display])*($L834=Table_dim_price_recipe[Category])*($D834=Table_dim_price_recipe[Item Description]) * (I$6=Table_dim_price_recipe[Type])*(Table_dim_price_recipe[Retail Price]&lt;&gt;0)*($C834=Table_dim_price_recipe[Subcategory]), 0))*$B834,"")</f>
        <v/>
      </c>
      <c r="J834" s="39" t="str" cm="1">
        <f t="array" ref="J834">IFERROR(INDEX(Table_dim_price_recipe[Retail Price], MATCH(1, ("Calculator"&lt;&gt;Table_dim_price_recipe[Type.display])*($L834=Table_dim_price_recipe[Category])*($D834=Table_dim_price_recipe[Item Description]) * (J$6=Table_dim_price_recipe[Type])*(Table_dim_price_recipe[Retail Price]&lt;&gt;0)*($C834=Table_dim_price_recipe[Subcategory]), 0))*$B834,"")</f>
        <v/>
      </c>
      <c r="K834" s="39" t="str" cm="1">
        <f t="array" ref="K834">IFERROR(INDEX(Table_dim_price_recipe[Retail Price], MATCH(1, ("Calculator"&lt;&gt;Table_dim_price_recipe[Type.display])*($L834=Table_dim_price_recipe[Category])*($D834=Table_dim_price_recipe[Item Description]) * (K$6=Table_dim_price_recipe[Type])*(Table_dim_price_recipe[Retail Price]&lt;&gt;0)*($C834=Table_dim_price_recipe[Subcategory]), 0))*$B834,"")</f>
        <v/>
      </c>
      <c r="L834" s="39" t="str" cm="1">
        <f t="array" ref="L834">IF($A834&lt;&gt;"", $A834, LOOKUP(2, 1/((A$7:INDEX(A:A, ROW()))&lt;&gt;""), A$7:INDEX(A:A, ROW())))</f>
        <v>CEILINGS &amp; WALLS</v>
      </c>
      <c r="M834" s="14"/>
    </row>
    <row r="835" spans="1:13">
      <c r="A835" s="263"/>
      <c r="B835" s="263"/>
      <c r="C835" s="263" t="s">
        <v>948</v>
      </c>
      <c r="D835" s="263" t="s">
        <v>955</v>
      </c>
      <c r="E835" s="263"/>
      <c r="F835" s="263"/>
      <c r="G835" s="39" t="str" cm="1">
        <f t="array" ref="G835">IFERROR(INDEX(Table_dim_price_recipe[Retail Price], MATCH(1, ("Calculator"&lt;&gt;Table_dim_price_recipe[Type.display])*($L835=Table_dim_price_recipe[Category])*($D835=Table_dim_price_recipe[Item Description]) * (G$6=Table_dim_price_recipe[Type])*(Table_dim_price_recipe[Retail Price]&lt;&gt;0)*($C835=Table_dim_price_recipe[Subcategory]), 0))*$B835,"")</f>
        <v/>
      </c>
      <c r="H835" s="39" cm="1">
        <f t="array" ref="H835">IFERROR(INDEX(Table_dim_price_recipe[Retail Price], MATCH(1, ("Calculator"&lt;&gt;Table_dim_price_recipe[Type.display])*($L835=Table_dim_price_recipe[Category])*($D835=Table_dim_price_recipe[Item Description]) * (H$6=Table_dim_price_recipe[Type])*(Table_dim_price_recipe[Retail Price]&lt;&gt;0)*($C835=Table_dim_price_recipe[Subcategory]), 0))*$B835,"")</f>
        <v>0</v>
      </c>
      <c r="I835" s="39" t="str" cm="1">
        <f t="array" ref="I835">IFERROR(INDEX(Table_dim_price_recipe[Retail Price], MATCH(1, ("Calculator"&lt;&gt;Table_dim_price_recipe[Type.display])*($L835=Table_dim_price_recipe[Category])*($D835=Table_dim_price_recipe[Item Description]) * (I$6=Table_dim_price_recipe[Type])*(Table_dim_price_recipe[Retail Price]&lt;&gt;0)*($C835=Table_dim_price_recipe[Subcategory]), 0))*$B835,"")</f>
        <v/>
      </c>
      <c r="J835" s="39" t="str" cm="1">
        <f t="array" ref="J835">IFERROR(INDEX(Table_dim_price_recipe[Retail Price], MATCH(1, ("Calculator"&lt;&gt;Table_dim_price_recipe[Type.display])*($L835=Table_dim_price_recipe[Category])*($D835=Table_dim_price_recipe[Item Description]) * (J$6=Table_dim_price_recipe[Type])*(Table_dim_price_recipe[Retail Price]&lt;&gt;0)*($C835=Table_dim_price_recipe[Subcategory]), 0))*$B835,"")</f>
        <v/>
      </c>
      <c r="K835" s="39" t="str" cm="1">
        <f t="array" ref="K835">IFERROR(INDEX(Table_dim_price_recipe[Retail Price], MATCH(1, ("Calculator"&lt;&gt;Table_dim_price_recipe[Type.display])*($L835=Table_dim_price_recipe[Category])*($D835=Table_dim_price_recipe[Item Description]) * (K$6=Table_dim_price_recipe[Type])*(Table_dim_price_recipe[Retail Price]&lt;&gt;0)*($C835=Table_dim_price_recipe[Subcategory]), 0))*$B835,"")</f>
        <v/>
      </c>
      <c r="L835" s="39" t="str" cm="1">
        <f t="array" ref="L835">IF($A835&lt;&gt;"", $A835, LOOKUP(2, 1/((A$7:INDEX(A:A, ROW()))&lt;&gt;""), A$7:INDEX(A:A, ROW())))</f>
        <v>CEILINGS &amp; WALLS</v>
      </c>
      <c r="M835" s="14"/>
    </row>
    <row r="836" spans="1:13">
      <c r="A836" s="263"/>
      <c r="B836" s="263"/>
      <c r="C836" s="263" t="s">
        <v>948</v>
      </c>
      <c r="D836" s="263"/>
      <c r="E836" s="263"/>
      <c r="F836" s="263"/>
      <c r="G836" s="39" t="str" cm="1">
        <f t="array" ref="G836">IFERROR(INDEX(Table_dim_price_recipe[Retail Price], MATCH(1, ("Calculator"&lt;&gt;Table_dim_price_recipe[Type.display])*($L836=Table_dim_price_recipe[Category])*($D836=Table_dim_price_recipe[Item Description]) * (G$6=Table_dim_price_recipe[Type])*(Table_dim_price_recipe[Retail Price]&lt;&gt;0)*($C836=Table_dim_price_recipe[Subcategory]), 0))*$B836,"")</f>
        <v/>
      </c>
      <c r="H836" s="39" t="str" cm="1">
        <f t="array" ref="H836">IFERROR(INDEX(Table_dim_price_recipe[Retail Price], MATCH(1, ("Calculator"&lt;&gt;Table_dim_price_recipe[Type.display])*($L836=Table_dim_price_recipe[Category])*($D836=Table_dim_price_recipe[Item Description]) * (H$6=Table_dim_price_recipe[Type])*(Table_dim_price_recipe[Retail Price]&lt;&gt;0)*($C836=Table_dim_price_recipe[Subcategory]), 0))*$B836,"")</f>
        <v/>
      </c>
      <c r="I836" s="39" t="str" cm="1">
        <f t="array" ref="I836">IFERROR(INDEX(Table_dim_price_recipe[Retail Price], MATCH(1, ("Calculator"&lt;&gt;Table_dim_price_recipe[Type.display])*($L836=Table_dim_price_recipe[Category])*($D836=Table_dim_price_recipe[Item Description]) * (I$6=Table_dim_price_recipe[Type])*(Table_dim_price_recipe[Retail Price]&lt;&gt;0)*($C836=Table_dim_price_recipe[Subcategory]), 0))*$B836,"")</f>
        <v/>
      </c>
      <c r="J836" s="39" t="str" cm="1">
        <f t="array" ref="J836">IFERROR(INDEX(Table_dim_price_recipe[Retail Price], MATCH(1, ("Calculator"&lt;&gt;Table_dim_price_recipe[Type.display])*($L836=Table_dim_price_recipe[Category])*($D836=Table_dim_price_recipe[Item Description]) * (J$6=Table_dim_price_recipe[Type])*(Table_dim_price_recipe[Retail Price]&lt;&gt;0)*($C836=Table_dim_price_recipe[Subcategory]), 0))*$B836,"")</f>
        <v/>
      </c>
      <c r="K836" s="39" t="str" cm="1">
        <f t="array" ref="K836">IFERROR(INDEX(Table_dim_price_recipe[Retail Price], MATCH(1, ("Calculator"&lt;&gt;Table_dim_price_recipe[Type.display])*($L836=Table_dim_price_recipe[Category])*($D836=Table_dim_price_recipe[Item Description]) * (K$6=Table_dim_price_recipe[Type])*(Table_dim_price_recipe[Retail Price]&lt;&gt;0)*($C836=Table_dim_price_recipe[Subcategory]), 0))*$B836,"")</f>
        <v/>
      </c>
      <c r="L836" s="39" t="str" cm="1">
        <f t="array" ref="L836">IF($A836&lt;&gt;"", $A836, LOOKUP(2, 1/((A$7:INDEX(A:A, ROW()))&lt;&gt;""), A$7:INDEX(A:A, ROW())))</f>
        <v>CEILINGS &amp; WALLS</v>
      </c>
      <c r="M836" s="14"/>
    </row>
    <row r="837" spans="1:13">
      <c r="A837" s="263"/>
      <c r="B837" s="263"/>
      <c r="C837" s="263" t="s">
        <v>948</v>
      </c>
      <c r="D837" s="263"/>
      <c r="E837" s="263"/>
      <c r="F837" s="263"/>
      <c r="G837" s="39" t="str" cm="1">
        <f t="array" ref="G837">IFERROR(INDEX(Table_dim_price_recipe[Retail Price], MATCH(1, ("Calculator"&lt;&gt;Table_dim_price_recipe[Type.display])*($L837=Table_dim_price_recipe[Category])*($D837=Table_dim_price_recipe[Item Description]) * (G$6=Table_dim_price_recipe[Type])*(Table_dim_price_recipe[Retail Price]&lt;&gt;0)*($C837=Table_dim_price_recipe[Subcategory]), 0))*$B837,"")</f>
        <v/>
      </c>
      <c r="H837" s="39" t="str" cm="1">
        <f t="array" ref="H837">IFERROR(INDEX(Table_dim_price_recipe[Retail Price], MATCH(1, ("Calculator"&lt;&gt;Table_dim_price_recipe[Type.display])*($L837=Table_dim_price_recipe[Category])*($D837=Table_dim_price_recipe[Item Description]) * (H$6=Table_dim_price_recipe[Type])*(Table_dim_price_recipe[Retail Price]&lt;&gt;0)*($C837=Table_dim_price_recipe[Subcategory]), 0))*$B837,"")</f>
        <v/>
      </c>
      <c r="I837" s="39" t="str" cm="1">
        <f t="array" ref="I837">IFERROR(INDEX(Table_dim_price_recipe[Retail Price], MATCH(1, ("Calculator"&lt;&gt;Table_dim_price_recipe[Type.display])*($L837=Table_dim_price_recipe[Category])*($D837=Table_dim_price_recipe[Item Description]) * (I$6=Table_dim_price_recipe[Type])*(Table_dim_price_recipe[Retail Price]&lt;&gt;0)*($C837=Table_dim_price_recipe[Subcategory]), 0))*$B837,"")</f>
        <v/>
      </c>
      <c r="J837" s="39" t="str" cm="1">
        <f t="array" ref="J837">IFERROR(INDEX(Table_dim_price_recipe[Retail Price], MATCH(1, ("Calculator"&lt;&gt;Table_dim_price_recipe[Type.display])*($L837=Table_dim_price_recipe[Category])*($D837=Table_dim_price_recipe[Item Description]) * (J$6=Table_dim_price_recipe[Type])*(Table_dim_price_recipe[Retail Price]&lt;&gt;0)*($C837=Table_dim_price_recipe[Subcategory]), 0))*$B837,"")</f>
        <v/>
      </c>
      <c r="K837" s="39" t="str" cm="1">
        <f t="array" ref="K837">IFERROR(INDEX(Table_dim_price_recipe[Retail Price], MATCH(1, ("Calculator"&lt;&gt;Table_dim_price_recipe[Type.display])*($L837=Table_dim_price_recipe[Category])*($D837=Table_dim_price_recipe[Item Description]) * (K$6=Table_dim_price_recipe[Type])*(Table_dim_price_recipe[Retail Price]&lt;&gt;0)*($C837=Table_dim_price_recipe[Subcategory]), 0))*$B837,"")</f>
        <v/>
      </c>
      <c r="L837" s="39" t="str" cm="1">
        <f t="array" ref="L837">IF($A837&lt;&gt;"", $A837, LOOKUP(2, 1/((A$7:INDEX(A:A, ROW()))&lt;&gt;""), A$7:INDEX(A:A, ROW())))</f>
        <v>CEILINGS &amp; WALLS</v>
      </c>
      <c r="M837" s="14"/>
    </row>
    <row r="838" spans="1:13">
      <c r="A838" s="263"/>
      <c r="B838" s="263"/>
      <c r="C838" s="263" t="s">
        <v>992</v>
      </c>
      <c r="D838" s="263" t="s">
        <v>1172</v>
      </c>
      <c r="E838" s="263"/>
      <c r="F838" s="263"/>
      <c r="G838" s="39" t="str" cm="1">
        <f t="array" ref="G838">IFERROR(INDEX(Table_dim_price_recipe[Retail Price], MATCH(1, ("Calculator"&lt;&gt;Table_dim_price_recipe[Type.display])*($L838=Table_dim_price_recipe[Category])*($D838=Table_dim_price_recipe[Item Description]) * (G$6=Table_dim_price_recipe[Type])*(Table_dim_price_recipe[Retail Price]&lt;&gt;0)*($C838=Table_dim_price_recipe[Subcategory]), 0))*$B838,"")</f>
        <v/>
      </c>
      <c r="H838" s="39" cm="1">
        <f t="array" ref="H838">IFERROR(INDEX(Table_dim_price_recipe[Retail Price], MATCH(1, ("Calculator"&lt;&gt;Table_dim_price_recipe[Type.display])*($L838=Table_dim_price_recipe[Category])*($D838=Table_dim_price_recipe[Item Description]) * (H$6=Table_dim_price_recipe[Type])*(Table_dim_price_recipe[Retail Price]&lt;&gt;0)*($C838=Table_dim_price_recipe[Subcategory]), 0))*$B838,"")</f>
        <v>0</v>
      </c>
      <c r="I838" s="39" t="str" cm="1">
        <f t="array" ref="I838">IFERROR(INDEX(Table_dim_price_recipe[Retail Price], MATCH(1, ("Calculator"&lt;&gt;Table_dim_price_recipe[Type.display])*($L838=Table_dim_price_recipe[Category])*($D838=Table_dim_price_recipe[Item Description]) * (I$6=Table_dim_price_recipe[Type])*(Table_dim_price_recipe[Retail Price]&lt;&gt;0)*($C838=Table_dim_price_recipe[Subcategory]), 0))*$B838,"")</f>
        <v/>
      </c>
      <c r="J838" s="39" t="str" cm="1">
        <f t="array" ref="J838">IFERROR(INDEX(Table_dim_price_recipe[Retail Price], MATCH(1, ("Calculator"&lt;&gt;Table_dim_price_recipe[Type.display])*($L838=Table_dim_price_recipe[Category])*($D838=Table_dim_price_recipe[Item Description]) * (J$6=Table_dim_price_recipe[Type])*(Table_dim_price_recipe[Retail Price]&lt;&gt;0)*($C838=Table_dim_price_recipe[Subcategory]), 0))*$B838,"")</f>
        <v/>
      </c>
      <c r="K838" s="39" t="str" cm="1">
        <f t="array" ref="K838">IFERROR(INDEX(Table_dim_price_recipe[Retail Price], MATCH(1, ("Calculator"&lt;&gt;Table_dim_price_recipe[Type.display])*($L838=Table_dim_price_recipe[Category])*($D838=Table_dim_price_recipe[Item Description]) * (K$6=Table_dim_price_recipe[Type])*(Table_dim_price_recipe[Retail Price]&lt;&gt;0)*($C838=Table_dim_price_recipe[Subcategory]), 0))*$B838,"")</f>
        <v/>
      </c>
      <c r="L838" s="39" t="str" cm="1">
        <f t="array" ref="L838">IF($A838&lt;&gt;"", $A838, LOOKUP(2, 1/((A$7:INDEX(A:A, ROW()))&lt;&gt;""), A$7:INDEX(A:A, ROW())))</f>
        <v>CEILINGS &amp; WALLS</v>
      </c>
      <c r="M838" s="14"/>
    </row>
    <row r="839" spans="1:13">
      <c r="A839" s="263"/>
      <c r="B839" s="263"/>
      <c r="C839" s="263" t="s">
        <v>992</v>
      </c>
      <c r="D839" s="263" t="s">
        <v>1171</v>
      </c>
      <c r="E839" s="263"/>
      <c r="F839" s="263"/>
      <c r="G839" s="39" t="str" cm="1">
        <f t="array" ref="G839">IFERROR(INDEX(Table_dim_price_recipe[Retail Price], MATCH(1, ("Calculator"&lt;&gt;Table_dim_price_recipe[Type.display])*($L839=Table_dim_price_recipe[Category])*($D839=Table_dim_price_recipe[Item Description]) * (G$6=Table_dim_price_recipe[Type])*(Table_dim_price_recipe[Retail Price]&lt;&gt;0)*($C839=Table_dim_price_recipe[Subcategory]), 0))*$B839,"")</f>
        <v/>
      </c>
      <c r="H839" s="39" cm="1">
        <f t="array" ref="H839">IFERROR(INDEX(Table_dim_price_recipe[Retail Price], MATCH(1, ("Calculator"&lt;&gt;Table_dim_price_recipe[Type.display])*($L839=Table_dim_price_recipe[Category])*($D839=Table_dim_price_recipe[Item Description]) * (H$6=Table_dim_price_recipe[Type])*(Table_dim_price_recipe[Retail Price]&lt;&gt;0)*($C839=Table_dim_price_recipe[Subcategory]), 0))*$B839,"")</f>
        <v>0</v>
      </c>
      <c r="I839" s="39" t="str" cm="1">
        <f t="array" ref="I839">IFERROR(INDEX(Table_dim_price_recipe[Retail Price], MATCH(1, ("Calculator"&lt;&gt;Table_dim_price_recipe[Type.display])*($L839=Table_dim_price_recipe[Category])*($D839=Table_dim_price_recipe[Item Description]) * (I$6=Table_dim_price_recipe[Type])*(Table_dim_price_recipe[Retail Price]&lt;&gt;0)*($C839=Table_dim_price_recipe[Subcategory]), 0))*$B839,"")</f>
        <v/>
      </c>
      <c r="J839" s="39" t="str" cm="1">
        <f t="array" ref="J839">IFERROR(INDEX(Table_dim_price_recipe[Retail Price], MATCH(1, ("Calculator"&lt;&gt;Table_dim_price_recipe[Type.display])*($L839=Table_dim_price_recipe[Category])*($D839=Table_dim_price_recipe[Item Description]) * (J$6=Table_dim_price_recipe[Type])*(Table_dim_price_recipe[Retail Price]&lt;&gt;0)*($C839=Table_dim_price_recipe[Subcategory]), 0))*$B839,"")</f>
        <v/>
      </c>
      <c r="K839" s="39" t="str" cm="1">
        <f t="array" ref="K839">IFERROR(INDEX(Table_dim_price_recipe[Retail Price], MATCH(1, ("Calculator"&lt;&gt;Table_dim_price_recipe[Type.display])*($L839=Table_dim_price_recipe[Category])*($D839=Table_dim_price_recipe[Item Description]) * (K$6=Table_dim_price_recipe[Type])*(Table_dim_price_recipe[Retail Price]&lt;&gt;0)*($C839=Table_dim_price_recipe[Subcategory]), 0))*$B839,"")</f>
        <v/>
      </c>
      <c r="L839" s="39" t="str" cm="1">
        <f t="array" ref="L839">IF($A839&lt;&gt;"", $A839, LOOKUP(2, 1/((A$7:INDEX(A:A, ROW()))&lt;&gt;""), A$7:INDEX(A:A, ROW())))</f>
        <v>CEILINGS &amp; WALLS</v>
      </c>
      <c r="M839" s="14"/>
    </row>
    <row r="840" spans="1:13">
      <c r="A840" s="263"/>
      <c r="B840" s="263"/>
      <c r="C840" s="263" t="s">
        <v>992</v>
      </c>
      <c r="D840" s="263" t="s">
        <v>1170</v>
      </c>
      <c r="E840" s="263"/>
      <c r="F840" s="263"/>
      <c r="G840" s="39" t="str" cm="1">
        <f t="array" ref="G840">IFERROR(INDEX(Table_dim_price_recipe[Retail Price], MATCH(1, ("Calculator"&lt;&gt;Table_dim_price_recipe[Type.display])*($L840=Table_dim_price_recipe[Category])*($D840=Table_dim_price_recipe[Item Description]) * (G$6=Table_dim_price_recipe[Type])*(Table_dim_price_recipe[Retail Price]&lt;&gt;0)*($C840=Table_dim_price_recipe[Subcategory]), 0))*$B840,"")</f>
        <v/>
      </c>
      <c r="H840" s="39" cm="1">
        <f t="array" ref="H840">IFERROR(INDEX(Table_dim_price_recipe[Retail Price], MATCH(1, ("Calculator"&lt;&gt;Table_dim_price_recipe[Type.display])*($L840=Table_dim_price_recipe[Category])*($D840=Table_dim_price_recipe[Item Description]) * (H$6=Table_dim_price_recipe[Type])*(Table_dim_price_recipe[Retail Price]&lt;&gt;0)*($C840=Table_dim_price_recipe[Subcategory]), 0))*$B840,"")</f>
        <v>0</v>
      </c>
      <c r="I840" s="39" t="str" cm="1">
        <f t="array" ref="I840">IFERROR(INDEX(Table_dim_price_recipe[Retail Price], MATCH(1, ("Calculator"&lt;&gt;Table_dim_price_recipe[Type.display])*($L840=Table_dim_price_recipe[Category])*($D840=Table_dim_price_recipe[Item Description]) * (I$6=Table_dim_price_recipe[Type])*(Table_dim_price_recipe[Retail Price]&lt;&gt;0)*($C840=Table_dim_price_recipe[Subcategory]), 0))*$B840,"")</f>
        <v/>
      </c>
      <c r="J840" s="39" t="str" cm="1">
        <f t="array" ref="J840">IFERROR(INDEX(Table_dim_price_recipe[Retail Price], MATCH(1, ("Calculator"&lt;&gt;Table_dim_price_recipe[Type.display])*($L840=Table_dim_price_recipe[Category])*($D840=Table_dim_price_recipe[Item Description]) * (J$6=Table_dim_price_recipe[Type])*(Table_dim_price_recipe[Retail Price]&lt;&gt;0)*($C840=Table_dim_price_recipe[Subcategory]), 0))*$B840,"")</f>
        <v/>
      </c>
      <c r="K840" s="39" t="str" cm="1">
        <f t="array" ref="K840">IFERROR(INDEX(Table_dim_price_recipe[Retail Price], MATCH(1, ("Calculator"&lt;&gt;Table_dim_price_recipe[Type.display])*($L840=Table_dim_price_recipe[Category])*($D840=Table_dim_price_recipe[Item Description]) * (K$6=Table_dim_price_recipe[Type])*(Table_dim_price_recipe[Retail Price]&lt;&gt;0)*($C840=Table_dim_price_recipe[Subcategory]), 0))*$B840,"")</f>
        <v/>
      </c>
      <c r="L840" s="39" t="str" cm="1">
        <f t="array" ref="L840">IF($A840&lt;&gt;"", $A840, LOOKUP(2, 1/((A$7:INDEX(A:A, ROW()))&lt;&gt;""), A$7:INDEX(A:A, ROW())))</f>
        <v>CEILINGS &amp; WALLS</v>
      </c>
      <c r="M840" s="14"/>
    </row>
    <row r="841" spans="1:13">
      <c r="A841" s="263"/>
      <c r="B841" s="263"/>
      <c r="C841" s="263" t="s">
        <v>992</v>
      </c>
      <c r="D841" s="263" t="s">
        <v>1169</v>
      </c>
      <c r="E841" s="263"/>
      <c r="F841" s="263"/>
      <c r="G841" s="39" t="str" cm="1">
        <f t="array" ref="G841">IFERROR(INDEX(Table_dim_price_recipe[Retail Price], MATCH(1, ("Calculator"&lt;&gt;Table_dim_price_recipe[Type.display])*($L841=Table_dim_price_recipe[Category])*($D841=Table_dim_price_recipe[Item Description]) * (G$6=Table_dim_price_recipe[Type])*(Table_dim_price_recipe[Retail Price]&lt;&gt;0)*($C841=Table_dim_price_recipe[Subcategory]), 0))*$B841,"")</f>
        <v/>
      </c>
      <c r="H841" s="39" cm="1">
        <f t="array" ref="H841">IFERROR(INDEX(Table_dim_price_recipe[Retail Price], MATCH(1, ("Calculator"&lt;&gt;Table_dim_price_recipe[Type.display])*($L841=Table_dim_price_recipe[Category])*($D841=Table_dim_price_recipe[Item Description]) * (H$6=Table_dim_price_recipe[Type])*(Table_dim_price_recipe[Retail Price]&lt;&gt;0)*($C841=Table_dim_price_recipe[Subcategory]), 0))*$B841,"")</f>
        <v>0</v>
      </c>
      <c r="I841" s="39" t="str" cm="1">
        <f t="array" ref="I841">IFERROR(INDEX(Table_dim_price_recipe[Retail Price], MATCH(1, ("Calculator"&lt;&gt;Table_dim_price_recipe[Type.display])*($L841=Table_dim_price_recipe[Category])*($D841=Table_dim_price_recipe[Item Description]) * (I$6=Table_dim_price_recipe[Type])*(Table_dim_price_recipe[Retail Price]&lt;&gt;0)*($C841=Table_dim_price_recipe[Subcategory]), 0))*$B841,"")</f>
        <v/>
      </c>
      <c r="J841" s="39" t="str" cm="1">
        <f t="array" ref="J841">IFERROR(INDEX(Table_dim_price_recipe[Retail Price], MATCH(1, ("Calculator"&lt;&gt;Table_dim_price_recipe[Type.display])*($L841=Table_dim_price_recipe[Category])*($D841=Table_dim_price_recipe[Item Description]) * (J$6=Table_dim_price_recipe[Type])*(Table_dim_price_recipe[Retail Price]&lt;&gt;0)*($C841=Table_dim_price_recipe[Subcategory]), 0))*$B841,"")</f>
        <v/>
      </c>
      <c r="K841" s="39" t="str" cm="1">
        <f t="array" ref="K841">IFERROR(INDEX(Table_dim_price_recipe[Retail Price], MATCH(1, ("Calculator"&lt;&gt;Table_dim_price_recipe[Type.display])*($L841=Table_dim_price_recipe[Category])*($D841=Table_dim_price_recipe[Item Description]) * (K$6=Table_dim_price_recipe[Type])*(Table_dim_price_recipe[Retail Price]&lt;&gt;0)*($C841=Table_dim_price_recipe[Subcategory]), 0))*$B841,"")</f>
        <v/>
      </c>
      <c r="L841" s="39" t="str" cm="1">
        <f t="array" ref="L841">IF($A841&lt;&gt;"", $A841, LOOKUP(2, 1/((A$7:INDEX(A:A, ROW()))&lt;&gt;""), A$7:INDEX(A:A, ROW())))</f>
        <v>CEILINGS &amp; WALLS</v>
      </c>
      <c r="M841" s="14"/>
    </row>
    <row r="842" spans="1:13">
      <c r="A842" s="263"/>
      <c r="B842" s="263"/>
      <c r="C842" s="263" t="s">
        <v>992</v>
      </c>
      <c r="D842" s="263"/>
      <c r="E842" s="263"/>
      <c r="F842" s="263"/>
      <c r="G842" s="39" t="str" cm="1">
        <f t="array" ref="G842">IFERROR(INDEX(Table_dim_price_recipe[Retail Price], MATCH(1, ("Calculator"&lt;&gt;Table_dim_price_recipe[Type.display])*($L842=Table_dim_price_recipe[Category])*($D842=Table_dim_price_recipe[Item Description]) * (G$6=Table_dim_price_recipe[Type])*(Table_dim_price_recipe[Retail Price]&lt;&gt;0)*($C842=Table_dim_price_recipe[Subcategory]), 0))*$B842,"")</f>
        <v/>
      </c>
      <c r="H842" s="39" t="str" cm="1">
        <f t="array" ref="H842">IFERROR(INDEX(Table_dim_price_recipe[Retail Price], MATCH(1, ("Calculator"&lt;&gt;Table_dim_price_recipe[Type.display])*($L842=Table_dim_price_recipe[Category])*($D842=Table_dim_price_recipe[Item Description]) * (H$6=Table_dim_price_recipe[Type])*(Table_dim_price_recipe[Retail Price]&lt;&gt;0)*($C842=Table_dim_price_recipe[Subcategory]), 0))*$B842,"")</f>
        <v/>
      </c>
      <c r="I842" s="39" t="str" cm="1">
        <f t="array" ref="I842">IFERROR(INDEX(Table_dim_price_recipe[Retail Price], MATCH(1, ("Calculator"&lt;&gt;Table_dim_price_recipe[Type.display])*($L842=Table_dim_price_recipe[Category])*($D842=Table_dim_price_recipe[Item Description]) * (I$6=Table_dim_price_recipe[Type])*(Table_dim_price_recipe[Retail Price]&lt;&gt;0)*($C842=Table_dim_price_recipe[Subcategory]), 0))*$B842,"")</f>
        <v/>
      </c>
      <c r="J842" s="39" t="str" cm="1">
        <f t="array" ref="J842">IFERROR(INDEX(Table_dim_price_recipe[Retail Price], MATCH(1, ("Calculator"&lt;&gt;Table_dim_price_recipe[Type.display])*($L842=Table_dim_price_recipe[Category])*($D842=Table_dim_price_recipe[Item Description]) * (J$6=Table_dim_price_recipe[Type])*(Table_dim_price_recipe[Retail Price]&lt;&gt;0)*($C842=Table_dim_price_recipe[Subcategory]), 0))*$B842,"")</f>
        <v/>
      </c>
      <c r="K842" s="39" t="str" cm="1">
        <f t="array" ref="K842">IFERROR(INDEX(Table_dim_price_recipe[Retail Price], MATCH(1, ("Calculator"&lt;&gt;Table_dim_price_recipe[Type.display])*($L842=Table_dim_price_recipe[Category])*($D842=Table_dim_price_recipe[Item Description]) * (K$6=Table_dim_price_recipe[Type])*(Table_dim_price_recipe[Retail Price]&lt;&gt;0)*($C842=Table_dim_price_recipe[Subcategory]), 0))*$B842,"")</f>
        <v/>
      </c>
      <c r="L842" s="39" t="str" cm="1">
        <f t="array" ref="L842">IF($A842&lt;&gt;"", $A842, LOOKUP(2, 1/((A$7:INDEX(A:A, ROW()))&lt;&gt;""), A$7:INDEX(A:A, ROW())))</f>
        <v>CEILINGS &amp; WALLS</v>
      </c>
      <c r="M842" s="14"/>
    </row>
    <row r="843" spans="1:13">
      <c r="A843" s="263"/>
      <c r="B843" s="263"/>
      <c r="C843" s="263" t="s">
        <v>992</v>
      </c>
      <c r="D843" s="263"/>
      <c r="E843" s="263"/>
      <c r="F843" s="263"/>
      <c r="G843" s="39" t="str" cm="1">
        <f t="array" ref="G843">IFERROR(INDEX(Table_dim_price_recipe[Retail Price], MATCH(1, ("Calculator"&lt;&gt;Table_dim_price_recipe[Type.display])*($L843=Table_dim_price_recipe[Category])*($D843=Table_dim_price_recipe[Item Description]) * (G$6=Table_dim_price_recipe[Type])*(Table_dim_price_recipe[Retail Price]&lt;&gt;0)*($C843=Table_dim_price_recipe[Subcategory]), 0))*$B843,"")</f>
        <v/>
      </c>
      <c r="H843" s="39" t="str" cm="1">
        <f t="array" ref="H843">IFERROR(INDEX(Table_dim_price_recipe[Retail Price], MATCH(1, ("Calculator"&lt;&gt;Table_dim_price_recipe[Type.display])*($L843=Table_dim_price_recipe[Category])*($D843=Table_dim_price_recipe[Item Description]) * (H$6=Table_dim_price_recipe[Type])*(Table_dim_price_recipe[Retail Price]&lt;&gt;0)*($C843=Table_dim_price_recipe[Subcategory]), 0))*$B843,"")</f>
        <v/>
      </c>
      <c r="I843" s="39" t="str" cm="1">
        <f t="array" ref="I843">IFERROR(INDEX(Table_dim_price_recipe[Retail Price], MATCH(1, ("Calculator"&lt;&gt;Table_dim_price_recipe[Type.display])*($L843=Table_dim_price_recipe[Category])*($D843=Table_dim_price_recipe[Item Description]) * (I$6=Table_dim_price_recipe[Type])*(Table_dim_price_recipe[Retail Price]&lt;&gt;0)*($C843=Table_dim_price_recipe[Subcategory]), 0))*$B843,"")</f>
        <v/>
      </c>
      <c r="J843" s="39" t="str" cm="1">
        <f t="array" ref="J843">IFERROR(INDEX(Table_dim_price_recipe[Retail Price], MATCH(1, ("Calculator"&lt;&gt;Table_dim_price_recipe[Type.display])*($L843=Table_dim_price_recipe[Category])*($D843=Table_dim_price_recipe[Item Description]) * (J$6=Table_dim_price_recipe[Type])*(Table_dim_price_recipe[Retail Price]&lt;&gt;0)*($C843=Table_dim_price_recipe[Subcategory]), 0))*$B843,"")</f>
        <v/>
      </c>
      <c r="K843" s="39" t="str" cm="1">
        <f t="array" ref="K843">IFERROR(INDEX(Table_dim_price_recipe[Retail Price], MATCH(1, ("Calculator"&lt;&gt;Table_dim_price_recipe[Type.display])*($L843=Table_dim_price_recipe[Category])*($D843=Table_dim_price_recipe[Item Description]) * (K$6=Table_dim_price_recipe[Type])*(Table_dim_price_recipe[Retail Price]&lt;&gt;0)*($C843=Table_dim_price_recipe[Subcategory]), 0))*$B843,"")</f>
        <v/>
      </c>
      <c r="L843" s="39" t="str" cm="1">
        <f t="array" ref="L843">IF($A843&lt;&gt;"", $A843, LOOKUP(2, 1/((A$7:INDEX(A:A, ROW()))&lt;&gt;""), A$7:INDEX(A:A, ROW())))</f>
        <v>CEILINGS &amp; WALLS</v>
      </c>
      <c r="M843" s="14"/>
    </row>
    <row r="844" spans="1:13">
      <c r="A844" s="263"/>
      <c r="B844" s="263"/>
      <c r="C844" s="263" t="s">
        <v>997</v>
      </c>
      <c r="D844" s="263" t="s">
        <v>444</v>
      </c>
      <c r="E844" s="263"/>
      <c r="F844" s="263"/>
      <c r="G844" s="39" t="str" cm="1">
        <f t="array" ref="G844">IFERROR(INDEX(Table_dim_price_recipe[Retail Price], MATCH(1, ("Calculator"&lt;&gt;Table_dim_price_recipe[Type.display])*($L844=Table_dim_price_recipe[Category])*($D844=Table_dim_price_recipe[Item Description]) * (G$6=Table_dim_price_recipe[Type])*(Table_dim_price_recipe[Retail Price]&lt;&gt;0)*($C844=Table_dim_price_recipe[Subcategory]), 0))*$B844,"")</f>
        <v/>
      </c>
      <c r="H844" s="39" t="str" cm="1">
        <f t="array" ref="H844">IFERROR(INDEX(Table_dim_price_recipe[Retail Price], MATCH(1, ("Calculator"&lt;&gt;Table_dim_price_recipe[Type.display])*($L844=Table_dim_price_recipe[Category])*($D844=Table_dim_price_recipe[Item Description]) * (H$6=Table_dim_price_recipe[Type])*(Table_dim_price_recipe[Retail Price]&lt;&gt;0)*($C844=Table_dim_price_recipe[Subcategory]), 0))*$B844,"")</f>
        <v/>
      </c>
      <c r="I844" s="39" t="str" cm="1">
        <f t="array" ref="I844">IFERROR(INDEX(Table_dim_price_recipe[Retail Price], MATCH(1, ("Calculator"&lt;&gt;Table_dim_price_recipe[Type.display])*($L844=Table_dim_price_recipe[Category])*($D844=Table_dim_price_recipe[Item Description]) * (I$6=Table_dim_price_recipe[Type])*(Table_dim_price_recipe[Retail Price]&lt;&gt;0)*($C844=Table_dim_price_recipe[Subcategory]), 0))*$B844,"")</f>
        <v/>
      </c>
      <c r="J844" s="39" t="str" cm="1">
        <f t="array" ref="J844">IFERROR(INDEX(Table_dim_price_recipe[Retail Price], MATCH(1, ("Calculator"&lt;&gt;Table_dim_price_recipe[Type.display])*($L844=Table_dim_price_recipe[Category])*($D844=Table_dim_price_recipe[Item Description]) * (J$6=Table_dim_price_recipe[Type])*(Table_dim_price_recipe[Retail Price]&lt;&gt;0)*($C844=Table_dim_price_recipe[Subcategory]), 0))*$B844,"")</f>
        <v/>
      </c>
      <c r="K844" s="39" t="str" cm="1">
        <f t="array" ref="K844">IFERROR(INDEX(Table_dim_price_recipe[Retail Price], MATCH(1, ("Calculator"&lt;&gt;Table_dim_price_recipe[Type.display])*($L844=Table_dim_price_recipe[Category])*($D844=Table_dim_price_recipe[Item Description]) * (K$6=Table_dim_price_recipe[Type])*(Table_dim_price_recipe[Retail Price]&lt;&gt;0)*($C844=Table_dim_price_recipe[Subcategory]), 0))*$B844,"")</f>
        <v/>
      </c>
      <c r="L844" s="39" t="str" cm="1">
        <f t="array" ref="L844">IF($A844&lt;&gt;"", $A844, LOOKUP(2, 1/((A$7:INDEX(A:A, ROW()))&lt;&gt;""), A$7:INDEX(A:A, ROW())))</f>
        <v>CEILINGS &amp; WALLS</v>
      </c>
      <c r="M844" s="14"/>
    </row>
    <row r="845" spans="1:13">
      <c r="A845" s="263"/>
      <c r="B845" s="263"/>
      <c r="C845" s="263" t="s">
        <v>997</v>
      </c>
      <c r="D845" s="263" t="s">
        <v>1002</v>
      </c>
      <c r="E845" s="263"/>
      <c r="F845" s="263"/>
      <c r="G845" s="39" t="str" cm="1">
        <f t="array" ref="G845">IFERROR(INDEX(Table_dim_price_recipe[Retail Price], MATCH(1, ("Calculator"&lt;&gt;Table_dim_price_recipe[Type.display])*($L845=Table_dim_price_recipe[Category])*($D845=Table_dim_price_recipe[Item Description]) * (G$6=Table_dim_price_recipe[Type])*(Table_dim_price_recipe[Retail Price]&lt;&gt;0)*($C845=Table_dim_price_recipe[Subcategory]), 0))*$B845,"")</f>
        <v/>
      </c>
      <c r="H845" s="39" t="str" cm="1">
        <f t="array" ref="H845">IFERROR(INDEX(Table_dim_price_recipe[Retail Price], MATCH(1, ("Calculator"&lt;&gt;Table_dim_price_recipe[Type.display])*($L845=Table_dim_price_recipe[Category])*($D845=Table_dim_price_recipe[Item Description]) * (H$6=Table_dim_price_recipe[Type])*(Table_dim_price_recipe[Retail Price]&lt;&gt;0)*($C845=Table_dim_price_recipe[Subcategory]), 0))*$B845,"")</f>
        <v/>
      </c>
      <c r="I845" s="39" t="str" cm="1">
        <f t="array" ref="I845">IFERROR(INDEX(Table_dim_price_recipe[Retail Price], MATCH(1, ("Calculator"&lt;&gt;Table_dim_price_recipe[Type.display])*($L845=Table_dim_price_recipe[Category])*($D845=Table_dim_price_recipe[Item Description]) * (I$6=Table_dim_price_recipe[Type])*(Table_dim_price_recipe[Retail Price]&lt;&gt;0)*($C845=Table_dim_price_recipe[Subcategory]), 0))*$B845,"")</f>
        <v/>
      </c>
      <c r="J845" s="39" t="str" cm="1">
        <f t="array" ref="J845">IFERROR(INDEX(Table_dim_price_recipe[Retail Price], MATCH(1, ("Calculator"&lt;&gt;Table_dim_price_recipe[Type.display])*($L845=Table_dim_price_recipe[Category])*($D845=Table_dim_price_recipe[Item Description]) * (J$6=Table_dim_price_recipe[Type])*(Table_dim_price_recipe[Retail Price]&lt;&gt;0)*($C845=Table_dim_price_recipe[Subcategory]), 0))*$B845,"")</f>
        <v/>
      </c>
      <c r="K845" s="39" t="str" cm="1">
        <f t="array" ref="K845">IFERROR(INDEX(Table_dim_price_recipe[Retail Price], MATCH(1, ("Calculator"&lt;&gt;Table_dim_price_recipe[Type.display])*($L845=Table_dim_price_recipe[Category])*($D845=Table_dim_price_recipe[Item Description]) * (K$6=Table_dim_price_recipe[Type])*(Table_dim_price_recipe[Retail Price]&lt;&gt;0)*($C845=Table_dim_price_recipe[Subcategory]), 0))*$B845,"")</f>
        <v/>
      </c>
      <c r="L845" s="39" t="str" cm="1">
        <f t="array" ref="L845">IF($A845&lt;&gt;"", $A845, LOOKUP(2, 1/((A$7:INDEX(A:A, ROW()))&lt;&gt;""), A$7:INDEX(A:A, ROW())))</f>
        <v>CEILINGS &amp; WALLS</v>
      </c>
      <c r="M845" s="14"/>
    </row>
    <row r="846" spans="1:13">
      <c r="A846" s="263"/>
      <c r="B846" s="263"/>
      <c r="C846" s="263" t="s">
        <v>997</v>
      </c>
      <c r="D846" s="263" t="s">
        <v>1003</v>
      </c>
      <c r="E846" s="263"/>
      <c r="F846" s="263"/>
      <c r="G846" s="39" t="str" cm="1">
        <f t="array" ref="G846">IFERROR(INDEX(Table_dim_price_recipe[Retail Price], MATCH(1, ("Calculator"&lt;&gt;Table_dim_price_recipe[Type.display])*($L846=Table_dim_price_recipe[Category])*($D846=Table_dim_price_recipe[Item Description]) * (G$6=Table_dim_price_recipe[Type])*(Table_dim_price_recipe[Retail Price]&lt;&gt;0)*($C846=Table_dim_price_recipe[Subcategory]), 0))*$B846,"")</f>
        <v/>
      </c>
      <c r="H846" s="39" t="str" cm="1">
        <f t="array" ref="H846">IFERROR(INDEX(Table_dim_price_recipe[Retail Price], MATCH(1, ("Calculator"&lt;&gt;Table_dim_price_recipe[Type.display])*($L846=Table_dim_price_recipe[Category])*($D846=Table_dim_price_recipe[Item Description]) * (H$6=Table_dim_price_recipe[Type])*(Table_dim_price_recipe[Retail Price]&lt;&gt;0)*($C846=Table_dim_price_recipe[Subcategory]), 0))*$B846,"")</f>
        <v/>
      </c>
      <c r="I846" s="39" t="str" cm="1">
        <f t="array" ref="I846">IFERROR(INDEX(Table_dim_price_recipe[Retail Price], MATCH(1, ("Calculator"&lt;&gt;Table_dim_price_recipe[Type.display])*($L846=Table_dim_price_recipe[Category])*($D846=Table_dim_price_recipe[Item Description]) * (I$6=Table_dim_price_recipe[Type])*(Table_dim_price_recipe[Retail Price]&lt;&gt;0)*($C846=Table_dim_price_recipe[Subcategory]), 0))*$B846,"")</f>
        <v/>
      </c>
      <c r="J846" s="39" t="str" cm="1">
        <f t="array" ref="J846">IFERROR(INDEX(Table_dim_price_recipe[Retail Price], MATCH(1, ("Calculator"&lt;&gt;Table_dim_price_recipe[Type.display])*($L846=Table_dim_price_recipe[Category])*($D846=Table_dim_price_recipe[Item Description]) * (J$6=Table_dim_price_recipe[Type])*(Table_dim_price_recipe[Retail Price]&lt;&gt;0)*($C846=Table_dim_price_recipe[Subcategory]), 0))*$B846,"")</f>
        <v/>
      </c>
      <c r="K846" s="39" t="str" cm="1">
        <f t="array" ref="K846">IFERROR(INDEX(Table_dim_price_recipe[Retail Price], MATCH(1, ("Calculator"&lt;&gt;Table_dim_price_recipe[Type.display])*($L846=Table_dim_price_recipe[Category])*($D846=Table_dim_price_recipe[Item Description]) * (K$6=Table_dim_price_recipe[Type])*(Table_dim_price_recipe[Retail Price]&lt;&gt;0)*($C846=Table_dim_price_recipe[Subcategory]), 0))*$B846,"")</f>
        <v/>
      </c>
      <c r="L846" s="39" t="str" cm="1">
        <f t="array" ref="L846">IF($A846&lt;&gt;"", $A846, LOOKUP(2, 1/((A$7:INDEX(A:A, ROW()))&lt;&gt;""), A$7:INDEX(A:A, ROW())))</f>
        <v>CEILINGS &amp; WALLS</v>
      </c>
      <c r="M846" s="14"/>
    </row>
    <row r="847" spans="1:13">
      <c r="A847" s="263"/>
      <c r="B847" s="263"/>
      <c r="C847" s="263" t="s">
        <v>997</v>
      </c>
      <c r="D847" s="263" t="s">
        <v>1006</v>
      </c>
      <c r="E847" s="263"/>
      <c r="F847" s="263"/>
      <c r="G847" s="39" t="str" cm="1">
        <f t="array" ref="G847">IFERROR(INDEX(Table_dim_price_recipe[Retail Price], MATCH(1, ("Calculator"&lt;&gt;Table_dim_price_recipe[Type.display])*($L847=Table_dim_price_recipe[Category])*($D847=Table_dim_price_recipe[Item Description]) * (G$6=Table_dim_price_recipe[Type])*(Table_dim_price_recipe[Retail Price]&lt;&gt;0)*($C847=Table_dim_price_recipe[Subcategory]), 0))*$B847,"")</f>
        <v/>
      </c>
      <c r="H847" s="39" t="str" cm="1">
        <f t="array" ref="H847">IFERROR(INDEX(Table_dim_price_recipe[Retail Price], MATCH(1, ("Calculator"&lt;&gt;Table_dim_price_recipe[Type.display])*($L847=Table_dim_price_recipe[Category])*($D847=Table_dim_price_recipe[Item Description]) * (H$6=Table_dim_price_recipe[Type])*(Table_dim_price_recipe[Retail Price]&lt;&gt;0)*($C847=Table_dim_price_recipe[Subcategory]), 0))*$B847,"")</f>
        <v/>
      </c>
      <c r="I847" s="39" t="str" cm="1">
        <f t="array" ref="I847">IFERROR(INDEX(Table_dim_price_recipe[Retail Price], MATCH(1, ("Calculator"&lt;&gt;Table_dim_price_recipe[Type.display])*($L847=Table_dim_price_recipe[Category])*($D847=Table_dim_price_recipe[Item Description]) * (I$6=Table_dim_price_recipe[Type])*(Table_dim_price_recipe[Retail Price]&lt;&gt;0)*($C847=Table_dim_price_recipe[Subcategory]), 0))*$B847,"")</f>
        <v/>
      </c>
      <c r="J847" s="39" t="str" cm="1">
        <f t="array" ref="J847">IFERROR(INDEX(Table_dim_price_recipe[Retail Price], MATCH(1, ("Calculator"&lt;&gt;Table_dim_price_recipe[Type.display])*($L847=Table_dim_price_recipe[Category])*($D847=Table_dim_price_recipe[Item Description]) * (J$6=Table_dim_price_recipe[Type])*(Table_dim_price_recipe[Retail Price]&lt;&gt;0)*($C847=Table_dim_price_recipe[Subcategory]), 0))*$B847,"")</f>
        <v/>
      </c>
      <c r="K847" s="39" t="str" cm="1">
        <f t="array" ref="K847">IFERROR(INDEX(Table_dim_price_recipe[Retail Price], MATCH(1, ("Calculator"&lt;&gt;Table_dim_price_recipe[Type.display])*($L847=Table_dim_price_recipe[Category])*($D847=Table_dim_price_recipe[Item Description]) * (K$6=Table_dim_price_recipe[Type])*(Table_dim_price_recipe[Retail Price]&lt;&gt;0)*($C847=Table_dim_price_recipe[Subcategory]), 0))*$B847,"")</f>
        <v/>
      </c>
      <c r="L847" s="39" t="str" cm="1">
        <f t="array" ref="L847">IF($A847&lt;&gt;"", $A847, LOOKUP(2, 1/((A$7:INDEX(A:A, ROW()))&lt;&gt;""), A$7:INDEX(A:A, ROW())))</f>
        <v>CEILINGS &amp; WALLS</v>
      </c>
      <c r="M847" s="14"/>
    </row>
    <row r="848" spans="1:13">
      <c r="A848" s="263"/>
      <c r="B848" s="263"/>
      <c r="C848" s="263" t="s">
        <v>997</v>
      </c>
      <c r="D848" s="263" t="s">
        <v>1007</v>
      </c>
      <c r="E848" s="263"/>
      <c r="F848" s="263"/>
      <c r="G848" s="39" t="str" cm="1">
        <f t="array" ref="G848">IFERROR(INDEX(Table_dim_price_recipe[Retail Price], MATCH(1, ("Calculator"&lt;&gt;Table_dim_price_recipe[Type.display])*($L848=Table_dim_price_recipe[Category])*($D848=Table_dim_price_recipe[Item Description]) * (G$6=Table_dim_price_recipe[Type])*(Table_dim_price_recipe[Retail Price]&lt;&gt;0)*($C848=Table_dim_price_recipe[Subcategory]), 0))*$B848,"")</f>
        <v/>
      </c>
      <c r="H848" s="39" cm="1">
        <f t="array" ref="H848">IFERROR(INDEX(Table_dim_price_recipe[Retail Price], MATCH(1, ("Calculator"&lt;&gt;Table_dim_price_recipe[Type.display])*($L848=Table_dim_price_recipe[Category])*($D848=Table_dim_price_recipe[Item Description]) * (H$6=Table_dim_price_recipe[Type])*(Table_dim_price_recipe[Retail Price]&lt;&gt;0)*($C848=Table_dim_price_recipe[Subcategory]), 0))*$B848,"")</f>
        <v>0</v>
      </c>
      <c r="I848" s="39" t="str" cm="1">
        <f t="array" ref="I848">IFERROR(INDEX(Table_dim_price_recipe[Retail Price], MATCH(1, ("Calculator"&lt;&gt;Table_dim_price_recipe[Type.display])*($L848=Table_dim_price_recipe[Category])*($D848=Table_dim_price_recipe[Item Description]) * (I$6=Table_dim_price_recipe[Type])*(Table_dim_price_recipe[Retail Price]&lt;&gt;0)*($C848=Table_dim_price_recipe[Subcategory]), 0))*$B848,"")</f>
        <v/>
      </c>
      <c r="J848" s="39" t="str" cm="1">
        <f t="array" ref="J848">IFERROR(INDEX(Table_dim_price_recipe[Retail Price], MATCH(1, ("Calculator"&lt;&gt;Table_dim_price_recipe[Type.display])*($L848=Table_dim_price_recipe[Category])*($D848=Table_dim_price_recipe[Item Description]) * (J$6=Table_dim_price_recipe[Type])*(Table_dim_price_recipe[Retail Price]&lt;&gt;0)*($C848=Table_dim_price_recipe[Subcategory]), 0))*$B848,"")</f>
        <v/>
      </c>
      <c r="K848" s="39" t="str" cm="1">
        <f t="array" ref="K848">IFERROR(INDEX(Table_dim_price_recipe[Retail Price], MATCH(1, ("Calculator"&lt;&gt;Table_dim_price_recipe[Type.display])*($L848=Table_dim_price_recipe[Category])*($D848=Table_dim_price_recipe[Item Description]) * (K$6=Table_dim_price_recipe[Type])*(Table_dim_price_recipe[Retail Price]&lt;&gt;0)*($C848=Table_dim_price_recipe[Subcategory]), 0))*$B848,"")</f>
        <v/>
      </c>
      <c r="L848" s="39" t="str" cm="1">
        <f t="array" ref="L848">IF($A848&lt;&gt;"", $A848, LOOKUP(2, 1/((A$7:INDEX(A:A, ROW()))&lt;&gt;""), A$7:INDEX(A:A, ROW())))</f>
        <v>CEILINGS &amp; WALLS</v>
      </c>
      <c r="M848" s="14"/>
    </row>
    <row r="849" spans="1:13">
      <c r="A849" s="263"/>
      <c r="B849" s="263"/>
      <c r="C849" s="263" t="s">
        <v>997</v>
      </c>
      <c r="D849" s="263" t="s">
        <v>1009</v>
      </c>
      <c r="E849" s="263"/>
      <c r="F849" s="263"/>
      <c r="G849" s="39" t="str" cm="1">
        <f t="array" ref="G849">IFERROR(INDEX(Table_dim_price_recipe[Retail Price], MATCH(1, ("Calculator"&lt;&gt;Table_dim_price_recipe[Type.display])*($L849=Table_dim_price_recipe[Category])*($D849=Table_dim_price_recipe[Item Description]) * (G$6=Table_dim_price_recipe[Type])*(Table_dim_price_recipe[Retail Price]&lt;&gt;0)*($C849=Table_dim_price_recipe[Subcategory]), 0))*$B849,"")</f>
        <v/>
      </c>
      <c r="H849" s="39" cm="1">
        <f t="array" ref="H849">IFERROR(INDEX(Table_dim_price_recipe[Retail Price], MATCH(1, ("Calculator"&lt;&gt;Table_dim_price_recipe[Type.display])*($L849=Table_dim_price_recipe[Category])*($D849=Table_dim_price_recipe[Item Description]) * (H$6=Table_dim_price_recipe[Type])*(Table_dim_price_recipe[Retail Price]&lt;&gt;0)*($C849=Table_dim_price_recipe[Subcategory]), 0))*$B849,"")</f>
        <v>0</v>
      </c>
      <c r="I849" s="39" t="str" cm="1">
        <f t="array" ref="I849">IFERROR(INDEX(Table_dim_price_recipe[Retail Price], MATCH(1, ("Calculator"&lt;&gt;Table_dim_price_recipe[Type.display])*($L849=Table_dim_price_recipe[Category])*($D849=Table_dim_price_recipe[Item Description]) * (I$6=Table_dim_price_recipe[Type])*(Table_dim_price_recipe[Retail Price]&lt;&gt;0)*($C849=Table_dim_price_recipe[Subcategory]), 0))*$B849,"")</f>
        <v/>
      </c>
      <c r="J849" s="39" t="str" cm="1">
        <f t="array" ref="J849">IFERROR(INDEX(Table_dim_price_recipe[Retail Price], MATCH(1, ("Calculator"&lt;&gt;Table_dim_price_recipe[Type.display])*($L849=Table_dim_price_recipe[Category])*($D849=Table_dim_price_recipe[Item Description]) * (J$6=Table_dim_price_recipe[Type])*(Table_dim_price_recipe[Retail Price]&lt;&gt;0)*($C849=Table_dim_price_recipe[Subcategory]), 0))*$B849,"")</f>
        <v/>
      </c>
      <c r="K849" s="39" t="str" cm="1">
        <f t="array" ref="K849">IFERROR(INDEX(Table_dim_price_recipe[Retail Price], MATCH(1, ("Calculator"&lt;&gt;Table_dim_price_recipe[Type.display])*($L849=Table_dim_price_recipe[Category])*($D849=Table_dim_price_recipe[Item Description]) * (K$6=Table_dim_price_recipe[Type])*(Table_dim_price_recipe[Retail Price]&lt;&gt;0)*($C849=Table_dim_price_recipe[Subcategory]), 0))*$B849,"")</f>
        <v/>
      </c>
      <c r="L849" s="39" t="str" cm="1">
        <f t="array" ref="L849">IF($A849&lt;&gt;"", $A849, LOOKUP(2, 1/((A$7:INDEX(A:A, ROW()))&lt;&gt;""), A$7:INDEX(A:A, ROW())))</f>
        <v>CEILINGS &amp; WALLS</v>
      </c>
      <c r="M849" s="14"/>
    </row>
    <row r="850" spans="1:13">
      <c r="A850" s="263"/>
      <c r="B850" s="263"/>
      <c r="C850" s="263" t="s">
        <v>997</v>
      </c>
      <c r="D850" s="263" t="s">
        <v>1011</v>
      </c>
      <c r="E850" s="263"/>
      <c r="F850" s="263"/>
      <c r="G850" s="39" t="str" cm="1">
        <f t="array" ref="G850">IFERROR(INDEX(Table_dim_price_recipe[Retail Price], MATCH(1, ("Calculator"&lt;&gt;Table_dim_price_recipe[Type.display])*($L850=Table_dim_price_recipe[Category])*($D850=Table_dim_price_recipe[Item Description]) * (G$6=Table_dim_price_recipe[Type])*(Table_dim_price_recipe[Retail Price]&lt;&gt;0)*($C850=Table_dim_price_recipe[Subcategory]), 0))*$B850,"")</f>
        <v/>
      </c>
      <c r="H850" s="39" t="str" cm="1">
        <f t="array" ref="H850">IFERROR(INDEX(Table_dim_price_recipe[Retail Price], MATCH(1, ("Calculator"&lt;&gt;Table_dim_price_recipe[Type.display])*($L850=Table_dim_price_recipe[Category])*($D850=Table_dim_price_recipe[Item Description]) * (H$6=Table_dim_price_recipe[Type])*(Table_dim_price_recipe[Retail Price]&lt;&gt;0)*($C850=Table_dim_price_recipe[Subcategory]), 0))*$B850,"")</f>
        <v/>
      </c>
      <c r="I850" s="39" t="str" cm="1">
        <f t="array" ref="I850">IFERROR(INDEX(Table_dim_price_recipe[Retail Price], MATCH(1, ("Calculator"&lt;&gt;Table_dim_price_recipe[Type.display])*($L850=Table_dim_price_recipe[Category])*($D850=Table_dim_price_recipe[Item Description]) * (I$6=Table_dim_price_recipe[Type])*(Table_dim_price_recipe[Retail Price]&lt;&gt;0)*($C850=Table_dim_price_recipe[Subcategory]), 0))*$B850,"")</f>
        <v/>
      </c>
      <c r="J850" s="39" t="str" cm="1">
        <f t="array" ref="J850">IFERROR(INDEX(Table_dim_price_recipe[Retail Price], MATCH(1, ("Calculator"&lt;&gt;Table_dim_price_recipe[Type.display])*($L850=Table_dim_price_recipe[Category])*($D850=Table_dim_price_recipe[Item Description]) * (J$6=Table_dim_price_recipe[Type])*(Table_dim_price_recipe[Retail Price]&lt;&gt;0)*($C850=Table_dim_price_recipe[Subcategory]), 0))*$B850,"")</f>
        <v/>
      </c>
      <c r="K850" s="39" t="str" cm="1">
        <f t="array" ref="K850">IFERROR(INDEX(Table_dim_price_recipe[Retail Price], MATCH(1, ("Calculator"&lt;&gt;Table_dim_price_recipe[Type.display])*($L850=Table_dim_price_recipe[Category])*($D850=Table_dim_price_recipe[Item Description]) * (K$6=Table_dim_price_recipe[Type])*(Table_dim_price_recipe[Retail Price]&lt;&gt;0)*($C850=Table_dim_price_recipe[Subcategory]), 0))*$B850,"")</f>
        <v/>
      </c>
      <c r="L850" s="39" t="str" cm="1">
        <f t="array" ref="L850">IF($A850&lt;&gt;"", $A850, LOOKUP(2, 1/((A$7:INDEX(A:A, ROW()))&lt;&gt;""), A$7:INDEX(A:A, ROW())))</f>
        <v>CEILINGS &amp; WALLS</v>
      </c>
      <c r="M850" s="14"/>
    </row>
    <row r="851" spans="1:13">
      <c r="A851" s="263"/>
      <c r="B851" s="263"/>
      <c r="C851" s="263" t="s">
        <v>997</v>
      </c>
      <c r="D851" s="263" t="s">
        <v>1012</v>
      </c>
      <c r="E851" s="263"/>
      <c r="F851" s="263"/>
      <c r="G851" s="39" t="str" cm="1">
        <f t="array" ref="G851">IFERROR(INDEX(Table_dim_price_recipe[Retail Price], MATCH(1, ("Calculator"&lt;&gt;Table_dim_price_recipe[Type.display])*($L851=Table_dim_price_recipe[Category])*($D851=Table_dim_price_recipe[Item Description]) * (G$6=Table_dim_price_recipe[Type])*(Table_dim_price_recipe[Retail Price]&lt;&gt;0)*($C851=Table_dim_price_recipe[Subcategory]), 0))*$B851,"")</f>
        <v/>
      </c>
      <c r="H851" s="39" cm="1">
        <f t="array" ref="H851">IFERROR(INDEX(Table_dim_price_recipe[Retail Price], MATCH(1, ("Calculator"&lt;&gt;Table_dim_price_recipe[Type.display])*($L851=Table_dim_price_recipe[Category])*($D851=Table_dim_price_recipe[Item Description]) * (H$6=Table_dim_price_recipe[Type])*(Table_dim_price_recipe[Retail Price]&lt;&gt;0)*($C851=Table_dim_price_recipe[Subcategory]), 0))*$B851,"")</f>
        <v>0</v>
      </c>
      <c r="I851" s="39" t="str" cm="1">
        <f t="array" ref="I851">IFERROR(INDEX(Table_dim_price_recipe[Retail Price], MATCH(1, ("Calculator"&lt;&gt;Table_dim_price_recipe[Type.display])*($L851=Table_dim_price_recipe[Category])*($D851=Table_dim_price_recipe[Item Description]) * (I$6=Table_dim_price_recipe[Type])*(Table_dim_price_recipe[Retail Price]&lt;&gt;0)*($C851=Table_dim_price_recipe[Subcategory]), 0))*$B851,"")</f>
        <v/>
      </c>
      <c r="J851" s="39" t="str" cm="1">
        <f t="array" ref="J851">IFERROR(INDEX(Table_dim_price_recipe[Retail Price], MATCH(1, ("Calculator"&lt;&gt;Table_dim_price_recipe[Type.display])*($L851=Table_dim_price_recipe[Category])*($D851=Table_dim_price_recipe[Item Description]) * (J$6=Table_dim_price_recipe[Type])*(Table_dim_price_recipe[Retail Price]&lt;&gt;0)*($C851=Table_dim_price_recipe[Subcategory]), 0))*$B851,"")</f>
        <v/>
      </c>
      <c r="K851" s="39" t="str" cm="1">
        <f t="array" ref="K851">IFERROR(INDEX(Table_dim_price_recipe[Retail Price], MATCH(1, ("Calculator"&lt;&gt;Table_dim_price_recipe[Type.display])*($L851=Table_dim_price_recipe[Category])*($D851=Table_dim_price_recipe[Item Description]) * (K$6=Table_dim_price_recipe[Type])*(Table_dim_price_recipe[Retail Price]&lt;&gt;0)*($C851=Table_dim_price_recipe[Subcategory]), 0))*$B851,"")</f>
        <v/>
      </c>
      <c r="L851" s="39" t="str" cm="1">
        <f t="array" ref="L851">IF($A851&lt;&gt;"", $A851, LOOKUP(2, 1/((A$7:INDEX(A:A, ROW()))&lt;&gt;""), A$7:INDEX(A:A, ROW())))</f>
        <v>CEILINGS &amp; WALLS</v>
      </c>
      <c r="M851" s="14"/>
    </row>
    <row r="852" spans="1:13">
      <c r="A852" s="263"/>
      <c r="B852" s="263"/>
      <c r="C852" s="263" t="s">
        <v>997</v>
      </c>
      <c r="D852" s="263" t="s">
        <v>1014</v>
      </c>
      <c r="E852" s="263"/>
      <c r="F852" s="263"/>
      <c r="G852" s="39" t="str" cm="1">
        <f t="array" ref="G852">IFERROR(INDEX(Table_dim_price_recipe[Retail Price], MATCH(1, ("Calculator"&lt;&gt;Table_dim_price_recipe[Type.display])*($L852=Table_dim_price_recipe[Category])*($D852=Table_dim_price_recipe[Item Description]) * (G$6=Table_dim_price_recipe[Type])*(Table_dim_price_recipe[Retail Price]&lt;&gt;0)*($C852=Table_dim_price_recipe[Subcategory]), 0))*$B852,"")</f>
        <v/>
      </c>
      <c r="H852" s="39" cm="1">
        <f t="array" ref="H852">IFERROR(INDEX(Table_dim_price_recipe[Retail Price], MATCH(1, ("Calculator"&lt;&gt;Table_dim_price_recipe[Type.display])*($L852=Table_dim_price_recipe[Category])*($D852=Table_dim_price_recipe[Item Description]) * (H$6=Table_dim_price_recipe[Type])*(Table_dim_price_recipe[Retail Price]&lt;&gt;0)*($C852=Table_dim_price_recipe[Subcategory]), 0))*$B852,"")</f>
        <v>0</v>
      </c>
      <c r="I852" s="39" t="str" cm="1">
        <f t="array" ref="I852">IFERROR(INDEX(Table_dim_price_recipe[Retail Price], MATCH(1, ("Calculator"&lt;&gt;Table_dim_price_recipe[Type.display])*($L852=Table_dim_price_recipe[Category])*($D852=Table_dim_price_recipe[Item Description]) * (I$6=Table_dim_price_recipe[Type])*(Table_dim_price_recipe[Retail Price]&lt;&gt;0)*($C852=Table_dim_price_recipe[Subcategory]), 0))*$B852,"")</f>
        <v/>
      </c>
      <c r="J852" s="39" t="str" cm="1">
        <f t="array" ref="J852">IFERROR(INDEX(Table_dim_price_recipe[Retail Price], MATCH(1, ("Calculator"&lt;&gt;Table_dim_price_recipe[Type.display])*($L852=Table_dim_price_recipe[Category])*($D852=Table_dim_price_recipe[Item Description]) * (J$6=Table_dim_price_recipe[Type])*(Table_dim_price_recipe[Retail Price]&lt;&gt;0)*($C852=Table_dim_price_recipe[Subcategory]), 0))*$B852,"")</f>
        <v/>
      </c>
      <c r="K852" s="39" t="str" cm="1">
        <f t="array" ref="K852">IFERROR(INDEX(Table_dim_price_recipe[Retail Price], MATCH(1, ("Calculator"&lt;&gt;Table_dim_price_recipe[Type.display])*($L852=Table_dim_price_recipe[Category])*($D852=Table_dim_price_recipe[Item Description]) * (K$6=Table_dim_price_recipe[Type])*(Table_dim_price_recipe[Retail Price]&lt;&gt;0)*($C852=Table_dim_price_recipe[Subcategory]), 0))*$B852,"")</f>
        <v/>
      </c>
      <c r="L852" s="39" t="str" cm="1">
        <f t="array" ref="L852">IF($A852&lt;&gt;"", $A852, LOOKUP(2, 1/((A$7:INDEX(A:A, ROW()))&lt;&gt;""), A$7:INDEX(A:A, ROW())))</f>
        <v>CEILINGS &amp; WALLS</v>
      </c>
      <c r="M852" s="14"/>
    </row>
    <row r="853" spans="1:13">
      <c r="A853" s="263"/>
      <c r="B853" s="263"/>
      <c r="C853" s="263" t="s">
        <v>997</v>
      </c>
      <c r="D853" s="263" t="s">
        <v>1008</v>
      </c>
      <c r="E853" s="263"/>
      <c r="F853" s="263"/>
      <c r="G853" s="39" t="str" cm="1">
        <f t="array" ref="G853">IFERROR(INDEX(Table_dim_price_recipe[Retail Price], MATCH(1, ("Calculator"&lt;&gt;Table_dim_price_recipe[Type.display])*($L853=Table_dim_price_recipe[Category])*($D853=Table_dim_price_recipe[Item Description]) * (G$6=Table_dim_price_recipe[Type])*(Table_dim_price_recipe[Retail Price]&lt;&gt;0)*($C853=Table_dim_price_recipe[Subcategory]), 0))*$B853,"")</f>
        <v/>
      </c>
      <c r="H853" s="39" t="str" cm="1">
        <f t="array" ref="H853">IFERROR(INDEX(Table_dim_price_recipe[Retail Price], MATCH(1, ("Calculator"&lt;&gt;Table_dim_price_recipe[Type.display])*($L853=Table_dim_price_recipe[Category])*($D853=Table_dim_price_recipe[Item Description]) * (H$6=Table_dim_price_recipe[Type])*(Table_dim_price_recipe[Retail Price]&lt;&gt;0)*($C853=Table_dim_price_recipe[Subcategory]), 0))*$B853,"")</f>
        <v/>
      </c>
      <c r="I853" s="39" t="str" cm="1">
        <f t="array" ref="I853">IFERROR(INDEX(Table_dim_price_recipe[Retail Price], MATCH(1, ("Calculator"&lt;&gt;Table_dim_price_recipe[Type.display])*($L853=Table_dim_price_recipe[Category])*($D853=Table_dim_price_recipe[Item Description]) * (I$6=Table_dim_price_recipe[Type])*(Table_dim_price_recipe[Retail Price]&lt;&gt;0)*($C853=Table_dim_price_recipe[Subcategory]), 0))*$B853,"")</f>
        <v/>
      </c>
      <c r="J853" s="39" t="str" cm="1">
        <f t="array" ref="J853">IFERROR(INDEX(Table_dim_price_recipe[Retail Price], MATCH(1, ("Calculator"&lt;&gt;Table_dim_price_recipe[Type.display])*($L853=Table_dim_price_recipe[Category])*($D853=Table_dim_price_recipe[Item Description]) * (J$6=Table_dim_price_recipe[Type])*(Table_dim_price_recipe[Retail Price]&lt;&gt;0)*($C853=Table_dim_price_recipe[Subcategory]), 0))*$B853,"")</f>
        <v/>
      </c>
      <c r="K853" s="39" t="str" cm="1">
        <f t="array" ref="K853">IFERROR(INDEX(Table_dim_price_recipe[Retail Price], MATCH(1, ("Calculator"&lt;&gt;Table_dim_price_recipe[Type.display])*($L853=Table_dim_price_recipe[Category])*($D853=Table_dim_price_recipe[Item Description]) * (K$6=Table_dim_price_recipe[Type])*(Table_dim_price_recipe[Retail Price]&lt;&gt;0)*($C853=Table_dim_price_recipe[Subcategory]), 0))*$B853,"")</f>
        <v/>
      </c>
      <c r="L853" s="39" t="str" cm="1">
        <f t="array" ref="L853">IF($A853&lt;&gt;"", $A853, LOOKUP(2, 1/((A$7:INDEX(A:A, ROW()))&lt;&gt;""), A$7:INDEX(A:A, ROW())))</f>
        <v>CEILINGS &amp; WALLS</v>
      </c>
      <c r="M853" s="14"/>
    </row>
    <row r="854" spans="1:13">
      <c r="A854" s="263"/>
      <c r="B854" s="263"/>
      <c r="C854" s="263" t="s">
        <v>997</v>
      </c>
      <c r="D854" s="263" t="s">
        <v>1013</v>
      </c>
      <c r="E854" s="263"/>
      <c r="F854" s="263"/>
      <c r="G854" s="39" t="str" cm="1">
        <f t="array" ref="G854">IFERROR(INDEX(Table_dim_price_recipe[Retail Price], MATCH(1, ("Calculator"&lt;&gt;Table_dim_price_recipe[Type.display])*($L854=Table_dim_price_recipe[Category])*($D854=Table_dim_price_recipe[Item Description]) * (G$6=Table_dim_price_recipe[Type])*(Table_dim_price_recipe[Retail Price]&lt;&gt;0)*($C854=Table_dim_price_recipe[Subcategory]), 0))*$B854,"")</f>
        <v/>
      </c>
      <c r="H854" s="39" cm="1">
        <f t="array" ref="H854">IFERROR(INDEX(Table_dim_price_recipe[Retail Price], MATCH(1, ("Calculator"&lt;&gt;Table_dim_price_recipe[Type.display])*($L854=Table_dim_price_recipe[Category])*($D854=Table_dim_price_recipe[Item Description]) * (H$6=Table_dim_price_recipe[Type])*(Table_dim_price_recipe[Retail Price]&lt;&gt;0)*($C854=Table_dim_price_recipe[Subcategory]), 0))*$B854,"")</f>
        <v>0</v>
      </c>
      <c r="I854" s="39" t="str" cm="1">
        <f t="array" ref="I854">IFERROR(INDEX(Table_dim_price_recipe[Retail Price], MATCH(1, ("Calculator"&lt;&gt;Table_dim_price_recipe[Type.display])*($L854=Table_dim_price_recipe[Category])*($D854=Table_dim_price_recipe[Item Description]) * (I$6=Table_dim_price_recipe[Type])*(Table_dim_price_recipe[Retail Price]&lt;&gt;0)*($C854=Table_dim_price_recipe[Subcategory]), 0))*$B854,"")</f>
        <v/>
      </c>
      <c r="J854" s="39" t="str" cm="1">
        <f t="array" ref="J854">IFERROR(INDEX(Table_dim_price_recipe[Retail Price], MATCH(1, ("Calculator"&lt;&gt;Table_dim_price_recipe[Type.display])*($L854=Table_dim_price_recipe[Category])*($D854=Table_dim_price_recipe[Item Description]) * (J$6=Table_dim_price_recipe[Type])*(Table_dim_price_recipe[Retail Price]&lt;&gt;0)*($C854=Table_dim_price_recipe[Subcategory]), 0))*$B854,"")</f>
        <v/>
      </c>
      <c r="K854" s="39" t="str" cm="1">
        <f t="array" ref="K854">IFERROR(INDEX(Table_dim_price_recipe[Retail Price], MATCH(1, ("Calculator"&lt;&gt;Table_dim_price_recipe[Type.display])*($L854=Table_dim_price_recipe[Category])*($D854=Table_dim_price_recipe[Item Description]) * (K$6=Table_dim_price_recipe[Type])*(Table_dim_price_recipe[Retail Price]&lt;&gt;0)*($C854=Table_dim_price_recipe[Subcategory]), 0))*$B854,"")</f>
        <v/>
      </c>
      <c r="L854" s="39" t="str" cm="1">
        <f t="array" ref="L854">IF($A854&lt;&gt;"", $A854, LOOKUP(2, 1/((A$7:INDEX(A:A, ROW()))&lt;&gt;""), A$7:INDEX(A:A, ROW())))</f>
        <v>CEILINGS &amp; WALLS</v>
      </c>
      <c r="M854" s="14"/>
    </row>
    <row r="855" spans="1:13">
      <c r="A855" s="263"/>
      <c r="B855" s="263"/>
      <c r="C855" s="263" t="s">
        <v>997</v>
      </c>
      <c r="D855" s="263" t="s">
        <v>1010</v>
      </c>
      <c r="E855" s="263"/>
      <c r="F855" s="263"/>
      <c r="G855" s="39" t="str" cm="1">
        <f t="array" ref="G855">IFERROR(INDEX(Table_dim_price_recipe[Retail Price], MATCH(1, ("Calculator"&lt;&gt;Table_dim_price_recipe[Type.display])*($L855=Table_dim_price_recipe[Category])*($D855=Table_dim_price_recipe[Item Description]) * (G$6=Table_dim_price_recipe[Type])*(Table_dim_price_recipe[Retail Price]&lt;&gt;0)*($C855=Table_dim_price_recipe[Subcategory]), 0))*$B855,"")</f>
        <v/>
      </c>
      <c r="H855" s="39" cm="1">
        <f t="array" ref="H855">IFERROR(INDEX(Table_dim_price_recipe[Retail Price], MATCH(1, ("Calculator"&lt;&gt;Table_dim_price_recipe[Type.display])*($L855=Table_dim_price_recipe[Category])*($D855=Table_dim_price_recipe[Item Description]) * (H$6=Table_dim_price_recipe[Type])*(Table_dim_price_recipe[Retail Price]&lt;&gt;0)*($C855=Table_dim_price_recipe[Subcategory]), 0))*$B855,"")</f>
        <v>0</v>
      </c>
      <c r="I855" s="39" t="str" cm="1">
        <f t="array" ref="I855">IFERROR(INDEX(Table_dim_price_recipe[Retail Price], MATCH(1, ("Calculator"&lt;&gt;Table_dim_price_recipe[Type.display])*($L855=Table_dim_price_recipe[Category])*($D855=Table_dim_price_recipe[Item Description]) * (I$6=Table_dim_price_recipe[Type])*(Table_dim_price_recipe[Retail Price]&lt;&gt;0)*($C855=Table_dim_price_recipe[Subcategory]), 0))*$B855,"")</f>
        <v/>
      </c>
      <c r="J855" s="39" t="str" cm="1">
        <f t="array" ref="J855">IFERROR(INDEX(Table_dim_price_recipe[Retail Price], MATCH(1, ("Calculator"&lt;&gt;Table_dim_price_recipe[Type.display])*($L855=Table_dim_price_recipe[Category])*($D855=Table_dim_price_recipe[Item Description]) * (J$6=Table_dim_price_recipe[Type])*(Table_dim_price_recipe[Retail Price]&lt;&gt;0)*($C855=Table_dim_price_recipe[Subcategory]), 0))*$B855,"")</f>
        <v/>
      </c>
      <c r="K855" s="39" t="str" cm="1">
        <f t="array" ref="K855">IFERROR(INDEX(Table_dim_price_recipe[Retail Price], MATCH(1, ("Calculator"&lt;&gt;Table_dim_price_recipe[Type.display])*($L855=Table_dim_price_recipe[Category])*($D855=Table_dim_price_recipe[Item Description]) * (K$6=Table_dim_price_recipe[Type])*(Table_dim_price_recipe[Retail Price]&lt;&gt;0)*($C855=Table_dim_price_recipe[Subcategory]), 0))*$B855,"")</f>
        <v/>
      </c>
      <c r="L855" s="39" t="str" cm="1">
        <f t="array" ref="L855">IF($A855&lt;&gt;"", $A855, LOOKUP(2, 1/((A$7:INDEX(A:A, ROW()))&lt;&gt;""), A$7:INDEX(A:A, ROW())))</f>
        <v>CEILINGS &amp; WALLS</v>
      </c>
      <c r="M855" s="14"/>
    </row>
    <row r="856" spans="1:13">
      <c r="A856" s="263"/>
      <c r="B856" s="263"/>
      <c r="C856" s="263" t="s">
        <v>997</v>
      </c>
      <c r="D856" s="263" t="s">
        <v>1174</v>
      </c>
      <c r="E856" s="263"/>
      <c r="F856" s="263"/>
      <c r="G856" s="39" t="str" cm="1">
        <f t="array" ref="G856">IFERROR(INDEX(Table_dim_price_recipe[Retail Price], MATCH(1, ("Calculator"&lt;&gt;Table_dim_price_recipe[Type.display])*($L856=Table_dim_price_recipe[Category])*($D856=Table_dim_price_recipe[Item Description]) * (G$6=Table_dim_price_recipe[Type])*(Table_dim_price_recipe[Retail Price]&lt;&gt;0)*($C856=Table_dim_price_recipe[Subcategory]), 0))*$B856,"")</f>
        <v/>
      </c>
      <c r="H856" s="39" cm="1">
        <f t="array" ref="H856">IFERROR(INDEX(Table_dim_price_recipe[Retail Price], MATCH(1, ("Calculator"&lt;&gt;Table_dim_price_recipe[Type.display])*($L856=Table_dim_price_recipe[Category])*($D856=Table_dim_price_recipe[Item Description]) * (H$6=Table_dim_price_recipe[Type])*(Table_dim_price_recipe[Retail Price]&lt;&gt;0)*($C856=Table_dim_price_recipe[Subcategory]), 0))*$B856,"")</f>
        <v>0</v>
      </c>
      <c r="I856" s="39" t="str" cm="1">
        <f t="array" ref="I856">IFERROR(INDEX(Table_dim_price_recipe[Retail Price], MATCH(1, ("Calculator"&lt;&gt;Table_dim_price_recipe[Type.display])*($L856=Table_dim_price_recipe[Category])*($D856=Table_dim_price_recipe[Item Description]) * (I$6=Table_dim_price_recipe[Type])*(Table_dim_price_recipe[Retail Price]&lt;&gt;0)*($C856=Table_dim_price_recipe[Subcategory]), 0))*$B856,"")</f>
        <v/>
      </c>
      <c r="J856" s="39" t="str" cm="1">
        <f t="array" ref="J856">IFERROR(INDEX(Table_dim_price_recipe[Retail Price], MATCH(1, ("Calculator"&lt;&gt;Table_dim_price_recipe[Type.display])*($L856=Table_dim_price_recipe[Category])*($D856=Table_dim_price_recipe[Item Description]) * (J$6=Table_dim_price_recipe[Type])*(Table_dim_price_recipe[Retail Price]&lt;&gt;0)*($C856=Table_dim_price_recipe[Subcategory]), 0))*$B856,"")</f>
        <v/>
      </c>
      <c r="K856" s="39" t="str" cm="1">
        <f t="array" ref="K856">IFERROR(INDEX(Table_dim_price_recipe[Retail Price], MATCH(1, ("Calculator"&lt;&gt;Table_dim_price_recipe[Type.display])*($L856=Table_dim_price_recipe[Category])*($D856=Table_dim_price_recipe[Item Description]) * (K$6=Table_dim_price_recipe[Type])*(Table_dim_price_recipe[Retail Price]&lt;&gt;0)*($C856=Table_dim_price_recipe[Subcategory]), 0))*$B856,"")</f>
        <v/>
      </c>
      <c r="L856" s="39" t="str" cm="1">
        <f t="array" ref="L856">IF($A856&lt;&gt;"", $A856, LOOKUP(2, 1/((A$7:INDEX(A:A, ROW()))&lt;&gt;""), A$7:INDEX(A:A, ROW())))</f>
        <v>CEILINGS &amp; WALLS</v>
      </c>
      <c r="M856" s="14"/>
    </row>
    <row r="857" spans="1:13">
      <c r="A857" s="263"/>
      <c r="B857" s="263"/>
      <c r="C857" s="263" t="s">
        <v>997</v>
      </c>
      <c r="D857" s="263" t="s">
        <v>1173</v>
      </c>
      <c r="E857" s="263"/>
      <c r="F857" s="263"/>
      <c r="G857" s="39" t="str" cm="1">
        <f t="array" ref="G857">IFERROR(INDEX(Table_dim_price_recipe[Retail Price], MATCH(1, ("Calculator"&lt;&gt;Table_dim_price_recipe[Type.display])*($L857=Table_dim_price_recipe[Category])*($D857=Table_dim_price_recipe[Item Description]) * (G$6=Table_dim_price_recipe[Type])*(Table_dim_price_recipe[Retail Price]&lt;&gt;0)*($C857=Table_dim_price_recipe[Subcategory]), 0))*$B857,"")</f>
        <v/>
      </c>
      <c r="H857" s="39" cm="1">
        <f t="array" ref="H857">IFERROR(INDEX(Table_dim_price_recipe[Retail Price], MATCH(1, ("Calculator"&lt;&gt;Table_dim_price_recipe[Type.display])*($L857=Table_dim_price_recipe[Category])*($D857=Table_dim_price_recipe[Item Description]) * (H$6=Table_dim_price_recipe[Type])*(Table_dim_price_recipe[Retail Price]&lt;&gt;0)*($C857=Table_dim_price_recipe[Subcategory]), 0))*$B857,"")</f>
        <v>0</v>
      </c>
      <c r="I857" s="39" t="str" cm="1">
        <f t="array" ref="I857">IFERROR(INDEX(Table_dim_price_recipe[Retail Price], MATCH(1, ("Calculator"&lt;&gt;Table_dim_price_recipe[Type.display])*($L857=Table_dim_price_recipe[Category])*($D857=Table_dim_price_recipe[Item Description]) * (I$6=Table_dim_price_recipe[Type])*(Table_dim_price_recipe[Retail Price]&lt;&gt;0)*($C857=Table_dim_price_recipe[Subcategory]), 0))*$B857,"")</f>
        <v/>
      </c>
      <c r="J857" s="39" t="str" cm="1">
        <f t="array" ref="J857">IFERROR(INDEX(Table_dim_price_recipe[Retail Price], MATCH(1, ("Calculator"&lt;&gt;Table_dim_price_recipe[Type.display])*($L857=Table_dim_price_recipe[Category])*($D857=Table_dim_price_recipe[Item Description]) * (J$6=Table_dim_price_recipe[Type])*(Table_dim_price_recipe[Retail Price]&lt;&gt;0)*($C857=Table_dim_price_recipe[Subcategory]), 0))*$B857,"")</f>
        <v/>
      </c>
      <c r="K857" s="39" t="str" cm="1">
        <f t="array" ref="K857">IFERROR(INDEX(Table_dim_price_recipe[Retail Price], MATCH(1, ("Calculator"&lt;&gt;Table_dim_price_recipe[Type.display])*($L857=Table_dim_price_recipe[Category])*($D857=Table_dim_price_recipe[Item Description]) * (K$6=Table_dim_price_recipe[Type])*(Table_dim_price_recipe[Retail Price]&lt;&gt;0)*($C857=Table_dim_price_recipe[Subcategory]), 0))*$B857,"")</f>
        <v/>
      </c>
      <c r="L857" s="39" t="str" cm="1">
        <f t="array" ref="L857">IF($A857&lt;&gt;"", $A857, LOOKUP(2, 1/((A$7:INDEX(A:A, ROW()))&lt;&gt;""), A$7:INDEX(A:A, ROW())))</f>
        <v>CEILINGS &amp; WALLS</v>
      </c>
      <c r="M857" s="14"/>
    </row>
    <row r="858" spans="1:13">
      <c r="A858" s="263"/>
      <c r="B858" s="263"/>
      <c r="C858" s="263" t="s">
        <v>997</v>
      </c>
      <c r="D858" s="263" t="s">
        <v>1001</v>
      </c>
      <c r="E858" s="263"/>
      <c r="F858" s="263"/>
      <c r="G858" s="39" t="str" cm="1">
        <f t="array" ref="G858">IFERROR(INDEX(Table_dim_price_recipe[Retail Price], MATCH(1, ("Calculator"&lt;&gt;Table_dim_price_recipe[Type.display])*($L858=Table_dim_price_recipe[Category])*($D858=Table_dim_price_recipe[Item Description]) * (G$6=Table_dim_price_recipe[Type])*(Table_dim_price_recipe[Retail Price]&lt;&gt;0)*($C858=Table_dim_price_recipe[Subcategory]), 0))*$B858,"")</f>
        <v/>
      </c>
      <c r="H858" s="39" t="str" cm="1">
        <f t="array" ref="H858">IFERROR(INDEX(Table_dim_price_recipe[Retail Price], MATCH(1, ("Calculator"&lt;&gt;Table_dim_price_recipe[Type.display])*($L858=Table_dim_price_recipe[Category])*($D858=Table_dim_price_recipe[Item Description]) * (H$6=Table_dim_price_recipe[Type])*(Table_dim_price_recipe[Retail Price]&lt;&gt;0)*($C858=Table_dim_price_recipe[Subcategory]), 0))*$B858,"")</f>
        <v/>
      </c>
      <c r="I858" s="39" t="str" cm="1">
        <f t="array" ref="I858">IFERROR(INDEX(Table_dim_price_recipe[Retail Price], MATCH(1, ("Calculator"&lt;&gt;Table_dim_price_recipe[Type.display])*($L858=Table_dim_price_recipe[Category])*($D858=Table_dim_price_recipe[Item Description]) * (I$6=Table_dim_price_recipe[Type])*(Table_dim_price_recipe[Retail Price]&lt;&gt;0)*($C858=Table_dim_price_recipe[Subcategory]), 0))*$B858,"")</f>
        <v/>
      </c>
      <c r="J858" s="39" t="str" cm="1">
        <f t="array" ref="J858">IFERROR(INDEX(Table_dim_price_recipe[Retail Price], MATCH(1, ("Calculator"&lt;&gt;Table_dim_price_recipe[Type.display])*($L858=Table_dim_price_recipe[Category])*($D858=Table_dim_price_recipe[Item Description]) * (J$6=Table_dim_price_recipe[Type])*(Table_dim_price_recipe[Retail Price]&lt;&gt;0)*($C858=Table_dim_price_recipe[Subcategory]), 0))*$B858,"")</f>
        <v/>
      </c>
      <c r="K858" s="39" t="str" cm="1">
        <f t="array" ref="K858">IFERROR(INDEX(Table_dim_price_recipe[Retail Price], MATCH(1, ("Calculator"&lt;&gt;Table_dim_price_recipe[Type.display])*($L858=Table_dim_price_recipe[Category])*($D858=Table_dim_price_recipe[Item Description]) * (K$6=Table_dim_price_recipe[Type])*(Table_dim_price_recipe[Retail Price]&lt;&gt;0)*($C858=Table_dim_price_recipe[Subcategory]), 0))*$B858,"")</f>
        <v/>
      </c>
      <c r="L858" s="39" t="str" cm="1">
        <f t="array" ref="L858">IF($A858&lt;&gt;"", $A858, LOOKUP(2, 1/((A$7:INDEX(A:A, ROW()))&lt;&gt;""), A$7:INDEX(A:A, ROW())))</f>
        <v>CEILINGS &amp; WALLS</v>
      </c>
      <c r="M858" s="14"/>
    </row>
    <row r="859" spans="1:13">
      <c r="A859" s="263"/>
      <c r="B859" s="263"/>
      <c r="C859" s="263" t="s">
        <v>997</v>
      </c>
      <c r="D859" s="263" t="s">
        <v>1000</v>
      </c>
      <c r="E859" s="263"/>
      <c r="F859" s="263"/>
      <c r="G859" s="39" t="str" cm="1">
        <f t="array" ref="G859">IFERROR(INDEX(Table_dim_price_recipe[Retail Price], MATCH(1, ("Calculator"&lt;&gt;Table_dim_price_recipe[Type.display])*($L859=Table_dim_price_recipe[Category])*($D859=Table_dim_price_recipe[Item Description]) * (G$6=Table_dim_price_recipe[Type])*(Table_dim_price_recipe[Retail Price]&lt;&gt;0)*($C859=Table_dim_price_recipe[Subcategory]), 0))*$B859,"")</f>
        <v/>
      </c>
      <c r="H859" s="39" cm="1">
        <f t="array" ref="H859">IFERROR(INDEX(Table_dim_price_recipe[Retail Price], MATCH(1, ("Calculator"&lt;&gt;Table_dim_price_recipe[Type.display])*($L859=Table_dim_price_recipe[Category])*($D859=Table_dim_price_recipe[Item Description]) * (H$6=Table_dim_price_recipe[Type])*(Table_dim_price_recipe[Retail Price]&lt;&gt;0)*($C859=Table_dim_price_recipe[Subcategory]), 0))*$B859,"")</f>
        <v>0</v>
      </c>
      <c r="I859" s="39" t="str" cm="1">
        <f t="array" ref="I859">IFERROR(INDEX(Table_dim_price_recipe[Retail Price], MATCH(1, ("Calculator"&lt;&gt;Table_dim_price_recipe[Type.display])*($L859=Table_dim_price_recipe[Category])*($D859=Table_dim_price_recipe[Item Description]) * (I$6=Table_dim_price_recipe[Type])*(Table_dim_price_recipe[Retail Price]&lt;&gt;0)*($C859=Table_dim_price_recipe[Subcategory]), 0))*$B859,"")</f>
        <v/>
      </c>
      <c r="J859" s="39" t="str" cm="1">
        <f t="array" ref="J859">IFERROR(INDEX(Table_dim_price_recipe[Retail Price], MATCH(1, ("Calculator"&lt;&gt;Table_dim_price_recipe[Type.display])*($L859=Table_dim_price_recipe[Category])*($D859=Table_dim_price_recipe[Item Description]) * (J$6=Table_dim_price_recipe[Type])*(Table_dim_price_recipe[Retail Price]&lt;&gt;0)*($C859=Table_dim_price_recipe[Subcategory]), 0))*$B859,"")</f>
        <v/>
      </c>
      <c r="K859" s="39" t="str" cm="1">
        <f t="array" ref="K859">IFERROR(INDEX(Table_dim_price_recipe[Retail Price], MATCH(1, ("Calculator"&lt;&gt;Table_dim_price_recipe[Type.display])*($L859=Table_dim_price_recipe[Category])*($D859=Table_dim_price_recipe[Item Description]) * (K$6=Table_dim_price_recipe[Type])*(Table_dim_price_recipe[Retail Price]&lt;&gt;0)*($C859=Table_dim_price_recipe[Subcategory]), 0))*$B859,"")</f>
        <v/>
      </c>
      <c r="L859" s="39" t="str" cm="1">
        <f t="array" ref="L859">IF($A859&lt;&gt;"", $A859, LOOKUP(2, 1/((A$7:INDEX(A:A, ROW()))&lt;&gt;""), A$7:INDEX(A:A, ROW())))</f>
        <v>CEILINGS &amp; WALLS</v>
      </c>
      <c r="M859" s="14"/>
    </row>
    <row r="860" spans="1:13">
      <c r="A860" s="263"/>
      <c r="B860" s="263"/>
      <c r="C860" s="263" t="s">
        <v>997</v>
      </c>
      <c r="D860" s="263" t="s">
        <v>1005</v>
      </c>
      <c r="E860" s="263"/>
      <c r="F860" s="263"/>
      <c r="G860" s="39" t="str" cm="1">
        <f t="array" ref="G860">IFERROR(INDEX(Table_dim_price_recipe[Retail Price], MATCH(1, ("Calculator"&lt;&gt;Table_dim_price_recipe[Type.display])*($L860=Table_dim_price_recipe[Category])*($D860=Table_dim_price_recipe[Item Description]) * (G$6=Table_dim_price_recipe[Type])*(Table_dim_price_recipe[Retail Price]&lt;&gt;0)*($C860=Table_dim_price_recipe[Subcategory]), 0))*$B860,"")</f>
        <v/>
      </c>
      <c r="H860" s="39" t="str" cm="1">
        <f t="array" ref="H860">IFERROR(INDEX(Table_dim_price_recipe[Retail Price], MATCH(1, ("Calculator"&lt;&gt;Table_dim_price_recipe[Type.display])*($L860=Table_dim_price_recipe[Category])*($D860=Table_dim_price_recipe[Item Description]) * (H$6=Table_dim_price_recipe[Type])*(Table_dim_price_recipe[Retail Price]&lt;&gt;0)*($C860=Table_dim_price_recipe[Subcategory]), 0))*$B860,"")</f>
        <v/>
      </c>
      <c r="I860" s="39" t="str" cm="1">
        <f t="array" ref="I860">IFERROR(INDEX(Table_dim_price_recipe[Retail Price], MATCH(1, ("Calculator"&lt;&gt;Table_dim_price_recipe[Type.display])*($L860=Table_dim_price_recipe[Category])*($D860=Table_dim_price_recipe[Item Description]) * (I$6=Table_dim_price_recipe[Type])*(Table_dim_price_recipe[Retail Price]&lt;&gt;0)*($C860=Table_dim_price_recipe[Subcategory]), 0))*$B860,"")</f>
        <v/>
      </c>
      <c r="J860" s="39" t="str" cm="1">
        <f t="array" ref="J860">IFERROR(INDEX(Table_dim_price_recipe[Retail Price], MATCH(1, ("Calculator"&lt;&gt;Table_dim_price_recipe[Type.display])*($L860=Table_dim_price_recipe[Category])*($D860=Table_dim_price_recipe[Item Description]) * (J$6=Table_dim_price_recipe[Type])*(Table_dim_price_recipe[Retail Price]&lt;&gt;0)*($C860=Table_dim_price_recipe[Subcategory]), 0))*$B860,"")</f>
        <v/>
      </c>
      <c r="K860" s="39" t="str" cm="1">
        <f t="array" ref="K860">IFERROR(INDEX(Table_dim_price_recipe[Retail Price], MATCH(1, ("Calculator"&lt;&gt;Table_dim_price_recipe[Type.display])*($L860=Table_dim_price_recipe[Category])*($D860=Table_dim_price_recipe[Item Description]) * (K$6=Table_dim_price_recipe[Type])*(Table_dim_price_recipe[Retail Price]&lt;&gt;0)*($C860=Table_dim_price_recipe[Subcategory]), 0))*$B860,"")</f>
        <v/>
      </c>
      <c r="L860" s="39" t="str" cm="1">
        <f t="array" ref="L860">IF($A860&lt;&gt;"", $A860, LOOKUP(2, 1/((A$7:INDEX(A:A, ROW()))&lt;&gt;""), A$7:INDEX(A:A, ROW())))</f>
        <v>CEILINGS &amp; WALLS</v>
      </c>
      <c r="M860" s="14"/>
    </row>
    <row r="861" spans="1:13">
      <c r="A861" s="263"/>
      <c r="B861" s="263"/>
      <c r="C861" s="263" t="s">
        <v>997</v>
      </c>
      <c r="D861" s="263"/>
      <c r="E861" s="263"/>
      <c r="F861" s="263"/>
      <c r="G861" s="39" t="str" cm="1">
        <f t="array" ref="G861">IFERROR(INDEX(Table_dim_price_recipe[Retail Price], MATCH(1, ("Calculator"&lt;&gt;Table_dim_price_recipe[Type.display])*($L861=Table_dim_price_recipe[Category])*($D861=Table_dim_price_recipe[Item Description]) * (G$6=Table_dim_price_recipe[Type])*(Table_dim_price_recipe[Retail Price]&lt;&gt;0)*($C861=Table_dim_price_recipe[Subcategory]), 0))*$B861,"")</f>
        <v/>
      </c>
      <c r="H861" s="39" cm="1">
        <f t="array" ref="H861">IFERROR(INDEX(Table_dim_price_recipe[Retail Price], MATCH(1, ("Calculator"&lt;&gt;Table_dim_price_recipe[Type.display])*($L861=Table_dim_price_recipe[Category])*($D861=Table_dim_price_recipe[Item Description]) * (H$6=Table_dim_price_recipe[Type])*(Table_dim_price_recipe[Retail Price]&lt;&gt;0)*($C861=Table_dim_price_recipe[Subcategory]), 0))*$B861,"")</f>
        <v>0</v>
      </c>
      <c r="I861" s="39" t="str" cm="1">
        <f t="array" ref="I861">IFERROR(INDEX(Table_dim_price_recipe[Retail Price], MATCH(1, ("Calculator"&lt;&gt;Table_dim_price_recipe[Type.display])*($L861=Table_dim_price_recipe[Category])*($D861=Table_dim_price_recipe[Item Description]) * (I$6=Table_dim_price_recipe[Type])*(Table_dim_price_recipe[Retail Price]&lt;&gt;0)*($C861=Table_dim_price_recipe[Subcategory]), 0))*$B861,"")</f>
        <v/>
      </c>
      <c r="J861" s="39" t="str" cm="1">
        <f t="array" ref="J861">IFERROR(INDEX(Table_dim_price_recipe[Retail Price], MATCH(1, ("Calculator"&lt;&gt;Table_dim_price_recipe[Type.display])*($L861=Table_dim_price_recipe[Category])*($D861=Table_dim_price_recipe[Item Description]) * (J$6=Table_dim_price_recipe[Type])*(Table_dim_price_recipe[Retail Price]&lt;&gt;0)*($C861=Table_dim_price_recipe[Subcategory]), 0))*$B861,"")</f>
        <v/>
      </c>
      <c r="K861" s="39" t="str" cm="1">
        <f t="array" ref="K861">IFERROR(INDEX(Table_dim_price_recipe[Retail Price], MATCH(1, ("Calculator"&lt;&gt;Table_dim_price_recipe[Type.display])*($L861=Table_dim_price_recipe[Category])*($D861=Table_dim_price_recipe[Item Description]) * (K$6=Table_dim_price_recipe[Type])*(Table_dim_price_recipe[Retail Price]&lt;&gt;0)*($C861=Table_dim_price_recipe[Subcategory]), 0))*$B861,"")</f>
        <v/>
      </c>
      <c r="L861" s="39" t="str" cm="1">
        <f t="array" ref="L861">IF($A861&lt;&gt;"", $A861, LOOKUP(2, 1/((A$7:INDEX(A:A, ROW()))&lt;&gt;""), A$7:INDEX(A:A, ROW())))</f>
        <v>CEILINGS &amp; WALLS</v>
      </c>
      <c r="M861" s="14"/>
    </row>
    <row r="862" spans="1:13">
      <c r="A862" s="263"/>
      <c r="B862" s="263"/>
      <c r="C862" s="263" t="s">
        <v>997</v>
      </c>
      <c r="D862" s="263"/>
      <c r="E862" s="263"/>
      <c r="F862" s="263"/>
      <c r="G862" s="39" t="str" cm="1">
        <f t="array" ref="G862">IFERROR(INDEX(Table_dim_price_recipe[Retail Price], MATCH(1, ("Calculator"&lt;&gt;Table_dim_price_recipe[Type.display])*($L862=Table_dim_price_recipe[Category])*($D862=Table_dim_price_recipe[Item Description]) * (G$6=Table_dim_price_recipe[Type])*(Table_dim_price_recipe[Retail Price]&lt;&gt;0)*($C862=Table_dim_price_recipe[Subcategory]), 0))*$B862,"")</f>
        <v/>
      </c>
      <c r="H862" s="39" cm="1">
        <f t="array" ref="H862">IFERROR(INDEX(Table_dim_price_recipe[Retail Price], MATCH(1, ("Calculator"&lt;&gt;Table_dim_price_recipe[Type.display])*($L862=Table_dim_price_recipe[Category])*($D862=Table_dim_price_recipe[Item Description]) * (H$6=Table_dim_price_recipe[Type])*(Table_dim_price_recipe[Retail Price]&lt;&gt;0)*($C862=Table_dim_price_recipe[Subcategory]), 0))*$B862,"")</f>
        <v>0</v>
      </c>
      <c r="I862" s="39" t="str" cm="1">
        <f t="array" ref="I862">IFERROR(INDEX(Table_dim_price_recipe[Retail Price], MATCH(1, ("Calculator"&lt;&gt;Table_dim_price_recipe[Type.display])*($L862=Table_dim_price_recipe[Category])*($D862=Table_dim_price_recipe[Item Description]) * (I$6=Table_dim_price_recipe[Type])*(Table_dim_price_recipe[Retail Price]&lt;&gt;0)*($C862=Table_dim_price_recipe[Subcategory]), 0))*$B862,"")</f>
        <v/>
      </c>
      <c r="J862" s="39" t="str" cm="1">
        <f t="array" ref="J862">IFERROR(INDEX(Table_dim_price_recipe[Retail Price], MATCH(1, ("Calculator"&lt;&gt;Table_dim_price_recipe[Type.display])*($L862=Table_dim_price_recipe[Category])*($D862=Table_dim_price_recipe[Item Description]) * (J$6=Table_dim_price_recipe[Type])*(Table_dim_price_recipe[Retail Price]&lt;&gt;0)*($C862=Table_dim_price_recipe[Subcategory]), 0))*$B862,"")</f>
        <v/>
      </c>
      <c r="K862" s="39" t="str" cm="1">
        <f t="array" ref="K862">IFERROR(INDEX(Table_dim_price_recipe[Retail Price], MATCH(1, ("Calculator"&lt;&gt;Table_dim_price_recipe[Type.display])*($L862=Table_dim_price_recipe[Category])*($D862=Table_dim_price_recipe[Item Description]) * (K$6=Table_dim_price_recipe[Type])*(Table_dim_price_recipe[Retail Price]&lt;&gt;0)*($C862=Table_dim_price_recipe[Subcategory]), 0))*$B862,"")</f>
        <v/>
      </c>
      <c r="L862" s="39" t="str" cm="1">
        <f t="array" ref="L862">IF($A862&lt;&gt;"", $A862, LOOKUP(2, 1/((A$7:INDEX(A:A, ROW()))&lt;&gt;""), A$7:INDEX(A:A, ROW())))</f>
        <v>CEILINGS &amp; WALLS</v>
      </c>
      <c r="M862" s="14"/>
    </row>
    <row r="863" spans="1:13">
      <c r="A863" s="263"/>
      <c r="B863" s="263"/>
      <c r="C863" s="263" t="s">
        <v>971</v>
      </c>
      <c r="D863" s="263" t="s">
        <v>973</v>
      </c>
      <c r="E863" s="263"/>
      <c r="F863" s="263"/>
      <c r="G863" s="39" t="str" cm="1">
        <f t="array" ref="G863">IFERROR(INDEX(Table_dim_price_recipe[Retail Price], MATCH(1, ("Calculator"&lt;&gt;Table_dim_price_recipe[Type.display])*($L863=Table_dim_price_recipe[Category])*($D863=Table_dim_price_recipe[Item Description]) * (G$6=Table_dim_price_recipe[Type])*(Table_dim_price_recipe[Retail Price]&lt;&gt;0)*($C863=Table_dim_price_recipe[Subcategory]), 0))*$B863,"")</f>
        <v/>
      </c>
      <c r="H863" s="39" cm="1">
        <f t="array" ref="H863">IFERROR(INDEX(Table_dim_price_recipe[Retail Price], MATCH(1, ("Calculator"&lt;&gt;Table_dim_price_recipe[Type.display])*($L863=Table_dim_price_recipe[Category])*($D863=Table_dim_price_recipe[Item Description]) * (H$6=Table_dim_price_recipe[Type])*(Table_dim_price_recipe[Retail Price]&lt;&gt;0)*($C863=Table_dim_price_recipe[Subcategory]), 0))*$B863,"")</f>
        <v>0</v>
      </c>
      <c r="I863" s="39" t="str" cm="1">
        <f t="array" ref="I863">IFERROR(INDEX(Table_dim_price_recipe[Retail Price], MATCH(1, ("Calculator"&lt;&gt;Table_dim_price_recipe[Type.display])*($L863=Table_dim_price_recipe[Category])*($D863=Table_dim_price_recipe[Item Description]) * (I$6=Table_dim_price_recipe[Type])*(Table_dim_price_recipe[Retail Price]&lt;&gt;0)*($C863=Table_dim_price_recipe[Subcategory]), 0))*$B863,"")</f>
        <v/>
      </c>
      <c r="J863" s="39" t="str" cm="1">
        <f t="array" ref="J863">IFERROR(INDEX(Table_dim_price_recipe[Retail Price], MATCH(1, ("Calculator"&lt;&gt;Table_dim_price_recipe[Type.display])*($L863=Table_dim_price_recipe[Category])*($D863=Table_dim_price_recipe[Item Description]) * (J$6=Table_dim_price_recipe[Type])*(Table_dim_price_recipe[Retail Price]&lt;&gt;0)*($C863=Table_dim_price_recipe[Subcategory]), 0))*$B863,"")</f>
        <v/>
      </c>
      <c r="K863" s="39" t="str" cm="1">
        <f t="array" ref="K863">IFERROR(INDEX(Table_dim_price_recipe[Retail Price], MATCH(1, ("Calculator"&lt;&gt;Table_dim_price_recipe[Type.display])*($L863=Table_dim_price_recipe[Category])*($D863=Table_dim_price_recipe[Item Description]) * (K$6=Table_dim_price_recipe[Type])*(Table_dim_price_recipe[Retail Price]&lt;&gt;0)*($C863=Table_dim_price_recipe[Subcategory]), 0))*$B863,"")</f>
        <v/>
      </c>
      <c r="L863" s="39" t="str" cm="1">
        <f t="array" ref="L863">IF($A863&lt;&gt;"", $A863, LOOKUP(2, 1/((A$7:INDEX(A:A, ROW()))&lt;&gt;""), A$7:INDEX(A:A, ROW())))</f>
        <v>CEILINGS &amp; WALLS</v>
      </c>
      <c r="M863" s="14"/>
    </row>
    <row r="864" spans="1:13">
      <c r="A864" s="263"/>
      <c r="B864" s="263"/>
      <c r="C864" s="263" t="s">
        <v>971</v>
      </c>
      <c r="D864" s="263" t="s">
        <v>974</v>
      </c>
      <c r="E864" s="263"/>
      <c r="F864" s="263"/>
      <c r="G864" s="39" t="str" cm="1">
        <f t="array" ref="G864">IFERROR(INDEX(Table_dim_price_recipe[Retail Price], MATCH(1, ("Calculator"&lt;&gt;Table_dim_price_recipe[Type.display])*($L864=Table_dim_price_recipe[Category])*($D864=Table_dim_price_recipe[Item Description]) * (G$6=Table_dim_price_recipe[Type])*(Table_dim_price_recipe[Retail Price]&lt;&gt;0)*($C864=Table_dim_price_recipe[Subcategory]), 0))*$B864,"")</f>
        <v/>
      </c>
      <c r="H864" s="39" cm="1">
        <f t="array" ref="H864">IFERROR(INDEX(Table_dim_price_recipe[Retail Price], MATCH(1, ("Calculator"&lt;&gt;Table_dim_price_recipe[Type.display])*($L864=Table_dim_price_recipe[Category])*($D864=Table_dim_price_recipe[Item Description]) * (H$6=Table_dim_price_recipe[Type])*(Table_dim_price_recipe[Retail Price]&lt;&gt;0)*($C864=Table_dim_price_recipe[Subcategory]), 0))*$B864,"")</f>
        <v>0</v>
      </c>
      <c r="I864" s="39" t="str" cm="1">
        <f t="array" ref="I864">IFERROR(INDEX(Table_dim_price_recipe[Retail Price], MATCH(1, ("Calculator"&lt;&gt;Table_dim_price_recipe[Type.display])*($L864=Table_dim_price_recipe[Category])*($D864=Table_dim_price_recipe[Item Description]) * (I$6=Table_dim_price_recipe[Type])*(Table_dim_price_recipe[Retail Price]&lt;&gt;0)*($C864=Table_dim_price_recipe[Subcategory]), 0))*$B864,"")</f>
        <v/>
      </c>
      <c r="J864" s="39" t="str" cm="1">
        <f t="array" ref="J864">IFERROR(INDEX(Table_dim_price_recipe[Retail Price], MATCH(1, ("Calculator"&lt;&gt;Table_dim_price_recipe[Type.display])*($L864=Table_dim_price_recipe[Category])*($D864=Table_dim_price_recipe[Item Description]) * (J$6=Table_dim_price_recipe[Type])*(Table_dim_price_recipe[Retail Price]&lt;&gt;0)*($C864=Table_dim_price_recipe[Subcategory]), 0))*$B864,"")</f>
        <v/>
      </c>
      <c r="K864" s="39" t="str" cm="1">
        <f t="array" ref="K864">IFERROR(INDEX(Table_dim_price_recipe[Retail Price], MATCH(1, ("Calculator"&lt;&gt;Table_dim_price_recipe[Type.display])*($L864=Table_dim_price_recipe[Category])*($D864=Table_dim_price_recipe[Item Description]) * (K$6=Table_dim_price_recipe[Type])*(Table_dim_price_recipe[Retail Price]&lt;&gt;0)*($C864=Table_dim_price_recipe[Subcategory]), 0))*$B864,"")</f>
        <v/>
      </c>
      <c r="L864" s="39" t="str" cm="1">
        <f t="array" ref="L864">IF($A864&lt;&gt;"", $A864, LOOKUP(2, 1/((A$7:INDEX(A:A, ROW()))&lt;&gt;""), A$7:INDEX(A:A, ROW())))</f>
        <v>CEILINGS &amp; WALLS</v>
      </c>
      <c r="M864" s="14"/>
    </row>
    <row r="865" spans="1:13">
      <c r="A865" s="263"/>
      <c r="B865" s="263"/>
      <c r="C865" s="263" t="s">
        <v>971</v>
      </c>
      <c r="D865" s="263" t="s">
        <v>972</v>
      </c>
      <c r="E865" s="263"/>
      <c r="F865" s="263"/>
      <c r="G865" s="39" t="str" cm="1">
        <f t="array" ref="G865">IFERROR(INDEX(Table_dim_price_recipe[Retail Price], MATCH(1, ("Calculator"&lt;&gt;Table_dim_price_recipe[Type.display])*($L865=Table_dim_price_recipe[Category])*($D865=Table_dim_price_recipe[Item Description]) * (G$6=Table_dim_price_recipe[Type])*(Table_dim_price_recipe[Retail Price]&lt;&gt;0)*($C865=Table_dim_price_recipe[Subcategory]), 0))*$B865,"")</f>
        <v/>
      </c>
      <c r="H865" s="39" cm="1">
        <f t="array" ref="H865">IFERROR(INDEX(Table_dim_price_recipe[Retail Price], MATCH(1, ("Calculator"&lt;&gt;Table_dim_price_recipe[Type.display])*($L865=Table_dim_price_recipe[Category])*($D865=Table_dim_price_recipe[Item Description]) * (H$6=Table_dim_price_recipe[Type])*(Table_dim_price_recipe[Retail Price]&lt;&gt;0)*($C865=Table_dim_price_recipe[Subcategory]), 0))*$B865,"")</f>
        <v>0</v>
      </c>
      <c r="I865" s="39" t="str" cm="1">
        <f t="array" ref="I865">IFERROR(INDEX(Table_dim_price_recipe[Retail Price], MATCH(1, ("Calculator"&lt;&gt;Table_dim_price_recipe[Type.display])*($L865=Table_dim_price_recipe[Category])*($D865=Table_dim_price_recipe[Item Description]) * (I$6=Table_dim_price_recipe[Type])*(Table_dim_price_recipe[Retail Price]&lt;&gt;0)*($C865=Table_dim_price_recipe[Subcategory]), 0))*$B865,"")</f>
        <v/>
      </c>
      <c r="J865" s="39" t="str" cm="1">
        <f t="array" ref="J865">IFERROR(INDEX(Table_dim_price_recipe[Retail Price], MATCH(1, ("Calculator"&lt;&gt;Table_dim_price_recipe[Type.display])*($L865=Table_dim_price_recipe[Category])*($D865=Table_dim_price_recipe[Item Description]) * (J$6=Table_dim_price_recipe[Type])*(Table_dim_price_recipe[Retail Price]&lt;&gt;0)*($C865=Table_dim_price_recipe[Subcategory]), 0))*$B865,"")</f>
        <v/>
      </c>
      <c r="K865" s="39" t="str" cm="1">
        <f t="array" ref="K865">IFERROR(INDEX(Table_dim_price_recipe[Retail Price], MATCH(1, ("Calculator"&lt;&gt;Table_dim_price_recipe[Type.display])*($L865=Table_dim_price_recipe[Category])*($D865=Table_dim_price_recipe[Item Description]) * (K$6=Table_dim_price_recipe[Type])*(Table_dim_price_recipe[Retail Price]&lt;&gt;0)*($C865=Table_dim_price_recipe[Subcategory]), 0))*$B865,"")</f>
        <v/>
      </c>
      <c r="L865" s="39" t="str" cm="1">
        <f t="array" ref="L865">IF($A865&lt;&gt;"", $A865, LOOKUP(2, 1/((A$7:INDEX(A:A, ROW()))&lt;&gt;""), A$7:INDEX(A:A, ROW())))</f>
        <v>CEILINGS &amp; WALLS</v>
      </c>
      <c r="M865" s="14"/>
    </row>
    <row r="866" spans="1:13">
      <c r="A866" s="263"/>
      <c r="B866" s="263"/>
      <c r="C866" s="263" t="s">
        <v>971</v>
      </c>
      <c r="D866" s="263" t="s">
        <v>975</v>
      </c>
      <c r="E866" s="263"/>
      <c r="F866" s="263"/>
      <c r="G866" s="39" t="str" cm="1">
        <f t="array" ref="G866">IFERROR(INDEX(Table_dim_price_recipe[Retail Price], MATCH(1, ("Calculator"&lt;&gt;Table_dim_price_recipe[Type.display])*($L866=Table_dim_price_recipe[Category])*($D866=Table_dim_price_recipe[Item Description]) * (G$6=Table_dim_price_recipe[Type])*(Table_dim_price_recipe[Retail Price]&lt;&gt;0)*($C866=Table_dim_price_recipe[Subcategory]), 0))*$B866,"")</f>
        <v/>
      </c>
      <c r="H866" s="39" cm="1">
        <f t="array" ref="H866">IFERROR(INDEX(Table_dim_price_recipe[Retail Price], MATCH(1, ("Calculator"&lt;&gt;Table_dim_price_recipe[Type.display])*($L866=Table_dim_price_recipe[Category])*($D866=Table_dim_price_recipe[Item Description]) * (H$6=Table_dim_price_recipe[Type])*(Table_dim_price_recipe[Retail Price]&lt;&gt;0)*($C866=Table_dim_price_recipe[Subcategory]), 0))*$B866,"")</f>
        <v>0</v>
      </c>
      <c r="I866" s="39" t="str" cm="1">
        <f t="array" ref="I866">IFERROR(INDEX(Table_dim_price_recipe[Retail Price], MATCH(1, ("Calculator"&lt;&gt;Table_dim_price_recipe[Type.display])*($L866=Table_dim_price_recipe[Category])*($D866=Table_dim_price_recipe[Item Description]) * (I$6=Table_dim_price_recipe[Type])*(Table_dim_price_recipe[Retail Price]&lt;&gt;0)*($C866=Table_dim_price_recipe[Subcategory]), 0))*$B866,"")</f>
        <v/>
      </c>
      <c r="J866" s="39" t="str" cm="1">
        <f t="array" ref="J866">IFERROR(INDEX(Table_dim_price_recipe[Retail Price], MATCH(1, ("Calculator"&lt;&gt;Table_dim_price_recipe[Type.display])*($L866=Table_dim_price_recipe[Category])*($D866=Table_dim_price_recipe[Item Description]) * (J$6=Table_dim_price_recipe[Type])*(Table_dim_price_recipe[Retail Price]&lt;&gt;0)*($C866=Table_dim_price_recipe[Subcategory]), 0))*$B866,"")</f>
        <v/>
      </c>
      <c r="K866" s="39" t="str" cm="1">
        <f t="array" ref="K866">IFERROR(INDEX(Table_dim_price_recipe[Retail Price], MATCH(1, ("Calculator"&lt;&gt;Table_dim_price_recipe[Type.display])*($L866=Table_dim_price_recipe[Category])*($D866=Table_dim_price_recipe[Item Description]) * (K$6=Table_dim_price_recipe[Type])*(Table_dim_price_recipe[Retail Price]&lt;&gt;0)*($C866=Table_dim_price_recipe[Subcategory]), 0))*$B866,"")</f>
        <v/>
      </c>
      <c r="L866" s="39" t="str" cm="1">
        <f t="array" ref="L866">IF($A866&lt;&gt;"", $A866, LOOKUP(2, 1/((A$7:INDEX(A:A, ROW()))&lt;&gt;""), A$7:INDEX(A:A, ROW())))</f>
        <v>CEILINGS &amp; WALLS</v>
      </c>
      <c r="M866" s="14"/>
    </row>
    <row r="867" spans="1:13">
      <c r="A867" s="263"/>
      <c r="B867" s="263"/>
      <c r="C867" s="263" t="s">
        <v>971</v>
      </c>
      <c r="D867" s="263"/>
      <c r="E867" s="263"/>
      <c r="F867" s="263"/>
      <c r="G867" s="39" t="str" cm="1">
        <f t="array" ref="G867">IFERROR(INDEX(Table_dim_price_recipe[Retail Price], MATCH(1, ("Calculator"&lt;&gt;Table_dim_price_recipe[Type.display])*($L867=Table_dim_price_recipe[Category])*($D867=Table_dim_price_recipe[Item Description]) * (G$6=Table_dim_price_recipe[Type])*(Table_dim_price_recipe[Retail Price]&lt;&gt;0)*($C867=Table_dim_price_recipe[Subcategory]), 0))*$B867,"")</f>
        <v/>
      </c>
      <c r="H867" s="39" t="str" cm="1">
        <f t="array" ref="H867">IFERROR(INDEX(Table_dim_price_recipe[Retail Price], MATCH(1, ("Calculator"&lt;&gt;Table_dim_price_recipe[Type.display])*($L867=Table_dim_price_recipe[Category])*($D867=Table_dim_price_recipe[Item Description]) * (H$6=Table_dim_price_recipe[Type])*(Table_dim_price_recipe[Retail Price]&lt;&gt;0)*($C867=Table_dim_price_recipe[Subcategory]), 0))*$B867,"")</f>
        <v/>
      </c>
      <c r="I867" s="39" t="str" cm="1">
        <f t="array" ref="I867">IFERROR(INDEX(Table_dim_price_recipe[Retail Price], MATCH(1, ("Calculator"&lt;&gt;Table_dim_price_recipe[Type.display])*($L867=Table_dim_price_recipe[Category])*($D867=Table_dim_price_recipe[Item Description]) * (I$6=Table_dim_price_recipe[Type])*(Table_dim_price_recipe[Retail Price]&lt;&gt;0)*($C867=Table_dim_price_recipe[Subcategory]), 0))*$B867,"")</f>
        <v/>
      </c>
      <c r="J867" s="39" t="str" cm="1">
        <f t="array" ref="J867">IFERROR(INDEX(Table_dim_price_recipe[Retail Price], MATCH(1, ("Calculator"&lt;&gt;Table_dim_price_recipe[Type.display])*($L867=Table_dim_price_recipe[Category])*($D867=Table_dim_price_recipe[Item Description]) * (J$6=Table_dim_price_recipe[Type])*(Table_dim_price_recipe[Retail Price]&lt;&gt;0)*($C867=Table_dim_price_recipe[Subcategory]), 0))*$B867,"")</f>
        <v/>
      </c>
      <c r="K867" s="39" t="str" cm="1">
        <f t="array" ref="K867">IFERROR(INDEX(Table_dim_price_recipe[Retail Price], MATCH(1, ("Calculator"&lt;&gt;Table_dim_price_recipe[Type.display])*($L867=Table_dim_price_recipe[Category])*($D867=Table_dim_price_recipe[Item Description]) * (K$6=Table_dim_price_recipe[Type])*(Table_dim_price_recipe[Retail Price]&lt;&gt;0)*($C867=Table_dim_price_recipe[Subcategory]), 0))*$B867,"")</f>
        <v/>
      </c>
      <c r="L867" s="39" t="str" cm="1">
        <f t="array" ref="L867">IF($A867&lt;&gt;"", $A867, LOOKUP(2, 1/((A$7:INDEX(A:A, ROW()))&lt;&gt;""), A$7:INDEX(A:A, ROW())))</f>
        <v>CEILINGS &amp; WALLS</v>
      </c>
      <c r="M867" s="14"/>
    </row>
    <row r="868" spans="1:13">
      <c r="A868" s="263"/>
      <c r="B868" s="263"/>
      <c r="C868" s="263" t="s">
        <v>971</v>
      </c>
      <c r="D868" s="263"/>
      <c r="E868" s="263"/>
      <c r="F868" s="263"/>
      <c r="G868" s="39" t="str" cm="1">
        <f t="array" ref="G868">IFERROR(INDEX(Table_dim_price_recipe[Retail Price], MATCH(1, ("Calculator"&lt;&gt;Table_dim_price_recipe[Type.display])*($L868=Table_dim_price_recipe[Category])*($D868=Table_dim_price_recipe[Item Description]) * (G$6=Table_dim_price_recipe[Type])*(Table_dim_price_recipe[Retail Price]&lt;&gt;0)*($C868=Table_dim_price_recipe[Subcategory]), 0))*$B868,"")</f>
        <v/>
      </c>
      <c r="H868" s="39" t="str" cm="1">
        <f t="array" ref="H868">IFERROR(INDEX(Table_dim_price_recipe[Retail Price], MATCH(1, ("Calculator"&lt;&gt;Table_dim_price_recipe[Type.display])*($L868=Table_dim_price_recipe[Category])*($D868=Table_dim_price_recipe[Item Description]) * (H$6=Table_dim_price_recipe[Type])*(Table_dim_price_recipe[Retail Price]&lt;&gt;0)*($C868=Table_dim_price_recipe[Subcategory]), 0))*$B868,"")</f>
        <v/>
      </c>
      <c r="I868" s="39" t="str" cm="1">
        <f t="array" ref="I868">IFERROR(INDEX(Table_dim_price_recipe[Retail Price], MATCH(1, ("Calculator"&lt;&gt;Table_dim_price_recipe[Type.display])*($L868=Table_dim_price_recipe[Category])*($D868=Table_dim_price_recipe[Item Description]) * (I$6=Table_dim_price_recipe[Type])*(Table_dim_price_recipe[Retail Price]&lt;&gt;0)*($C868=Table_dim_price_recipe[Subcategory]), 0))*$B868,"")</f>
        <v/>
      </c>
      <c r="J868" s="39" t="str" cm="1">
        <f t="array" ref="J868">IFERROR(INDEX(Table_dim_price_recipe[Retail Price], MATCH(1, ("Calculator"&lt;&gt;Table_dim_price_recipe[Type.display])*($L868=Table_dim_price_recipe[Category])*($D868=Table_dim_price_recipe[Item Description]) * (J$6=Table_dim_price_recipe[Type])*(Table_dim_price_recipe[Retail Price]&lt;&gt;0)*($C868=Table_dim_price_recipe[Subcategory]), 0))*$B868,"")</f>
        <v/>
      </c>
      <c r="K868" s="39" t="str" cm="1">
        <f t="array" ref="K868">IFERROR(INDEX(Table_dim_price_recipe[Retail Price], MATCH(1, ("Calculator"&lt;&gt;Table_dim_price_recipe[Type.display])*($L868=Table_dim_price_recipe[Category])*($D868=Table_dim_price_recipe[Item Description]) * (K$6=Table_dim_price_recipe[Type])*(Table_dim_price_recipe[Retail Price]&lt;&gt;0)*($C868=Table_dim_price_recipe[Subcategory]), 0))*$B868,"")</f>
        <v/>
      </c>
      <c r="L868" s="39" t="str" cm="1">
        <f t="array" ref="L868">IF($A868&lt;&gt;"", $A868, LOOKUP(2, 1/((A$7:INDEX(A:A, ROW()))&lt;&gt;""), A$7:INDEX(A:A, ROW())))</f>
        <v>CEILINGS &amp; WALLS</v>
      </c>
      <c r="M868" s="14"/>
    </row>
    <row r="869" spans="1:13">
      <c r="A869" s="263"/>
      <c r="B869" s="263"/>
      <c r="C869" s="263" t="s">
        <v>365</v>
      </c>
      <c r="D869" s="263" t="s">
        <v>366</v>
      </c>
      <c r="E869" s="263"/>
      <c r="F869" s="263"/>
      <c r="G869" s="39" cm="1">
        <f t="array" ref="G869">IFERROR(INDEX(Table_dim_price_recipe[Retail Price], MATCH(1, ("Calculator"&lt;&gt;Table_dim_price_recipe[Type.display])*($L869=Table_dim_price_recipe[Category])*($D869=Table_dim_price_recipe[Item Description]) * (G$6=Table_dim_price_recipe[Type])*(Table_dim_price_recipe[Retail Price]&lt;&gt;0)*($C869=Table_dim_price_recipe[Subcategory]), 0))*$B869,"")</f>
        <v>0</v>
      </c>
      <c r="H869" s="39" t="str" cm="1">
        <f t="array" ref="H869">IFERROR(INDEX(Table_dim_price_recipe[Retail Price], MATCH(1, ("Calculator"&lt;&gt;Table_dim_price_recipe[Type.display])*($L869=Table_dim_price_recipe[Category])*($D869=Table_dim_price_recipe[Item Description]) * (H$6=Table_dim_price_recipe[Type])*(Table_dim_price_recipe[Retail Price]&lt;&gt;0)*($C869=Table_dim_price_recipe[Subcategory]), 0))*$B869,"")</f>
        <v/>
      </c>
      <c r="I869" s="39" t="str" cm="1">
        <f t="array" ref="I869">IFERROR(INDEX(Table_dim_price_recipe[Retail Price], MATCH(1, ("Calculator"&lt;&gt;Table_dim_price_recipe[Type.display])*($L869=Table_dim_price_recipe[Category])*($D869=Table_dim_price_recipe[Item Description]) * (I$6=Table_dim_price_recipe[Type])*(Table_dim_price_recipe[Retail Price]&lt;&gt;0)*($C869=Table_dim_price_recipe[Subcategory]), 0))*$B869,"")</f>
        <v/>
      </c>
      <c r="J869" s="39" t="str" cm="1">
        <f t="array" ref="J869">IFERROR(INDEX(Table_dim_price_recipe[Retail Price], MATCH(1, ("Calculator"&lt;&gt;Table_dim_price_recipe[Type.display])*($L869=Table_dim_price_recipe[Category])*($D869=Table_dim_price_recipe[Item Description]) * (J$6=Table_dim_price_recipe[Type])*(Table_dim_price_recipe[Retail Price]&lt;&gt;0)*($C869=Table_dim_price_recipe[Subcategory]), 0))*$B869,"")</f>
        <v/>
      </c>
      <c r="K869" s="39" t="str" cm="1">
        <f t="array" ref="K869">IFERROR(INDEX(Table_dim_price_recipe[Retail Price], MATCH(1, ("Calculator"&lt;&gt;Table_dim_price_recipe[Type.display])*($L869=Table_dim_price_recipe[Category])*($D869=Table_dim_price_recipe[Item Description]) * (K$6=Table_dim_price_recipe[Type])*(Table_dim_price_recipe[Retail Price]&lt;&gt;0)*($C869=Table_dim_price_recipe[Subcategory]), 0))*$B869,"")</f>
        <v/>
      </c>
      <c r="L869" s="39" t="str" cm="1">
        <f t="array" ref="L869">IF($A869&lt;&gt;"", $A869, LOOKUP(2, 1/((A$7:INDEX(A:A, ROW()))&lt;&gt;""), A$7:INDEX(A:A, ROW())))</f>
        <v>CEILINGS &amp; WALLS</v>
      </c>
      <c r="M869" s="14"/>
    </row>
    <row r="870" spans="1:13">
      <c r="A870" s="263"/>
      <c r="B870" s="263"/>
      <c r="C870" s="263" t="s">
        <v>365</v>
      </c>
      <c r="D870" s="263"/>
      <c r="E870" s="263"/>
      <c r="F870" s="263"/>
      <c r="G870" s="39" t="str" cm="1">
        <f t="array" ref="G870">IFERROR(INDEX(Table_dim_price_recipe[Retail Price], MATCH(1, ("Calculator"&lt;&gt;Table_dim_price_recipe[Type.display])*($L870=Table_dim_price_recipe[Category])*($D870=Table_dim_price_recipe[Item Description]) * (G$6=Table_dim_price_recipe[Type])*(Table_dim_price_recipe[Retail Price]&lt;&gt;0)*($C870=Table_dim_price_recipe[Subcategory]), 0))*$B870,"")</f>
        <v/>
      </c>
      <c r="H870" s="39" t="str" cm="1">
        <f t="array" ref="H870">IFERROR(INDEX(Table_dim_price_recipe[Retail Price], MATCH(1, ("Calculator"&lt;&gt;Table_dim_price_recipe[Type.display])*($L870=Table_dim_price_recipe[Category])*($D870=Table_dim_price_recipe[Item Description]) * (H$6=Table_dim_price_recipe[Type])*(Table_dim_price_recipe[Retail Price]&lt;&gt;0)*($C870=Table_dim_price_recipe[Subcategory]), 0))*$B870,"")</f>
        <v/>
      </c>
      <c r="I870" s="39" t="str" cm="1">
        <f t="array" ref="I870">IFERROR(INDEX(Table_dim_price_recipe[Retail Price], MATCH(1, ("Calculator"&lt;&gt;Table_dim_price_recipe[Type.display])*($L870=Table_dim_price_recipe[Category])*($D870=Table_dim_price_recipe[Item Description]) * (I$6=Table_dim_price_recipe[Type])*(Table_dim_price_recipe[Retail Price]&lt;&gt;0)*($C870=Table_dim_price_recipe[Subcategory]), 0))*$B870,"")</f>
        <v/>
      </c>
      <c r="J870" s="39" t="str" cm="1">
        <f t="array" ref="J870">IFERROR(INDEX(Table_dim_price_recipe[Retail Price], MATCH(1, ("Calculator"&lt;&gt;Table_dim_price_recipe[Type.display])*($L870=Table_dim_price_recipe[Category])*($D870=Table_dim_price_recipe[Item Description]) * (J$6=Table_dim_price_recipe[Type])*(Table_dim_price_recipe[Retail Price]&lt;&gt;0)*($C870=Table_dim_price_recipe[Subcategory]), 0))*$B870,"")</f>
        <v/>
      </c>
      <c r="K870" s="39" t="str" cm="1">
        <f t="array" ref="K870">IFERROR(INDEX(Table_dim_price_recipe[Retail Price], MATCH(1, ("Calculator"&lt;&gt;Table_dim_price_recipe[Type.display])*($L870=Table_dim_price_recipe[Category])*($D870=Table_dim_price_recipe[Item Description]) * (K$6=Table_dim_price_recipe[Type])*(Table_dim_price_recipe[Retail Price]&lt;&gt;0)*($C870=Table_dim_price_recipe[Subcategory]), 0))*$B870,"")</f>
        <v/>
      </c>
      <c r="L870" s="39" t="str" cm="1">
        <f t="array" ref="L870">IF($A870&lt;&gt;"", $A870, LOOKUP(2, 1/((A$7:INDEX(A:A, ROW()))&lt;&gt;""), A$7:INDEX(A:A, ROW())))</f>
        <v>CEILINGS &amp; WALLS</v>
      </c>
      <c r="M870" s="14"/>
    </row>
    <row r="871" spans="1:13">
      <c r="A871" s="263"/>
      <c r="B871" s="263"/>
      <c r="C871" s="263" t="s">
        <v>365</v>
      </c>
      <c r="D871" s="263"/>
      <c r="E871" s="263"/>
      <c r="F871" s="263"/>
      <c r="G871" s="39" t="str" cm="1">
        <f t="array" ref="G871">IFERROR(INDEX(Table_dim_price_recipe[Retail Price], MATCH(1, ("Calculator"&lt;&gt;Table_dim_price_recipe[Type.display])*($L871=Table_dim_price_recipe[Category])*($D871=Table_dim_price_recipe[Item Description]) * (G$6=Table_dim_price_recipe[Type])*(Table_dim_price_recipe[Retail Price]&lt;&gt;0)*($C871=Table_dim_price_recipe[Subcategory]), 0))*$B871,"")</f>
        <v/>
      </c>
      <c r="H871" s="39" t="str" cm="1">
        <f t="array" ref="H871">IFERROR(INDEX(Table_dim_price_recipe[Retail Price], MATCH(1, ("Calculator"&lt;&gt;Table_dim_price_recipe[Type.display])*($L871=Table_dim_price_recipe[Category])*($D871=Table_dim_price_recipe[Item Description]) * (H$6=Table_dim_price_recipe[Type])*(Table_dim_price_recipe[Retail Price]&lt;&gt;0)*($C871=Table_dim_price_recipe[Subcategory]), 0))*$B871,"")</f>
        <v/>
      </c>
      <c r="I871" s="39" t="str" cm="1">
        <f t="array" ref="I871">IFERROR(INDEX(Table_dim_price_recipe[Retail Price], MATCH(1, ("Calculator"&lt;&gt;Table_dim_price_recipe[Type.display])*($L871=Table_dim_price_recipe[Category])*($D871=Table_dim_price_recipe[Item Description]) * (I$6=Table_dim_price_recipe[Type])*(Table_dim_price_recipe[Retail Price]&lt;&gt;0)*($C871=Table_dim_price_recipe[Subcategory]), 0))*$B871,"")</f>
        <v/>
      </c>
      <c r="J871" s="39" t="str" cm="1">
        <f t="array" ref="J871">IFERROR(INDEX(Table_dim_price_recipe[Retail Price], MATCH(1, ("Calculator"&lt;&gt;Table_dim_price_recipe[Type.display])*($L871=Table_dim_price_recipe[Category])*($D871=Table_dim_price_recipe[Item Description]) * (J$6=Table_dim_price_recipe[Type])*(Table_dim_price_recipe[Retail Price]&lt;&gt;0)*($C871=Table_dim_price_recipe[Subcategory]), 0))*$B871,"")</f>
        <v/>
      </c>
      <c r="K871" s="39" t="str" cm="1">
        <f t="array" ref="K871">IFERROR(INDEX(Table_dim_price_recipe[Retail Price], MATCH(1, ("Calculator"&lt;&gt;Table_dim_price_recipe[Type.display])*($L871=Table_dim_price_recipe[Category])*($D871=Table_dim_price_recipe[Item Description]) * (K$6=Table_dim_price_recipe[Type])*(Table_dim_price_recipe[Retail Price]&lt;&gt;0)*($C871=Table_dim_price_recipe[Subcategory]), 0))*$B871,"")</f>
        <v/>
      </c>
      <c r="L871" s="39" t="str" cm="1">
        <f t="array" ref="L871">IF($A871&lt;&gt;"", $A871, LOOKUP(2, 1/((A$7:INDEX(A:A, ROW()))&lt;&gt;""), A$7:INDEX(A:A, ROW())))</f>
        <v>CEILINGS &amp; WALLS</v>
      </c>
      <c r="M871" s="14"/>
    </row>
    <row r="872" spans="1:13">
      <c r="A872" s="263"/>
      <c r="B872" s="263"/>
      <c r="C872" s="263" t="s">
        <v>362</v>
      </c>
      <c r="D872" s="263" t="s">
        <v>364</v>
      </c>
      <c r="E872" s="263"/>
      <c r="F872" s="263"/>
      <c r="G872" s="39" cm="1">
        <f t="array" ref="G872">IFERROR(INDEX(Table_dim_price_recipe[Retail Price], MATCH(1, ("Calculator"&lt;&gt;Table_dim_price_recipe[Type.display])*($L872=Table_dim_price_recipe[Category])*($D872=Table_dim_price_recipe[Item Description]) * (G$6=Table_dim_price_recipe[Type])*(Table_dim_price_recipe[Retail Price]&lt;&gt;0)*($C872=Table_dim_price_recipe[Subcategory]), 0))*$B872,"")</f>
        <v>0</v>
      </c>
      <c r="H872" s="39" t="str" cm="1">
        <f t="array" ref="H872">IFERROR(INDEX(Table_dim_price_recipe[Retail Price], MATCH(1, ("Calculator"&lt;&gt;Table_dim_price_recipe[Type.display])*($L872=Table_dim_price_recipe[Category])*($D872=Table_dim_price_recipe[Item Description]) * (H$6=Table_dim_price_recipe[Type])*(Table_dim_price_recipe[Retail Price]&lt;&gt;0)*($C872=Table_dim_price_recipe[Subcategory]), 0))*$B872,"")</f>
        <v/>
      </c>
      <c r="I872" s="39" t="str" cm="1">
        <f t="array" ref="I872">IFERROR(INDEX(Table_dim_price_recipe[Retail Price], MATCH(1, ("Calculator"&lt;&gt;Table_dim_price_recipe[Type.display])*($L872=Table_dim_price_recipe[Category])*($D872=Table_dim_price_recipe[Item Description]) * (I$6=Table_dim_price_recipe[Type])*(Table_dim_price_recipe[Retail Price]&lt;&gt;0)*($C872=Table_dim_price_recipe[Subcategory]), 0))*$B872,"")</f>
        <v/>
      </c>
      <c r="J872" s="39" t="str" cm="1">
        <f t="array" ref="J872">IFERROR(INDEX(Table_dim_price_recipe[Retail Price], MATCH(1, ("Calculator"&lt;&gt;Table_dim_price_recipe[Type.display])*($L872=Table_dim_price_recipe[Category])*($D872=Table_dim_price_recipe[Item Description]) * (J$6=Table_dim_price_recipe[Type])*(Table_dim_price_recipe[Retail Price]&lt;&gt;0)*($C872=Table_dim_price_recipe[Subcategory]), 0))*$B872,"")</f>
        <v/>
      </c>
      <c r="K872" s="39" t="str" cm="1">
        <f t="array" ref="K872">IFERROR(INDEX(Table_dim_price_recipe[Retail Price], MATCH(1, ("Calculator"&lt;&gt;Table_dim_price_recipe[Type.display])*($L872=Table_dim_price_recipe[Category])*($D872=Table_dim_price_recipe[Item Description]) * (K$6=Table_dim_price_recipe[Type])*(Table_dim_price_recipe[Retail Price]&lt;&gt;0)*($C872=Table_dim_price_recipe[Subcategory]), 0))*$B872,"")</f>
        <v/>
      </c>
      <c r="L872" s="39" t="str" cm="1">
        <f t="array" ref="L872">IF($A872&lt;&gt;"", $A872, LOOKUP(2, 1/((A$7:INDEX(A:A, ROW()))&lt;&gt;""), A$7:INDEX(A:A, ROW())))</f>
        <v>CEILINGS &amp; WALLS</v>
      </c>
      <c r="M872" s="14"/>
    </row>
    <row r="873" spans="1:13">
      <c r="A873" s="263"/>
      <c r="B873" s="263"/>
      <c r="C873" s="263" t="s">
        <v>362</v>
      </c>
      <c r="D873" s="263" t="s">
        <v>363</v>
      </c>
      <c r="E873" s="263"/>
      <c r="F873" s="263"/>
      <c r="G873" s="39" cm="1">
        <f t="array" ref="G873">IFERROR(INDEX(Table_dim_price_recipe[Retail Price], MATCH(1, ("Calculator"&lt;&gt;Table_dim_price_recipe[Type.display])*($L873=Table_dim_price_recipe[Category])*($D873=Table_dim_price_recipe[Item Description]) * (G$6=Table_dim_price_recipe[Type])*(Table_dim_price_recipe[Retail Price]&lt;&gt;0)*($C873=Table_dim_price_recipe[Subcategory]), 0))*$B873,"")</f>
        <v>0</v>
      </c>
      <c r="H873" s="39" t="str" cm="1">
        <f t="array" ref="H873">IFERROR(INDEX(Table_dim_price_recipe[Retail Price], MATCH(1, ("Calculator"&lt;&gt;Table_dim_price_recipe[Type.display])*($L873=Table_dim_price_recipe[Category])*($D873=Table_dim_price_recipe[Item Description]) * (H$6=Table_dim_price_recipe[Type])*(Table_dim_price_recipe[Retail Price]&lt;&gt;0)*($C873=Table_dim_price_recipe[Subcategory]), 0))*$B873,"")</f>
        <v/>
      </c>
      <c r="I873" s="39" t="str" cm="1">
        <f t="array" ref="I873">IFERROR(INDEX(Table_dim_price_recipe[Retail Price], MATCH(1, ("Calculator"&lt;&gt;Table_dim_price_recipe[Type.display])*($L873=Table_dim_price_recipe[Category])*($D873=Table_dim_price_recipe[Item Description]) * (I$6=Table_dim_price_recipe[Type])*(Table_dim_price_recipe[Retail Price]&lt;&gt;0)*($C873=Table_dim_price_recipe[Subcategory]), 0))*$B873,"")</f>
        <v/>
      </c>
      <c r="J873" s="39" t="str" cm="1">
        <f t="array" ref="J873">IFERROR(INDEX(Table_dim_price_recipe[Retail Price], MATCH(1, ("Calculator"&lt;&gt;Table_dim_price_recipe[Type.display])*($L873=Table_dim_price_recipe[Category])*($D873=Table_dim_price_recipe[Item Description]) * (J$6=Table_dim_price_recipe[Type])*(Table_dim_price_recipe[Retail Price]&lt;&gt;0)*($C873=Table_dim_price_recipe[Subcategory]), 0))*$B873,"")</f>
        <v/>
      </c>
      <c r="K873" s="39" t="str" cm="1">
        <f t="array" ref="K873">IFERROR(INDEX(Table_dim_price_recipe[Retail Price], MATCH(1, ("Calculator"&lt;&gt;Table_dim_price_recipe[Type.display])*($L873=Table_dim_price_recipe[Category])*($D873=Table_dim_price_recipe[Item Description]) * (K$6=Table_dim_price_recipe[Type])*(Table_dim_price_recipe[Retail Price]&lt;&gt;0)*($C873=Table_dim_price_recipe[Subcategory]), 0))*$B873,"")</f>
        <v/>
      </c>
      <c r="L873" s="39" t="str" cm="1">
        <f t="array" ref="L873">IF($A873&lt;&gt;"", $A873, LOOKUP(2, 1/((A$7:INDEX(A:A, ROW()))&lt;&gt;""), A$7:INDEX(A:A, ROW())))</f>
        <v>CEILINGS &amp; WALLS</v>
      </c>
      <c r="M873" s="14"/>
    </row>
    <row r="874" spans="1:13">
      <c r="A874" s="263"/>
      <c r="B874" s="263"/>
      <c r="C874" s="263" t="s">
        <v>362</v>
      </c>
      <c r="D874" s="263"/>
      <c r="E874" s="263"/>
      <c r="F874" s="263"/>
      <c r="G874" s="39" t="str" cm="1">
        <f t="array" ref="G874">IFERROR(INDEX(Table_dim_price_recipe[Retail Price], MATCH(1, ("Calculator"&lt;&gt;Table_dim_price_recipe[Type.display])*($L874=Table_dim_price_recipe[Category])*($D874=Table_dim_price_recipe[Item Description]) * (G$6=Table_dim_price_recipe[Type])*(Table_dim_price_recipe[Retail Price]&lt;&gt;0)*($C874=Table_dim_price_recipe[Subcategory]), 0))*$B874,"")</f>
        <v/>
      </c>
      <c r="H874" s="39" t="str" cm="1">
        <f t="array" ref="H874">IFERROR(INDEX(Table_dim_price_recipe[Retail Price], MATCH(1, ("Calculator"&lt;&gt;Table_dim_price_recipe[Type.display])*($L874=Table_dim_price_recipe[Category])*($D874=Table_dim_price_recipe[Item Description]) * (H$6=Table_dim_price_recipe[Type])*(Table_dim_price_recipe[Retail Price]&lt;&gt;0)*($C874=Table_dim_price_recipe[Subcategory]), 0))*$B874,"")</f>
        <v/>
      </c>
      <c r="I874" s="39" t="str" cm="1">
        <f t="array" ref="I874">IFERROR(INDEX(Table_dim_price_recipe[Retail Price], MATCH(1, ("Calculator"&lt;&gt;Table_dim_price_recipe[Type.display])*($L874=Table_dim_price_recipe[Category])*($D874=Table_dim_price_recipe[Item Description]) * (I$6=Table_dim_price_recipe[Type])*(Table_dim_price_recipe[Retail Price]&lt;&gt;0)*($C874=Table_dim_price_recipe[Subcategory]), 0))*$B874,"")</f>
        <v/>
      </c>
      <c r="J874" s="39" t="str" cm="1">
        <f t="array" ref="J874">IFERROR(INDEX(Table_dim_price_recipe[Retail Price], MATCH(1, ("Calculator"&lt;&gt;Table_dim_price_recipe[Type.display])*($L874=Table_dim_price_recipe[Category])*($D874=Table_dim_price_recipe[Item Description]) * (J$6=Table_dim_price_recipe[Type])*(Table_dim_price_recipe[Retail Price]&lt;&gt;0)*($C874=Table_dim_price_recipe[Subcategory]), 0))*$B874,"")</f>
        <v/>
      </c>
      <c r="K874" s="39" t="str" cm="1">
        <f t="array" ref="K874">IFERROR(INDEX(Table_dim_price_recipe[Retail Price], MATCH(1, ("Calculator"&lt;&gt;Table_dim_price_recipe[Type.display])*($L874=Table_dim_price_recipe[Category])*($D874=Table_dim_price_recipe[Item Description]) * (K$6=Table_dim_price_recipe[Type])*(Table_dim_price_recipe[Retail Price]&lt;&gt;0)*($C874=Table_dim_price_recipe[Subcategory]), 0))*$B874,"")</f>
        <v/>
      </c>
      <c r="L874" s="39" t="str" cm="1">
        <f t="array" ref="L874">IF($A874&lt;&gt;"", $A874, LOOKUP(2, 1/((A$7:INDEX(A:A, ROW()))&lt;&gt;""), A$7:INDEX(A:A, ROW())))</f>
        <v>CEILINGS &amp; WALLS</v>
      </c>
      <c r="M874" s="14"/>
    </row>
    <row r="875" spans="1:13">
      <c r="A875" s="263"/>
      <c r="B875" s="263"/>
      <c r="C875" s="263" t="s">
        <v>362</v>
      </c>
      <c r="D875" s="263"/>
      <c r="E875" s="263"/>
      <c r="F875" s="263"/>
      <c r="G875" s="39" t="str" cm="1">
        <f t="array" ref="G875">IFERROR(INDEX(Table_dim_price_recipe[Retail Price], MATCH(1, ("Calculator"&lt;&gt;Table_dim_price_recipe[Type.display])*($L875=Table_dim_price_recipe[Category])*($D875=Table_dim_price_recipe[Item Description]) * (G$6=Table_dim_price_recipe[Type])*(Table_dim_price_recipe[Retail Price]&lt;&gt;0)*($C875=Table_dim_price_recipe[Subcategory]), 0))*$B875,"")</f>
        <v/>
      </c>
      <c r="H875" s="39" t="str" cm="1">
        <f t="array" ref="H875">IFERROR(INDEX(Table_dim_price_recipe[Retail Price], MATCH(1, ("Calculator"&lt;&gt;Table_dim_price_recipe[Type.display])*($L875=Table_dim_price_recipe[Category])*($D875=Table_dim_price_recipe[Item Description]) * (H$6=Table_dim_price_recipe[Type])*(Table_dim_price_recipe[Retail Price]&lt;&gt;0)*($C875=Table_dim_price_recipe[Subcategory]), 0))*$B875,"")</f>
        <v/>
      </c>
      <c r="I875" s="39" t="str" cm="1">
        <f t="array" ref="I875">IFERROR(INDEX(Table_dim_price_recipe[Retail Price], MATCH(1, ("Calculator"&lt;&gt;Table_dim_price_recipe[Type.display])*($L875=Table_dim_price_recipe[Category])*($D875=Table_dim_price_recipe[Item Description]) * (I$6=Table_dim_price_recipe[Type])*(Table_dim_price_recipe[Retail Price]&lt;&gt;0)*($C875=Table_dim_price_recipe[Subcategory]), 0))*$B875,"")</f>
        <v/>
      </c>
      <c r="J875" s="39" t="str" cm="1">
        <f t="array" ref="J875">IFERROR(INDEX(Table_dim_price_recipe[Retail Price], MATCH(1, ("Calculator"&lt;&gt;Table_dim_price_recipe[Type.display])*($L875=Table_dim_price_recipe[Category])*($D875=Table_dim_price_recipe[Item Description]) * (J$6=Table_dim_price_recipe[Type])*(Table_dim_price_recipe[Retail Price]&lt;&gt;0)*($C875=Table_dim_price_recipe[Subcategory]), 0))*$B875,"")</f>
        <v/>
      </c>
      <c r="K875" s="39" t="str" cm="1">
        <f t="array" ref="K875">IFERROR(INDEX(Table_dim_price_recipe[Retail Price], MATCH(1, ("Calculator"&lt;&gt;Table_dim_price_recipe[Type.display])*($L875=Table_dim_price_recipe[Category])*($D875=Table_dim_price_recipe[Item Description]) * (K$6=Table_dim_price_recipe[Type])*(Table_dim_price_recipe[Retail Price]&lt;&gt;0)*($C875=Table_dim_price_recipe[Subcategory]), 0))*$B875,"")</f>
        <v/>
      </c>
      <c r="L875" s="39" t="str" cm="1">
        <f t="array" ref="L875">IF($A875&lt;&gt;"", $A875, LOOKUP(2, 1/((A$7:INDEX(A:A, ROW()))&lt;&gt;""), A$7:INDEX(A:A, ROW())))</f>
        <v>CEILINGS &amp; WALLS</v>
      </c>
      <c r="M875" s="14"/>
    </row>
    <row r="876" spans="1:13">
      <c r="A876" s="263"/>
      <c r="B876" s="263"/>
      <c r="C876" s="263" t="s">
        <v>367</v>
      </c>
      <c r="D876" s="263" t="s">
        <v>75</v>
      </c>
      <c r="E876" s="263"/>
      <c r="F876" s="263"/>
      <c r="G876" s="39" cm="1">
        <f t="array" ref="G876">IFERROR(INDEX(Table_dim_price_recipe[Retail Price], MATCH(1, ("Calculator"&lt;&gt;Table_dim_price_recipe[Type.display])*($L876=Table_dim_price_recipe[Category])*($D876=Table_dim_price_recipe[Item Description]) * (G$6=Table_dim_price_recipe[Type])*(Table_dim_price_recipe[Retail Price]&lt;&gt;0)*($C876=Table_dim_price_recipe[Subcategory]), 0))*$B876,"")</f>
        <v>0</v>
      </c>
      <c r="H876" s="39" t="str" cm="1">
        <f t="array" ref="H876">IFERROR(INDEX(Table_dim_price_recipe[Retail Price], MATCH(1, ("Calculator"&lt;&gt;Table_dim_price_recipe[Type.display])*($L876=Table_dim_price_recipe[Category])*($D876=Table_dim_price_recipe[Item Description]) * (H$6=Table_dim_price_recipe[Type])*(Table_dim_price_recipe[Retail Price]&lt;&gt;0)*($C876=Table_dim_price_recipe[Subcategory]), 0))*$B876,"")</f>
        <v/>
      </c>
      <c r="I876" s="39" t="str" cm="1">
        <f t="array" ref="I876">IFERROR(INDEX(Table_dim_price_recipe[Retail Price], MATCH(1, ("Calculator"&lt;&gt;Table_dim_price_recipe[Type.display])*($L876=Table_dim_price_recipe[Category])*($D876=Table_dim_price_recipe[Item Description]) * (I$6=Table_dim_price_recipe[Type])*(Table_dim_price_recipe[Retail Price]&lt;&gt;0)*($C876=Table_dim_price_recipe[Subcategory]), 0))*$B876,"")</f>
        <v/>
      </c>
      <c r="J876" s="39" t="str" cm="1">
        <f t="array" ref="J876">IFERROR(INDEX(Table_dim_price_recipe[Retail Price], MATCH(1, ("Calculator"&lt;&gt;Table_dim_price_recipe[Type.display])*($L876=Table_dim_price_recipe[Category])*($D876=Table_dim_price_recipe[Item Description]) * (J$6=Table_dim_price_recipe[Type])*(Table_dim_price_recipe[Retail Price]&lt;&gt;0)*($C876=Table_dim_price_recipe[Subcategory]), 0))*$B876,"")</f>
        <v/>
      </c>
      <c r="K876" s="39" t="str" cm="1">
        <f t="array" ref="K876">IFERROR(INDEX(Table_dim_price_recipe[Retail Price], MATCH(1, ("Calculator"&lt;&gt;Table_dim_price_recipe[Type.display])*($L876=Table_dim_price_recipe[Category])*($D876=Table_dim_price_recipe[Item Description]) * (K$6=Table_dim_price_recipe[Type])*(Table_dim_price_recipe[Retail Price]&lt;&gt;0)*($C876=Table_dim_price_recipe[Subcategory]), 0))*$B876,"")</f>
        <v/>
      </c>
      <c r="L876" s="39" t="str" cm="1">
        <f t="array" ref="L876">IF($A876&lt;&gt;"", $A876, LOOKUP(2, 1/((A$7:INDEX(A:A, ROW()))&lt;&gt;""), A$7:INDEX(A:A, ROW())))</f>
        <v>CEILINGS &amp; WALLS</v>
      </c>
      <c r="M876" s="14"/>
    </row>
    <row r="877" spans="1:13">
      <c r="A877" s="263"/>
      <c r="B877" s="263"/>
      <c r="C877" s="263" t="s">
        <v>367</v>
      </c>
      <c r="D877" s="263" t="s">
        <v>71</v>
      </c>
      <c r="E877" s="263"/>
      <c r="F877" s="263"/>
      <c r="G877" s="39" cm="1">
        <f t="array" ref="G877">IFERROR(INDEX(Table_dim_price_recipe[Retail Price], MATCH(1, ("Calculator"&lt;&gt;Table_dim_price_recipe[Type.display])*($L877=Table_dim_price_recipe[Category])*($D877=Table_dim_price_recipe[Item Description]) * (G$6=Table_dim_price_recipe[Type])*(Table_dim_price_recipe[Retail Price]&lt;&gt;0)*($C877=Table_dim_price_recipe[Subcategory]), 0))*$B877,"")</f>
        <v>0</v>
      </c>
      <c r="H877" s="39" t="str" cm="1">
        <f t="array" ref="H877">IFERROR(INDEX(Table_dim_price_recipe[Retail Price], MATCH(1, ("Calculator"&lt;&gt;Table_dim_price_recipe[Type.display])*($L877=Table_dim_price_recipe[Category])*($D877=Table_dim_price_recipe[Item Description]) * (H$6=Table_dim_price_recipe[Type])*(Table_dim_price_recipe[Retail Price]&lt;&gt;0)*($C877=Table_dim_price_recipe[Subcategory]), 0))*$B877,"")</f>
        <v/>
      </c>
      <c r="I877" s="39" t="str" cm="1">
        <f t="array" ref="I877">IFERROR(INDEX(Table_dim_price_recipe[Retail Price], MATCH(1, ("Calculator"&lt;&gt;Table_dim_price_recipe[Type.display])*($L877=Table_dim_price_recipe[Category])*($D877=Table_dim_price_recipe[Item Description]) * (I$6=Table_dim_price_recipe[Type])*(Table_dim_price_recipe[Retail Price]&lt;&gt;0)*($C877=Table_dim_price_recipe[Subcategory]), 0))*$B877,"")</f>
        <v/>
      </c>
      <c r="J877" s="39" t="str" cm="1">
        <f t="array" ref="J877">IFERROR(INDEX(Table_dim_price_recipe[Retail Price], MATCH(1, ("Calculator"&lt;&gt;Table_dim_price_recipe[Type.display])*($L877=Table_dim_price_recipe[Category])*($D877=Table_dim_price_recipe[Item Description]) * (J$6=Table_dim_price_recipe[Type])*(Table_dim_price_recipe[Retail Price]&lt;&gt;0)*($C877=Table_dim_price_recipe[Subcategory]), 0))*$B877,"")</f>
        <v/>
      </c>
      <c r="K877" s="39" t="str" cm="1">
        <f t="array" ref="K877">IFERROR(INDEX(Table_dim_price_recipe[Retail Price], MATCH(1, ("Calculator"&lt;&gt;Table_dim_price_recipe[Type.display])*($L877=Table_dim_price_recipe[Category])*($D877=Table_dim_price_recipe[Item Description]) * (K$6=Table_dim_price_recipe[Type])*(Table_dim_price_recipe[Retail Price]&lt;&gt;0)*($C877=Table_dim_price_recipe[Subcategory]), 0))*$B877,"")</f>
        <v/>
      </c>
      <c r="L877" s="39" t="str" cm="1">
        <f t="array" ref="L877">IF($A877&lt;&gt;"", $A877, LOOKUP(2, 1/((A$7:INDEX(A:A, ROW()))&lt;&gt;""), A$7:INDEX(A:A, ROW())))</f>
        <v>CEILINGS &amp; WALLS</v>
      </c>
      <c r="M877" s="14"/>
    </row>
    <row r="878" spans="1:13">
      <c r="A878" s="263"/>
      <c r="B878" s="263"/>
      <c r="C878" s="263" t="s">
        <v>367</v>
      </c>
      <c r="D878" s="263" t="s">
        <v>72</v>
      </c>
      <c r="E878" s="263"/>
      <c r="F878" s="263"/>
      <c r="G878" s="39" cm="1">
        <f t="array" ref="G878">IFERROR(INDEX(Table_dim_price_recipe[Retail Price], MATCH(1, ("Calculator"&lt;&gt;Table_dim_price_recipe[Type.display])*($L878=Table_dim_price_recipe[Category])*($D878=Table_dim_price_recipe[Item Description]) * (G$6=Table_dim_price_recipe[Type])*(Table_dim_price_recipe[Retail Price]&lt;&gt;0)*($C878=Table_dim_price_recipe[Subcategory]), 0))*$B878,"")</f>
        <v>0</v>
      </c>
      <c r="H878" s="39" t="str" cm="1">
        <f t="array" ref="H878">IFERROR(INDEX(Table_dim_price_recipe[Retail Price], MATCH(1, ("Calculator"&lt;&gt;Table_dim_price_recipe[Type.display])*($L878=Table_dim_price_recipe[Category])*($D878=Table_dim_price_recipe[Item Description]) * (H$6=Table_dim_price_recipe[Type])*(Table_dim_price_recipe[Retail Price]&lt;&gt;0)*($C878=Table_dim_price_recipe[Subcategory]), 0))*$B878,"")</f>
        <v/>
      </c>
      <c r="I878" s="39" t="str" cm="1">
        <f t="array" ref="I878">IFERROR(INDEX(Table_dim_price_recipe[Retail Price], MATCH(1, ("Calculator"&lt;&gt;Table_dim_price_recipe[Type.display])*($L878=Table_dim_price_recipe[Category])*($D878=Table_dim_price_recipe[Item Description]) * (I$6=Table_dim_price_recipe[Type])*(Table_dim_price_recipe[Retail Price]&lt;&gt;0)*($C878=Table_dim_price_recipe[Subcategory]), 0))*$B878,"")</f>
        <v/>
      </c>
      <c r="J878" s="39" t="str" cm="1">
        <f t="array" ref="J878">IFERROR(INDEX(Table_dim_price_recipe[Retail Price], MATCH(1, ("Calculator"&lt;&gt;Table_dim_price_recipe[Type.display])*($L878=Table_dim_price_recipe[Category])*($D878=Table_dim_price_recipe[Item Description]) * (J$6=Table_dim_price_recipe[Type])*(Table_dim_price_recipe[Retail Price]&lt;&gt;0)*($C878=Table_dim_price_recipe[Subcategory]), 0))*$B878,"")</f>
        <v/>
      </c>
      <c r="K878" s="39" t="str" cm="1">
        <f t="array" ref="K878">IFERROR(INDEX(Table_dim_price_recipe[Retail Price], MATCH(1, ("Calculator"&lt;&gt;Table_dim_price_recipe[Type.display])*($L878=Table_dim_price_recipe[Category])*($D878=Table_dim_price_recipe[Item Description]) * (K$6=Table_dim_price_recipe[Type])*(Table_dim_price_recipe[Retail Price]&lt;&gt;0)*($C878=Table_dim_price_recipe[Subcategory]), 0))*$B878,"")</f>
        <v/>
      </c>
      <c r="L878" s="39" t="str" cm="1">
        <f t="array" ref="L878">IF($A878&lt;&gt;"", $A878, LOOKUP(2, 1/((A$7:INDEX(A:A, ROW()))&lt;&gt;""), A$7:INDEX(A:A, ROW())))</f>
        <v>CEILINGS &amp; WALLS</v>
      </c>
      <c r="M878" s="14"/>
    </row>
    <row r="879" spans="1:13">
      <c r="A879" s="263"/>
      <c r="B879" s="263"/>
      <c r="C879" s="263" t="s">
        <v>367</v>
      </c>
      <c r="D879" s="263" t="s">
        <v>70</v>
      </c>
      <c r="E879" s="263"/>
      <c r="F879" s="263"/>
      <c r="G879" s="39" cm="1">
        <f t="array" ref="G879">IFERROR(INDEX(Table_dim_price_recipe[Retail Price], MATCH(1, ("Calculator"&lt;&gt;Table_dim_price_recipe[Type.display])*($L879=Table_dim_price_recipe[Category])*($D879=Table_dim_price_recipe[Item Description]) * (G$6=Table_dim_price_recipe[Type])*(Table_dim_price_recipe[Retail Price]&lt;&gt;0)*($C879=Table_dim_price_recipe[Subcategory]), 0))*$B879,"")</f>
        <v>0</v>
      </c>
      <c r="H879" s="39" t="str" cm="1">
        <f t="array" ref="H879">IFERROR(INDEX(Table_dim_price_recipe[Retail Price], MATCH(1, ("Calculator"&lt;&gt;Table_dim_price_recipe[Type.display])*($L879=Table_dim_price_recipe[Category])*($D879=Table_dim_price_recipe[Item Description]) * (H$6=Table_dim_price_recipe[Type])*(Table_dim_price_recipe[Retail Price]&lt;&gt;0)*($C879=Table_dim_price_recipe[Subcategory]), 0))*$B879,"")</f>
        <v/>
      </c>
      <c r="I879" s="39" t="str" cm="1">
        <f t="array" ref="I879">IFERROR(INDEX(Table_dim_price_recipe[Retail Price], MATCH(1, ("Calculator"&lt;&gt;Table_dim_price_recipe[Type.display])*($L879=Table_dim_price_recipe[Category])*($D879=Table_dim_price_recipe[Item Description]) * (I$6=Table_dim_price_recipe[Type])*(Table_dim_price_recipe[Retail Price]&lt;&gt;0)*($C879=Table_dim_price_recipe[Subcategory]), 0))*$B879,"")</f>
        <v/>
      </c>
      <c r="J879" s="39" t="str" cm="1">
        <f t="array" ref="J879">IFERROR(INDEX(Table_dim_price_recipe[Retail Price], MATCH(1, ("Calculator"&lt;&gt;Table_dim_price_recipe[Type.display])*($L879=Table_dim_price_recipe[Category])*($D879=Table_dim_price_recipe[Item Description]) * (J$6=Table_dim_price_recipe[Type])*(Table_dim_price_recipe[Retail Price]&lt;&gt;0)*($C879=Table_dim_price_recipe[Subcategory]), 0))*$B879,"")</f>
        <v/>
      </c>
      <c r="K879" s="39" t="str" cm="1">
        <f t="array" ref="K879">IFERROR(INDEX(Table_dim_price_recipe[Retail Price], MATCH(1, ("Calculator"&lt;&gt;Table_dim_price_recipe[Type.display])*($L879=Table_dim_price_recipe[Category])*($D879=Table_dim_price_recipe[Item Description]) * (K$6=Table_dim_price_recipe[Type])*(Table_dim_price_recipe[Retail Price]&lt;&gt;0)*($C879=Table_dim_price_recipe[Subcategory]), 0))*$B879,"")</f>
        <v/>
      </c>
      <c r="L879" s="39" t="str" cm="1">
        <f t="array" ref="L879">IF($A879&lt;&gt;"", $A879, LOOKUP(2, 1/((A$7:INDEX(A:A, ROW()))&lt;&gt;""), A$7:INDEX(A:A, ROW())))</f>
        <v>CEILINGS &amp; WALLS</v>
      </c>
      <c r="M879" s="14"/>
    </row>
    <row r="880" spans="1:13">
      <c r="A880" s="263"/>
      <c r="B880" s="263"/>
      <c r="C880" s="263" t="s">
        <v>367</v>
      </c>
      <c r="D880" s="263" t="s">
        <v>76</v>
      </c>
      <c r="E880" s="263"/>
      <c r="F880" s="263"/>
      <c r="G880" s="39" cm="1">
        <f t="array" ref="G880">IFERROR(INDEX(Table_dim_price_recipe[Retail Price], MATCH(1, ("Calculator"&lt;&gt;Table_dim_price_recipe[Type.display])*($L880=Table_dim_price_recipe[Category])*($D880=Table_dim_price_recipe[Item Description]) * (G$6=Table_dim_price_recipe[Type])*(Table_dim_price_recipe[Retail Price]&lt;&gt;0)*($C880=Table_dim_price_recipe[Subcategory]), 0))*$B880,"")</f>
        <v>0</v>
      </c>
      <c r="H880" s="39" t="str" cm="1">
        <f t="array" ref="H880">IFERROR(INDEX(Table_dim_price_recipe[Retail Price], MATCH(1, ("Calculator"&lt;&gt;Table_dim_price_recipe[Type.display])*($L880=Table_dim_price_recipe[Category])*($D880=Table_dim_price_recipe[Item Description]) * (H$6=Table_dim_price_recipe[Type])*(Table_dim_price_recipe[Retail Price]&lt;&gt;0)*($C880=Table_dim_price_recipe[Subcategory]), 0))*$B880,"")</f>
        <v/>
      </c>
      <c r="I880" s="39" t="str" cm="1">
        <f t="array" ref="I880">IFERROR(INDEX(Table_dim_price_recipe[Retail Price], MATCH(1, ("Calculator"&lt;&gt;Table_dim_price_recipe[Type.display])*($L880=Table_dim_price_recipe[Category])*($D880=Table_dim_price_recipe[Item Description]) * (I$6=Table_dim_price_recipe[Type])*(Table_dim_price_recipe[Retail Price]&lt;&gt;0)*($C880=Table_dim_price_recipe[Subcategory]), 0))*$B880,"")</f>
        <v/>
      </c>
      <c r="J880" s="39" t="str" cm="1">
        <f t="array" ref="J880">IFERROR(INDEX(Table_dim_price_recipe[Retail Price], MATCH(1, ("Calculator"&lt;&gt;Table_dim_price_recipe[Type.display])*($L880=Table_dim_price_recipe[Category])*($D880=Table_dim_price_recipe[Item Description]) * (J$6=Table_dim_price_recipe[Type])*(Table_dim_price_recipe[Retail Price]&lt;&gt;0)*($C880=Table_dim_price_recipe[Subcategory]), 0))*$B880,"")</f>
        <v/>
      </c>
      <c r="K880" s="39" t="str" cm="1">
        <f t="array" ref="K880">IFERROR(INDEX(Table_dim_price_recipe[Retail Price], MATCH(1, ("Calculator"&lt;&gt;Table_dim_price_recipe[Type.display])*($L880=Table_dim_price_recipe[Category])*($D880=Table_dim_price_recipe[Item Description]) * (K$6=Table_dim_price_recipe[Type])*(Table_dim_price_recipe[Retail Price]&lt;&gt;0)*($C880=Table_dim_price_recipe[Subcategory]), 0))*$B880,"")</f>
        <v/>
      </c>
      <c r="L880" s="39" t="str" cm="1">
        <f t="array" ref="L880">IF($A880&lt;&gt;"", $A880, LOOKUP(2, 1/((A$7:INDEX(A:A, ROW()))&lt;&gt;""), A$7:INDEX(A:A, ROW())))</f>
        <v>CEILINGS &amp; WALLS</v>
      </c>
      <c r="M880" s="14"/>
    </row>
    <row r="881" spans="1:13">
      <c r="A881" s="263"/>
      <c r="B881" s="263"/>
      <c r="C881" s="263" t="s">
        <v>367</v>
      </c>
      <c r="D881" s="263" t="s">
        <v>104</v>
      </c>
      <c r="E881" s="263"/>
      <c r="F881" s="263"/>
      <c r="G881" s="39" t="str" cm="1">
        <f t="array" ref="G881">IFERROR(INDEX(Table_dim_price_recipe[Retail Price], MATCH(1, ("Calculator"&lt;&gt;Table_dim_price_recipe[Type.display])*($L881=Table_dim_price_recipe[Category])*($D881=Table_dim_price_recipe[Item Description]) * (G$6=Table_dim_price_recipe[Type])*(Table_dim_price_recipe[Retail Price]&lt;&gt;0)*($C881=Table_dim_price_recipe[Subcategory]), 0))*$B881,"")</f>
        <v/>
      </c>
      <c r="H881" s="39" t="str" cm="1">
        <f t="array" ref="H881">IFERROR(INDEX(Table_dim_price_recipe[Retail Price], MATCH(1, ("Calculator"&lt;&gt;Table_dim_price_recipe[Type.display])*($L881=Table_dim_price_recipe[Category])*($D881=Table_dim_price_recipe[Item Description]) * (H$6=Table_dim_price_recipe[Type])*(Table_dim_price_recipe[Retail Price]&lt;&gt;0)*($C881=Table_dim_price_recipe[Subcategory]), 0))*$B881,"")</f>
        <v/>
      </c>
      <c r="I881" s="39" t="str" cm="1">
        <f t="array" ref="I881">IFERROR(INDEX(Table_dim_price_recipe[Retail Price], MATCH(1, ("Calculator"&lt;&gt;Table_dim_price_recipe[Type.display])*($L881=Table_dim_price_recipe[Category])*($D881=Table_dim_price_recipe[Item Description]) * (I$6=Table_dim_price_recipe[Type])*(Table_dim_price_recipe[Retail Price]&lt;&gt;0)*($C881=Table_dim_price_recipe[Subcategory]), 0))*$B881,"")</f>
        <v/>
      </c>
      <c r="J881" s="39" t="str" cm="1">
        <f t="array" ref="J881">IFERROR(INDEX(Table_dim_price_recipe[Retail Price], MATCH(1, ("Calculator"&lt;&gt;Table_dim_price_recipe[Type.display])*($L881=Table_dim_price_recipe[Category])*($D881=Table_dim_price_recipe[Item Description]) * (J$6=Table_dim_price_recipe[Type])*(Table_dim_price_recipe[Retail Price]&lt;&gt;0)*($C881=Table_dim_price_recipe[Subcategory]), 0))*$B881,"")</f>
        <v/>
      </c>
      <c r="K881" s="39" t="str" cm="1">
        <f t="array" ref="K881">IFERROR(INDEX(Table_dim_price_recipe[Retail Price], MATCH(1, ("Calculator"&lt;&gt;Table_dim_price_recipe[Type.display])*($L881=Table_dim_price_recipe[Category])*($D881=Table_dim_price_recipe[Item Description]) * (K$6=Table_dim_price_recipe[Type])*(Table_dim_price_recipe[Retail Price]&lt;&gt;0)*($C881=Table_dim_price_recipe[Subcategory]), 0))*$B881,"")</f>
        <v/>
      </c>
      <c r="L881" s="39" t="str" cm="1">
        <f t="array" ref="L881">IF($A881&lt;&gt;"", $A881, LOOKUP(2, 1/((A$7:INDEX(A:A, ROW()))&lt;&gt;""), A$7:INDEX(A:A, ROW())))</f>
        <v>CEILINGS &amp; WALLS</v>
      </c>
      <c r="M881" s="14"/>
    </row>
    <row r="882" spans="1:13">
      <c r="A882" s="263"/>
      <c r="B882" s="263"/>
      <c r="C882" s="263" t="s">
        <v>367</v>
      </c>
      <c r="D882" s="263" t="s">
        <v>74</v>
      </c>
      <c r="E882" s="263"/>
      <c r="F882" s="263"/>
      <c r="G882" s="39" cm="1">
        <f t="array" ref="G882">IFERROR(INDEX(Table_dim_price_recipe[Retail Price], MATCH(1, ("Calculator"&lt;&gt;Table_dim_price_recipe[Type.display])*($L882=Table_dim_price_recipe[Category])*($D882=Table_dim_price_recipe[Item Description]) * (G$6=Table_dim_price_recipe[Type])*(Table_dim_price_recipe[Retail Price]&lt;&gt;0)*($C882=Table_dim_price_recipe[Subcategory]), 0))*$B882,"")</f>
        <v>0</v>
      </c>
      <c r="H882" s="39" t="str" cm="1">
        <f t="array" ref="H882">IFERROR(INDEX(Table_dim_price_recipe[Retail Price], MATCH(1, ("Calculator"&lt;&gt;Table_dim_price_recipe[Type.display])*($L882=Table_dim_price_recipe[Category])*($D882=Table_dim_price_recipe[Item Description]) * (H$6=Table_dim_price_recipe[Type])*(Table_dim_price_recipe[Retail Price]&lt;&gt;0)*($C882=Table_dim_price_recipe[Subcategory]), 0))*$B882,"")</f>
        <v/>
      </c>
      <c r="I882" s="39" t="str" cm="1">
        <f t="array" ref="I882">IFERROR(INDEX(Table_dim_price_recipe[Retail Price], MATCH(1, ("Calculator"&lt;&gt;Table_dim_price_recipe[Type.display])*($L882=Table_dim_price_recipe[Category])*($D882=Table_dim_price_recipe[Item Description]) * (I$6=Table_dim_price_recipe[Type])*(Table_dim_price_recipe[Retail Price]&lt;&gt;0)*($C882=Table_dim_price_recipe[Subcategory]), 0))*$B882,"")</f>
        <v/>
      </c>
      <c r="J882" s="39" t="str" cm="1">
        <f t="array" ref="J882">IFERROR(INDEX(Table_dim_price_recipe[Retail Price], MATCH(1, ("Calculator"&lt;&gt;Table_dim_price_recipe[Type.display])*($L882=Table_dim_price_recipe[Category])*($D882=Table_dim_price_recipe[Item Description]) * (J$6=Table_dim_price_recipe[Type])*(Table_dim_price_recipe[Retail Price]&lt;&gt;0)*($C882=Table_dim_price_recipe[Subcategory]), 0))*$B882,"")</f>
        <v/>
      </c>
      <c r="K882" s="39" t="str" cm="1">
        <f t="array" ref="K882">IFERROR(INDEX(Table_dim_price_recipe[Retail Price], MATCH(1, ("Calculator"&lt;&gt;Table_dim_price_recipe[Type.display])*($L882=Table_dim_price_recipe[Category])*($D882=Table_dim_price_recipe[Item Description]) * (K$6=Table_dim_price_recipe[Type])*(Table_dim_price_recipe[Retail Price]&lt;&gt;0)*($C882=Table_dim_price_recipe[Subcategory]), 0))*$B882,"")</f>
        <v/>
      </c>
      <c r="L882" s="39" t="str" cm="1">
        <f t="array" ref="L882">IF($A882&lt;&gt;"", $A882, LOOKUP(2, 1/((A$7:INDEX(A:A, ROW()))&lt;&gt;""), A$7:INDEX(A:A, ROW())))</f>
        <v>CEILINGS &amp; WALLS</v>
      </c>
      <c r="M882" s="14"/>
    </row>
    <row r="883" spans="1:13">
      <c r="A883" s="263"/>
      <c r="B883" s="263"/>
      <c r="C883" s="263" t="s">
        <v>367</v>
      </c>
      <c r="D883" s="263" t="s">
        <v>73</v>
      </c>
      <c r="E883" s="263"/>
      <c r="F883" s="263"/>
      <c r="G883" s="39" cm="1">
        <f t="array" ref="G883">IFERROR(INDEX(Table_dim_price_recipe[Retail Price], MATCH(1, ("Calculator"&lt;&gt;Table_dim_price_recipe[Type.display])*($L883=Table_dim_price_recipe[Category])*($D883=Table_dim_price_recipe[Item Description]) * (G$6=Table_dim_price_recipe[Type])*(Table_dim_price_recipe[Retail Price]&lt;&gt;0)*($C883=Table_dim_price_recipe[Subcategory]), 0))*$B883,"")</f>
        <v>0</v>
      </c>
      <c r="H883" s="39" t="str" cm="1">
        <f t="array" ref="H883">IFERROR(INDEX(Table_dim_price_recipe[Retail Price], MATCH(1, ("Calculator"&lt;&gt;Table_dim_price_recipe[Type.display])*($L883=Table_dim_price_recipe[Category])*($D883=Table_dim_price_recipe[Item Description]) * (H$6=Table_dim_price_recipe[Type])*(Table_dim_price_recipe[Retail Price]&lt;&gt;0)*($C883=Table_dim_price_recipe[Subcategory]), 0))*$B883,"")</f>
        <v/>
      </c>
      <c r="I883" s="39" t="str" cm="1">
        <f t="array" ref="I883">IFERROR(INDEX(Table_dim_price_recipe[Retail Price], MATCH(1, ("Calculator"&lt;&gt;Table_dim_price_recipe[Type.display])*($L883=Table_dim_price_recipe[Category])*($D883=Table_dim_price_recipe[Item Description]) * (I$6=Table_dim_price_recipe[Type])*(Table_dim_price_recipe[Retail Price]&lt;&gt;0)*($C883=Table_dim_price_recipe[Subcategory]), 0))*$B883,"")</f>
        <v/>
      </c>
      <c r="J883" s="39" t="str" cm="1">
        <f t="array" ref="J883">IFERROR(INDEX(Table_dim_price_recipe[Retail Price], MATCH(1, ("Calculator"&lt;&gt;Table_dim_price_recipe[Type.display])*($L883=Table_dim_price_recipe[Category])*($D883=Table_dim_price_recipe[Item Description]) * (J$6=Table_dim_price_recipe[Type])*(Table_dim_price_recipe[Retail Price]&lt;&gt;0)*($C883=Table_dim_price_recipe[Subcategory]), 0))*$B883,"")</f>
        <v/>
      </c>
      <c r="K883" s="39" t="str" cm="1">
        <f t="array" ref="K883">IFERROR(INDEX(Table_dim_price_recipe[Retail Price], MATCH(1, ("Calculator"&lt;&gt;Table_dim_price_recipe[Type.display])*($L883=Table_dim_price_recipe[Category])*($D883=Table_dim_price_recipe[Item Description]) * (K$6=Table_dim_price_recipe[Type])*(Table_dim_price_recipe[Retail Price]&lt;&gt;0)*($C883=Table_dim_price_recipe[Subcategory]), 0))*$B883,"")</f>
        <v/>
      </c>
      <c r="L883" s="39" t="str" cm="1">
        <f t="array" ref="L883">IF($A883&lt;&gt;"", $A883, LOOKUP(2, 1/((A$7:INDEX(A:A, ROW()))&lt;&gt;""), A$7:INDEX(A:A, ROW())))</f>
        <v>CEILINGS &amp; WALLS</v>
      </c>
      <c r="M883" s="14"/>
    </row>
    <row r="884" spans="1:13">
      <c r="A884" s="263"/>
      <c r="B884" s="263"/>
      <c r="C884" s="263" t="s">
        <v>367</v>
      </c>
      <c r="D884" s="263" t="s">
        <v>77</v>
      </c>
      <c r="E884" s="263"/>
      <c r="F884" s="263"/>
      <c r="G884" s="39" cm="1">
        <f t="array" ref="G884">IFERROR(INDEX(Table_dim_price_recipe[Retail Price], MATCH(1, ("Calculator"&lt;&gt;Table_dim_price_recipe[Type.display])*($L884=Table_dim_price_recipe[Category])*($D884=Table_dim_price_recipe[Item Description]) * (G$6=Table_dim_price_recipe[Type])*(Table_dim_price_recipe[Retail Price]&lt;&gt;0)*($C884=Table_dim_price_recipe[Subcategory]), 0))*$B884,"")</f>
        <v>0</v>
      </c>
      <c r="H884" s="39" t="str" cm="1">
        <f t="array" ref="H884">IFERROR(INDEX(Table_dim_price_recipe[Retail Price], MATCH(1, ("Calculator"&lt;&gt;Table_dim_price_recipe[Type.display])*($L884=Table_dim_price_recipe[Category])*($D884=Table_dim_price_recipe[Item Description]) * (H$6=Table_dim_price_recipe[Type])*(Table_dim_price_recipe[Retail Price]&lt;&gt;0)*($C884=Table_dim_price_recipe[Subcategory]), 0))*$B884,"")</f>
        <v/>
      </c>
      <c r="I884" s="39" t="str" cm="1">
        <f t="array" ref="I884">IFERROR(INDEX(Table_dim_price_recipe[Retail Price], MATCH(1, ("Calculator"&lt;&gt;Table_dim_price_recipe[Type.display])*($L884=Table_dim_price_recipe[Category])*($D884=Table_dim_price_recipe[Item Description]) * (I$6=Table_dim_price_recipe[Type])*(Table_dim_price_recipe[Retail Price]&lt;&gt;0)*($C884=Table_dim_price_recipe[Subcategory]), 0))*$B884,"")</f>
        <v/>
      </c>
      <c r="J884" s="39" t="str" cm="1">
        <f t="array" ref="J884">IFERROR(INDEX(Table_dim_price_recipe[Retail Price], MATCH(1, ("Calculator"&lt;&gt;Table_dim_price_recipe[Type.display])*($L884=Table_dim_price_recipe[Category])*($D884=Table_dim_price_recipe[Item Description]) * (J$6=Table_dim_price_recipe[Type])*(Table_dim_price_recipe[Retail Price]&lt;&gt;0)*($C884=Table_dim_price_recipe[Subcategory]), 0))*$B884,"")</f>
        <v/>
      </c>
      <c r="K884" s="39" t="str" cm="1">
        <f t="array" ref="K884">IFERROR(INDEX(Table_dim_price_recipe[Retail Price], MATCH(1, ("Calculator"&lt;&gt;Table_dim_price_recipe[Type.display])*($L884=Table_dim_price_recipe[Category])*($D884=Table_dim_price_recipe[Item Description]) * (K$6=Table_dim_price_recipe[Type])*(Table_dim_price_recipe[Retail Price]&lt;&gt;0)*($C884=Table_dim_price_recipe[Subcategory]), 0))*$B884,"")</f>
        <v/>
      </c>
      <c r="L884" s="39" t="str" cm="1">
        <f t="array" ref="L884">IF($A884&lt;&gt;"", $A884, LOOKUP(2, 1/((A$7:INDEX(A:A, ROW()))&lt;&gt;""), A$7:INDEX(A:A, ROW())))</f>
        <v>CEILINGS &amp; WALLS</v>
      </c>
      <c r="M884" s="14"/>
    </row>
    <row r="885" spans="1:13">
      <c r="A885" s="263"/>
      <c r="B885" s="263"/>
      <c r="C885" s="263" t="s">
        <v>367</v>
      </c>
      <c r="D885" s="263"/>
      <c r="E885" s="263"/>
      <c r="F885" s="263"/>
      <c r="G885" s="39" t="str" cm="1">
        <f t="array" ref="G885">IFERROR(INDEX(Table_dim_price_recipe[Retail Price], MATCH(1, ("Calculator"&lt;&gt;Table_dim_price_recipe[Type.display])*($L885=Table_dim_price_recipe[Category])*($D885=Table_dim_price_recipe[Item Description]) * (G$6=Table_dim_price_recipe[Type])*(Table_dim_price_recipe[Retail Price]&lt;&gt;0)*($C885=Table_dim_price_recipe[Subcategory]), 0))*$B885,"")</f>
        <v/>
      </c>
      <c r="H885" s="39" t="str" cm="1">
        <f t="array" ref="H885">IFERROR(INDEX(Table_dim_price_recipe[Retail Price], MATCH(1, ("Calculator"&lt;&gt;Table_dim_price_recipe[Type.display])*($L885=Table_dim_price_recipe[Category])*($D885=Table_dim_price_recipe[Item Description]) * (H$6=Table_dim_price_recipe[Type])*(Table_dim_price_recipe[Retail Price]&lt;&gt;0)*($C885=Table_dim_price_recipe[Subcategory]), 0))*$B885,"")</f>
        <v/>
      </c>
      <c r="I885" s="39" t="str" cm="1">
        <f t="array" ref="I885">IFERROR(INDEX(Table_dim_price_recipe[Retail Price], MATCH(1, ("Calculator"&lt;&gt;Table_dim_price_recipe[Type.display])*($L885=Table_dim_price_recipe[Category])*($D885=Table_dim_price_recipe[Item Description]) * (I$6=Table_dim_price_recipe[Type])*(Table_dim_price_recipe[Retail Price]&lt;&gt;0)*($C885=Table_dim_price_recipe[Subcategory]), 0))*$B885,"")</f>
        <v/>
      </c>
      <c r="J885" s="39" t="str" cm="1">
        <f t="array" ref="J885">IFERROR(INDEX(Table_dim_price_recipe[Retail Price], MATCH(1, ("Calculator"&lt;&gt;Table_dim_price_recipe[Type.display])*($L885=Table_dim_price_recipe[Category])*($D885=Table_dim_price_recipe[Item Description]) * (J$6=Table_dim_price_recipe[Type])*(Table_dim_price_recipe[Retail Price]&lt;&gt;0)*($C885=Table_dim_price_recipe[Subcategory]), 0))*$B885,"")</f>
        <v/>
      </c>
      <c r="K885" s="39" t="str" cm="1">
        <f t="array" ref="K885">IFERROR(INDEX(Table_dim_price_recipe[Retail Price], MATCH(1, ("Calculator"&lt;&gt;Table_dim_price_recipe[Type.display])*($L885=Table_dim_price_recipe[Category])*($D885=Table_dim_price_recipe[Item Description]) * (K$6=Table_dim_price_recipe[Type])*(Table_dim_price_recipe[Retail Price]&lt;&gt;0)*($C885=Table_dim_price_recipe[Subcategory]), 0))*$B885,"")</f>
        <v/>
      </c>
      <c r="L885" s="39" t="str" cm="1">
        <f t="array" ref="L885">IF($A885&lt;&gt;"", $A885, LOOKUP(2, 1/((A$7:INDEX(A:A, ROW()))&lt;&gt;""), A$7:INDEX(A:A, ROW())))</f>
        <v>CEILINGS &amp; WALLS</v>
      </c>
      <c r="M885" s="14"/>
    </row>
    <row r="886" spans="1:13">
      <c r="A886" s="263"/>
      <c r="B886" s="263"/>
      <c r="C886" s="263" t="s">
        <v>367</v>
      </c>
      <c r="D886" s="263"/>
      <c r="E886" s="263"/>
      <c r="F886" s="263"/>
      <c r="G886" s="39" t="str" cm="1">
        <f t="array" ref="G886">IFERROR(INDEX(Table_dim_price_recipe[Retail Price], MATCH(1, ("Calculator"&lt;&gt;Table_dim_price_recipe[Type.display])*($L886=Table_dim_price_recipe[Category])*($D886=Table_dim_price_recipe[Item Description]) * (G$6=Table_dim_price_recipe[Type])*(Table_dim_price_recipe[Retail Price]&lt;&gt;0)*($C886=Table_dim_price_recipe[Subcategory]), 0))*$B886,"")</f>
        <v/>
      </c>
      <c r="H886" s="39" t="str" cm="1">
        <f t="array" ref="H886">IFERROR(INDEX(Table_dim_price_recipe[Retail Price], MATCH(1, ("Calculator"&lt;&gt;Table_dim_price_recipe[Type.display])*($L886=Table_dim_price_recipe[Category])*($D886=Table_dim_price_recipe[Item Description]) * (H$6=Table_dim_price_recipe[Type])*(Table_dim_price_recipe[Retail Price]&lt;&gt;0)*($C886=Table_dim_price_recipe[Subcategory]), 0))*$B886,"")</f>
        <v/>
      </c>
      <c r="I886" s="39" t="str" cm="1">
        <f t="array" ref="I886">IFERROR(INDEX(Table_dim_price_recipe[Retail Price], MATCH(1, ("Calculator"&lt;&gt;Table_dim_price_recipe[Type.display])*($L886=Table_dim_price_recipe[Category])*($D886=Table_dim_price_recipe[Item Description]) * (I$6=Table_dim_price_recipe[Type])*(Table_dim_price_recipe[Retail Price]&lt;&gt;0)*($C886=Table_dim_price_recipe[Subcategory]), 0))*$B886,"")</f>
        <v/>
      </c>
      <c r="J886" s="39" t="str" cm="1">
        <f t="array" ref="J886">IFERROR(INDEX(Table_dim_price_recipe[Retail Price], MATCH(1, ("Calculator"&lt;&gt;Table_dim_price_recipe[Type.display])*($L886=Table_dim_price_recipe[Category])*($D886=Table_dim_price_recipe[Item Description]) * (J$6=Table_dim_price_recipe[Type])*(Table_dim_price_recipe[Retail Price]&lt;&gt;0)*($C886=Table_dim_price_recipe[Subcategory]), 0))*$B886,"")</f>
        <v/>
      </c>
      <c r="K886" s="39" t="str" cm="1">
        <f t="array" ref="K886">IFERROR(INDEX(Table_dim_price_recipe[Retail Price], MATCH(1, ("Calculator"&lt;&gt;Table_dim_price_recipe[Type.display])*($L886=Table_dim_price_recipe[Category])*($D886=Table_dim_price_recipe[Item Description]) * (K$6=Table_dim_price_recipe[Type])*(Table_dim_price_recipe[Retail Price]&lt;&gt;0)*($C886=Table_dim_price_recipe[Subcategory]), 0))*$B886,"")</f>
        <v/>
      </c>
      <c r="L886" s="39" t="str" cm="1">
        <f t="array" ref="L886">IF($A886&lt;&gt;"", $A886, LOOKUP(2, 1/((A$7:INDEX(A:A, ROW()))&lt;&gt;""), A$7:INDEX(A:A, ROW())))</f>
        <v>CEILINGS &amp; WALLS</v>
      </c>
      <c r="M886" s="14"/>
    </row>
    <row r="887" spans="1:13">
      <c r="A887" s="263"/>
      <c r="B887" s="263"/>
      <c r="C887" s="263" t="s">
        <v>422</v>
      </c>
      <c r="D887" s="263" t="s">
        <v>424</v>
      </c>
      <c r="E887" s="263"/>
      <c r="F887" s="263"/>
      <c r="G887" s="39" cm="1">
        <f t="array" ref="G887">IFERROR(INDEX(Table_dim_price_recipe[Retail Price], MATCH(1, ("Calculator"&lt;&gt;Table_dim_price_recipe[Type.display])*($L887=Table_dim_price_recipe[Category])*($D887=Table_dim_price_recipe[Item Description]) * (G$6=Table_dim_price_recipe[Type])*(Table_dim_price_recipe[Retail Price]&lt;&gt;0)*($C887=Table_dim_price_recipe[Subcategory]), 0))*$B887,"")</f>
        <v>0</v>
      </c>
      <c r="H887" s="39" t="str" cm="1">
        <f t="array" ref="H887">IFERROR(INDEX(Table_dim_price_recipe[Retail Price], MATCH(1, ("Calculator"&lt;&gt;Table_dim_price_recipe[Type.display])*($L887=Table_dim_price_recipe[Category])*($D887=Table_dim_price_recipe[Item Description]) * (H$6=Table_dim_price_recipe[Type])*(Table_dim_price_recipe[Retail Price]&lt;&gt;0)*($C887=Table_dim_price_recipe[Subcategory]), 0))*$B887,"")</f>
        <v/>
      </c>
      <c r="I887" s="39" t="str" cm="1">
        <f t="array" ref="I887">IFERROR(INDEX(Table_dim_price_recipe[Retail Price], MATCH(1, ("Calculator"&lt;&gt;Table_dim_price_recipe[Type.display])*($L887=Table_dim_price_recipe[Category])*($D887=Table_dim_price_recipe[Item Description]) * (I$6=Table_dim_price_recipe[Type])*(Table_dim_price_recipe[Retail Price]&lt;&gt;0)*($C887=Table_dim_price_recipe[Subcategory]), 0))*$B887,"")</f>
        <v/>
      </c>
      <c r="J887" s="39" t="str" cm="1">
        <f t="array" ref="J887">IFERROR(INDEX(Table_dim_price_recipe[Retail Price], MATCH(1, ("Calculator"&lt;&gt;Table_dim_price_recipe[Type.display])*($L887=Table_dim_price_recipe[Category])*($D887=Table_dim_price_recipe[Item Description]) * (J$6=Table_dim_price_recipe[Type])*(Table_dim_price_recipe[Retail Price]&lt;&gt;0)*($C887=Table_dim_price_recipe[Subcategory]), 0))*$B887,"")</f>
        <v/>
      </c>
      <c r="K887" s="39" t="str" cm="1">
        <f t="array" ref="K887">IFERROR(INDEX(Table_dim_price_recipe[Retail Price], MATCH(1, ("Calculator"&lt;&gt;Table_dim_price_recipe[Type.display])*($L887=Table_dim_price_recipe[Category])*($D887=Table_dim_price_recipe[Item Description]) * (K$6=Table_dim_price_recipe[Type])*(Table_dim_price_recipe[Retail Price]&lt;&gt;0)*($C887=Table_dim_price_recipe[Subcategory]), 0))*$B887,"")</f>
        <v/>
      </c>
      <c r="L887" s="39" t="str" cm="1">
        <f t="array" ref="L887">IF($A887&lt;&gt;"", $A887, LOOKUP(2, 1/((A$7:INDEX(A:A, ROW()))&lt;&gt;""), A$7:INDEX(A:A, ROW())))</f>
        <v>CEILINGS &amp; WALLS</v>
      </c>
      <c r="M887" s="14"/>
    </row>
    <row r="888" spans="1:13">
      <c r="A888" s="263"/>
      <c r="B888" s="263"/>
      <c r="C888" s="263" t="s">
        <v>422</v>
      </c>
      <c r="D888" s="263" t="s">
        <v>423</v>
      </c>
      <c r="E888" s="263"/>
      <c r="F888" s="263"/>
      <c r="G888" s="39" cm="1">
        <f t="array" ref="G888">IFERROR(INDEX(Table_dim_price_recipe[Retail Price], MATCH(1, ("Calculator"&lt;&gt;Table_dim_price_recipe[Type.display])*($L888=Table_dim_price_recipe[Category])*($D888=Table_dim_price_recipe[Item Description]) * (G$6=Table_dim_price_recipe[Type])*(Table_dim_price_recipe[Retail Price]&lt;&gt;0)*($C888=Table_dim_price_recipe[Subcategory]), 0))*$B888,"")</f>
        <v>0</v>
      </c>
      <c r="H888" s="39" t="str" cm="1">
        <f t="array" ref="H888">IFERROR(INDEX(Table_dim_price_recipe[Retail Price], MATCH(1, ("Calculator"&lt;&gt;Table_dim_price_recipe[Type.display])*($L888=Table_dim_price_recipe[Category])*($D888=Table_dim_price_recipe[Item Description]) * (H$6=Table_dim_price_recipe[Type])*(Table_dim_price_recipe[Retail Price]&lt;&gt;0)*($C888=Table_dim_price_recipe[Subcategory]), 0))*$B888,"")</f>
        <v/>
      </c>
      <c r="I888" s="39" t="str" cm="1">
        <f t="array" ref="I888">IFERROR(INDEX(Table_dim_price_recipe[Retail Price], MATCH(1, ("Calculator"&lt;&gt;Table_dim_price_recipe[Type.display])*($L888=Table_dim_price_recipe[Category])*($D888=Table_dim_price_recipe[Item Description]) * (I$6=Table_dim_price_recipe[Type])*(Table_dim_price_recipe[Retail Price]&lt;&gt;0)*($C888=Table_dim_price_recipe[Subcategory]), 0))*$B888,"")</f>
        <v/>
      </c>
      <c r="J888" s="39" t="str" cm="1">
        <f t="array" ref="J888">IFERROR(INDEX(Table_dim_price_recipe[Retail Price], MATCH(1, ("Calculator"&lt;&gt;Table_dim_price_recipe[Type.display])*($L888=Table_dim_price_recipe[Category])*($D888=Table_dim_price_recipe[Item Description]) * (J$6=Table_dim_price_recipe[Type])*(Table_dim_price_recipe[Retail Price]&lt;&gt;0)*($C888=Table_dim_price_recipe[Subcategory]), 0))*$B888,"")</f>
        <v/>
      </c>
      <c r="K888" s="39" t="str" cm="1">
        <f t="array" ref="K888">IFERROR(INDEX(Table_dim_price_recipe[Retail Price], MATCH(1, ("Calculator"&lt;&gt;Table_dim_price_recipe[Type.display])*($L888=Table_dim_price_recipe[Category])*($D888=Table_dim_price_recipe[Item Description]) * (K$6=Table_dim_price_recipe[Type])*(Table_dim_price_recipe[Retail Price]&lt;&gt;0)*($C888=Table_dim_price_recipe[Subcategory]), 0))*$B888,"")</f>
        <v/>
      </c>
      <c r="L888" s="39" t="str" cm="1">
        <f t="array" ref="L888">IF($A888&lt;&gt;"", $A888, LOOKUP(2, 1/((A$7:INDEX(A:A, ROW()))&lt;&gt;""), A$7:INDEX(A:A, ROW())))</f>
        <v>CEILINGS &amp; WALLS</v>
      </c>
      <c r="M888" s="14"/>
    </row>
    <row r="889" spans="1:13">
      <c r="A889" s="263"/>
      <c r="B889" s="263"/>
      <c r="C889" s="263" t="s">
        <v>422</v>
      </c>
      <c r="D889" s="263" t="s">
        <v>425</v>
      </c>
      <c r="E889" s="263"/>
      <c r="F889" s="263"/>
      <c r="G889" s="39" cm="1">
        <f t="array" ref="G889">IFERROR(INDEX(Table_dim_price_recipe[Retail Price], MATCH(1, ("Calculator"&lt;&gt;Table_dim_price_recipe[Type.display])*($L889=Table_dim_price_recipe[Category])*($D889=Table_dim_price_recipe[Item Description]) * (G$6=Table_dim_price_recipe[Type])*(Table_dim_price_recipe[Retail Price]&lt;&gt;0)*($C889=Table_dim_price_recipe[Subcategory]), 0))*$B889,"")</f>
        <v>0</v>
      </c>
      <c r="H889" s="39" t="str" cm="1">
        <f t="array" ref="H889">IFERROR(INDEX(Table_dim_price_recipe[Retail Price], MATCH(1, ("Calculator"&lt;&gt;Table_dim_price_recipe[Type.display])*($L889=Table_dim_price_recipe[Category])*($D889=Table_dim_price_recipe[Item Description]) * (H$6=Table_dim_price_recipe[Type])*(Table_dim_price_recipe[Retail Price]&lt;&gt;0)*($C889=Table_dim_price_recipe[Subcategory]), 0))*$B889,"")</f>
        <v/>
      </c>
      <c r="I889" s="39" t="str" cm="1">
        <f t="array" ref="I889">IFERROR(INDEX(Table_dim_price_recipe[Retail Price], MATCH(1, ("Calculator"&lt;&gt;Table_dim_price_recipe[Type.display])*($L889=Table_dim_price_recipe[Category])*($D889=Table_dim_price_recipe[Item Description]) * (I$6=Table_dim_price_recipe[Type])*(Table_dim_price_recipe[Retail Price]&lt;&gt;0)*($C889=Table_dim_price_recipe[Subcategory]), 0))*$B889,"")</f>
        <v/>
      </c>
      <c r="J889" s="39" t="str" cm="1">
        <f t="array" ref="J889">IFERROR(INDEX(Table_dim_price_recipe[Retail Price], MATCH(1, ("Calculator"&lt;&gt;Table_dim_price_recipe[Type.display])*($L889=Table_dim_price_recipe[Category])*($D889=Table_dim_price_recipe[Item Description]) * (J$6=Table_dim_price_recipe[Type])*(Table_dim_price_recipe[Retail Price]&lt;&gt;0)*($C889=Table_dim_price_recipe[Subcategory]), 0))*$B889,"")</f>
        <v/>
      </c>
      <c r="K889" s="39" t="str" cm="1">
        <f t="array" ref="K889">IFERROR(INDEX(Table_dim_price_recipe[Retail Price], MATCH(1, ("Calculator"&lt;&gt;Table_dim_price_recipe[Type.display])*($L889=Table_dim_price_recipe[Category])*($D889=Table_dim_price_recipe[Item Description]) * (K$6=Table_dim_price_recipe[Type])*(Table_dim_price_recipe[Retail Price]&lt;&gt;0)*($C889=Table_dim_price_recipe[Subcategory]), 0))*$B889,"")</f>
        <v/>
      </c>
      <c r="L889" s="39" t="str" cm="1">
        <f t="array" ref="L889">IF($A889&lt;&gt;"", $A889, LOOKUP(2, 1/((A$7:INDEX(A:A, ROW()))&lt;&gt;""), A$7:INDEX(A:A, ROW())))</f>
        <v>CEILINGS &amp; WALLS</v>
      </c>
      <c r="M889" s="14"/>
    </row>
    <row r="890" spans="1:13">
      <c r="A890" s="263"/>
      <c r="B890" s="263"/>
      <c r="C890" s="263" t="s">
        <v>422</v>
      </c>
      <c r="D890" s="263"/>
      <c r="E890" s="263"/>
      <c r="F890" s="263"/>
      <c r="G890" s="39" t="str" cm="1">
        <f t="array" ref="G890">IFERROR(INDEX(Table_dim_price_recipe[Retail Price], MATCH(1, ("Calculator"&lt;&gt;Table_dim_price_recipe[Type.display])*($L890=Table_dim_price_recipe[Category])*($D890=Table_dim_price_recipe[Item Description]) * (G$6=Table_dim_price_recipe[Type])*(Table_dim_price_recipe[Retail Price]&lt;&gt;0)*($C890=Table_dim_price_recipe[Subcategory]), 0))*$B890,"")</f>
        <v/>
      </c>
      <c r="H890" s="39" t="str" cm="1">
        <f t="array" ref="H890">IFERROR(INDEX(Table_dim_price_recipe[Retail Price], MATCH(1, ("Calculator"&lt;&gt;Table_dim_price_recipe[Type.display])*($L890=Table_dim_price_recipe[Category])*($D890=Table_dim_price_recipe[Item Description]) * (H$6=Table_dim_price_recipe[Type])*(Table_dim_price_recipe[Retail Price]&lt;&gt;0)*($C890=Table_dim_price_recipe[Subcategory]), 0))*$B890,"")</f>
        <v/>
      </c>
      <c r="I890" s="39" t="str" cm="1">
        <f t="array" ref="I890">IFERROR(INDEX(Table_dim_price_recipe[Retail Price], MATCH(1, ("Calculator"&lt;&gt;Table_dim_price_recipe[Type.display])*($L890=Table_dim_price_recipe[Category])*($D890=Table_dim_price_recipe[Item Description]) * (I$6=Table_dim_price_recipe[Type])*(Table_dim_price_recipe[Retail Price]&lt;&gt;0)*($C890=Table_dim_price_recipe[Subcategory]), 0))*$B890,"")</f>
        <v/>
      </c>
      <c r="J890" s="39" t="str" cm="1">
        <f t="array" ref="J890">IFERROR(INDEX(Table_dim_price_recipe[Retail Price], MATCH(1, ("Calculator"&lt;&gt;Table_dim_price_recipe[Type.display])*($L890=Table_dim_price_recipe[Category])*($D890=Table_dim_price_recipe[Item Description]) * (J$6=Table_dim_price_recipe[Type])*(Table_dim_price_recipe[Retail Price]&lt;&gt;0)*($C890=Table_dim_price_recipe[Subcategory]), 0))*$B890,"")</f>
        <v/>
      </c>
      <c r="K890" s="39" t="str" cm="1">
        <f t="array" ref="K890">IFERROR(INDEX(Table_dim_price_recipe[Retail Price], MATCH(1, ("Calculator"&lt;&gt;Table_dim_price_recipe[Type.display])*($L890=Table_dim_price_recipe[Category])*($D890=Table_dim_price_recipe[Item Description]) * (K$6=Table_dim_price_recipe[Type])*(Table_dim_price_recipe[Retail Price]&lt;&gt;0)*($C890=Table_dim_price_recipe[Subcategory]), 0))*$B890,"")</f>
        <v/>
      </c>
      <c r="L890" s="39" t="str" cm="1">
        <f t="array" ref="L890">IF($A890&lt;&gt;"", $A890, LOOKUP(2, 1/((A$7:INDEX(A:A, ROW()))&lt;&gt;""), A$7:INDEX(A:A, ROW())))</f>
        <v>CEILINGS &amp; WALLS</v>
      </c>
      <c r="M890" s="14"/>
    </row>
    <row r="891" spans="1:13">
      <c r="A891" s="263"/>
      <c r="B891" s="263"/>
      <c r="C891" s="263" t="s">
        <v>422</v>
      </c>
      <c r="D891" s="263"/>
      <c r="E891" s="263"/>
      <c r="F891" s="263"/>
      <c r="G891" s="39" t="str" cm="1">
        <f t="array" ref="G891">IFERROR(INDEX(Table_dim_price_recipe[Retail Price], MATCH(1, ("Calculator"&lt;&gt;Table_dim_price_recipe[Type.display])*($L891=Table_dim_price_recipe[Category])*($D891=Table_dim_price_recipe[Item Description]) * (G$6=Table_dim_price_recipe[Type])*(Table_dim_price_recipe[Retail Price]&lt;&gt;0)*($C891=Table_dim_price_recipe[Subcategory]), 0))*$B891,"")</f>
        <v/>
      </c>
      <c r="H891" s="39" t="str" cm="1">
        <f t="array" ref="H891">IFERROR(INDEX(Table_dim_price_recipe[Retail Price], MATCH(1, ("Calculator"&lt;&gt;Table_dim_price_recipe[Type.display])*($L891=Table_dim_price_recipe[Category])*($D891=Table_dim_price_recipe[Item Description]) * (H$6=Table_dim_price_recipe[Type])*(Table_dim_price_recipe[Retail Price]&lt;&gt;0)*($C891=Table_dim_price_recipe[Subcategory]), 0))*$B891,"")</f>
        <v/>
      </c>
      <c r="I891" s="39" t="str" cm="1">
        <f t="array" ref="I891">IFERROR(INDEX(Table_dim_price_recipe[Retail Price], MATCH(1, ("Calculator"&lt;&gt;Table_dim_price_recipe[Type.display])*($L891=Table_dim_price_recipe[Category])*($D891=Table_dim_price_recipe[Item Description]) * (I$6=Table_dim_price_recipe[Type])*(Table_dim_price_recipe[Retail Price]&lt;&gt;0)*($C891=Table_dim_price_recipe[Subcategory]), 0))*$B891,"")</f>
        <v/>
      </c>
      <c r="J891" s="39" t="str" cm="1">
        <f t="array" ref="J891">IFERROR(INDEX(Table_dim_price_recipe[Retail Price], MATCH(1, ("Calculator"&lt;&gt;Table_dim_price_recipe[Type.display])*($L891=Table_dim_price_recipe[Category])*($D891=Table_dim_price_recipe[Item Description]) * (J$6=Table_dim_price_recipe[Type])*(Table_dim_price_recipe[Retail Price]&lt;&gt;0)*($C891=Table_dim_price_recipe[Subcategory]), 0))*$B891,"")</f>
        <v/>
      </c>
      <c r="K891" s="39" t="str" cm="1">
        <f t="array" ref="K891">IFERROR(INDEX(Table_dim_price_recipe[Retail Price], MATCH(1, ("Calculator"&lt;&gt;Table_dim_price_recipe[Type.display])*($L891=Table_dim_price_recipe[Category])*($D891=Table_dim_price_recipe[Item Description]) * (K$6=Table_dim_price_recipe[Type])*(Table_dim_price_recipe[Retail Price]&lt;&gt;0)*($C891=Table_dim_price_recipe[Subcategory]), 0))*$B891,"")</f>
        <v/>
      </c>
      <c r="L891" s="39" t="str" cm="1">
        <f t="array" ref="L891">IF($A891&lt;&gt;"", $A891, LOOKUP(2, 1/((A$7:INDEX(A:A, ROW()))&lt;&gt;""), A$7:INDEX(A:A, ROW())))</f>
        <v>CEILINGS &amp; WALLS</v>
      </c>
      <c r="M891" s="14"/>
    </row>
    <row r="892" spans="1:13">
      <c r="A892" s="260" t="s">
        <v>98</v>
      </c>
      <c r="B892" s="261"/>
      <c r="C892" s="261"/>
      <c r="D892" s="261"/>
      <c r="E892" s="261"/>
      <c r="F892" s="261"/>
      <c r="G892" s="262" t="str" cm="1">
        <f t="array" ref="G892">IFERROR(INDEX(Table_dim_price_recipe[Retail Price], MATCH(1, ("Calculator"&lt;&gt;Table_dim_price_recipe[Type.display])*($L892=Table_dim_price_recipe[Category])*($D892=Table_dim_price_recipe[Item Description]) * (G$6=Table_dim_price_recipe[Type])*(Table_dim_price_recipe[Retail Price]&lt;&gt;0)*($C892=Table_dim_price_recipe[Subcategory]), 0))*$B892,"")</f>
        <v/>
      </c>
      <c r="H892" s="262" t="str" cm="1">
        <f t="array" ref="H892">IFERROR(INDEX(Table_dim_price_recipe[Retail Price], MATCH(1, ("Calculator"&lt;&gt;Table_dim_price_recipe[Type.display])*($L892=Table_dim_price_recipe[Category])*($D892=Table_dim_price_recipe[Item Description]) * (H$6=Table_dim_price_recipe[Type])*(Table_dim_price_recipe[Retail Price]&lt;&gt;0)*($C892=Table_dim_price_recipe[Subcategory]), 0))*$B892,"")</f>
        <v/>
      </c>
      <c r="I892" s="262" t="str" cm="1">
        <f t="array" ref="I892">IFERROR(INDEX(Table_dim_price_recipe[Retail Price], MATCH(1, ("Calculator"&lt;&gt;Table_dim_price_recipe[Type.display])*($L892=Table_dim_price_recipe[Category])*($D892=Table_dim_price_recipe[Item Description]) * (I$6=Table_dim_price_recipe[Type])*(Table_dim_price_recipe[Retail Price]&lt;&gt;0)*($C892=Table_dim_price_recipe[Subcategory]), 0))*$B892,"")</f>
        <v/>
      </c>
      <c r="J892" s="262" t="str" cm="1">
        <f t="array" ref="J892">IFERROR(INDEX(Table_dim_price_recipe[Retail Price], MATCH(1, ("Calculator"&lt;&gt;Table_dim_price_recipe[Type.display])*($L892=Table_dim_price_recipe[Category])*($D892=Table_dim_price_recipe[Item Description]) * (J$6=Table_dim_price_recipe[Type])*(Table_dim_price_recipe[Retail Price]&lt;&gt;0)*($C892=Table_dim_price_recipe[Subcategory]), 0))*$B892,"")</f>
        <v/>
      </c>
      <c r="K892" s="262" t="str" cm="1">
        <f t="array" ref="K892">IFERROR(INDEX(Table_dim_price_recipe[Retail Price], MATCH(1, ("Calculator"&lt;&gt;Table_dim_price_recipe[Type.display])*($L892=Table_dim_price_recipe[Category])*($D892=Table_dim_price_recipe[Item Description]) * (K$6=Table_dim_price_recipe[Type])*(Table_dim_price_recipe[Retail Price]&lt;&gt;0)*($C892=Table_dim_price_recipe[Subcategory]), 0))*$B892,"")</f>
        <v/>
      </c>
      <c r="L892" s="262" t="str" cm="1">
        <f t="array" ref="L892">IF($A892&lt;&gt;"", $A892, LOOKUP(2, 1/((A$7:INDEX(A:A, ROW()))&lt;&gt;""), A$7:INDEX(A:A, ROW())))</f>
        <v>PAINTING</v>
      </c>
      <c r="M892" s="14"/>
    </row>
    <row r="893" spans="1:13">
      <c r="A893" s="263"/>
      <c r="B893" s="263"/>
      <c r="C893" s="263" t="s">
        <v>398</v>
      </c>
      <c r="D893" s="263" t="s">
        <v>399</v>
      </c>
      <c r="E893" s="263"/>
      <c r="F893" s="263"/>
      <c r="G893" s="39" t="str" cm="1">
        <f t="array" ref="G893">IFERROR(INDEX(Table_dim_price_recipe[Retail Price], MATCH(1, ("Calculator"&lt;&gt;Table_dim_price_recipe[Type.display])*($L893=Table_dim_price_recipe[Category])*($D893=Table_dim_price_recipe[Item Description]) * (G$6=Table_dim_price_recipe[Type])*(Table_dim_price_recipe[Retail Price]&lt;&gt;0)*($C893=Table_dim_price_recipe[Subcategory]), 0))*$B893,"")</f>
        <v/>
      </c>
      <c r="H893" s="39" t="str" cm="1">
        <f t="array" ref="H893">IFERROR(INDEX(Table_dim_price_recipe[Retail Price], MATCH(1, ("Calculator"&lt;&gt;Table_dim_price_recipe[Type.display])*($L893=Table_dim_price_recipe[Category])*($D893=Table_dim_price_recipe[Item Description]) * (H$6=Table_dim_price_recipe[Type])*(Table_dim_price_recipe[Retail Price]&lt;&gt;0)*($C893=Table_dim_price_recipe[Subcategory]), 0))*$B893,"")</f>
        <v/>
      </c>
      <c r="I893" s="39" t="str" cm="1">
        <f t="array" ref="I893">IFERROR(INDEX(Table_dim_price_recipe[Retail Price], MATCH(1, ("Calculator"&lt;&gt;Table_dim_price_recipe[Type.display])*($L893=Table_dim_price_recipe[Category])*($D893=Table_dim_price_recipe[Item Description]) * (I$6=Table_dim_price_recipe[Type])*(Table_dim_price_recipe[Retail Price]&lt;&gt;0)*($C893=Table_dim_price_recipe[Subcategory]), 0))*$B893,"")</f>
        <v/>
      </c>
      <c r="J893" s="39" t="str" cm="1">
        <f t="array" ref="J893">IFERROR(INDEX(Table_dim_price_recipe[Retail Price], MATCH(1, ("Calculator"&lt;&gt;Table_dim_price_recipe[Type.display])*($L893=Table_dim_price_recipe[Category])*($D893=Table_dim_price_recipe[Item Description]) * (J$6=Table_dim_price_recipe[Type])*(Table_dim_price_recipe[Retail Price]&lt;&gt;0)*($C893=Table_dim_price_recipe[Subcategory]), 0))*$B893,"")</f>
        <v/>
      </c>
      <c r="K893" s="39" t="str" cm="1">
        <f t="array" ref="K893">IFERROR(INDEX(Table_dim_price_recipe[Retail Price], MATCH(1, ("Calculator"&lt;&gt;Table_dim_price_recipe[Type.display])*($L893=Table_dim_price_recipe[Category])*($D893=Table_dim_price_recipe[Item Description]) * (K$6=Table_dim_price_recipe[Type])*(Table_dim_price_recipe[Retail Price]&lt;&gt;0)*($C893=Table_dim_price_recipe[Subcategory]), 0))*$B893,"")</f>
        <v/>
      </c>
      <c r="L893" s="39" t="str" cm="1">
        <f t="array" ref="L893">IF($A893&lt;&gt;"", $A893, LOOKUP(2, 1/((A$7:INDEX(A:A, ROW()))&lt;&gt;""), A$7:INDEX(A:A, ROW())))</f>
        <v>PAINTING</v>
      </c>
      <c r="M893" s="14"/>
    </row>
    <row r="894" spans="1:13">
      <c r="A894" s="263"/>
      <c r="B894" s="263"/>
      <c r="C894" s="263" t="s">
        <v>398</v>
      </c>
      <c r="D894" s="263" t="s">
        <v>403</v>
      </c>
      <c r="E894" s="263"/>
      <c r="F894" s="263"/>
      <c r="G894" s="39" cm="1">
        <f t="array" ref="G894">IFERROR(INDEX(Table_dim_price_recipe[Retail Price], MATCH(1, ("Calculator"&lt;&gt;Table_dim_price_recipe[Type.display])*($L894=Table_dim_price_recipe[Category])*($D894=Table_dim_price_recipe[Item Description]) * (G$6=Table_dim_price_recipe[Type])*(Table_dim_price_recipe[Retail Price]&lt;&gt;0)*($C894=Table_dim_price_recipe[Subcategory]), 0))*$B894,"")</f>
        <v>0</v>
      </c>
      <c r="H894" s="39" t="str" cm="1">
        <f t="array" ref="H894">IFERROR(INDEX(Table_dim_price_recipe[Retail Price], MATCH(1, ("Calculator"&lt;&gt;Table_dim_price_recipe[Type.display])*($L894=Table_dim_price_recipe[Category])*($D894=Table_dim_price_recipe[Item Description]) * (H$6=Table_dim_price_recipe[Type])*(Table_dim_price_recipe[Retail Price]&lt;&gt;0)*($C894=Table_dim_price_recipe[Subcategory]), 0))*$B894,"")</f>
        <v/>
      </c>
      <c r="I894" s="39" t="str" cm="1">
        <f t="array" ref="I894">IFERROR(INDEX(Table_dim_price_recipe[Retail Price], MATCH(1, ("Calculator"&lt;&gt;Table_dim_price_recipe[Type.display])*($L894=Table_dim_price_recipe[Category])*($D894=Table_dim_price_recipe[Item Description]) * (I$6=Table_dim_price_recipe[Type])*(Table_dim_price_recipe[Retail Price]&lt;&gt;0)*($C894=Table_dim_price_recipe[Subcategory]), 0))*$B894,"")</f>
        <v/>
      </c>
      <c r="J894" s="39" t="str" cm="1">
        <f t="array" ref="J894">IFERROR(INDEX(Table_dim_price_recipe[Retail Price], MATCH(1, ("Calculator"&lt;&gt;Table_dim_price_recipe[Type.display])*($L894=Table_dim_price_recipe[Category])*($D894=Table_dim_price_recipe[Item Description]) * (J$6=Table_dim_price_recipe[Type])*(Table_dim_price_recipe[Retail Price]&lt;&gt;0)*($C894=Table_dim_price_recipe[Subcategory]), 0))*$B894,"")</f>
        <v/>
      </c>
      <c r="K894" s="39" t="str" cm="1">
        <f t="array" ref="K894">IFERROR(INDEX(Table_dim_price_recipe[Retail Price], MATCH(1, ("Calculator"&lt;&gt;Table_dim_price_recipe[Type.display])*($L894=Table_dim_price_recipe[Category])*($D894=Table_dim_price_recipe[Item Description]) * (K$6=Table_dim_price_recipe[Type])*(Table_dim_price_recipe[Retail Price]&lt;&gt;0)*($C894=Table_dim_price_recipe[Subcategory]), 0))*$B894,"")</f>
        <v/>
      </c>
      <c r="L894" s="39" t="str" cm="1">
        <f t="array" ref="L894">IF($A894&lt;&gt;"", $A894, LOOKUP(2, 1/((A$7:INDEX(A:A, ROW()))&lt;&gt;""), A$7:INDEX(A:A, ROW())))</f>
        <v>PAINTING</v>
      </c>
      <c r="M894" s="14"/>
    </row>
    <row r="895" spans="1:13">
      <c r="A895" s="263"/>
      <c r="B895" s="263"/>
      <c r="C895" s="263" t="s">
        <v>398</v>
      </c>
      <c r="D895" s="263" t="s">
        <v>404</v>
      </c>
      <c r="E895" s="263"/>
      <c r="F895" s="263"/>
      <c r="G895" s="39" cm="1">
        <f t="array" ref="G895">IFERROR(INDEX(Table_dim_price_recipe[Retail Price], MATCH(1, ("Calculator"&lt;&gt;Table_dim_price_recipe[Type.display])*($L895=Table_dim_price_recipe[Category])*($D895=Table_dim_price_recipe[Item Description]) * (G$6=Table_dim_price_recipe[Type])*(Table_dim_price_recipe[Retail Price]&lt;&gt;0)*($C895=Table_dim_price_recipe[Subcategory]), 0))*$B895,"")</f>
        <v>0</v>
      </c>
      <c r="H895" s="39" t="str" cm="1">
        <f t="array" ref="H895">IFERROR(INDEX(Table_dim_price_recipe[Retail Price], MATCH(1, ("Calculator"&lt;&gt;Table_dim_price_recipe[Type.display])*($L895=Table_dim_price_recipe[Category])*($D895=Table_dim_price_recipe[Item Description]) * (H$6=Table_dim_price_recipe[Type])*(Table_dim_price_recipe[Retail Price]&lt;&gt;0)*($C895=Table_dim_price_recipe[Subcategory]), 0))*$B895,"")</f>
        <v/>
      </c>
      <c r="I895" s="39" t="str" cm="1">
        <f t="array" ref="I895">IFERROR(INDEX(Table_dim_price_recipe[Retail Price], MATCH(1, ("Calculator"&lt;&gt;Table_dim_price_recipe[Type.display])*($L895=Table_dim_price_recipe[Category])*($D895=Table_dim_price_recipe[Item Description]) * (I$6=Table_dim_price_recipe[Type])*(Table_dim_price_recipe[Retail Price]&lt;&gt;0)*($C895=Table_dim_price_recipe[Subcategory]), 0))*$B895,"")</f>
        <v/>
      </c>
      <c r="J895" s="39" t="str" cm="1">
        <f t="array" ref="J895">IFERROR(INDEX(Table_dim_price_recipe[Retail Price], MATCH(1, ("Calculator"&lt;&gt;Table_dim_price_recipe[Type.display])*($L895=Table_dim_price_recipe[Category])*($D895=Table_dim_price_recipe[Item Description]) * (J$6=Table_dim_price_recipe[Type])*(Table_dim_price_recipe[Retail Price]&lt;&gt;0)*($C895=Table_dim_price_recipe[Subcategory]), 0))*$B895,"")</f>
        <v/>
      </c>
      <c r="K895" s="39" t="str" cm="1">
        <f t="array" ref="K895">IFERROR(INDEX(Table_dim_price_recipe[Retail Price], MATCH(1, ("Calculator"&lt;&gt;Table_dim_price_recipe[Type.display])*($L895=Table_dim_price_recipe[Category])*($D895=Table_dim_price_recipe[Item Description]) * (K$6=Table_dim_price_recipe[Type])*(Table_dim_price_recipe[Retail Price]&lt;&gt;0)*($C895=Table_dim_price_recipe[Subcategory]), 0))*$B895,"")</f>
        <v/>
      </c>
      <c r="L895" s="39" t="str" cm="1">
        <f t="array" ref="L895">IF($A895&lt;&gt;"", $A895, LOOKUP(2, 1/((A$7:INDEX(A:A, ROW()))&lt;&gt;""), A$7:INDEX(A:A, ROW())))</f>
        <v>PAINTING</v>
      </c>
      <c r="M895" s="14"/>
    </row>
    <row r="896" spans="1:13">
      <c r="A896" s="263"/>
      <c r="B896" s="263"/>
      <c r="C896" s="263" t="s">
        <v>398</v>
      </c>
      <c r="D896" s="263" t="s">
        <v>401</v>
      </c>
      <c r="E896" s="263"/>
      <c r="F896" s="263"/>
      <c r="G896" s="39" cm="1">
        <f t="array" ref="G896">IFERROR(INDEX(Table_dim_price_recipe[Retail Price], MATCH(1, ("Calculator"&lt;&gt;Table_dim_price_recipe[Type.display])*($L896=Table_dim_price_recipe[Category])*($D896=Table_dim_price_recipe[Item Description]) * (G$6=Table_dim_price_recipe[Type])*(Table_dim_price_recipe[Retail Price]&lt;&gt;0)*($C896=Table_dim_price_recipe[Subcategory]), 0))*$B896,"")</f>
        <v>0</v>
      </c>
      <c r="H896" s="39" t="str" cm="1">
        <f t="array" ref="H896">IFERROR(INDEX(Table_dim_price_recipe[Retail Price], MATCH(1, ("Calculator"&lt;&gt;Table_dim_price_recipe[Type.display])*($L896=Table_dim_price_recipe[Category])*($D896=Table_dim_price_recipe[Item Description]) * (H$6=Table_dim_price_recipe[Type])*(Table_dim_price_recipe[Retail Price]&lt;&gt;0)*($C896=Table_dim_price_recipe[Subcategory]), 0))*$B896,"")</f>
        <v/>
      </c>
      <c r="I896" s="39" t="str" cm="1">
        <f t="array" ref="I896">IFERROR(INDEX(Table_dim_price_recipe[Retail Price], MATCH(1, ("Calculator"&lt;&gt;Table_dim_price_recipe[Type.display])*($L896=Table_dim_price_recipe[Category])*($D896=Table_dim_price_recipe[Item Description]) * (I$6=Table_dim_price_recipe[Type])*(Table_dim_price_recipe[Retail Price]&lt;&gt;0)*($C896=Table_dim_price_recipe[Subcategory]), 0))*$B896,"")</f>
        <v/>
      </c>
      <c r="J896" s="39" t="str" cm="1">
        <f t="array" ref="J896">IFERROR(INDEX(Table_dim_price_recipe[Retail Price], MATCH(1, ("Calculator"&lt;&gt;Table_dim_price_recipe[Type.display])*($L896=Table_dim_price_recipe[Category])*($D896=Table_dim_price_recipe[Item Description]) * (J$6=Table_dim_price_recipe[Type])*(Table_dim_price_recipe[Retail Price]&lt;&gt;0)*($C896=Table_dim_price_recipe[Subcategory]), 0))*$B896,"")</f>
        <v/>
      </c>
      <c r="K896" s="39" t="str" cm="1">
        <f t="array" ref="K896">IFERROR(INDEX(Table_dim_price_recipe[Retail Price], MATCH(1, ("Calculator"&lt;&gt;Table_dim_price_recipe[Type.display])*($L896=Table_dim_price_recipe[Category])*($D896=Table_dim_price_recipe[Item Description]) * (K$6=Table_dim_price_recipe[Type])*(Table_dim_price_recipe[Retail Price]&lt;&gt;0)*($C896=Table_dim_price_recipe[Subcategory]), 0))*$B896,"")</f>
        <v/>
      </c>
      <c r="L896" s="39" t="str" cm="1">
        <f t="array" ref="L896">IF($A896&lt;&gt;"", $A896, LOOKUP(2, 1/((A$7:INDEX(A:A, ROW()))&lt;&gt;""), A$7:INDEX(A:A, ROW())))</f>
        <v>PAINTING</v>
      </c>
      <c r="M896" s="14"/>
    </row>
    <row r="897" spans="1:13">
      <c r="A897" s="263"/>
      <c r="B897" s="263"/>
      <c r="C897" s="263" t="s">
        <v>398</v>
      </c>
      <c r="D897" s="263" t="s">
        <v>402</v>
      </c>
      <c r="E897" s="263"/>
      <c r="F897" s="263"/>
      <c r="G897" s="39" cm="1">
        <f t="array" ref="G897">IFERROR(INDEX(Table_dim_price_recipe[Retail Price], MATCH(1, ("Calculator"&lt;&gt;Table_dim_price_recipe[Type.display])*($L897=Table_dim_price_recipe[Category])*($D897=Table_dim_price_recipe[Item Description]) * (G$6=Table_dim_price_recipe[Type])*(Table_dim_price_recipe[Retail Price]&lt;&gt;0)*($C897=Table_dim_price_recipe[Subcategory]), 0))*$B897,"")</f>
        <v>0</v>
      </c>
      <c r="H897" s="39" t="str" cm="1">
        <f t="array" ref="H897">IFERROR(INDEX(Table_dim_price_recipe[Retail Price], MATCH(1, ("Calculator"&lt;&gt;Table_dim_price_recipe[Type.display])*($L897=Table_dim_price_recipe[Category])*($D897=Table_dim_price_recipe[Item Description]) * (H$6=Table_dim_price_recipe[Type])*(Table_dim_price_recipe[Retail Price]&lt;&gt;0)*($C897=Table_dim_price_recipe[Subcategory]), 0))*$B897,"")</f>
        <v/>
      </c>
      <c r="I897" s="39" t="str" cm="1">
        <f t="array" ref="I897">IFERROR(INDEX(Table_dim_price_recipe[Retail Price], MATCH(1, ("Calculator"&lt;&gt;Table_dim_price_recipe[Type.display])*($L897=Table_dim_price_recipe[Category])*($D897=Table_dim_price_recipe[Item Description]) * (I$6=Table_dim_price_recipe[Type])*(Table_dim_price_recipe[Retail Price]&lt;&gt;0)*($C897=Table_dim_price_recipe[Subcategory]), 0))*$B897,"")</f>
        <v/>
      </c>
      <c r="J897" s="39" t="str" cm="1">
        <f t="array" ref="J897">IFERROR(INDEX(Table_dim_price_recipe[Retail Price], MATCH(1, ("Calculator"&lt;&gt;Table_dim_price_recipe[Type.display])*($L897=Table_dim_price_recipe[Category])*($D897=Table_dim_price_recipe[Item Description]) * (J$6=Table_dim_price_recipe[Type])*(Table_dim_price_recipe[Retail Price]&lt;&gt;0)*($C897=Table_dim_price_recipe[Subcategory]), 0))*$B897,"")</f>
        <v/>
      </c>
      <c r="K897" s="39" t="str" cm="1">
        <f t="array" ref="K897">IFERROR(INDEX(Table_dim_price_recipe[Retail Price], MATCH(1, ("Calculator"&lt;&gt;Table_dim_price_recipe[Type.display])*($L897=Table_dim_price_recipe[Category])*($D897=Table_dim_price_recipe[Item Description]) * (K$6=Table_dim_price_recipe[Type])*(Table_dim_price_recipe[Retail Price]&lt;&gt;0)*($C897=Table_dim_price_recipe[Subcategory]), 0))*$B897,"")</f>
        <v/>
      </c>
      <c r="L897" s="39" t="str" cm="1">
        <f t="array" ref="L897">IF($A897&lt;&gt;"", $A897, LOOKUP(2, 1/((A$7:INDEX(A:A, ROW()))&lt;&gt;""), A$7:INDEX(A:A, ROW())))</f>
        <v>PAINTING</v>
      </c>
      <c r="M897" s="14"/>
    </row>
    <row r="898" spans="1:13">
      <c r="A898" s="263"/>
      <c r="B898" s="263"/>
      <c r="C898" s="263" t="s">
        <v>398</v>
      </c>
      <c r="D898" s="263" t="s">
        <v>400</v>
      </c>
      <c r="E898" s="263"/>
      <c r="F898" s="263"/>
      <c r="G898" s="39" cm="1">
        <f t="array" ref="G898">IFERROR(INDEX(Table_dim_price_recipe[Retail Price], MATCH(1, ("Calculator"&lt;&gt;Table_dim_price_recipe[Type.display])*($L898=Table_dim_price_recipe[Category])*($D898=Table_dim_price_recipe[Item Description]) * (G$6=Table_dim_price_recipe[Type])*(Table_dim_price_recipe[Retail Price]&lt;&gt;0)*($C898=Table_dim_price_recipe[Subcategory]), 0))*$B898,"")</f>
        <v>0</v>
      </c>
      <c r="H898" s="39" t="str" cm="1">
        <f t="array" ref="H898">IFERROR(INDEX(Table_dim_price_recipe[Retail Price], MATCH(1, ("Calculator"&lt;&gt;Table_dim_price_recipe[Type.display])*($L898=Table_dim_price_recipe[Category])*($D898=Table_dim_price_recipe[Item Description]) * (H$6=Table_dim_price_recipe[Type])*(Table_dim_price_recipe[Retail Price]&lt;&gt;0)*($C898=Table_dim_price_recipe[Subcategory]), 0))*$B898,"")</f>
        <v/>
      </c>
      <c r="I898" s="39" t="str" cm="1">
        <f t="array" ref="I898">IFERROR(INDEX(Table_dim_price_recipe[Retail Price], MATCH(1, ("Calculator"&lt;&gt;Table_dim_price_recipe[Type.display])*($L898=Table_dim_price_recipe[Category])*($D898=Table_dim_price_recipe[Item Description]) * (I$6=Table_dim_price_recipe[Type])*(Table_dim_price_recipe[Retail Price]&lt;&gt;0)*($C898=Table_dim_price_recipe[Subcategory]), 0))*$B898,"")</f>
        <v/>
      </c>
      <c r="J898" s="39" t="str" cm="1">
        <f t="array" ref="J898">IFERROR(INDEX(Table_dim_price_recipe[Retail Price], MATCH(1, ("Calculator"&lt;&gt;Table_dim_price_recipe[Type.display])*($L898=Table_dim_price_recipe[Category])*($D898=Table_dim_price_recipe[Item Description]) * (J$6=Table_dim_price_recipe[Type])*(Table_dim_price_recipe[Retail Price]&lt;&gt;0)*($C898=Table_dim_price_recipe[Subcategory]), 0))*$B898,"")</f>
        <v/>
      </c>
      <c r="K898" s="39" t="str" cm="1">
        <f t="array" ref="K898">IFERROR(INDEX(Table_dim_price_recipe[Retail Price], MATCH(1, ("Calculator"&lt;&gt;Table_dim_price_recipe[Type.display])*($L898=Table_dim_price_recipe[Category])*($D898=Table_dim_price_recipe[Item Description]) * (K$6=Table_dim_price_recipe[Type])*(Table_dim_price_recipe[Retail Price]&lt;&gt;0)*($C898=Table_dim_price_recipe[Subcategory]), 0))*$B898,"")</f>
        <v/>
      </c>
      <c r="L898" s="39" t="str" cm="1">
        <f t="array" ref="L898">IF($A898&lt;&gt;"", $A898, LOOKUP(2, 1/((A$7:INDEX(A:A, ROW()))&lt;&gt;""), A$7:INDEX(A:A, ROW())))</f>
        <v>PAINTING</v>
      </c>
      <c r="M898" s="14"/>
    </row>
    <row r="899" spans="1:13">
      <c r="A899" s="263"/>
      <c r="B899" s="263"/>
      <c r="C899" s="263" t="s">
        <v>398</v>
      </c>
      <c r="D899" s="263" t="s">
        <v>405</v>
      </c>
      <c r="E899" s="263"/>
      <c r="F899" s="263"/>
      <c r="G899" s="39" cm="1">
        <f t="array" ref="G899">IFERROR(INDEX(Table_dim_price_recipe[Retail Price], MATCH(1, ("Calculator"&lt;&gt;Table_dim_price_recipe[Type.display])*($L899=Table_dim_price_recipe[Category])*($D899=Table_dim_price_recipe[Item Description]) * (G$6=Table_dim_price_recipe[Type])*(Table_dim_price_recipe[Retail Price]&lt;&gt;0)*($C899=Table_dim_price_recipe[Subcategory]), 0))*$B899,"")</f>
        <v>0</v>
      </c>
      <c r="H899" s="39" t="str" cm="1">
        <f t="array" ref="H899">IFERROR(INDEX(Table_dim_price_recipe[Retail Price], MATCH(1, ("Calculator"&lt;&gt;Table_dim_price_recipe[Type.display])*($L899=Table_dim_price_recipe[Category])*($D899=Table_dim_price_recipe[Item Description]) * (H$6=Table_dim_price_recipe[Type])*(Table_dim_price_recipe[Retail Price]&lt;&gt;0)*($C899=Table_dim_price_recipe[Subcategory]), 0))*$B899,"")</f>
        <v/>
      </c>
      <c r="I899" s="39" t="str" cm="1">
        <f t="array" ref="I899">IFERROR(INDEX(Table_dim_price_recipe[Retail Price], MATCH(1, ("Calculator"&lt;&gt;Table_dim_price_recipe[Type.display])*($L899=Table_dim_price_recipe[Category])*($D899=Table_dim_price_recipe[Item Description]) * (I$6=Table_dim_price_recipe[Type])*(Table_dim_price_recipe[Retail Price]&lt;&gt;0)*($C899=Table_dim_price_recipe[Subcategory]), 0))*$B899,"")</f>
        <v/>
      </c>
      <c r="J899" s="39" t="str" cm="1">
        <f t="array" ref="J899">IFERROR(INDEX(Table_dim_price_recipe[Retail Price], MATCH(1, ("Calculator"&lt;&gt;Table_dim_price_recipe[Type.display])*($L899=Table_dim_price_recipe[Category])*($D899=Table_dim_price_recipe[Item Description]) * (J$6=Table_dim_price_recipe[Type])*(Table_dim_price_recipe[Retail Price]&lt;&gt;0)*($C899=Table_dim_price_recipe[Subcategory]), 0))*$B899,"")</f>
        <v/>
      </c>
      <c r="K899" s="39" t="str" cm="1">
        <f t="array" ref="K899">IFERROR(INDEX(Table_dim_price_recipe[Retail Price], MATCH(1, ("Calculator"&lt;&gt;Table_dim_price_recipe[Type.display])*($L899=Table_dim_price_recipe[Category])*($D899=Table_dim_price_recipe[Item Description]) * (K$6=Table_dim_price_recipe[Type])*(Table_dim_price_recipe[Retail Price]&lt;&gt;0)*($C899=Table_dim_price_recipe[Subcategory]), 0))*$B899,"")</f>
        <v/>
      </c>
      <c r="L899" s="39" t="str" cm="1">
        <f t="array" ref="L899">IF($A899&lt;&gt;"", $A899, LOOKUP(2, 1/((A$7:INDEX(A:A, ROW()))&lt;&gt;""), A$7:INDEX(A:A, ROW())))</f>
        <v>PAINTING</v>
      </c>
      <c r="M899" s="14"/>
    </row>
    <row r="900" spans="1:13">
      <c r="A900" s="263"/>
      <c r="B900" s="263"/>
      <c r="C900" s="263" t="s">
        <v>398</v>
      </c>
      <c r="D900" s="263"/>
      <c r="E900" s="263"/>
      <c r="F900" s="263"/>
      <c r="G900" s="39" t="str" cm="1">
        <f t="array" ref="G900">IFERROR(INDEX(Table_dim_price_recipe[Retail Price], MATCH(1, ("Calculator"&lt;&gt;Table_dim_price_recipe[Type.display])*($L900=Table_dim_price_recipe[Category])*($D900=Table_dim_price_recipe[Item Description]) * (G$6=Table_dim_price_recipe[Type])*(Table_dim_price_recipe[Retail Price]&lt;&gt;0)*($C900=Table_dim_price_recipe[Subcategory]), 0))*$B900,"")</f>
        <v/>
      </c>
      <c r="H900" s="39" t="str" cm="1">
        <f t="array" ref="H900">IFERROR(INDEX(Table_dim_price_recipe[Retail Price], MATCH(1, ("Calculator"&lt;&gt;Table_dim_price_recipe[Type.display])*($L900=Table_dim_price_recipe[Category])*($D900=Table_dim_price_recipe[Item Description]) * (H$6=Table_dim_price_recipe[Type])*(Table_dim_price_recipe[Retail Price]&lt;&gt;0)*($C900=Table_dim_price_recipe[Subcategory]), 0))*$B900,"")</f>
        <v/>
      </c>
      <c r="I900" s="39" t="str" cm="1">
        <f t="array" ref="I900">IFERROR(INDEX(Table_dim_price_recipe[Retail Price], MATCH(1, ("Calculator"&lt;&gt;Table_dim_price_recipe[Type.display])*($L900=Table_dim_price_recipe[Category])*($D900=Table_dim_price_recipe[Item Description]) * (I$6=Table_dim_price_recipe[Type])*(Table_dim_price_recipe[Retail Price]&lt;&gt;0)*($C900=Table_dim_price_recipe[Subcategory]), 0))*$B900,"")</f>
        <v/>
      </c>
      <c r="J900" s="39" t="str" cm="1">
        <f t="array" ref="J900">IFERROR(INDEX(Table_dim_price_recipe[Retail Price], MATCH(1, ("Calculator"&lt;&gt;Table_dim_price_recipe[Type.display])*($L900=Table_dim_price_recipe[Category])*($D900=Table_dim_price_recipe[Item Description]) * (J$6=Table_dim_price_recipe[Type])*(Table_dim_price_recipe[Retail Price]&lt;&gt;0)*($C900=Table_dim_price_recipe[Subcategory]), 0))*$B900,"")</f>
        <v/>
      </c>
      <c r="K900" s="39" t="str" cm="1">
        <f t="array" ref="K900">IFERROR(INDEX(Table_dim_price_recipe[Retail Price], MATCH(1, ("Calculator"&lt;&gt;Table_dim_price_recipe[Type.display])*($L900=Table_dim_price_recipe[Category])*($D900=Table_dim_price_recipe[Item Description]) * (K$6=Table_dim_price_recipe[Type])*(Table_dim_price_recipe[Retail Price]&lt;&gt;0)*($C900=Table_dim_price_recipe[Subcategory]), 0))*$B900,"")</f>
        <v/>
      </c>
      <c r="L900" s="39" t="str" cm="1">
        <f t="array" ref="L900">IF($A900&lt;&gt;"", $A900, LOOKUP(2, 1/((A$7:INDEX(A:A, ROW()))&lt;&gt;""), A$7:INDEX(A:A, ROW())))</f>
        <v>PAINTING</v>
      </c>
      <c r="M900" s="14"/>
    </row>
    <row r="901" spans="1:13">
      <c r="A901" s="263"/>
      <c r="B901" s="263"/>
      <c r="C901" s="263" t="s">
        <v>398</v>
      </c>
      <c r="D901" s="263"/>
      <c r="E901" s="263"/>
      <c r="F901" s="263"/>
      <c r="G901" s="39" t="str" cm="1">
        <f t="array" ref="G901">IFERROR(INDEX(Table_dim_price_recipe[Retail Price], MATCH(1, ("Calculator"&lt;&gt;Table_dim_price_recipe[Type.display])*($L901=Table_dim_price_recipe[Category])*($D901=Table_dim_price_recipe[Item Description]) * (G$6=Table_dim_price_recipe[Type])*(Table_dim_price_recipe[Retail Price]&lt;&gt;0)*($C901=Table_dim_price_recipe[Subcategory]), 0))*$B901,"")</f>
        <v/>
      </c>
      <c r="H901" s="39" t="str" cm="1">
        <f t="array" ref="H901">IFERROR(INDEX(Table_dim_price_recipe[Retail Price], MATCH(1, ("Calculator"&lt;&gt;Table_dim_price_recipe[Type.display])*($L901=Table_dim_price_recipe[Category])*($D901=Table_dim_price_recipe[Item Description]) * (H$6=Table_dim_price_recipe[Type])*(Table_dim_price_recipe[Retail Price]&lt;&gt;0)*($C901=Table_dim_price_recipe[Subcategory]), 0))*$B901,"")</f>
        <v/>
      </c>
      <c r="I901" s="39" t="str" cm="1">
        <f t="array" ref="I901">IFERROR(INDEX(Table_dim_price_recipe[Retail Price], MATCH(1, ("Calculator"&lt;&gt;Table_dim_price_recipe[Type.display])*($L901=Table_dim_price_recipe[Category])*($D901=Table_dim_price_recipe[Item Description]) * (I$6=Table_dim_price_recipe[Type])*(Table_dim_price_recipe[Retail Price]&lt;&gt;0)*($C901=Table_dim_price_recipe[Subcategory]), 0))*$B901,"")</f>
        <v/>
      </c>
      <c r="J901" s="39" t="str" cm="1">
        <f t="array" ref="J901">IFERROR(INDEX(Table_dim_price_recipe[Retail Price], MATCH(1, ("Calculator"&lt;&gt;Table_dim_price_recipe[Type.display])*($L901=Table_dim_price_recipe[Category])*($D901=Table_dim_price_recipe[Item Description]) * (J$6=Table_dim_price_recipe[Type])*(Table_dim_price_recipe[Retail Price]&lt;&gt;0)*($C901=Table_dim_price_recipe[Subcategory]), 0))*$B901,"")</f>
        <v/>
      </c>
      <c r="K901" s="39" t="str" cm="1">
        <f t="array" ref="K901">IFERROR(INDEX(Table_dim_price_recipe[Retail Price], MATCH(1, ("Calculator"&lt;&gt;Table_dim_price_recipe[Type.display])*($L901=Table_dim_price_recipe[Category])*($D901=Table_dim_price_recipe[Item Description]) * (K$6=Table_dim_price_recipe[Type])*(Table_dim_price_recipe[Retail Price]&lt;&gt;0)*($C901=Table_dim_price_recipe[Subcategory]), 0))*$B901,"")</f>
        <v/>
      </c>
      <c r="L901" s="39" t="str" cm="1">
        <f t="array" ref="L901">IF($A901&lt;&gt;"", $A901, LOOKUP(2, 1/((A$7:INDEX(A:A, ROW()))&lt;&gt;""), A$7:INDEX(A:A, ROW())))</f>
        <v>PAINTING</v>
      </c>
      <c r="M901" s="14"/>
    </row>
    <row r="902" spans="1:13">
      <c r="A902" s="263"/>
      <c r="B902" s="263"/>
      <c r="C902" s="263" t="s">
        <v>777</v>
      </c>
      <c r="D902" s="263" t="s">
        <v>779</v>
      </c>
      <c r="E902" s="263"/>
      <c r="F902" s="263"/>
      <c r="G902" s="39" t="str" cm="1">
        <f t="array" ref="G902">IFERROR(INDEX(Table_dim_price_recipe[Retail Price], MATCH(1, ("Calculator"&lt;&gt;Table_dim_price_recipe[Type.display])*($L902=Table_dim_price_recipe[Category])*($D902=Table_dim_price_recipe[Item Description]) * (G$6=Table_dim_price_recipe[Type])*(Table_dim_price_recipe[Retail Price]&lt;&gt;0)*($C902=Table_dim_price_recipe[Subcategory]), 0))*$B902,"")</f>
        <v/>
      </c>
      <c r="H902" s="39" t="str" cm="1">
        <f t="array" ref="H902">IFERROR(INDEX(Table_dim_price_recipe[Retail Price], MATCH(1, ("Calculator"&lt;&gt;Table_dim_price_recipe[Type.display])*($L902=Table_dim_price_recipe[Category])*($D902=Table_dim_price_recipe[Item Description]) * (H$6=Table_dim_price_recipe[Type])*(Table_dim_price_recipe[Retail Price]&lt;&gt;0)*($C902=Table_dim_price_recipe[Subcategory]), 0))*$B902,"")</f>
        <v/>
      </c>
      <c r="I902" s="39" t="str" cm="1">
        <f t="array" ref="I902">IFERROR(INDEX(Table_dim_price_recipe[Retail Price], MATCH(1, ("Calculator"&lt;&gt;Table_dim_price_recipe[Type.display])*($L902=Table_dim_price_recipe[Category])*($D902=Table_dim_price_recipe[Item Description]) * (I$6=Table_dim_price_recipe[Type])*(Table_dim_price_recipe[Retail Price]&lt;&gt;0)*($C902=Table_dim_price_recipe[Subcategory]), 0))*$B902,"")</f>
        <v/>
      </c>
      <c r="J902" s="39" cm="1">
        <f t="array" ref="J902">IFERROR(INDEX(Table_dim_price_recipe[Retail Price], MATCH(1, ("Calculator"&lt;&gt;Table_dim_price_recipe[Type.display])*($L902=Table_dim_price_recipe[Category])*($D902=Table_dim_price_recipe[Item Description]) * (J$6=Table_dim_price_recipe[Type])*(Table_dim_price_recipe[Retail Price]&lt;&gt;0)*($C902=Table_dim_price_recipe[Subcategory]), 0))*$B902,"")</f>
        <v>0</v>
      </c>
      <c r="K902" s="39" t="str" cm="1">
        <f t="array" ref="K902">IFERROR(INDEX(Table_dim_price_recipe[Retail Price], MATCH(1, ("Calculator"&lt;&gt;Table_dim_price_recipe[Type.display])*($L902=Table_dim_price_recipe[Category])*($D902=Table_dim_price_recipe[Item Description]) * (K$6=Table_dim_price_recipe[Type])*(Table_dim_price_recipe[Retail Price]&lt;&gt;0)*($C902=Table_dim_price_recipe[Subcategory]), 0))*$B902,"")</f>
        <v/>
      </c>
      <c r="L902" s="39" t="str" cm="1">
        <f t="array" ref="L902">IF($A902&lt;&gt;"", $A902, LOOKUP(2, 1/((A$7:INDEX(A:A, ROW()))&lt;&gt;""), A$7:INDEX(A:A, ROW())))</f>
        <v>PAINTING</v>
      </c>
      <c r="M902" s="14"/>
    </row>
    <row r="903" spans="1:13">
      <c r="A903" s="263"/>
      <c r="B903" s="263"/>
      <c r="C903" s="263" t="s">
        <v>777</v>
      </c>
      <c r="D903" s="263" t="s">
        <v>789</v>
      </c>
      <c r="E903" s="263"/>
      <c r="F903" s="263"/>
      <c r="G903" s="39" t="str" cm="1">
        <f t="array" ref="G903">IFERROR(INDEX(Table_dim_price_recipe[Retail Price], MATCH(1, ("Calculator"&lt;&gt;Table_dim_price_recipe[Type.display])*($L903=Table_dim_price_recipe[Category])*($D903=Table_dim_price_recipe[Item Description]) * (G$6=Table_dim_price_recipe[Type])*(Table_dim_price_recipe[Retail Price]&lt;&gt;0)*($C903=Table_dim_price_recipe[Subcategory]), 0))*$B903,"")</f>
        <v/>
      </c>
      <c r="H903" s="39" t="str" cm="1">
        <f t="array" ref="H903">IFERROR(INDEX(Table_dim_price_recipe[Retail Price], MATCH(1, ("Calculator"&lt;&gt;Table_dim_price_recipe[Type.display])*($L903=Table_dim_price_recipe[Category])*($D903=Table_dim_price_recipe[Item Description]) * (H$6=Table_dim_price_recipe[Type])*(Table_dim_price_recipe[Retail Price]&lt;&gt;0)*($C903=Table_dim_price_recipe[Subcategory]), 0))*$B903,"")</f>
        <v/>
      </c>
      <c r="I903" s="39" t="str" cm="1">
        <f t="array" ref="I903">IFERROR(INDEX(Table_dim_price_recipe[Retail Price], MATCH(1, ("Calculator"&lt;&gt;Table_dim_price_recipe[Type.display])*($L903=Table_dim_price_recipe[Category])*($D903=Table_dim_price_recipe[Item Description]) * (I$6=Table_dim_price_recipe[Type])*(Table_dim_price_recipe[Retail Price]&lt;&gt;0)*($C903=Table_dim_price_recipe[Subcategory]), 0))*$B903,"")</f>
        <v/>
      </c>
      <c r="J903" s="39" cm="1">
        <f t="array" ref="J903">IFERROR(INDEX(Table_dim_price_recipe[Retail Price], MATCH(1, ("Calculator"&lt;&gt;Table_dim_price_recipe[Type.display])*($L903=Table_dim_price_recipe[Category])*($D903=Table_dim_price_recipe[Item Description]) * (J$6=Table_dim_price_recipe[Type])*(Table_dim_price_recipe[Retail Price]&lt;&gt;0)*($C903=Table_dim_price_recipe[Subcategory]), 0))*$B903,"")</f>
        <v>0</v>
      </c>
      <c r="K903" s="39" t="str" cm="1">
        <f t="array" ref="K903">IFERROR(INDEX(Table_dim_price_recipe[Retail Price], MATCH(1, ("Calculator"&lt;&gt;Table_dim_price_recipe[Type.display])*($L903=Table_dim_price_recipe[Category])*($D903=Table_dim_price_recipe[Item Description]) * (K$6=Table_dim_price_recipe[Type])*(Table_dim_price_recipe[Retail Price]&lt;&gt;0)*($C903=Table_dim_price_recipe[Subcategory]), 0))*$B903,"")</f>
        <v/>
      </c>
      <c r="L903" s="39" t="str" cm="1">
        <f t="array" ref="L903">IF($A903&lt;&gt;"", $A903, LOOKUP(2, 1/((A$7:INDEX(A:A, ROW()))&lt;&gt;""), A$7:INDEX(A:A, ROW())))</f>
        <v>PAINTING</v>
      </c>
      <c r="M903" s="14"/>
    </row>
    <row r="904" spans="1:13">
      <c r="A904" s="263"/>
      <c r="B904" s="263"/>
      <c r="C904" s="263" t="s">
        <v>777</v>
      </c>
      <c r="D904" s="263" t="s">
        <v>797</v>
      </c>
      <c r="E904" s="263"/>
      <c r="F904" s="263"/>
      <c r="G904" s="39" t="str" cm="1">
        <f t="array" ref="G904">IFERROR(INDEX(Table_dim_price_recipe[Retail Price], MATCH(1, ("Calculator"&lt;&gt;Table_dim_price_recipe[Type.display])*($L904=Table_dim_price_recipe[Category])*($D904=Table_dim_price_recipe[Item Description]) * (G$6=Table_dim_price_recipe[Type])*(Table_dim_price_recipe[Retail Price]&lt;&gt;0)*($C904=Table_dim_price_recipe[Subcategory]), 0))*$B904,"")</f>
        <v/>
      </c>
      <c r="H904" s="39" t="str" cm="1">
        <f t="array" ref="H904">IFERROR(INDEX(Table_dim_price_recipe[Retail Price], MATCH(1, ("Calculator"&lt;&gt;Table_dim_price_recipe[Type.display])*($L904=Table_dim_price_recipe[Category])*($D904=Table_dim_price_recipe[Item Description]) * (H$6=Table_dim_price_recipe[Type])*(Table_dim_price_recipe[Retail Price]&lt;&gt;0)*($C904=Table_dim_price_recipe[Subcategory]), 0))*$B904,"")</f>
        <v/>
      </c>
      <c r="I904" s="39" t="str" cm="1">
        <f t="array" ref="I904">IFERROR(INDEX(Table_dim_price_recipe[Retail Price], MATCH(1, ("Calculator"&lt;&gt;Table_dim_price_recipe[Type.display])*($L904=Table_dim_price_recipe[Category])*($D904=Table_dim_price_recipe[Item Description]) * (I$6=Table_dim_price_recipe[Type])*(Table_dim_price_recipe[Retail Price]&lt;&gt;0)*($C904=Table_dim_price_recipe[Subcategory]), 0))*$B904,"")</f>
        <v/>
      </c>
      <c r="J904" s="39" cm="1">
        <f t="array" ref="J904">IFERROR(INDEX(Table_dim_price_recipe[Retail Price], MATCH(1, ("Calculator"&lt;&gt;Table_dim_price_recipe[Type.display])*($L904=Table_dim_price_recipe[Category])*($D904=Table_dim_price_recipe[Item Description]) * (J$6=Table_dim_price_recipe[Type])*(Table_dim_price_recipe[Retail Price]&lt;&gt;0)*($C904=Table_dim_price_recipe[Subcategory]), 0))*$B904,"")</f>
        <v>0</v>
      </c>
      <c r="K904" s="39" t="str" cm="1">
        <f t="array" ref="K904">IFERROR(INDEX(Table_dim_price_recipe[Retail Price], MATCH(1, ("Calculator"&lt;&gt;Table_dim_price_recipe[Type.display])*($L904=Table_dim_price_recipe[Category])*($D904=Table_dim_price_recipe[Item Description]) * (K$6=Table_dim_price_recipe[Type])*(Table_dim_price_recipe[Retail Price]&lt;&gt;0)*($C904=Table_dim_price_recipe[Subcategory]), 0))*$B904,"")</f>
        <v/>
      </c>
      <c r="L904" s="39" t="str" cm="1">
        <f t="array" ref="L904">IF($A904&lt;&gt;"", $A904, LOOKUP(2, 1/((A$7:INDEX(A:A, ROW()))&lt;&gt;""), A$7:INDEX(A:A, ROW())))</f>
        <v>PAINTING</v>
      </c>
      <c r="M904" s="14"/>
    </row>
    <row r="905" spans="1:13">
      <c r="A905" s="263"/>
      <c r="B905" s="263"/>
      <c r="C905" s="263" t="s">
        <v>777</v>
      </c>
      <c r="D905" s="263" t="s">
        <v>790</v>
      </c>
      <c r="E905" s="263"/>
      <c r="F905" s="263"/>
      <c r="G905" s="39" t="str" cm="1">
        <f t="array" ref="G905">IFERROR(INDEX(Table_dim_price_recipe[Retail Price], MATCH(1, ("Calculator"&lt;&gt;Table_dim_price_recipe[Type.display])*($L905=Table_dim_price_recipe[Category])*($D905=Table_dim_price_recipe[Item Description]) * (G$6=Table_dim_price_recipe[Type])*(Table_dim_price_recipe[Retail Price]&lt;&gt;0)*($C905=Table_dim_price_recipe[Subcategory]), 0))*$B905,"")</f>
        <v/>
      </c>
      <c r="H905" s="39" t="str" cm="1">
        <f t="array" ref="H905">IFERROR(INDEX(Table_dim_price_recipe[Retail Price], MATCH(1, ("Calculator"&lt;&gt;Table_dim_price_recipe[Type.display])*($L905=Table_dim_price_recipe[Category])*($D905=Table_dim_price_recipe[Item Description]) * (H$6=Table_dim_price_recipe[Type])*(Table_dim_price_recipe[Retail Price]&lt;&gt;0)*($C905=Table_dim_price_recipe[Subcategory]), 0))*$B905,"")</f>
        <v/>
      </c>
      <c r="I905" s="39" t="str" cm="1">
        <f t="array" ref="I905">IFERROR(INDEX(Table_dim_price_recipe[Retail Price], MATCH(1, ("Calculator"&lt;&gt;Table_dim_price_recipe[Type.display])*($L905=Table_dim_price_recipe[Category])*($D905=Table_dim_price_recipe[Item Description]) * (I$6=Table_dim_price_recipe[Type])*(Table_dim_price_recipe[Retail Price]&lt;&gt;0)*($C905=Table_dim_price_recipe[Subcategory]), 0))*$B905,"")</f>
        <v/>
      </c>
      <c r="J905" s="39" cm="1">
        <f t="array" ref="J905">IFERROR(INDEX(Table_dim_price_recipe[Retail Price], MATCH(1, ("Calculator"&lt;&gt;Table_dim_price_recipe[Type.display])*($L905=Table_dim_price_recipe[Category])*($D905=Table_dim_price_recipe[Item Description]) * (J$6=Table_dim_price_recipe[Type])*(Table_dim_price_recipe[Retail Price]&lt;&gt;0)*($C905=Table_dim_price_recipe[Subcategory]), 0))*$B905,"")</f>
        <v>0</v>
      </c>
      <c r="K905" s="39" t="str" cm="1">
        <f t="array" ref="K905">IFERROR(INDEX(Table_dim_price_recipe[Retail Price], MATCH(1, ("Calculator"&lt;&gt;Table_dim_price_recipe[Type.display])*($L905=Table_dim_price_recipe[Category])*($D905=Table_dim_price_recipe[Item Description]) * (K$6=Table_dim_price_recipe[Type])*(Table_dim_price_recipe[Retail Price]&lt;&gt;0)*($C905=Table_dim_price_recipe[Subcategory]), 0))*$B905,"")</f>
        <v/>
      </c>
      <c r="L905" s="39" t="str" cm="1">
        <f t="array" ref="L905">IF($A905&lt;&gt;"", $A905, LOOKUP(2, 1/((A$7:INDEX(A:A, ROW()))&lt;&gt;""), A$7:INDEX(A:A, ROW())))</f>
        <v>PAINTING</v>
      </c>
      <c r="M905" s="14"/>
    </row>
    <row r="906" spans="1:13">
      <c r="A906" s="263"/>
      <c r="B906" s="263"/>
      <c r="C906" s="263" t="s">
        <v>777</v>
      </c>
      <c r="D906" s="263" t="s">
        <v>787</v>
      </c>
      <c r="E906" s="263"/>
      <c r="F906" s="263"/>
      <c r="G906" s="39" t="str" cm="1">
        <f t="array" ref="G906">IFERROR(INDEX(Table_dim_price_recipe[Retail Price], MATCH(1, ("Calculator"&lt;&gt;Table_dim_price_recipe[Type.display])*($L906=Table_dim_price_recipe[Category])*($D906=Table_dim_price_recipe[Item Description]) * (G$6=Table_dim_price_recipe[Type])*(Table_dim_price_recipe[Retail Price]&lt;&gt;0)*($C906=Table_dim_price_recipe[Subcategory]), 0))*$B906,"")</f>
        <v/>
      </c>
      <c r="H906" s="39" t="str" cm="1">
        <f t="array" ref="H906">IFERROR(INDEX(Table_dim_price_recipe[Retail Price], MATCH(1, ("Calculator"&lt;&gt;Table_dim_price_recipe[Type.display])*($L906=Table_dim_price_recipe[Category])*($D906=Table_dim_price_recipe[Item Description]) * (H$6=Table_dim_price_recipe[Type])*(Table_dim_price_recipe[Retail Price]&lt;&gt;0)*($C906=Table_dim_price_recipe[Subcategory]), 0))*$B906,"")</f>
        <v/>
      </c>
      <c r="I906" s="39" t="str" cm="1">
        <f t="array" ref="I906">IFERROR(INDEX(Table_dim_price_recipe[Retail Price], MATCH(1, ("Calculator"&lt;&gt;Table_dim_price_recipe[Type.display])*($L906=Table_dim_price_recipe[Category])*($D906=Table_dim_price_recipe[Item Description]) * (I$6=Table_dim_price_recipe[Type])*(Table_dim_price_recipe[Retail Price]&lt;&gt;0)*($C906=Table_dim_price_recipe[Subcategory]), 0))*$B906,"")</f>
        <v/>
      </c>
      <c r="J906" s="39" cm="1">
        <f t="array" ref="J906">IFERROR(INDEX(Table_dim_price_recipe[Retail Price], MATCH(1, ("Calculator"&lt;&gt;Table_dim_price_recipe[Type.display])*($L906=Table_dim_price_recipe[Category])*($D906=Table_dim_price_recipe[Item Description]) * (J$6=Table_dim_price_recipe[Type])*(Table_dim_price_recipe[Retail Price]&lt;&gt;0)*($C906=Table_dim_price_recipe[Subcategory]), 0))*$B906,"")</f>
        <v>0</v>
      </c>
      <c r="K906" s="39" t="str" cm="1">
        <f t="array" ref="K906">IFERROR(INDEX(Table_dim_price_recipe[Retail Price], MATCH(1, ("Calculator"&lt;&gt;Table_dim_price_recipe[Type.display])*($L906=Table_dim_price_recipe[Category])*($D906=Table_dim_price_recipe[Item Description]) * (K$6=Table_dim_price_recipe[Type])*(Table_dim_price_recipe[Retail Price]&lt;&gt;0)*($C906=Table_dim_price_recipe[Subcategory]), 0))*$B906,"")</f>
        <v/>
      </c>
      <c r="L906" s="39" t="str" cm="1">
        <f t="array" ref="L906">IF($A906&lt;&gt;"", $A906, LOOKUP(2, 1/((A$7:INDEX(A:A, ROW()))&lt;&gt;""), A$7:INDEX(A:A, ROW())))</f>
        <v>PAINTING</v>
      </c>
      <c r="M906" s="14"/>
    </row>
    <row r="907" spans="1:13">
      <c r="A907" s="263"/>
      <c r="B907" s="263"/>
      <c r="C907" s="263" t="s">
        <v>777</v>
      </c>
      <c r="D907" s="263" t="s">
        <v>778</v>
      </c>
      <c r="E907" s="263"/>
      <c r="F907" s="263"/>
      <c r="G907" s="39" t="str" cm="1">
        <f t="array" ref="G907">IFERROR(INDEX(Table_dim_price_recipe[Retail Price], MATCH(1, ("Calculator"&lt;&gt;Table_dim_price_recipe[Type.display])*($L907=Table_dim_price_recipe[Category])*($D907=Table_dim_price_recipe[Item Description]) * (G$6=Table_dim_price_recipe[Type])*(Table_dim_price_recipe[Retail Price]&lt;&gt;0)*($C907=Table_dim_price_recipe[Subcategory]), 0))*$B907,"")</f>
        <v/>
      </c>
      <c r="H907" s="39" t="str" cm="1">
        <f t="array" ref="H907">IFERROR(INDEX(Table_dim_price_recipe[Retail Price], MATCH(1, ("Calculator"&lt;&gt;Table_dim_price_recipe[Type.display])*($L907=Table_dim_price_recipe[Category])*($D907=Table_dim_price_recipe[Item Description]) * (H$6=Table_dim_price_recipe[Type])*(Table_dim_price_recipe[Retail Price]&lt;&gt;0)*($C907=Table_dim_price_recipe[Subcategory]), 0))*$B907,"")</f>
        <v/>
      </c>
      <c r="I907" s="39" t="str" cm="1">
        <f t="array" ref="I907">IFERROR(INDEX(Table_dim_price_recipe[Retail Price], MATCH(1, ("Calculator"&lt;&gt;Table_dim_price_recipe[Type.display])*($L907=Table_dim_price_recipe[Category])*($D907=Table_dim_price_recipe[Item Description]) * (I$6=Table_dim_price_recipe[Type])*(Table_dim_price_recipe[Retail Price]&lt;&gt;0)*($C907=Table_dim_price_recipe[Subcategory]), 0))*$B907,"")</f>
        <v/>
      </c>
      <c r="J907" s="39" cm="1">
        <f t="array" ref="J907">IFERROR(INDEX(Table_dim_price_recipe[Retail Price], MATCH(1, ("Calculator"&lt;&gt;Table_dim_price_recipe[Type.display])*($L907=Table_dim_price_recipe[Category])*($D907=Table_dim_price_recipe[Item Description]) * (J$6=Table_dim_price_recipe[Type])*(Table_dim_price_recipe[Retail Price]&lt;&gt;0)*($C907=Table_dim_price_recipe[Subcategory]), 0))*$B907,"")</f>
        <v>0</v>
      </c>
      <c r="K907" s="39" t="str" cm="1">
        <f t="array" ref="K907">IFERROR(INDEX(Table_dim_price_recipe[Retail Price], MATCH(1, ("Calculator"&lt;&gt;Table_dim_price_recipe[Type.display])*($L907=Table_dim_price_recipe[Category])*($D907=Table_dim_price_recipe[Item Description]) * (K$6=Table_dim_price_recipe[Type])*(Table_dim_price_recipe[Retail Price]&lt;&gt;0)*($C907=Table_dim_price_recipe[Subcategory]), 0))*$B907,"")</f>
        <v/>
      </c>
      <c r="L907" s="39" t="str" cm="1">
        <f t="array" ref="L907">IF($A907&lt;&gt;"", $A907, LOOKUP(2, 1/((A$7:INDEX(A:A, ROW()))&lt;&gt;""), A$7:INDEX(A:A, ROW())))</f>
        <v>PAINTING</v>
      </c>
      <c r="M907" s="14"/>
    </row>
    <row r="908" spans="1:13">
      <c r="A908" s="263"/>
      <c r="B908" s="263"/>
      <c r="C908" s="263" t="s">
        <v>777</v>
      </c>
      <c r="D908" s="263" t="s">
        <v>781</v>
      </c>
      <c r="E908" s="263"/>
      <c r="F908" s="263"/>
      <c r="G908" s="39" t="str" cm="1">
        <f t="array" ref="G908">IFERROR(INDEX(Table_dim_price_recipe[Retail Price], MATCH(1, ("Calculator"&lt;&gt;Table_dim_price_recipe[Type.display])*($L908=Table_dim_price_recipe[Category])*($D908=Table_dim_price_recipe[Item Description]) * (G$6=Table_dim_price_recipe[Type])*(Table_dim_price_recipe[Retail Price]&lt;&gt;0)*($C908=Table_dim_price_recipe[Subcategory]), 0))*$B908,"")</f>
        <v/>
      </c>
      <c r="H908" s="39" t="str" cm="1">
        <f t="array" ref="H908">IFERROR(INDEX(Table_dim_price_recipe[Retail Price], MATCH(1, ("Calculator"&lt;&gt;Table_dim_price_recipe[Type.display])*($L908=Table_dim_price_recipe[Category])*($D908=Table_dim_price_recipe[Item Description]) * (H$6=Table_dim_price_recipe[Type])*(Table_dim_price_recipe[Retail Price]&lt;&gt;0)*($C908=Table_dim_price_recipe[Subcategory]), 0))*$B908,"")</f>
        <v/>
      </c>
      <c r="I908" s="39" t="str" cm="1">
        <f t="array" ref="I908">IFERROR(INDEX(Table_dim_price_recipe[Retail Price], MATCH(1, ("Calculator"&lt;&gt;Table_dim_price_recipe[Type.display])*($L908=Table_dim_price_recipe[Category])*($D908=Table_dim_price_recipe[Item Description]) * (I$6=Table_dim_price_recipe[Type])*(Table_dim_price_recipe[Retail Price]&lt;&gt;0)*($C908=Table_dim_price_recipe[Subcategory]), 0))*$B908,"")</f>
        <v/>
      </c>
      <c r="J908" s="39" cm="1">
        <f t="array" ref="J908">IFERROR(INDEX(Table_dim_price_recipe[Retail Price], MATCH(1, ("Calculator"&lt;&gt;Table_dim_price_recipe[Type.display])*($L908=Table_dim_price_recipe[Category])*($D908=Table_dim_price_recipe[Item Description]) * (J$6=Table_dim_price_recipe[Type])*(Table_dim_price_recipe[Retail Price]&lt;&gt;0)*($C908=Table_dim_price_recipe[Subcategory]), 0))*$B908,"")</f>
        <v>0</v>
      </c>
      <c r="K908" s="39" t="str" cm="1">
        <f t="array" ref="K908">IFERROR(INDEX(Table_dim_price_recipe[Retail Price], MATCH(1, ("Calculator"&lt;&gt;Table_dim_price_recipe[Type.display])*($L908=Table_dim_price_recipe[Category])*($D908=Table_dim_price_recipe[Item Description]) * (K$6=Table_dim_price_recipe[Type])*(Table_dim_price_recipe[Retail Price]&lt;&gt;0)*($C908=Table_dim_price_recipe[Subcategory]), 0))*$B908,"")</f>
        <v/>
      </c>
      <c r="L908" s="39" t="str" cm="1">
        <f t="array" ref="L908">IF($A908&lt;&gt;"", $A908, LOOKUP(2, 1/((A$7:INDEX(A:A, ROW()))&lt;&gt;""), A$7:INDEX(A:A, ROW())))</f>
        <v>PAINTING</v>
      </c>
      <c r="M908" s="14"/>
    </row>
    <row r="909" spans="1:13">
      <c r="A909" s="263"/>
      <c r="B909" s="263"/>
      <c r="C909" s="263" t="s">
        <v>777</v>
      </c>
      <c r="D909" s="263" t="s">
        <v>791</v>
      </c>
      <c r="E909" s="263"/>
      <c r="F909" s="263"/>
      <c r="G909" s="39" t="str" cm="1">
        <f t="array" ref="G909">IFERROR(INDEX(Table_dim_price_recipe[Retail Price], MATCH(1, ("Calculator"&lt;&gt;Table_dim_price_recipe[Type.display])*($L909=Table_dim_price_recipe[Category])*($D909=Table_dim_price_recipe[Item Description]) * (G$6=Table_dim_price_recipe[Type])*(Table_dim_price_recipe[Retail Price]&lt;&gt;0)*($C909=Table_dim_price_recipe[Subcategory]), 0))*$B909,"")</f>
        <v/>
      </c>
      <c r="H909" s="39" t="str" cm="1">
        <f t="array" ref="H909">IFERROR(INDEX(Table_dim_price_recipe[Retail Price], MATCH(1, ("Calculator"&lt;&gt;Table_dim_price_recipe[Type.display])*($L909=Table_dim_price_recipe[Category])*($D909=Table_dim_price_recipe[Item Description]) * (H$6=Table_dim_price_recipe[Type])*(Table_dim_price_recipe[Retail Price]&lt;&gt;0)*($C909=Table_dim_price_recipe[Subcategory]), 0))*$B909,"")</f>
        <v/>
      </c>
      <c r="I909" s="39" t="str" cm="1">
        <f t="array" ref="I909">IFERROR(INDEX(Table_dim_price_recipe[Retail Price], MATCH(1, ("Calculator"&lt;&gt;Table_dim_price_recipe[Type.display])*($L909=Table_dim_price_recipe[Category])*($D909=Table_dim_price_recipe[Item Description]) * (I$6=Table_dim_price_recipe[Type])*(Table_dim_price_recipe[Retail Price]&lt;&gt;0)*($C909=Table_dim_price_recipe[Subcategory]), 0))*$B909,"")</f>
        <v/>
      </c>
      <c r="J909" s="39" t="str" cm="1">
        <f t="array" ref="J909">IFERROR(INDEX(Table_dim_price_recipe[Retail Price], MATCH(1, ("Calculator"&lt;&gt;Table_dim_price_recipe[Type.display])*($L909=Table_dim_price_recipe[Category])*($D909=Table_dim_price_recipe[Item Description]) * (J$6=Table_dim_price_recipe[Type])*(Table_dim_price_recipe[Retail Price]&lt;&gt;0)*($C909=Table_dim_price_recipe[Subcategory]), 0))*$B909,"")</f>
        <v/>
      </c>
      <c r="K909" s="39" t="str" cm="1">
        <f t="array" ref="K909">IFERROR(INDEX(Table_dim_price_recipe[Retail Price], MATCH(1, ("Calculator"&lt;&gt;Table_dim_price_recipe[Type.display])*($L909=Table_dim_price_recipe[Category])*($D909=Table_dim_price_recipe[Item Description]) * (K$6=Table_dim_price_recipe[Type])*(Table_dim_price_recipe[Retail Price]&lt;&gt;0)*($C909=Table_dim_price_recipe[Subcategory]), 0))*$B909,"")</f>
        <v/>
      </c>
      <c r="L909" s="39" t="str" cm="1">
        <f t="array" ref="L909">IF($A909&lt;&gt;"", $A909, LOOKUP(2, 1/((A$7:INDEX(A:A, ROW()))&lt;&gt;""), A$7:INDEX(A:A, ROW())))</f>
        <v>PAINTING</v>
      </c>
      <c r="M909" s="14"/>
    </row>
    <row r="910" spans="1:13">
      <c r="A910" s="263"/>
      <c r="B910" s="263"/>
      <c r="C910" s="263" t="s">
        <v>777</v>
      </c>
      <c r="D910" s="263" t="s">
        <v>796</v>
      </c>
      <c r="E910" s="263"/>
      <c r="F910" s="263"/>
      <c r="G910" s="39" t="str" cm="1">
        <f t="array" ref="G910">IFERROR(INDEX(Table_dim_price_recipe[Retail Price], MATCH(1, ("Calculator"&lt;&gt;Table_dim_price_recipe[Type.display])*($L910=Table_dim_price_recipe[Category])*($D910=Table_dim_price_recipe[Item Description]) * (G$6=Table_dim_price_recipe[Type])*(Table_dim_price_recipe[Retail Price]&lt;&gt;0)*($C910=Table_dim_price_recipe[Subcategory]), 0))*$B910,"")</f>
        <v/>
      </c>
      <c r="H910" s="39" t="str" cm="1">
        <f t="array" ref="H910">IFERROR(INDEX(Table_dim_price_recipe[Retail Price], MATCH(1, ("Calculator"&lt;&gt;Table_dim_price_recipe[Type.display])*($L910=Table_dim_price_recipe[Category])*($D910=Table_dim_price_recipe[Item Description]) * (H$6=Table_dim_price_recipe[Type])*(Table_dim_price_recipe[Retail Price]&lt;&gt;0)*($C910=Table_dim_price_recipe[Subcategory]), 0))*$B910,"")</f>
        <v/>
      </c>
      <c r="I910" s="39" t="str" cm="1">
        <f t="array" ref="I910">IFERROR(INDEX(Table_dim_price_recipe[Retail Price], MATCH(1, ("Calculator"&lt;&gt;Table_dim_price_recipe[Type.display])*($L910=Table_dim_price_recipe[Category])*($D910=Table_dim_price_recipe[Item Description]) * (I$6=Table_dim_price_recipe[Type])*(Table_dim_price_recipe[Retail Price]&lt;&gt;0)*($C910=Table_dim_price_recipe[Subcategory]), 0))*$B910,"")</f>
        <v/>
      </c>
      <c r="J910" s="39" cm="1">
        <f t="array" ref="J910">IFERROR(INDEX(Table_dim_price_recipe[Retail Price], MATCH(1, ("Calculator"&lt;&gt;Table_dim_price_recipe[Type.display])*($L910=Table_dim_price_recipe[Category])*($D910=Table_dim_price_recipe[Item Description]) * (J$6=Table_dim_price_recipe[Type])*(Table_dim_price_recipe[Retail Price]&lt;&gt;0)*($C910=Table_dim_price_recipe[Subcategory]), 0))*$B910,"")</f>
        <v>0</v>
      </c>
      <c r="K910" s="39" t="str" cm="1">
        <f t="array" ref="K910">IFERROR(INDEX(Table_dim_price_recipe[Retail Price], MATCH(1, ("Calculator"&lt;&gt;Table_dim_price_recipe[Type.display])*($L910=Table_dim_price_recipe[Category])*($D910=Table_dim_price_recipe[Item Description]) * (K$6=Table_dim_price_recipe[Type])*(Table_dim_price_recipe[Retail Price]&lt;&gt;0)*($C910=Table_dim_price_recipe[Subcategory]), 0))*$B910,"")</f>
        <v/>
      </c>
      <c r="L910" s="39" t="str" cm="1">
        <f t="array" ref="L910">IF($A910&lt;&gt;"", $A910, LOOKUP(2, 1/((A$7:INDEX(A:A, ROW()))&lt;&gt;""), A$7:INDEX(A:A, ROW())))</f>
        <v>PAINTING</v>
      </c>
      <c r="M910" s="14"/>
    </row>
    <row r="911" spans="1:13">
      <c r="A911" s="263"/>
      <c r="B911" s="263"/>
      <c r="C911" s="263" t="s">
        <v>777</v>
      </c>
      <c r="D911" s="263" t="s">
        <v>785</v>
      </c>
      <c r="E911" s="263"/>
      <c r="F911" s="263"/>
      <c r="G911" s="39" t="str" cm="1">
        <f t="array" ref="G911">IFERROR(INDEX(Table_dim_price_recipe[Retail Price], MATCH(1, ("Calculator"&lt;&gt;Table_dim_price_recipe[Type.display])*($L911=Table_dim_price_recipe[Category])*($D911=Table_dim_price_recipe[Item Description]) * (G$6=Table_dim_price_recipe[Type])*(Table_dim_price_recipe[Retail Price]&lt;&gt;0)*($C911=Table_dim_price_recipe[Subcategory]), 0))*$B911,"")</f>
        <v/>
      </c>
      <c r="H911" s="39" t="str" cm="1">
        <f t="array" ref="H911">IFERROR(INDEX(Table_dim_price_recipe[Retail Price], MATCH(1, ("Calculator"&lt;&gt;Table_dim_price_recipe[Type.display])*($L911=Table_dim_price_recipe[Category])*($D911=Table_dim_price_recipe[Item Description]) * (H$6=Table_dim_price_recipe[Type])*(Table_dim_price_recipe[Retail Price]&lt;&gt;0)*($C911=Table_dim_price_recipe[Subcategory]), 0))*$B911,"")</f>
        <v/>
      </c>
      <c r="I911" s="39" t="str" cm="1">
        <f t="array" ref="I911">IFERROR(INDEX(Table_dim_price_recipe[Retail Price], MATCH(1, ("Calculator"&lt;&gt;Table_dim_price_recipe[Type.display])*($L911=Table_dim_price_recipe[Category])*($D911=Table_dim_price_recipe[Item Description]) * (I$6=Table_dim_price_recipe[Type])*(Table_dim_price_recipe[Retail Price]&lt;&gt;0)*($C911=Table_dim_price_recipe[Subcategory]), 0))*$B911,"")</f>
        <v/>
      </c>
      <c r="J911" s="39" cm="1">
        <f t="array" ref="J911">IFERROR(INDEX(Table_dim_price_recipe[Retail Price], MATCH(1, ("Calculator"&lt;&gt;Table_dim_price_recipe[Type.display])*($L911=Table_dim_price_recipe[Category])*($D911=Table_dim_price_recipe[Item Description]) * (J$6=Table_dim_price_recipe[Type])*(Table_dim_price_recipe[Retail Price]&lt;&gt;0)*($C911=Table_dim_price_recipe[Subcategory]), 0))*$B911,"")</f>
        <v>0</v>
      </c>
      <c r="K911" s="39" t="str" cm="1">
        <f t="array" ref="K911">IFERROR(INDEX(Table_dim_price_recipe[Retail Price], MATCH(1, ("Calculator"&lt;&gt;Table_dim_price_recipe[Type.display])*($L911=Table_dim_price_recipe[Category])*($D911=Table_dim_price_recipe[Item Description]) * (K$6=Table_dim_price_recipe[Type])*(Table_dim_price_recipe[Retail Price]&lt;&gt;0)*($C911=Table_dim_price_recipe[Subcategory]), 0))*$B911,"")</f>
        <v/>
      </c>
      <c r="L911" s="39" t="str" cm="1">
        <f t="array" ref="L911">IF($A911&lt;&gt;"", $A911, LOOKUP(2, 1/((A$7:INDEX(A:A, ROW()))&lt;&gt;""), A$7:INDEX(A:A, ROW())))</f>
        <v>PAINTING</v>
      </c>
      <c r="M911" s="14"/>
    </row>
    <row r="912" spans="1:13">
      <c r="A912" s="263"/>
      <c r="B912" s="263"/>
      <c r="C912" s="263" t="s">
        <v>777</v>
      </c>
      <c r="D912" s="263" t="s">
        <v>794</v>
      </c>
      <c r="E912" s="263"/>
      <c r="F912" s="263"/>
      <c r="G912" s="39" t="str" cm="1">
        <f t="array" ref="G912">IFERROR(INDEX(Table_dim_price_recipe[Retail Price], MATCH(1, ("Calculator"&lt;&gt;Table_dim_price_recipe[Type.display])*($L912=Table_dim_price_recipe[Category])*($D912=Table_dim_price_recipe[Item Description]) * (G$6=Table_dim_price_recipe[Type])*(Table_dim_price_recipe[Retail Price]&lt;&gt;0)*($C912=Table_dim_price_recipe[Subcategory]), 0))*$B912,"")</f>
        <v/>
      </c>
      <c r="H912" s="39" t="str" cm="1">
        <f t="array" ref="H912">IFERROR(INDEX(Table_dim_price_recipe[Retail Price], MATCH(1, ("Calculator"&lt;&gt;Table_dim_price_recipe[Type.display])*($L912=Table_dim_price_recipe[Category])*($D912=Table_dim_price_recipe[Item Description]) * (H$6=Table_dim_price_recipe[Type])*(Table_dim_price_recipe[Retail Price]&lt;&gt;0)*($C912=Table_dim_price_recipe[Subcategory]), 0))*$B912,"")</f>
        <v/>
      </c>
      <c r="I912" s="39" t="str" cm="1">
        <f t="array" ref="I912">IFERROR(INDEX(Table_dim_price_recipe[Retail Price], MATCH(1, ("Calculator"&lt;&gt;Table_dim_price_recipe[Type.display])*($L912=Table_dim_price_recipe[Category])*($D912=Table_dim_price_recipe[Item Description]) * (I$6=Table_dim_price_recipe[Type])*(Table_dim_price_recipe[Retail Price]&lt;&gt;0)*($C912=Table_dim_price_recipe[Subcategory]), 0))*$B912,"")</f>
        <v/>
      </c>
      <c r="J912" s="39" cm="1">
        <f t="array" ref="J912">IFERROR(INDEX(Table_dim_price_recipe[Retail Price], MATCH(1, ("Calculator"&lt;&gt;Table_dim_price_recipe[Type.display])*($L912=Table_dim_price_recipe[Category])*($D912=Table_dim_price_recipe[Item Description]) * (J$6=Table_dim_price_recipe[Type])*(Table_dim_price_recipe[Retail Price]&lt;&gt;0)*($C912=Table_dim_price_recipe[Subcategory]), 0))*$B912,"")</f>
        <v>0</v>
      </c>
      <c r="K912" s="39" t="str" cm="1">
        <f t="array" ref="K912">IFERROR(INDEX(Table_dim_price_recipe[Retail Price], MATCH(1, ("Calculator"&lt;&gt;Table_dim_price_recipe[Type.display])*($L912=Table_dim_price_recipe[Category])*($D912=Table_dim_price_recipe[Item Description]) * (K$6=Table_dim_price_recipe[Type])*(Table_dim_price_recipe[Retail Price]&lt;&gt;0)*($C912=Table_dim_price_recipe[Subcategory]), 0))*$B912,"")</f>
        <v/>
      </c>
      <c r="L912" s="39" t="str" cm="1">
        <f t="array" ref="L912">IF($A912&lt;&gt;"", $A912, LOOKUP(2, 1/((A$7:INDEX(A:A, ROW()))&lt;&gt;""), A$7:INDEX(A:A, ROW())))</f>
        <v>PAINTING</v>
      </c>
      <c r="M912" s="14"/>
    </row>
    <row r="913" spans="1:13">
      <c r="A913" s="263"/>
      <c r="B913" s="263"/>
      <c r="C913" s="263" t="s">
        <v>777</v>
      </c>
      <c r="D913" s="263" t="s">
        <v>786</v>
      </c>
      <c r="E913" s="263"/>
      <c r="F913" s="263"/>
      <c r="G913" s="39" t="str" cm="1">
        <f t="array" ref="G913">IFERROR(INDEX(Table_dim_price_recipe[Retail Price], MATCH(1, ("Calculator"&lt;&gt;Table_dim_price_recipe[Type.display])*($L913=Table_dim_price_recipe[Category])*($D913=Table_dim_price_recipe[Item Description]) * (G$6=Table_dim_price_recipe[Type])*(Table_dim_price_recipe[Retail Price]&lt;&gt;0)*($C913=Table_dim_price_recipe[Subcategory]), 0))*$B913,"")</f>
        <v/>
      </c>
      <c r="H913" s="39" t="str" cm="1">
        <f t="array" ref="H913">IFERROR(INDEX(Table_dim_price_recipe[Retail Price], MATCH(1, ("Calculator"&lt;&gt;Table_dim_price_recipe[Type.display])*($L913=Table_dim_price_recipe[Category])*($D913=Table_dim_price_recipe[Item Description]) * (H$6=Table_dim_price_recipe[Type])*(Table_dim_price_recipe[Retail Price]&lt;&gt;0)*($C913=Table_dim_price_recipe[Subcategory]), 0))*$B913,"")</f>
        <v/>
      </c>
      <c r="I913" s="39" t="str" cm="1">
        <f t="array" ref="I913">IFERROR(INDEX(Table_dim_price_recipe[Retail Price], MATCH(1, ("Calculator"&lt;&gt;Table_dim_price_recipe[Type.display])*($L913=Table_dim_price_recipe[Category])*($D913=Table_dim_price_recipe[Item Description]) * (I$6=Table_dim_price_recipe[Type])*(Table_dim_price_recipe[Retail Price]&lt;&gt;0)*($C913=Table_dim_price_recipe[Subcategory]), 0))*$B913,"")</f>
        <v/>
      </c>
      <c r="J913" s="39" cm="1">
        <f t="array" ref="J913">IFERROR(INDEX(Table_dim_price_recipe[Retail Price], MATCH(1, ("Calculator"&lt;&gt;Table_dim_price_recipe[Type.display])*($L913=Table_dim_price_recipe[Category])*($D913=Table_dim_price_recipe[Item Description]) * (J$6=Table_dim_price_recipe[Type])*(Table_dim_price_recipe[Retail Price]&lt;&gt;0)*($C913=Table_dim_price_recipe[Subcategory]), 0))*$B913,"")</f>
        <v>0</v>
      </c>
      <c r="K913" s="39" t="str" cm="1">
        <f t="array" ref="K913">IFERROR(INDEX(Table_dim_price_recipe[Retail Price], MATCH(1, ("Calculator"&lt;&gt;Table_dim_price_recipe[Type.display])*($L913=Table_dim_price_recipe[Category])*($D913=Table_dim_price_recipe[Item Description]) * (K$6=Table_dim_price_recipe[Type])*(Table_dim_price_recipe[Retail Price]&lt;&gt;0)*($C913=Table_dim_price_recipe[Subcategory]), 0))*$B913,"")</f>
        <v/>
      </c>
      <c r="L913" s="39" t="str" cm="1">
        <f t="array" ref="L913">IF($A913&lt;&gt;"", $A913, LOOKUP(2, 1/((A$7:INDEX(A:A, ROW()))&lt;&gt;""), A$7:INDEX(A:A, ROW())))</f>
        <v>PAINTING</v>
      </c>
      <c r="M913" s="14"/>
    </row>
    <row r="914" spans="1:13">
      <c r="A914" s="263"/>
      <c r="B914" s="263"/>
      <c r="C914" s="263" t="s">
        <v>777</v>
      </c>
      <c r="D914" s="263" t="s">
        <v>793</v>
      </c>
      <c r="E914" s="263"/>
      <c r="F914" s="263"/>
      <c r="G914" s="39" t="str" cm="1">
        <f t="array" ref="G914">IFERROR(INDEX(Table_dim_price_recipe[Retail Price], MATCH(1, ("Calculator"&lt;&gt;Table_dim_price_recipe[Type.display])*($L914=Table_dim_price_recipe[Category])*($D914=Table_dim_price_recipe[Item Description]) * (G$6=Table_dim_price_recipe[Type])*(Table_dim_price_recipe[Retail Price]&lt;&gt;0)*($C914=Table_dim_price_recipe[Subcategory]), 0))*$B914,"")</f>
        <v/>
      </c>
      <c r="H914" s="39" t="str" cm="1">
        <f t="array" ref="H914">IFERROR(INDEX(Table_dim_price_recipe[Retail Price], MATCH(1, ("Calculator"&lt;&gt;Table_dim_price_recipe[Type.display])*($L914=Table_dim_price_recipe[Category])*($D914=Table_dim_price_recipe[Item Description]) * (H$6=Table_dim_price_recipe[Type])*(Table_dim_price_recipe[Retail Price]&lt;&gt;0)*($C914=Table_dim_price_recipe[Subcategory]), 0))*$B914,"")</f>
        <v/>
      </c>
      <c r="I914" s="39" t="str" cm="1">
        <f t="array" ref="I914">IFERROR(INDEX(Table_dim_price_recipe[Retail Price], MATCH(1, ("Calculator"&lt;&gt;Table_dim_price_recipe[Type.display])*($L914=Table_dim_price_recipe[Category])*($D914=Table_dim_price_recipe[Item Description]) * (I$6=Table_dim_price_recipe[Type])*(Table_dim_price_recipe[Retail Price]&lt;&gt;0)*($C914=Table_dim_price_recipe[Subcategory]), 0))*$B914,"")</f>
        <v/>
      </c>
      <c r="J914" s="39" cm="1">
        <f t="array" ref="J914">IFERROR(INDEX(Table_dim_price_recipe[Retail Price], MATCH(1, ("Calculator"&lt;&gt;Table_dim_price_recipe[Type.display])*($L914=Table_dim_price_recipe[Category])*($D914=Table_dim_price_recipe[Item Description]) * (J$6=Table_dim_price_recipe[Type])*(Table_dim_price_recipe[Retail Price]&lt;&gt;0)*($C914=Table_dim_price_recipe[Subcategory]), 0))*$B914,"")</f>
        <v>0</v>
      </c>
      <c r="K914" s="39" t="str" cm="1">
        <f t="array" ref="K914">IFERROR(INDEX(Table_dim_price_recipe[Retail Price], MATCH(1, ("Calculator"&lt;&gt;Table_dim_price_recipe[Type.display])*($L914=Table_dim_price_recipe[Category])*($D914=Table_dim_price_recipe[Item Description]) * (K$6=Table_dim_price_recipe[Type])*(Table_dim_price_recipe[Retail Price]&lt;&gt;0)*($C914=Table_dim_price_recipe[Subcategory]), 0))*$B914,"")</f>
        <v/>
      </c>
      <c r="L914" s="39" t="str" cm="1">
        <f t="array" ref="L914">IF($A914&lt;&gt;"", $A914, LOOKUP(2, 1/((A$7:INDEX(A:A, ROW()))&lt;&gt;""), A$7:INDEX(A:A, ROW())))</f>
        <v>PAINTING</v>
      </c>
      <c r="M914" s="14"/>
    </row>
    <row r="915" spans="1:13">
      <c r="A915" s="263"/>
      <c r="B915" s="263"/>
      <c r="C915" s="263" t="s">
        <v>777</v>
      </c>
      <c r="D915" s="263" t="s">
        <v>792</v>
      </c>
      <c r="E915" s="263"/>
      <c r="F915" s="263"/>
      <c r="G915" s="39" t="str" cm="1">
        <f t="array" ref="G915">IFERROR(INDEX(Table_dim_price_recipe[Retail Price], MATCH(1, ("Calculator"&lt;&gt;Table_dim_price_recipe[Type.display])*($L915=Table_dim_price_recipe[Category])*($D915=Table_dim_price_recipe[Item Description]) * (G$6=Table_dim_price_recipe[Type])*(Table_dim_price_recipe[Retail Price]&lt;&gt;0)*($C915=Table_dim_price_recipe[Subcategory]), 0))*$B915,"")</f>
        <v/>
      </c>
      <c r="H915" s="39" t="str" cm="1">
        <f t="array" ref="H915">IFERROR(INDEX(Table_dim_price_recipe[Retail Price], MATCH(1, ("Calculator"&lt;&gt;Table_dim_price_recipe[Type.display])*($L915=Table_dim_price_recipe[Category])*($D915=Table_dim_price_recipe[Item Description]) * (H$6=Table_dim_price_recipe[Type])*(Table_dim_price_recipe[Retail Price]&lt;&gt;0)*($C915=Table_dim_price_recipe[Subcategory]), 0))*$B915,"")</f>
        <v/>
      </c>
      <c r="I915" s="39" t="str" cm="1">
        <f t="array" ref="I915">IFERROR(INDEX(Table_dim_price_recipe[Retail Price], MATCH(1, ("Calculator"&lt;&gt;Table_dim_price_recipe[Type.display])*($L915=Table_dim_price_recipe[Category])*($D915=Table_dim_price_recipe[Item Description]) * (I$6=Table_dim_price_recipe[Type])*(Table_dim_price_recipe[Retail Price]&lt;&gt;0)*($C915=Table_dim_price_recipe[Subcategory]), 0))*$B915,"")</f>
        <v/>
      </c>
      <c r="J915" s="39" cm="1">
        <f t="array" ref="J915">IFERROR(INDEX(Table_dim_price_recipe[Retail Price], MATCH(1, ("Calculator"&lt;&gt;Table_dim_price_recipe[Type.display])*($L915=Table_dim_price_recipe[Category])*($D915=Table_dim_price_recipe[Item Description]) * (J$6=Table_dim_price_recipe[Type])*(Table_dim_price_recipe[Retail Price]&lt;&gt;0)*($C915=Table_dim_price_recipe[Subcategory]), 0))*$B915,"")</f>
        <v>0</v>
      </c>
      <c r="K915" s="39" t="str" cm="1">
        <f t="array" ref="K915">IFERROR(INDEX(Table_dim_price_recipe[Retail Price], MATCH(1, ("Calculator"&lt;&gt;Table_dim_price_recipe[Type.display])*($L915=Table_dim_price_recipe[Category])*($D915=Table_dim_price_recipe[Item Description]) * (K$6=Table_dim_price_recipe[Type])*(Table_dim_price_recipe[Retail Price]&lt;&gt;0)*($C915=Table_dim_price_recipe[Subcategory]), 0))*$B915,"")</f>
        <v/>
      </c>
      <c r="L915" s="39" t="str" cm="1">
        <f t="array" ref="L915">IF($A915&lt;&gt;"", $A915, LOOKUP(2, 1/((A$7:INDEX(A:A, ROW()))&lt;&gt;""), A$7:INDEX(A:A, ROW())))</f>
        <v>PAINTING</v>
      </c>
      <c r="M915" s="14"/>
    </row>
    <row r="916" spans="1:13">
      <c r="A916" s="263"/>
      <c r="B916" s="263"/>
      <c r="C916" s="263" t="s">
        <v>777</v>
      </c>
      <c r="D916" s="263" t="s">
        <v>116</v>
      </c>
      <c r="E916" s="263"/>
      <c r="F916" s="263"/>
      <c r="G916" s="39" t="str" cm="1">
        <f t="array" ref="G916">IFERROR(INDEX(Table_dim_price_recipe[Retail Price], MATCH(1, ("Calculator"&lt;&gt;Table_dim_price_recipe[Type.display])*($L916=Table_dim_price_recipe[Category])*($D916=Table_dim_price_recipe[Item Description]) * (G$6=Table_dim_price_recipe[Type])*(Table_dim_price_recipe[Retail Price]&lt;&gt;0)*($C916=Table_dim_price_recipe[Subcategory]), 0))*$B916,"")</f>
        <v/>
      </c>
      <c r="H916" s="39" t="str" cm="1">
        <f t="array" ref="H916">IFERROR(INDEX(Table_dim_price_recipe[Retail Price], MATCH(1, ("Calculator"&lt;&gt;Table_dim_price_recipe[Type.display])*($L916=Table_dim_price_recipe[Category])*($D916=Table_dim_price_recipe[Item Description]) * (H$6=Table_dim_price_recipe[Type])*(Table_dim_price_recipe[Retail Price]&lt;&gt;0)*($C916=Table_dim_price_recipe[Subcategory]), 0))*$B916,"")</f>
        <v/>
      </c>
      <c r="I916" s="39" t="str" cm="1">
        <f t="array" ref="I916">IFERROR(INDEX(Table_dim_price_recipe[Retail Price], MATCH(1, ("Calculator"&lt;&gt;Table_dim_price_recipe[Type.display])*($L916=Table_dim_price_recipe[Category])*($D916=Table_dim_price_recipe[Item Description]) * (I$6=Table_dim_price_recipe[Type])*(Table_dim_price_recipe[Retail Price]&lt;&gt;0)*($C916=Table_dim_price_recipe[Subcategory]), 0))*$B916,"")</f>
        <v/>
      </c>
      <c r="J916" s="39" t="str" cm="1">
        <f t="array" ref="J916">IFERROR(INDEX(Table_dim_price_recipe[Retail Price], MATCH(1, ("Calculator"&lt;&gt;Table_dim_price_recipe[Type.display])*($L916=Table_dim_price_recipe[Category])*($D916=Table_dim_price_recipe[Item Description]) * (J$6=Table_dim_price_recipe[Type])*(Table_dim_price_recipe[Retail Price]&lt;&gt;0)*($C916=Table_dim_price_recipe[Subcategory]), 0))*$B916,"")</f>
        <v/>
      </c>
      <c r="K916" s="39" t="str" cm="1">
        <f t="array" ref="K916">IFERROR(INDEX(Table_dim_price_recipe[Retail Price], MATCH(1, ("Calculator"&lt;&gt;Table_dim_price_recipe[Type.display])*($L916=Table_dim_price_recipe[Category])*($D916=Table_dim_price_recipe[Item Description]) * (K$6=Table_dim_price_recipe[Type])*(Table_dim_price_recipe[Retail Price]&lt;&gt;0)*($C916=Table_dim_price_recipe[Subcategory]), 0))*$B916,"")</f>
        <v/>
      </c>
      <c r="L916" s="39" t="str" cm="1">
        <f t="array" ref="L916">IF($A916&lt;&gt;"", $A916, LOOKUP(2, 1/((A$7:INDEX(A:A, ROW()))&lt;&gt;""), A$7:INDEX(A:A, ROW())))</f>
        <v>PAINTING</v>
      </c>
      <c r="M916" s="14"/>
    </row>
    <row r="917" spans="1:13">
      <c r="A917" s="263"/>
      <c r="B917" s="263"/>
      <c r="C917" s="263" t="s">
        <v>777</v>
      </c>
      <c r="D917" s="263" t="s">
        <v>780</v>
      </c>
      <c r="E917" s="263"/>
      <c r="F917" s="263"/>
      <c r="G917" s="39" t="str" cm="1">
        <f t="array" ref="G917">IFERROR(INDEX(Table_dim_price_recipe[Retail Price], MATCH(1, ("Calculator"&lt;&gt;Table_dim_price_recipe[Type.display])*($L917=Table_dim_price_recipe[Category])*($D917=Table_dim_price_recipe[Item Description]) * (G$6=Table_dim_price_recipe[Type])*(Table_dim_price_recipe[Retail Price]&lt;&gt;0)*($C917=Table_dim_price_recipe[Subcategory]), 0))*$B917,"")</f>
        <v/>
      </c>
      <c r="H917" s="39" t="str" cm="1">
        <f t="array" ref="H917">IFERROR(INDEX(Table_dim_price_recipe[Retail Price], MATCH(1, ("Calculator"&lt;&gt;Table_dim_price_recipe[Type.display])*($L917=Table_dim_price_recipe[Category])*($D917=Table_dim_price_recipe[Item Description]) * (H$6=Table_dim_price_recipe[Type])*(Table_dim_price_recipe[Retail Price]&lt;&gt;0)*($C917=Table_dim_price_recipe[Subcategory]), 0))*$B917,"")</f>
        <v/>
      </c>
      <c r="I917" s="39" t="str" cm="1">
        <f t="array" ref="I917">IFERROR(INDEX(Table_dim_price_recipe[Retail Price], MATCH(1, ("Calculator"&lt;&gt;Table_dim_price_recipe[Type.display])*($L917=Table_dim_price_recipe[Category])*($D917=Table_dim_price_recipe[Item Description]) * (I$6=Table_dim_price_recipe[Type])*(Table_dim_price_recipe[Retail Price]&lt;&gt;0)*($C917=Table_dim_price_recipe[Subcategory]), 0))*$B917,"")</f>
        <v/>
      </c>
      <c r="J917" s="39" cm="1">
        <f t="array" ref="J917">IFERROR(INDEX(Table_dim_price_recipe[Retail Price], MATCH(1, ("Calculator"&lt;&gt;Table_dim_price_recipe[Type.display])*($L917=Table_dim_price_recipe[Category])*($D917=Table_dim_price_recipe[Item Description]) * (J$6=Table_dim_price_recipe[Type])*(Table_dim_price_recipe[Retail Price]&lt;&gt;0)*($C917=Table_dim_price_recipe[Subcategory]), 0))*$B917,"")</f>
        <v>0</v>
      </c>
      <c r="K917" s="39" t="str" cm="1">
        <f t="array" ref="K917">IFERROR(INDEX(Table_dim_price_recipe[Retail Price], MATCH(1, ("Calculator"&lt;&gt;Table_dim_price_recipe[Type.display])*($L917=Table_dim_price_recipe[Category])*($D917=Table_dim_price_recipe[Item Description]) * (K$6=Table_dim_price_recipe[Type])*(Table_dim_price_recipe[Retail Price]&lt;&gt;0)*($C917=Table_dim_price_recipe[Subcategory]), 0))*$B917,"")</f>
        <v/>
      </c>
      <c r="L917" s="39" t="str" cm="1">
        <f t="array" ref="L917">IF($A917&lt;&gt;"", $A917, LOOKUP(2, 1/((A$7:INDEX(A:A, ROW()))&lt;&gt;""), A$7:INDEX(A:A, ROW())))</f>
        <v>PAINTING</v>
      </c>
      <c r="M917" s="14"/>
    </row>
    <row r="918" spans="1:13">
      <c r="A918" s="263"/>
      <c r="B918" s="263"/>
      <c r="C918" s="263" t="s">
        <v>777</v>
      </c>
      <c r="D918" s="263" t="s">
        <v>795</v>
      </c>
      <c r="E918" s="263"/>
      <c r="F918" s="263"/>
      <c r="G918" s="39" t="str" cm="1">
        <f t="array" ref="G918">IFERROR(INDEX(Table_dim_price_recipe[Retail Price], MATCH(1, ("Calculator"&lt;&gt;Table_dim_price_recipe[Type.display])*($L918=Table_dim_price_recipe[Category])*($D918=Table_dim_price_recipe[Item Description]) * (G$6=Table_dim_price_recipe[Type])*(Table_dim_price_recipe[Retail Price]&lt;&gt;0)*($C918=Table_dim_price_recipe[Subcategory]), 0))*$B918,"")</f>
        <v/>
      </c>
      <c r="H918" s="39" t="str" cm="1">
        <f t="array" ref="H918">IFERROR(INDEX(Table_dim_price_recipe[Retail Price], MATCH(1, ("Calculator"&lt;&gt;Table_dim_price_recipe[Type.display])*($L918=Table_dim_price_recipe[Category])*($D918=Table_dim_price_recipe[Item Description]) * (H$6=Table_dim_price_recipe[Type])*(Table_dim_price_recipe[Retail Price]&lt;&gt;0)*($C918=Table_dim_price_recipe[Subcategory]), 0))*$B918,"")</f>
        <v/>
      </c>
      <c r="I918" s="39" t="str" cm="1">
        <f t="array" ref="I918">IFERROR(INDEX(Table_dim_price_recipe[Retail Price], MATCH(1, ("Calculator"&lt;&gt;Table_dim_price_recipe[Type.display])*($L918=Table_dim_price_recipe[Category])*($D918=Table_dim_price_recipe[Item Description]) * (I$6=Table_dim_price_recipe[Type])*(Table_dim_price_recipe[Retail Price]&lt;&gt;0)*($C918=Table_dim_price_recipe[Subcategory]), 0))*$B918,"")</f>
        <v/>
      </c>
      <c r="J918" s="39" cm="1">
        <f t="array" ref="J918">IFERROR(INDEX(Table_dim_price_recipe[Retail Price], MATCH(1, ("Calculator"&lt;&gt;Table_dim_price_recipe[Type.display])*($L918=Table_dim_price_recipe[Category])*($D918=Table_dim_price_recipe[Item Description]) * (J$6=Table_dim_price_recipe[Type])*(Table_dim_price_recipe[Retail Price]&lt;&gt;0)*($C918=Table_dim_price_recipe[Subcategory]), 0))*$B918,"")</f>
        <v>0</v>
      </c>
      <c r="K918" s="39" t="str" cm="1">
        <f t="array" ref="K918">IFERROR(INDEX(Table_dim_price_recipe[Retail Price], MATCH(1, ("Calculator"&lt;&gt;Table_dim_price_recipe[Type.display])*($L918=Table_dim_price_recipe[Category])*($D918=Table_dim_price_recipe[Item Description]) * (K$6=Table_dim_price_recipe[Type])*(Table_dim_price_recipe[Retail Price]&lt;&gt;0)*($C918=Table_dim_price_recipe[Subcategory]), 0))*$B918,"")</f>
        <v/>
      </c>
      <c r="L918" s="39" t="str" cm="1">
        <f t="array" ref="L918">IF($A918&lt;&gt;"", $A918, LOOKUP(2, 1/((A$7:INDEX(A:A, ROW()))&lt;&gt;""), A$7:INDEX(A:A, ROW())))</f>
        <v>PAINTING</v>
      </c>
      <c r="M918" s="14"/>
    </row>
    <row r="919" spans="1:13">
      <c r="A919" s="263"/>
      <c r="B919" s="263"/>
      <c r="C919" s="263" t="s">
        <v>777</v>
      </c>
      <c r="D919" s="263" t="s">
        <v>788</v>
      </c>
      <c r="E919" s="263"/>
      <c r="F919" s="263"/>
      <c r="G919" s="39" t="str" cm="1">
        <f t="array" ref="G919">IFERROR(INDEX(Table_dim_price_recipe[Retail Price], MATCH(1, ("Calculator"&lt;&gt;Table_dim_price_recipe[Type.display])*($L919=Table_dim_price_recipe[Category])*($D919=Table_dim_price_recipe[Item Description]) * (G$6=Table_dim_price_recipe[Type])*(Table_dim_price_recipe[Retail Price]&lt;&gt;0)*($C919=Table_dim_price_recipe[Subcategory]), 0))*$B919,"")</f>
        <v/>
      </c>
      <c r="H919" s="39" t="str" cm="1">
        <f t="array" ref="H919">IFERROR(INDEX(Table_dim_price_recipe[Retail Price], MATCH(1, ("Calculator"&lt;&gt;Table_dim_price_recipe[Type.display])*($L919=Table_dim_price_recipe[Category])*($D919=Table_dim_price_recipe[Item Description]) * (H$6=Table_dim_price_recipe[Type])*(Table_dim_price_recipe[Retail Price]&lt;&gt;0)*($C919=Table_dim_price_recipe[Subcategory]), 0))*$B919,"")</f>
        <v/>
      </c>
      <c r="I919" s="39" t="str" cm="1">
        <f t="array" ref="I919">IFERROR(INDEX(Table_dim_price_recipe[Retail Price], MATCH(1, ("Calculator"&lt;&gt;Table_dim_price_recipe[Type.display])*($L919=Table_dim_price_recipe[Category])*($D919=Table_dim_price_recipe[Item Description]) * (I$6=Table_dim_price_recipe[Type])*(Table_dim_price_recipe[Retail Price]&lt;&gt;0)*($C919=Table_dim_price_recipe[Subcategory]), 0))*$B919,"")</f>
        <v/>
      </c>
      <c r="J919" s="39" cm="1">
        <f t="array" ref="J919">IFERROR(INDEX(Table_dim_price_recipe[Retail Price], MATCH(1, ("Calculator"&lt;&gt;Table_dim_price_recipe[Type.display])*($L919=Table_dim_price_recipe[Category])*($D919=Table_dim_price_recipe[Item Description]) * (J$6=Table_dim_price_recipe[Type])*(Table_dim_price_recipe[Retail Price]&lt;&gt;0)*($C919=Table_dim_price_recipe[Subcategory]), 0))*$B919,"")</f>
        <v>0</v>
      </c>
      <c r="K919" s="39" t="str" cm="1">
        <f t="array" ref="K919">IFERROR(INDEX(Table_dim_price_recipe[Retail Price], MATCH(1, ("Calculator"&lt;&gt;Table_dim_price_recipe[Type.display])*($L919=Table_dim_price_recipe[Category])*($D919=Table_dim_price_recipe[Item Description]) * (K$6=Table_dim_price_recipe[Type])*(Table_dim_price_recipe[Retail Price]&lt;&gt;0)*($C919=Table_dim_price_recipe[Subcategory]), 0))*$B919,"")</f>
        <v/>
      </c>
      <c r="L919" s="39" t="str" cm="1">
        <f t="array" ref="L919">IF($A919&lt;&gt;"", $A919, LOOKUP(2, 1/((A$7:INDEX(A:A, ROW()))&lt;&gt;""), A$7:INDEX(A:A, ROW())))</f>
        <v>PAINTING</v>
      </c>
      <c r="M919" s="14"/>
    </row>
    <row r="920" spans="1:13">
      <c r="A920" s="263"/>
      <c r="B920" s="263"/>
      <c r="C920" s="263" t="s">
        <v>777</v>
      </c>
      <c r="D920" s="263" t="s">
        <v>783</v>
      </c>
      <c r="E920" s="263"/>
      <c r="F920" s="263"/>
      <c r="G920" s="39" t="str" cm="1">
        <f t="array" ref="G920">IFERROR(INDEX(Table_dim_price_recipe[Retail Price], MATCH(1, ("Calculator"&lt;&gt;Table_dim_price_recipe[Type.display])*($L920=Table_dim_price_recipe[Category])*($D920=Table_dim_price_recipe[Item Description]) * (G$6=Table_dim_price_recipe[Type])*(Table_dim_price_recipe[Retail Price]&lt;&gt;0)*($C920=Table_dim_price_recipe[Subcategory]), 0))*$B920,"")</f>
        <v/>
      </c>
      <c r="H920" s="39" t="str" cm="1">
        <f t="array" ref="H920">IFERROR(INDEX(Table_dim_price_recipe[Retail Price], MATCH(1, ("Calculator"&lt;&gt;Table_dim_price_recipe[Type.display])*($L920=Table_dim_price_recipe[Category])*($D920=Table_dim_price_recipe[Item Description]) * (H$6=Table_dim_price_recipe[Type])*(Table_dim_price_recipe[Retail Price]&lt;&gt;0)*($C920=Table_dim_price_recipe[Subcategory]), 0))*$B920,"")</f>
        <v/>
      </c>
      <c r="I920" s="39" t="str" cm="1">
        <f t="array" ref="I920">IFERROR(INDEX(Table_dim_price_recipe[Retail Price], MATCH(1, ("Calculator"&lt;&gt;Table_dim_price_recipe[Type.display])*($L920=Table_dim_price_recipe[Category])*($D920=Table_dim_price_recipe[Item Description]) * (I$6=Table_dim_price_recipe[Type])*(Table_dim_price_recipe[Retail Price]&lt;&gt;0)*($C920=Table_dim_price_recipe[Subcategory]), 0))*$B920,"")</f>
        <v/>
      </c>
      <c r="J920" s="39" cm="1">
        <f t="array" ref="J920">IFERROR(INDEX(Table_dim_price_recipe[Retail Price], MATCH(1, ("Calculator"&lt;&gt;Table_dim_price_recipe[Type.display])*($L920=Table_dim_price_recipe[Category])*($D920=Table_dim_price_recipe[Item Description]) * (J$6=Table_dim_price_recipe[Type])*(Table_dim_price_recipe[Retail Price]&lt;&gt;0)*($C920=Table_dim_price_recipe[Subcategory]), 0))*$B920,"")</f>
        <v>0</v>
      </c>
      <c r="K920" s="39" t="str" cm="1">
        <f t="array" ref="K920">IFERROR(INDEX(Table_dim_price_recipe[Retail Price], MATCH(1, ("Calculator"&lt;&gt;Table_dim_price_recipe[Type.display])*($L920=Table_dim_price_recipe[Category])*($D920=Table_dim_price_recipe[Item Description]) * (K$6=Table_dim_price_recipe[Type])*(Table_dim_price_recipe[Retail Price]&lt;&gt;0)*($C920=Table_dim_price_recipe[Subcategory]), 0))*$B920,"")</f>
        <v/>
      </c>
      <c r="L920" s="39" t="str" cm="1">
        <f t="array" ref="L920">IF($A920&lt;&gt;"", $A920, LOOKUP(2, 1/((A$7:INDEX(A:A, ROW()))&lt;&gt;""), A$7:INDEX(A:A, ROW())))</f>
        <v>PAINTING</v>
      </c>
      <c r="M920" s="14"/>
    </row>
    <row r="921" spans="1:13">
      <c r="A921" s="263"/>
      <c r="B921" s="263"/>
      <c r="C921" s="263" t="s">
        <v>777</v>
      </c>
      <c r="D921" s="263" t="s">
        <v>784</v>
      </c>
      <c r="E921" s="263"/>
      <c r="F921" s="263"/>
      <c r="G921" s="39" t="str" cm="1">
        <f t="array" ref="G921">IFERROR(INDEX(Table_dim_price_recipe[Retail Price], MATCH(1, ("Calculator"&lt;&gt;Table_dim_price_recipe[Type.display])*($L921=Table_dim_price_recipe[Category])*($D921=Table_dim_price_recipe[Item Description]) * (G$6=Table_dim_price_recipe[Type])*(Table_dim_price_recipe[Retail Price]&lt;&gt;0)*($C921=Table_dim_price_recipe[Subcategory]), 0))*$B921,"")</f>
        <v/>
      </c>
      <c r="H921" s="39" t="str" cm="1">
        <f t="array" ref="H921">IFERROR(INDEX(Table_dim_price_recipe[Retail Price], MATCH(1, ("Calculator"&lt;&gt;Table_dim_price_recipe[Type.display])*($L921=Table_dim_price_recipe[Category])*($D921=Table_dim_price_recipe[Item Description]) * (H$6=Table_dim_price_recipe[Type])*(Table_dim_price_recipe[Retail Price]&lt;&gt;0)*($C921=Table_dim_price_recipe[Subcategory]), 0))*$B921,"")</f>
        <v/>
      </c>
      <c r="I921" s="39" t="str" cm="1">
        <f t="array" ref="I921">IFERROR(INDEX(Table_dim_price_recipe[Retail Price], MATCH(1, ("Calculator"&lt;&gt;Table_dim_price_recipe[Type.display])*($L921=Table_dim_price_recipe[Category])*($D921=Table_dim_price_recipe[Item Description]) * (I$6=Table_dim_price_recipe[Type])*(Table_dim_price_recipe[Retail Price]&lt;&gt;0)*($C921=Table_dim_price_recipe[Subcategory]), 0))*$B921,"")</f>
        <v/>
      </c>
      <c r="J921" s="39" cm="1">
        <f t="array" ref="J921">IFERROR(INDEX(Table_dim_price_recipe[Retail Price], MATCH(1, ("Calculator"&lt;&gt;Table_dim_price_recipe[Type.display])*($L921=Table_dim_price_recipe[Category])*($D921=Table_dim_price_recipe[Item Description]) * (J$6=Table_dim_price_recipe[Type])*(Table_dim_price_recipe[Retail Price]&lt;&gt;0)*($C921=Table_dim_price_recipe[Subcategory]), 0))*$B921,"")</f>
        <v>0</v>
      </c>
      <c r="K921" s="39" t="str" cm="1">
        <f t="array" ref="K921">IFERROR(INDEX(Table_dim_price_recipe[Retail Price], MATCH(1, ("Calculator"&lt;&gt;Table_dim_price_recipe[Type.display])*($L921=Table_dim_price_recipe[Category])*($D921=Table_dim_price_recipe[Item Description]) * (K$6=Table_dim_price_recipe[Type])*(Table_dim_price_recipe[Retail Price]&lt;&gt;0)*($C921=Table_dim_price_recipe[Subcategory]), 0))*$B921,"")</f>
        <v/>
      </c>
      <c r="L921" s="39" t="str" cm="1">
        <f t="array" ref="L921">IF($A921&lt;&gt;"", $A921, LOOKUP(2, 1/((A$7:INDEX(A:A, ROW()))&lt;&gt;""), A$7:INDEX(A:A, ROW())))</f>
        <v>PAINTING</v>
      </c>
      <c r="M921" s="14"/>
    </row>
    <row r="922" spans="1:13">
      <c r="A922" s="263"/>
      <c r="B922" s="263"/>
      <c r="C922" s="263" t="s">
        <v>777</v>
      </c>
      <c r="D922" s="263" t="s">
        <v>782</v>
      </c>
      <c r="E922" s="263"/>
      <c r="F922" s="263"/>
      <c r="G922" s="39" t="str" cm="1">
        <f t="array" ref="G922">IFERROR(INDEX(Table_dim_price_recipe[Retail Price], MATCH(1, ("Calculator"&lt;&gt;Table_dim_price_recipe[Type.display])*($L922=Table_dim_price_recipe[Category])*($D922=Table_dim_price_recipe[Item Description]) * (G$6=Table_dim_price_recipe[Type])*(Table_dim_price_recipe[Retail Price]&lt;&gt;0)*($C922=Table_dim_price_recipe[Subcategory]), 0))*$B922,"")</f>
        <v/>
      </c>
      <c r="H922" s="39" t="str" cm="1">
        <f t="array" ref="H922">IFERROR(INDEX(Table_dim_price_recipe[Retail Price], MATCH(1, ("Calculator"&lt;&gt;Table_dim_price_recipe[Type.display])*($L922=Table_dim_price_recipe[Category])*($D922=Table_dim_price_recipe[Item Description]) * (H$6=Table_dim_price_recipe[Type])*(Table_dim_price_recipe[Retail Price]&lt;&gt;0)*($C922=Table_dim_price_recipe[Subcategory]), 0))*$B922,"")</f>
        <v/>
      </c>
      <c r="I922" s="39" t="str" cm="1">
        <f t="array" ref="I922">IFERROR(INDEX(Table_dim_price_recipe[Retail Price], MATCH(1, ("Calculator"&lt;&gt;Table_dim_price_recipe[Type.display])*($L922=Table_dim_price_recipe[Category])*($D922=Table_dim_price_recipe[Item Description]) * (I$6=Table_dim_price_recipe[Type])*(Table_dim_price_recipe[Retail Price]&lt;&gt;0)*($C922=Table_dim_price_recipe[Subcategory]), 0))*$B922,"")</f>
        <v/>
      </c>
      <c r="J922" s="39" cm="1">
        <f t="array" ref="J922">IFERROR(INDEX(Table_dim_price_recipe[Retail Price], MATCH(1, ("Calculator"&lt;&gt;Table_dim_price_recipe[Type.display])*($L922=Table_dim_price_recipe[Category])*($D922=Table_dim_price_recipe[Item Description]) * (J$6=Table_dim_price_recipe[Type])*(Table_dim_price_recipe[Retail Price]&lt;&gt;0)*($C922=Table_dim_price_recipe[Subcategory]), 0))*$B922,"")</f>
        <v>0</v>
      </c>
      <c r="K922" s="39" t="str" cm="1">
        <f t="array" ref="K922">IFERROR(INDEX(Table_dim_price_recipe[Retail Price], MATCH(1, ("Calculator"&lt;&gt;Table_dim_price_recipe[Type.display])*($L922=Table_dim_price_recipe[Category])*($D922=Table_dim_price_recipe[Item Description]) * (K$6=Table_dim_price_recipe[Type])*(Table_dim_price_recipe[Retail Price]&lt;&gt;0)*($C922=Table_dim_price_recipe[Subcategory]), 0))*$B922,"")</f>
        <v/>
      </c>
      <c r="L922" s="39" t="str" cm="1">
        <f t="array" ref="L922">IF($A922&lt;&gt;"", $A922, LOOKUP(2, 1/((A$7:INDEX(A:A, ROW()))&lt;&gt;""), A$7:INDEX(A:A, ROW())))</f>
        <v>PAINTING</v>
      </c>
      <c r="M922" s="14"/>
    </row>
    <row r="923" spans="1:13">
      <c r="A923" s="263"/>
      <c r="B923" s="263"/>
      <c r="C923" s="263" t="s">
        <v>777</v>
      </c>
      <c r="D923" s="263"/>
      <c r="E923" s="263"/>
      <c r="F923" s="263"/>
      <c r="G923" s="39" t="str" cm="1">
        <f t="array" ref="G923">IFERROR(INDEX(Table_dim_price_recipe[Retail Price], MATCH(1, ("Calculator"&lt;&gt;Table_dim_price_recipe[Type.display])*($L923=Table_dim_price_recipe[Category])*($D923=Table_dim_price_recipe[Item Description]) * (G$6=Table_dim_price_recipe[Type])*(Table_dim_price_recipe[Retail Price]&lt;&gt;0)*($C923=Table_dim_price_recipe[Subcategory]), 0))*$B923,"")</f>
        <v/>
      </c>
      <c r="H923" s="39" t="str" cm="1">
        <f t="array" ref="H923">IFERROR(INDEX(Table_dim_price_recipe[Retail Price], MATCH(1, ("Calculator"&lt;&gt;Table_dim_price_recipe[Type.display])*($L923=Table_dim_price_recipe[Category])*($D923=Table_dim_price_recipe[Item Description]) * (H$6=Table_dim_price_recipe[Type])*(Table_dim_price_recipe[Retail Price]&lt;&gt;0)*($C923=Table_dim_price_recipe[Subcategory]), 0))*$B923,"")</f>
        <v/>
      </c>
      <c r="I923" s="39" t="str" cm="1">
        <f t="array" ref="I923">IFERROR(INDEX(Table_dim_price_recipe[Retail Price], MATCH(1, ("Calculator"&lt;&gt;Table_dim_price_recipe[Type.display])*($L923=Table_dim_price_recipe[Category])*($D923=Table_dim_price_recipe[Item Description]) * (I$6=Table_dim_price_recipe[Type])*(Table_dim_price_recipe[Retail Price]&lt;&gt;0)*($C923=Table_dim_price_recipe[Subcategory]), 0))*$B923,"")</f>
        <v/>
      </c>
      <c r="J923" s="39" t="str" cm="1">
        <f t="array" ref="J923">IFERROR(INDEX(Table_dim_price_recipe[Retail Price], MATCH(1, ("Calculator"&lt;&gt;Table_dim_price_recipe[Type.display])*($L923=Table_dim_price_recipe[Category])*($D923=Table_dim_price_recipe[Item Description]) * (J$6=Table_dim_price_recipe[Type])*(Table_dim_price_recipe[Retail Price]&lt;&gt;0)*($C923=Table_dim_price_recipe[Subcategory]), 0))*$B923,"")</f>
        <v/>
      </c>
      <c r="K923" s="39" t="str" cm="1">
        <f t="array" ref="K923">IFERROR(INDEX(Table_dim_price_recipe[Retail Price], MATCH(1, ("Calculator"&lt;&gt;Table_dim_price_recipe[Type.display])*($L923=Table_dim_price_recipe[Category])*($D923=Table_dim_price_recipe[Item Description]) * (K$6=Table_dim_price_recipe[Type])*(Table_dim_price_recipe[Retail Price]&lt;&gt;0)*($C923=Table_dim_price_recipe[Subcategory]), 0))*$B923,"")</f>
        <v/>
      </c>
      <c r="L923" s="39" t="str" cm="1">
        <f t="array" ref="L923">IF($A923&lt;&gt;"", $A923, LOOKUP(2, 1/((A$7:INDEX(A:A, ROW()))&lt;&gt;""), A$7:INDEX(A:A, ROW())))</f>
        <v>PAINTING</v>
      </c>
      <c r="M923" s="14"/>
    </row>
    <row r="924" spans="1:13">
      <c r="A924" s="263"/>
      <c r="B924" s="263"/>
      <c r="C924" s="263" t="s">
        <v>777</v>
      </c>
      <c r="D924" s="263"/>
      <c r="E924" s="263"/>
      <c r="F924" s="263"/>
      <c r="G924" s="39" t="str" cm="1">
        <f t="array" ref="G924">IFERROR(INDEX(Table_dim_price_recipe[Retail Price], MATCH(1, ("Calculator"&lt;&gt;Table_dim_price_recipe[Type.display])*($L924=Table_dim_price_recipe[Category])*($D924=Table_dim_price_recipe[Item Description]) * (G$6=Table_dim_price_recipe[Type])*(Table_dim_price_recipe[Retail Price]&lt;&gt;0)*($C924=Table_dim_price_recipe[Subcategory]), 0))*$B924,"")</f>
        <v/>
      </c>
      <c r="H924" s="39" t="str" cm="1">
        <f t="array" ref="H924">IFERROR(INDEX(Table_dim_price_recipe[Retail Price], MATCH(1, ("Calculator"&lt;&gt;Table_dim_price_recipe[Type.display])*($L924=Table_dim_price_recipe[Category])*($D924=Table_dim_price_recipe[Item Description]) * (H$6=Table_dim_price_recipe[Type])*(Table_dim_price_recipe[Retail Price]&lt;&gt;0)*($C924=Table_dim_price_recipe[Subcategory]), 0))*$B924,"")</f>
        <v/>
      </c>
      <c r="I924" s="39" t="str" cm="1">
        <f t="array" ref="I924">IFERROR(INDEX(Table_dim_price_recipe[Retail Price], MATCH(1, ("Calculator"&lt;&gt;Table_dim_price_recipe[Type.display])*($L924=Table_dim_price_recipe[Category])*($D924=Table_dim_price_recipe[Item Description]) * (I$6=Table_dim_price_recipe[Type])*(Table_dim_price_recipe[Retail Price]&lt;&gt;0)*($C924=Table_dim_price_recipe[Subcategory]), 0))*$B924,"")</f>
        <v/>
      </c>
      <c r="J924" s="39" t="str" cm="1">
        <f t="array" ref="J924">IFERROR(INDEX(Table_dim_price_recipe[Retail Price], MATCH(1, ("Calculator"&lt;&gt;Table_dim_price_recipe[Type.display])*($L924=Table_dim_price_recipe[Category])*($D924=Table_dim_price_recipe[Item Description]) * (J$6=Table_dim_price_recipe[Type])*(Table_dim_price_recipe[Retail Price]&lt;&gt;0)*($C924=Table_dim_price_recipe[Subcategory]), 0))*$B924,"")</f>
        <v/>
      </c>
      <c r="K924" s="39" t="str" cm="1">
        <f t="array" ref="K924">IFERROR(INDEX(Table_dim_price_recipe[Retail Price], MATCH(1, ("Calculator"&lt;&gt;Table_dim_price_recipe[Type.display])*($L924=Table_dim_price_recipe[Category])*($D924=Table_dim_price_recipe[Item Description]) * (K$6=Table_dim_price_recipe[Type])*(Table_dim_price_recipe[Retail Price]&lt;&gt;0)*($C924=Table_dim_price_recipe[Subcategory]), 0))*$B924,"")</f>
        <v/>
      </c>
      <c r="L924" s="39" t="str" cm="1">
        <f t="array" ref="L924">IF($A924&lt;&gt;"", $A924, LOOKUP(2, 1/((A$7:INDEX(A:A, ROW()))&lt;&gt;""), A$7:INDEX(A:A, ROW())))</f>
        <v>PAINTING</v>
      </c>
      <c r="M924" s="14"/>
    </row>
    <row r="925" spans="1:13">
      <c r="A925" s="263"/>
      <c r="B925" s="263"/>
      <c r="C925" s="263" t="s">
        <v>375</v>
      </c>
      <c r="D925" s="263" t="s">
        <v>378</v>
      </c>
      <c r="E925" s="263"/>
      <c r="F925" s="263"/>
      <c r="G925" s="39" t="str" cm="1">
        <f t="array" ref="G925">IFERROR(INDEX(Table_dim_price_recipe[Retail Price], MATCH(1, ("Calculator"&lt;&gt;Table_dim_price_recipe[Type.display])*($L925=Table_dim_price_recipe[Category])*($D925=Table_dim_price_recipe[Item Description]) * (G$6=Table_dim_price_recipe[Type])*(Table_dim_price_recipe[Retail Price]&lt;&gt;0)*($C925=Table_dim_price_recipe[Subcategory]), 0))*$B925,"")</f>
        <v/>
      </c>
      <c r="H925" s="39" t="str" cm="1">
        <f t="array" ref="H925">IFERROR(INDEX(Table_dim_price_recipe[Retail Price], MATCH(1, ("Calculator"&lt;&gt;Table_dim_price_recipe[Type.display])*($L925=Table_dim_price_recipe[Category])*($D925=Table_dim_price_recipe[Item Description]) * (H$6=Table_dim_price_recipe[Type])*(Table_dim_price_recipe[Retail Price]&lt;&gt;0)*($C925=Table_dim_price_recipe[Subcategory]), 0))*$B925,"")</f>
        <v/>
      </c>
      <c r="I925" s="39" t="str" cm="1">
        <f t="array" ref="I925">IFERROR(INDEX(Table_dim_price_recipe[Retail Price], MATCH(1, ("Calculator"&lt;&gt;Table_dim_price_recipe[Type.display])*($L925=Table_dim_price_recipe[Category])*($D925=Table_dim_price_recipe[Item Description]) * (I$6=Table_dim_price_recipe[Type])*(Table_dim_price_recipe[Retail Price]&lt;&gt;0)*($C925=Table_dim_price_recipe[Subcategory]), 0))*$B925,"")</f>
        <v/>
      </c>
      <c r="J925" s="39" t="str" cm="1">
        <f t="array" ref="J925">IFERROR(INDEX(Table_dim_price_recipe[Retail Price], MATCH(1, ("Calculator"&lt;&gt;Table_dim_price_recipe[Type.display])*($L925=Table_dim_price_recipe[Category])*($D925=Table_dim_price_recipe[Item Description]) * (J$6=Table_dim_price_recipe[Type])*(Table_dim_price_recipe[Retail Price]&lt;&gt;0)*($C925=Table_dim_price_recipe[Subcategory]), 0))*$B925,"")</f>
        <v/>
      </c>
      <c r="K925" s="39" t="str" cm="1">
        <f t="array" ref="K925">IFERROR(INDEX(Table_dim_price_recipe[Retail Price], MATCH(1, ("Calculator"&lt;&gt;Table_dim_price_recipe[Type.display])*($L925=Table_dim_price_recipe[Category])*($D925=Table_dim_price_recipe[Item Description]) * (K$6=Table_dim_price_recipe[Type])*(Table_dim_price_recipe[Retail Price]&lt;&gt;0)*($C925=Table_dim_price_recipe[Subcategory]), 0))*$B925,"")</f>
        <v/>
      </c>
      <c r="L925" s="39" t="str" cm="1">
        <f t="array" ref="L925">IF($A925&lt;&gt;"", $A925, LOOKUP(2, 1/((A$7:INDEX(A:A, ROW()))&lt;&gt;""), A$7:INDEX(A:A, ROW())))</f>
        <v>PAINTING</v>
      </c>
      <c r="M925" s="14"/>
    </row>
    <row r="926" spans="1:13">
      <c r="A926" s="263"/>
      <c r="B926" s="263"/>
      <c r="C926" s="263" t="s">
        <v>375</v>
      </c>
      <c r="D926" s="263" t="s">
        <v>376</v>
      </c>
      <c r="E926" s="263"/>
      <c r="F926" s="263"/>
      <c r="G926" s="39" t="str" cm="1">
        <f t="array" ref="G926">IFERROR(INDEX(Table_dim_price_recipe[Retail Price], MATCH(1, ("Calculator"&lt;&gt;Table_dim_price_recipe[Type.display])*($L926=Table_dim_price_recipe[Category])*($D926=Table_dim_price_recipe[Item Description]) * (G$6=Table_dim_price_recipe[Type])*(Table_dim_price_recipe[Retail Price]&lt;&gt;0)*($C926=Table_dim_price_recipe[Subcategory]), 0))*$B926,"")</f>
        <v/>
      </c>
      <c r="H926" s="39" t="str" cm="1">
        <f t="array" ref="H926">IFERROR(INDEX(Table_dim_price_recipe[Retail Price], MATCH(1, ("Calculator"&lt;&gt;Table_dim_price_recipe[Type.display])*($L926=Table_dim_price_recipe[Category])*($D926=Table_dim_price_recipe[Item Description]) * (H$6=Table_dim_price_recipe[Type])*(Table_dim_price_recipe[Retail Price]&lt;&gt;0)*($C926=Table_dim_price_recipe[Subcategory]), 0))*$B926,"")</f>
        <v/>
      </c>
      <c r="I926" s="39" t="str" cm="1">
        <f t="array" ref="I926">IFERROR(INDEX(Table_dim_price_recipe[Retail Price], MATCH(1, ("Calculator"&lt;&gt;Table_dim_price_recipe[Type.display])*($L926=Table_dim_price_recipe[Category])*($D926=Table_dim_price_recipe[Item Description]) * (I$6=Table_dim_price_recipe[Type])*(Table_dim_price_recipe[Retail Price]&lt;&gt;0)*($C926=Table_dim_price_recipe[Subcategory]), 0))*$B926,"")</f>
        <v/>
      </c>
      <c r="J926" s="39" t="str" cm="1">
        <f t="array" ref="J926">IFERROR(INDEX(Table_dim_price_recipe[Retail Price], MATCH(1, ("Calculator"&lt;&gt;Table_dim_price_recipe[Type.display])*($L926=Table_dim_price_recipe[Category])*($D926=Table_dim_price_recipe[Item Description]) * (J$6=Table_dim_price_recipe[Type])*(Table_dim_price_recipe[Retail Price]&lt;&gt;0)*($C926=Table_dim_price_recipe[Subcategory]), 0))*$B926,"")</f>
        <v/>
      </c>
      <c r="K926" s="39" t="str" cm="1">
        <f t="array" ref="K926">IFERROR(INDEX(Table_dim_price_recipe[Retail Price], MATCH(1, ("Calculator"&lt;&gt;Table_dim_price_recipe[Type.display])*($L926=Table_dim_price_recipe[Category])*($D926=Table_dim_price_recipe[Item Description]) * (K$6=Table_dim_price_recipe[Type])*(Table_dim_price_recipe[Retail Price]&lt;&gt;0)*($C926=Table_dim_price_recipe[Subcategory]), 0))*$B926,"")</f>
        <v/>
      </c>
      <c r="L926" s="39" t="str" cm="1">
        <f t="array" ref="L926">IF($A926&lt;&gt;"", $A926, LOOKUP(2, 1/((A$7:INDEX(A:A, ROW()))&lt;&gt;""), A$7:INDEX(A:A, ROW())))</f>
        <v>PAINTING</v>
      </c>
      <c r="M926" s="14"/>
    </row>
    <row r="927" spans="1:13">
      <c r="A927" s="263"/>
      <c r="B927" s="263"/>
      <c r="C927" s="263" t="s">
        <v>375</v>
      </c>
      <c r="D927" s="263" t="s">
        <v>377</v>
      </c>
      <c r="E927" s="263"/>
      <c r="F927" s="263"/>
      <c r="G927" s="39" t="str" cm="1">
        <f t="array" ref="G927">IFERROR(INDEX(Table_dim_price_recipe[Retail Price], MATCH(1, ("Calculator"&lt;&gt;Table_dim_price_recipe[Type.display])*($L927=Table_dim_price_recipe[Category])*($D927=Table_dim_price_recipe[Item Description]) * (G$6=Table_dim_price_recipe[Type])*(Table_dim_price_recipe[Retail Price]&lt;&gt;0)*($C927=Table_dim_price_recipe[Subcategory]), 0))*$B927,"")</f>
        <v/>
      </c>
      <c r="H927" s="39" t="str" cm="1">
        <f t="array" ref="H927">IFERROR(INDEX(Table_dim_price_recipe[Retail Price], MATCH(1, ("Calculator"&lt;&gt;Table_dim_price_recipe[Type.display])*($L927=Table_dim_price_recipe[Category])*($D927=Table_dim_price_recipe[Item Description]) * (H$6=Table_dim_price_recipe[Type])*(Table_dim_price_recipe[Retail Price]&lt;&gt;0)*($C927=Table_dim_price_recipe[Subcategory]), 0))*$B927,"")</f>
        <v/>
      </c>
      <c r="I927" s="39" t="str" cm="1">
        <f t="array" ref="I927">IFERROR(INDEX(Table_dim_price_recipe[Retail Price], MATCH(1, ("Calculator"&lt;&gt;Table_dim_price_recipe[Type.display])*($L927=Table_dim_price_recipe[Category])*($D927=Table_dim_price_recipe[Item Description]) * (I$6=Table_dim_price_recipe[Type])*(Table_dim_price_recipe[Retail Price]&lt;&gt;0)*($C927=Table_dim_price_recipe[Subcategory]), 0))*$B927,"")</f>
        <v/>
      </c>
      <c r="J927" s="39" t="str" cm="1">
        <f t="array" ref="J927">IFERROR(INDEX(Table_dim_price_recipe[Retail Price], MATCH(1, ("Calculator"&lt;&gt;Table_dim_price_recipe[Type.display])*($L927=Table_dim_price_recipe[Category])*($D927=Table_dim_price_recipe[Item Description]) * (J$6=Table_dim_price_recipe[Type])*(Table_dim_price_recipe[Retail Price]&lt;&gt;0)*($C927=Table_dim_price_recipe[Subcategory]), 0))*$B927,"")</f>
        <v/>
      </c>
      <c r="K927" s="39" t="str" cm="1">
        <f t="array" ref="K927">IFERROR(INDEX(Table_dim_price_recipe[Retail Price], MATCH(1, ("Calculator"&lt;&gt;Table_dim_price_recipe[Type.display])*($L927=Table_dim_price_recipe[Category])*($D927=Table_dim_price_recipe[Item Description]) * (K$6=Table_dim_price_recipe[Type])*(Table_dim_price_recipe[Retail Price]&lt;&gt;0)*($C927=Table_dim_price_recipe[Subcategory]), 0))*$B927,"")</f>
        <v/>
      </c>
      <c r="L927" s="39" t="str" cm="1">
        <f t="array" ref="L927">IF($A927&lt;&gt;"", $A927, LOOKUP(2, 1/((A$7:INDEX(A:A, ROW()))&lt;&gt;""), A$7:INDEX(A:A, ROW())))</f>
        <v>PAINTING</v>
      </c>
      <c r="M927" s="14"/>
    </row>
    <row r="928" spans="1:13">
      <c r="A928" s="263"/>
      <c r="B928" s="263"/>
      <c r="C928" s="263" t="s">
        <v>375</v>
      </c>
      <c r="D928" s="263"/>
      <c r="E928" s="263"/>
      <c r="F928" s="263"/>
      <c r="G928" s="39" t="str" cm="1">
        <f t="array" ref="G928">IFERROR(INDEX(Table_dim_price_recipe[Retail Price], MATCH(1, ("Calculator"&lt;&gt;Table_dim_price_recipe[Type.display])*($L928=Table_dim_price_recipe[Category])*($D928=Table_dim_price_recipe[Item Description]) * (G$6=Table_dim_price_recipe[Type])*(Table_dim_price_recipe[Retail Price]&lt;&gt;0)*($C928=Table_dim_price_recipe[Subcategory]), 0))*$B928,"")</f>
        <v/>
      </c>
      <c r="H928" s="39" t="str" cm="1">
        <f t="array" ref="H928">IFERROR(INDEX(Table_dim_price_recipe[Retail Price], MATCH(1, ("Calculator"&lt;&gt;Table_dim_price_recipe[Type.display])*($L928=Table_dim_price_recipe[Category])*($D928=Table_dim_price_recipe[Item Description]) * (H$6=Table_dim_price_recipe[Type])*(Table_dim_price_recipe[Retail Price]&lt;&gt;0)*($C928=Table_dim_price_recipe[Subcategory]), 0))*$B928,"")</f>
        <v/>
      </c>
      <c r="I928" s="39" t="str" cm="1">
        <f t="array" ref="I928">IFERROR(INDEX(Table_dim_price_recipe[Retail Price], MATCH(1, ("Calculator"&lt;&gt;Table_dim_price_recipe[Type.display])*($L928=Table_dim_price_recipe[Category])*($D928=Table_dim_price_recipe[Item Description]) * (I$6=Table_dim_price_recipe[Type])*(Table_dim_price_recipe[Retail Price]&lt;&gt;0)*($C928=Table_dim_price_recipe[Subcategory]), 0))*$B928,"")</f>
        <v/>
      </c>
      <c r="J928" s="39" t="str" cm="1">
        <f t="array" ref="J928">IFERROR(INDEX(Table_dim_price_recipe[Retail Price], MATCH(1, ("Calculator"&lt;&gt;Table_dim_price_recipe[Type.display])*($L928=Table_dim_price_recipe[Category])*($D928=Table_dim_price_recipe[Item Description]) * (J$6=Table_dim_price_recipe[Type])*(Table_dim_price_recipe[Retail Price]&lt;&gt;0)*($C928=Table_dim_price_recipe[Subcategory]), 0))*$B928,"")</f>
        <v/>
      </c>
      <c r="K928" s="39" t="str" cm="1">
        <f t="array" ref="K928">IFERROR(INDEX(Table_dim_price_recipe[Retail Price], MATCH(1, ("Calculator"&lt;&gt;Table_dim_price_recipe[Type.display])*($L928=Table_dim_price_recipe[Category])*($D928=Table_dim_price_recipe[Item Description]) * (K$6=Table_dim_price_recipe[Type])*(Table_dim_price_recipe[Retail Price]&lt;&gt;0)*($C928=Table_dim_price_recipe[Subcategory]), 0))*$B928,"")</f>
        <v/>
      </c>
      <c r="L928" s="39" t="str" cm="1">
        <f t="array" ref="L928">IF($A928&lt;&gt;"", $A928, LOOKUP(2, 1/((A$7:INDEX(A:A, ROW()))&lt;&gt;""), A$7:INDEX(A:A, ROW())))</f>
        <v>PAINTING</v>
      </c>
      <c r="M928" s="14"/>
    </row>
    <row r="929" spans="1:13">
      <c r="A929" s="263"/>
      <c r="B929" s="263"/>
      <c r="C929" s="263" t="s">
        <v>375</v>
      </c>
      <c r="D929" s="263"/>
      <c r="E929" s="263"/>
      <c r="F929" s="263"/>
      <c r="G929" s="39" t="str" cm="1">
        <f t="array" ref="G929">IFERROR(INDEX(Table_dim_price_recipe[Retail Price], MATCH(1, ("Calculator"&lt;&gt;Table_dim_price_recipe[Type.display])*($L929=Table_dim_price_recipe[Category])*($D929=Table_dim_price_recipe[Item Description]) * (G$6=Table_dim_price_recipe[Type])*(Table_dim_price_recipe[Retail Price]&lt;&gt;0)*($C929=Table_dim_price_recipe[Subcategory]), 0))*$B929,"")</f>
        <v/>
      </c>
      <c r="H929" s="39" t="str" cm="1">
        <f t="array" ref="H929">IFERROR(INDEX(Table_dim_price_recipe[Retail Price], MATCH(1, ("Calculator"&lt;&gt;Table_dim_price_recipe[Type.display])*($L929=Table_dim_price_recipe[Category])*($D929=Table_dim_price_recipe[Item Description]) * (H$6=Table_dim_price_recipe[Type])*(Table_dim_price_recipe[Retail Price]&lt;&gt;0)*($C929=Table_dim_price_recipe[Subcategory]), 0))*$B929,"")</f>
        <v/>
      </c>
      <c r="I929" s="39" t="str" cm="1">
        <f t="array" ref="I929">IFERROR(INDEX(Table_dim_price_recipe[Retail Price], MATCH(1, ("Calculator"&lt;&gt;Table_dim_price_recipe[Type.display])*($L929=Table_dim_price_recipe[Category])*($D929=Table_dim_price_recipe[Item Description]) * (I$6=Table_dim_price_recipe[Type])*(Table_dim_price_recipe[Retail Price]&lt;&gt;0)*($C929=Table_dim_price_recipe[Subcategory]), 0))*$B929,"")</f>
        <v/>
      </c>
      <c r="J929" s="39" t="str" cm="1">
        <f t="array" ref="J929">IFERROR(INDEX(Table_dim_price_recipe[Retail Price], MATCH(1, ("Calculator"&lt;&gt;Table_dim_price_recipe[Type.display])*($L929=Table_dim_price_recipe[Category])*($D929=Table_dim_price_recipe[Item Description]) * (J$6=Table_dim_price_recipe[Type])*(Table_dim_price_recipe[Retail Price]&lt;&gt;0)*($C929=Table_dim_price_recipe[Subcategory]), 0))*$B929,"")</f>
        <v/>
      </c>
      <c r="K929" s="39" t="str" cm="1">
        <f t="array" ref="K929">IFERROR(INDEX(Table_dim_price_recipe[Retail Price], MATCH(1, ("Calculator"&lt;&gt;Table_dim_price_recipe[Type.display])*($L929=Table_dim_price_recipe[Category])*($D929=Table_dim_price_recipe[Item Description]) * (K$6=Table_dim_price_recipe[Type])*(Table_dim_price_recipe[Retail Price]&lt;&gt;0)*($C929=Table_dim_price_recipe[Subcategory]), 0))*$B929,"")</f>
        <v/>
      </c>
      <c r="L929" s="39" t="str" cm="1">
        <f t="array" ref="L929">IF($A929&lt;&gt;"", $A929, LOOKUP(2, 1/((A$7:INDEX(A:A, ROW()))&lt;&gt;""), A$7:INDEX(A:A, ROW())))</f>
        <v>PAINTING</v>
      </c>
      <c r="M929" s="14"/>
    </row>
    <row r="930" spans="1:13">
      <c r="A930" s="263"/>
      <c r="B930" s="263">
        <v>1</v>
      </c>
      <c r="C930" s="263" t="s">
        <v>1301</v>
      </c>
      <c r="D930" s="263" t="s">
        <v>1189</v>
      </c>
      <c r="E930" s="263"/>
      <c r="F930" s="263"/>
      <c r="G930" s="39" t="str" cm="1">
        <f t="array" ref="G930">IFERROR(INDEX(Table_dim_price_recipe[Retail Price], MATCH(1, ("Calculator"&lt;&gt;Table_dim_price_recipe[Type.display])*($L930=Table_dim_price_recipe[Category])*($D930=Table_dim_price_recipe[Item Description]) * (G$6=Table_dim_price_recipe[Type])*(Table_dim_price_recipe[Retail Price]&lt;&gt;0)*($C930=Table_dim_price_recipe[Subcategory]), 0))*$B930,"")</f>
        <v/>
      </c>
      <c r="H930" s="39" t="str" cm="1">
        <f t="array" ref="H930">IFERROR(INDEX(Table_dim_price_recipe[Retail Price], MATCH(1, ("Calculator"&lt;&gt;Table_dim_price_recipe[Type.display])*($L930=Table_dim_price_recipe[Category])*($D930=Table_dim_price_recipe[Item Description]) * (H$6=Table_dim_price_recipe[Type])*(Table_dim_price_recipe[Retail Price]&lt;&gt;0)*($C930=Table_dim_price_recipe[Subcategory]), 0))*$B930,"")</f>
        <v/>
      </c>
      <c r="I930" s="39" t="str" cm="1">
        <f t="array" ref="I930">IFERROR(INDEX(Table_dim_price_recipe[Retail Price], MATCH(1, ("Calculator"&lt;&gt;Table_dim_price_recipe[Type.display])*($L930=Table_dim_price_recipe[Category])*($D930=Table_dim_price_recipe[Item Description]) * (I$6=Table_dim_price_recipe[Type])*(Table_dim_price_recipe[Retail Price]&lt;&gt;0)*($C930=Table_dim_price_recipe[Subcategory]), 0))*$B930,"")</f>
        <v/>
      </c>
      <c r="J930" s="39" t="str" cm="1">
        <f t="array" ref="J930">IFERROR(INDEX(Table_dim_price_recipe[Retail Price], MATCH(1, ("Calculator"&lt;&gt;Table_dim_price_recipe[Type.display])*($L930=Table_dim_price_recipe[Category])*($D930=Table_dim_price_recipe[Item Description]) * (J$6=Table_dim_price_recipe[Type])*(Table_dim_price_recipe[Retail Price]&lt;&gt;0)*($C930=Table_dim_price_recipe[Subcategory]), 0))*$B930,"")</f>
        <v/>
      </c>
      <c r="K930" s="39" t="str" cm="1">
        <f t="array" ref="K930">IFERROR(INDEX(Table_dim_price_recipe[Retail Price], MATCH(1, ("Calculator"&lt;&gt;Table_dim_price_recipe[Type.display])*($L930=Table_dim_price_recipe[Category])*($D930=Table_dim_price_recipe[Item Description]) * (K$6=Table_dim_price_recipe[Type])*(Table_dim_price_recipe[Retail Price]&lt;&gt;0)*($C930=Table_dim_price_recipe[Subcategory]), 0))*$B930,"")</f>
        <v/>
      </c>
      <c r="L930" s="39" t="str" cm="1">
        <f t="array" ref="L930">IF($A930&lt;&gt;"", $A930, LOOKUP(2, 1/((A$7:INDEX(A:A, ROW()))&lt;&gt;""), A$7:INDEX(A:A, ROW())))</f>
        <v>PAINTING</v>
      </c>
      <c r="M930" s="14"/>
    </row>
    <row r="931" spans="1:13">
      <c r="A931" s="263"/>
      <c r="B931" s="263">
        <v>1</v>
      </c>
      <c r="C931" s="263" t="s">
        <v>1301</v>
      </c>
      <c r="D931" s="263" t="s">
        <v>1199</v>
      </c>
      <c r="E931" s="263"/>
      <c r="F931" s="263"/>
      <c r="G931" s="39" t="str" cm="1">
        <f t="array" ref="G931">IFERROR(INDEX(Table_dim_price_recipe[Retail Price], MATCH(1, ("Calculator"&lt;&gt;Table_dim_price_recipe[Type.display])*($L931=Table_dim_price_recipe[Category])*($D931=Table_dim_price_recipe[Item Description]) * (G$6=Table_dim_price_recipe[Type])*(Table_dim_price_recipe[Retail Price]&lt;&gt;0)*($C931=Table_dim_price_recipe[Subcategory]), 0))*$B931,"")</f>
        <v/>
      </c>
      <c r="H931" s="39" cm="1">
        <f t="array" ref="H931">IFERROR(INDEX(Table_dim_price_recipe[Retail Price], MATCH(1, ("Calculator"&lt;&gt;Table_dim_price_recipe[Type.display])*($L931=Table_dim_price_recipe[Category])*($D931=Table_dim_price_recipe[Item Description]) * (H$6=Table_dim_price_recipe[Type])*(Table_dim_price_recipe[Retail Price]&lt;&gt;0)*($C931=Table_dim_price_recipe[Subcategory]), 0))*$B931,"")</f>
        <v>44</v>
      </c>
      <c r="I931" s="39" t="str" cm="1">
        <f t="array" ref="I931">IFERROR(INDEX(Table_dim_price_recipe[Retail Price], MATCH(1, ("Calculator"&lt;&gt;Table_dim_price_recipe[Type.display])*($L931=Table_dim_price_recipe[Category])*($D931=Table_dim_price_recipe[Item Description]) * (I$6=Table_dim_price_recipe[Type])*(Table_dim_price_recipe[Retail Price]&lt;&gt;0)*($C931=Table_dim_price_recipe[Subcategory]), 0))*$B931,"")</f>
        <v/>
      </c>
      <c r="J931" s="39" t="str" cm="1">
        <f t="array" ref="J931">IFERROR(INDEX(Table_dim_price_recipe[Retail Price], MATCH(1, ("Calculator"&lt;&gt;Table_dim_price_recipe[Type.display])*($L931=Table_dim_price_recipe[Category])*($D931=Table_dim_price_recipe[Item Description]) * (J$6=Table_dim_price_recipe[Type])*(Table_dim_price_recipe[Retail Price]&lt;&gt;0)*($C931=Table_dim_price_recipe[Subcategory]), 0))*$B931,"")</f>
        <v/>
      </c>
      <c r="K931" s="39" t="str" cm="1">
        <f t="array" ref="K931">IFERROR(INDEX(Table_dim_price_recipe[Retail Price], MATCH(1, ("Calculator"&lt;&gt;Table_dim_price_recipe[Type.display])*($L931=Table_dim_price_recipe[Category])*($D931=Table_dim_price_recipe[Item Description]) * (K$6=Table_dim_price_recipe[Type])*(Table_dim_price_recipe[Retail Price]&lt;&gt;0)*($C931=Table_dim_price_recipe[Subcategory]), 0))*$B931,"")</f>
        <v/>
      </c>
      <c r="L931" s="39" t="str" cm="1">
        <f t="array" ref="L931">IF($A931&lt;&gt;"", $A931, LOOKUP(2, 1/((A$7:INDEX(A:A, ROW()))&lt;&gt;""), A$7:INDEX(A:A, ROW())))</f>
        <v>PAINTING</v>
      </c>
      <c r="M931" s="14"/>
    </row>
    <row r="932" spans="1:13">
      <c r="A932" s="263"/>
      <c r="B932" s="263">
        <v>1</v>
      </c>
      <c r="C932" s="263" t="s">
        <v>1301</v>
      </c>
      <c r="D932" s="263" t="s">
        <v>119</v>
      </c>
      <c r="E932" s="263"/>
      <c r="F932" s="263"/>
      <c r="G932" s="39" t="str" cm="1">
        <f t="array" ref="G932">IFERROR(INDEX(Table_dim_price_recipe[Retail Price], MATCH(1, ("Calculator"&lt;&gt;Table_dim_price_recipe[Type.display])*($L932=Table_dim_price_recipe[Category])*($D932=Table_dim_price_recipe[Item Description]) * (G$6=Table_dim_price_recipe[Type])*(Table_dim_price_recipe[Retail Price]&lt;&gt;0)*($C932=Table_dim_price_recipe[Subcategory]), 0))*$B932,"")</f>
        <v/>
      </c>
      <c r="H932" s="39" cm="1">
        <f t="array" ref="H932">IFERROR(INDEX(Table_dim_price_recipe[Retail Price], MATCH(1, ("Calculator"&lt;&gt;Table_dim_price_recipe[Type.display])*($L932=Table_dim_price_recipe[Category])*($D932=Table_dim_price_recipe[Item Description]) * (H$6=Table_dim_price_recipe[Type])*(Table_dim_price_recipe[Retail Price]&lt;&gt;0)*($C932=Table_dim_price_recipe[Subcategory]), 0))*$B932,"")</f>
        <v>22</v>
      </c>
      <c r="I932" s="39" t="str" cm="1">
        <f t="array" ref="I932">IFERROR(INDEX(Table_dim_price_recipe[Retail Price], MATCH(1, ("Calculator"&lt;&gt;Table_dim_price_recipe[Type.display])*($L932=Table_dim_price_recipe[Category])*($D932=Table_dim_price_recipe[Item Description]) * (I$6=Table_dim_price_recipe[Type])*(Table_dim_price_recipe[Retail Price]&lt;&gt;0)*($C932=Table_dim_price_recipe[Subcategory]), 0))*$B932,"")</f>
        <v/>
      </c>
      <c r="J932" s="39" t="str" cm="1">
        <f t="array" ref="J932">IFERROR(INDEX(Table_dim_price_recipe[Retail Price], MATCH(1, ("Calculator"&lt;&gt;Table_dim_price_recipe[Type.display])*($L932=Table_dim_price_recipe[Category])*($D932=Table_dim_price_recipe[Item Description]) * (J$6=Table_dim_price_recipe[Type])*(Table_dim_price_recipe[Retail Price]&lt;&gt;0)*($C932=Table_dim_price_recipe[Subcategory]), 0))*$B932,"")</f>
        <v/>
      </c>
      <c r="K932" s="39" t="str" cm="1">
        <f t="array" ref="K932">IFERROR(INDEX(Table_dim_price_recipe[Retail Price], MATCH(1, ("Calculator"&lt;&gt;Table_dim_price_recipe[Type.display])*($L932=Table_dim_price_recipe[Category])*($D932=Table_dim_price_recipe[Item Description]) * (K$6=Table_dim_price_recipe[Type])*(Table_dim_price_recipe[Retail Price]&lt;&gt;0)*($C932=Table_dim_price_recipe[Subcategory]), 0))*$B932,"")</f>
        <v/>
      </c>
      <c r="L932" s="39" t="str" cm="1">
        <f t="array" ref="L932">IF($A932&lt;&gt;"", $A932, LOOKUP(2, 1/((A$7:INDEX(A:A, ROW()))&lt;&gt;""), A$7:INDEX(A:A, ROW())))</f>
        <v>PAINTING</v>
      </c>
      <c r="M932" s="14"/>
    </row>
    <row r="933" spans="1:13">
      <c r="A933" s="263"/>
      <c r="B933" s="263">
        <v>1</v>
      </c>
      <c r="C933" s="263" t="s">
        <v>1301</v>
      </c>
      <c r="D933" s="263" t="s">
        <v>1198</v>
      </c>
      <c r="E933" s="263"/>
      <c r="F933" s="263"/>
      <c r="G933" s="39" t="str" cm="1">
        <f t="array" ref="G933">IFERROR(INDEX(Table_dim_price_recipe[Retail Price], MATCH(1, ("Calculator"&lt;&gt;Table_dim_price_recipe[Type.display])*($L933=Table_dim_price_recipe[Category])*($D933=Table_dim_price_recipe[Item Description]) * (G$6=Table_dim_price_recipe[Type])*(Table_dim_price_recipe[Retail Price]&lt;&gt;0)*($C933=Table_dim_price_recipe[Subcategory]), 0))*$B933,"")</f>
        <v/>
      </c>
      <c r="H933" s="39" t="str" cm="1">
        <f t="array" ref="H933">IFERROR(INDEX(Table_dim_price_recipe[Retail Price], MATCH(1, ("Calculator"&lt;&gt;Table_dim_price_recipe[Type.display])*($L933=Table_dim_price_recipe[Category])*($D933=Table_dim_price_recipe[Item Description]) * (H$6=Table_dim_price_recipe[Type])*(Table_dim_price_recipe[Retail Price]&lt;&gt;0)*($C933=Table_dim_price_recipe[Subcategory]), 0))*$B933,"")</f>
        <v/>
      </c>
      <c r="I933" s="39" t="str" cm="1">
        <f t="array" ref="I933">IFERROR(INDEX(Table_dim_price_recipe[Retail Price], MATCH(1, ("Calculator"&lt;&gt;Table_dim_price_recipe[Type.display])*($L933=Table_dim_price_recipe[Category])*($D933=Table_dim_price_recipe[Item Description]) * (I$6=Table_dim_price_recipe[Type])*(Table_dim_price_recipe[Retail Price]&lt;&gt;0)*($C933=Table_dim_price_recipe[Subcategory]), 0))*$B933,"")</f>
        <v/>
      </c>
      <c r="J933" s="39" t="str" cm="1">
        <f t="array" ref="J933">IFERROR(INDEX(Table_dim_price_recipe[Retail Price], MATCH(1, ("Calculator"&lt;&gt;Table_dim_price_recipe[Type.display])*($L933=Table_dim_price_recipe[Category])*($D933=Table_dim_price_recipe[Item Description]) * (J$6=Table_dim_price_recipe[Type])*(Table_dim_price_recipe[Retail Price]&lt;&gt;0)*($C933=Table_dim_price_recipe[Subcategory]), 0))*$B933,"")</f>
        <v/>
      </c>
      <c r="K933" s="39" t="str" cm="1">
        <f t="array" ref="K933">IFERROR(INDEX(Table_dim_price_recipe[Retail Price], MATCH(1, ("Calculator"&lt;&gt;Table_dim_price_recipe[Type.display])*($L933=Table_dim_price_recipe[Category])*($D933=Table_dim_price_recipe[Item Description]) * (K$6=Table_dim_price_recipe[Type])*(Table_dim_price_recipe[Retail Price]&lt;&gt;0)*($C933=Table_dim_price_recipe[Subcategory]), 0))*$B933,"")</f>
        <v/>
      </c>
      <c r="L933" s="39" t="str" cm="1">
        <f t="array" ref="L933">IF($A933&lt;&gt;"", $A933, LOOKUP(2, 1/((A$7:INDEX(A:A, ROW()))&lt;&gt;""), A$7:INDEX(A:A, ROW())))</f>
        <v>PAINTING</v>
      </c>
      <c r="M933" s="14"/>
    </row>
    <row r="934" spans="1:13">
      <c r="A934" s="263"/>
      <c r="B934" s="263">
        <v>2</v>
      </c>
      <c r="C934" s="263" t="s">
        <v>1301</v>
      </c>
      <c r="D934" s="263" t="s">
        <v>123</v>
      </c>
      <c r="E934" s="263"/>
      <c r="F934" s="263"/>
      <c r="G934" s="39" t="str" cm="1">
        <f t="array" ref="G934">IFERROR(INDEX(Table_dim_price_recipe[Retail Price], MATCH(1, ("Calculator"&lt;&gt;Table_dim_price_recipe[Type.display])*($L934=Table_dim_price_recipe[Category])*($D934=Table_dim_price_recipe[Item Description]) * (G$6=Table_dim_price_recipe[Type])*(Table_dim_price_recipe[Retail Price]&lt;&gt;0)*($C934=Table_dim_price_recipe[Subcategory]), 0))*$B934,"")</f>
        <v/>
      </c>
      <c r="H934" s="39" cm="1">
        <f t="array" ref="H934">IFERROR(INDEX(Table_dim_price_recipe[Retail Price], MATCH(1, ("Calculator"&lt;&gt;Table_dim_price_recipe[Type.display])*($L934=Table_dim_price_recipe[Category])*($D934=Table_dim_price_recipe[Item Description]) * (H$6=Table_dim_price_recipe[Type])*(Table_dim_price_recipe[Retail Price]&lt;&gt;0)*($C934=Table_dim_price_recipe[Subcategory]), 0))*$B934,"")</f>
        <v>129.06659999999999</v>
      </c>
      <c r="I934" s="39" t="str" cm="1">
        <f t="array" ref="I934">IFERROR(INDEX(Table_dim_price_recipe[Retail Price], MATCH(1, ("Calculator"&lt;&gt;Table_dim_price_recipe[Type.display])*($L934=Table_dim_price_recipe[Category])*($D934=Table_dim_price_recipe[Item Description]) * (I$6=Table_dim_price_recipe[Type])*(Table_dim_price_recipe[Retail Price]&lt;&gt;0)*($C934=Table_dim_price_recipe[Subcategory]), 0))*$B934,"")</f>
        <v/>
      </c>
      <c r="J934" s="39" t="str" cm="1">
        <f t="array" ref="J934">IFERROR(INDEX(Table_dim_price_recipe[Retail Price], MATCH(1, ("Calculator"&lt;&gt;Table_dim_price_recipe[Type.display])*($L934=Table_dim_price_recipe[Category])*($D934=Table_dim_price_recipe[Item Description]) * (J$6=Table_dim_price_recipe[Type])*(Table_dim_price_recipe[Retail Price]&lt;&gt;0)*($C934=Table_dim_price_recipe[Subcategory]), 0))*$B934,"")</f>
        <v/>
      </c>
      <c r="K934" s="39" t="str" cm="1">
        <f t="array" ref="K934">IFERROR(INDEX(Table_dim_price_recipe[Retail Price], MATCH(1, ("Calculator"&lt;&gt;Table_dim_price_recipe[Type.display])*($L934=Table_dim_price_recipe[Category])*($D934=Table_dim_price_recipe[Item Description]) * (K$6=Table_dim_price_recipe[Type])*(Table_dim_price_recipe[Retail Price]&lt;&gt;0)*($C934=Table_dim_price_recipe[Subcategory]), 0))*$B934,"")</f>
        <v/>
      </c>
      <c r="L934" s="39" t="str" cm="1">
        <f t="array" ref="L934">IF($A934&lt;&gt;"", $A934, LOOKUP(2, 1/((A$7:INDEX(A:A, ROW()))&lt;&gt;""), A$7:INDEX(A:A, ROW())))</f>
        <v>PAINTING</v>
      </c>
      <c r="M934" s="14"/>
    </row>
    <row r="935" spans="1:13">
      <c r="A935" s="263"/>
      <c r="B935" s="263">
        <v>1</v>
      </c>
      <c r="C935" s="263" t="s">
        <v>1301</v>
      </c>
      <c r="D935" s="263" t="s">
        <v>1186</v>
      </c>
      <c r="E935" s="263"/>
      <c r="F935" s="263"/>
      <c r="G935" s="39" t="str" cm="1">
        <f t="array" ref="G935">IFERROR(INDEX(Table_dim_price_recipe[Retail Price], MATCH(1, ("Calculator"&lt;&gt;Table_dim_price_recipe[Type.display])*($L935=Table_dim_price_recipe[Category])*($D935=Table_dim_price_recipe[Item Description]) * (G$6=Table_dim_price_recipe[Type])*(Table_dim_price_recipe[Retail Price]&lt;&gt;0)*($C935=Table_dim_price_recipe[Subcategory]), 0))*$B935,"")</f>
        <v/>
      </c>
      <c r="H935" s="39" cm="1">
        <f t="array" ref="H935">IFERROR(INDEX(Table_dim_price_recipe[Retail Price], MATCH(1, ("Calculator"&lt;&gt;Table_dim_price_recipe[Type.display])*($L935=Table_dim_price_recipe[Category])*($D935=Table_dim_price_recipe[Item Description]) * (H$6=Table_dim_price_recipe[Type])*(Table_dim_price_recipe[Retail Price]&lt;&gt;0)*($C935=Table_dim_price_recipe[Subcategory]), 0))*$B935,"")</f>
        <v>1.4666999999999999</v>
      </c>
      <c r="I935" s="39" t="str" cm="1">
        <f t="array" ref="I935">IFERROR(INDEX(Table_dim_price_recipe[Retail Price], MATCH(1, ("Calculator"&lt;&gt;Table_dim_price_recipe[Type.display])*($L935=Table_dim_price_recipe[Category])*($D935=Table_dim_price_recipe[Item Description]) * (I$6=Table_dim_price_recipe[Type])*(Table_dim_price_recipe[Retail Price]&lt;&gt;0)*($C935=Table_dim_price_recipe[Subcategory]), 0))*$B935,"")</f>
        <v/>
      </c>
      <c r="J935" s="39" t="str" cm="1">
        <f t="array" ref="J935">IFERROR(INDEX(Table_dim_price_recipe[Retail Price], MATCH(1, ("Calculator"&lt;&gt;Table_dim_price_recipe[Type.display])*($L935=Table_dim_price_recipe[Category])*($D935=Table_dim_price_recipe[Item Description]) * (J$6=Table_dim_price_recipe[Type])*(Table_dim_price_recipe[Retail Price]&lt;&gt;0)*($C935=Table_dim_price_recipe[Subcategory]), 0))*$B935,"")</f>
        <v/>
      </c>
      <c r="K935" s="39" t="str" cm="1">
        <f t="array" ref="K935">IFERROR(INDEX(Table_dim_price_recipe[Retail Price], MATCH(1, ("Calculator"&lt;&gt;Table_dim_price_recipe[Type.display])*($L935=Table_dim_price_recipe[Category])*($D935=Table_dim_price_recipe[Item Description]) * (K$6=Table_dim_price_recipe[Type])*(Table_dim_price_recipe[Retail Price]&lt;&gt;0)*($C935=Table_dim_price_recipe[Subcategory]), 0))*$B935,"")</f>
        <v/>
      </c>
      <c r="L935" s="39" t="str" cm="1">
        <f t="array" ref="L935">IF($A935&lt;&gt;"", $A935, LOOKUP(2, 1/((A$7:INDEX(A:A, ROW()))&lt;&gt;""), A$7:INDEX(A:A, ROW())))</f>
        <v>PAINTING</v>
      </c>
      <c r="M935" s="14"/>
    </row>
    <row r="936" spans="1:13">
      <c r="A936" s="263"/>
      <c r="B936" s="263">
        <v>1</v>
      </c>
      <c r="C936" s="263" t="s">
        <v>1301</v>
      </c>
      <c r="D936" s="263" t="s">
        <v>1187</v>
      </c>
      <c r="E936" s="263"/>
      <c r="F936" s="263"/>
      <c r="G936" s="39" t="str" cm="1">
        <f t="array" ref="G936">IFERROR(INDEX(Table_dim_price_recipe[Retail Price], MATCH(1, ("Calculator"&lt;&gt;Table_dim_price_recipe[Type.display])*($L936=Table_dim_price_recipe[Category])*($D936=Table_dim_price_recipe[Item Description]) * (G$6=Table_dim_price_recipe[Type])*(Table_dim_price_recipe[Retail Price]&lt;&gt;0)*($C936=Table_dim_price_recipe[Subcategory]), 0))*$B936,"")</f>
        <v/>
      </c>
      <c r="H936" s="39" t="str" cm="1">
        <f t="array" ref="H936">IFERROR(INDEX(Table_dim_price_recipe[Retail Price], MATCH(1, ("Calculator"&lt;&gt;Table_dim_price_recipe[Type.display])*($L936=Table_dim_price_recipe[Category])*($D936=Table_dim_price_recipe[Item Description]) * (H$6=Table_dim_price_recipe[Type])*(Table_dim_price_recipe[Retail Price]&lt;&gt;0)*($C936=Table_dim_price_recipe[Subcategory]), 0))*$B936,"")</f>
        <v/>
      </c>
      <c r="I936" s="39" t="str" cm="1">
        <f t="array" ref="I936">IFERROR(INDEX(Table_dim_price_recipe[Retail Price], MATCH(1, ("Calculator"&lt;&gt;Table_dim_price_recipe[Type.display])*($L936=Table_dim_price_recipe[Category])*($D936=Table_dim_price_recipe[Item Description]) * (I$6=Table_dim_price_recipe[Type])*(Table_dim_price_recipe[Retail Price]&lt;&gt;0)*($C936=Table_dim_price_recipe[Subcategory]), 0))*$B936,"")</f>
        <v/>
      </c>
      <c r="J936" s="39" t="str" cm="1">
        <f t="array" ref="J936">IFERROR(INDEX(Table_dim_price_recipe[Retail Price], MATCH(1, ("Calculator"&lt;&gt;Table_dim_price_recipe[Type.display])*($L936=Table_dim_price_recipe[Category])*($D936=Table_dim_price_recipe[Item Description]) * (J$6=Table_dim_price_recipe[Type])*(Table_dim_price_recipe[Retail Price]&lt;&gt;0)*($C936=Table_dim_price_recipe[Subcategory]), 0))*$B936,"")</f>
        <v/>
      </c>
      <c r="K936" s="39" t="str" cm="1">
        <f t="array" ref="K936">IFERROR(INDEX(Table_dim_price_recipe[Retail Price], MATCH(1, ("Calculator"&lt;&gt;Table_dim_price_recipe[Type.display])*($L936=Table_dim_price_recipe[Category])*($D936=Table_dim_price_recipe[Item Description]) * (K$6=Table_dim_price_recipe[Type])*(Table_dim_price_recipe[Retail Price]&lt;&gt;0)*($C936=Table_dim_price_recipe[Subcategory]), 0))*$B936,"")</f>
        <v/>
      </c>
      <c r="L936" s="39" t="str" cm="1">
        <f t="array" ref="L936">IF($A936&lt;&gt;"", $A936, LOOKUP(2, 1/((A$7:INDEX(A:A, ROW()))&lt;&gt;""), A$7:INDEX(A:A, ROW())))</f>
        <v>PAINTING</v>
      </c>
      <c r="M936" s="14"/>
    </row>
    <row r="937" spans="1:13">
      <c r="A937" s="263"/>
      <c r="B937" s="263">
        <v>1</v>
      </c>
      <c r="C937" s="263" t="s">
        <v>1301</v>
      </c>
      <c r="D937" s="263" t="s">
        <v>1190</v>
      </c>
      <c r="E937" s="263"/>
      <c r="F937" s="263"/>
      <c r="G937" s="39" t="str" cm="1">
        <f t="array" ref="G937">IFERROR(INDEX(Table_dim_price_recipe[Retail Price], MATCH(1, ("Calculator"&lt;&gt;Table_dim_price_recipe[Type.display])*($L937=Table_dim_price_recipe[Category])*($D937=Table_dim_price_recipe[Item Description]) * (G$6=Table_dim_price_recipe[Type])*(Table_dim_price_recipe[Retail Price]&lt;&gt;0)*($C937=Table_dim_price_recipe[Subcategory]), 0))*$B937,"")</f>
        <v/>
      </c>
      <c r="H937" s="39" cm="1">
        <f t="array" ref="H937">IFERROR(INDEX(Table_dim_price_recipe[Retail Price], MATCH(1, ("Calculator"&lt;&gt;Table_dim_price_recipe[Type.display])*($L937=Table_dim_price_recipe[Category])*($D937=Table_dim_price_recipe[Item Description]) * (H$6=Table_dim_price_recipe[Type])*(Table_dim_price_recipe[Retail Price]&lt;&gt;0)*($C937=Table_dim_price_recipe[Subcategory]), 0))*$B937,"")</f>
        <v>13.2</v>
      </c>
      <c r="I937" s="39" t="str" cm="1">
        <f t="array" ref="I937">IFERROR(INDEX(Table_dim_price_recipe[Retail Price], MATCH(1, ("Calculator"&lt;&gt;Table_dim_price_recipe[Type.display])*($L937=Table_dim_price_recipe[Category])*($D937=Table_dim_price_recipe[Item Description]) * (I$6=Table_dim_price_recipe[Type])*(Table_dim_price_recipe[Retail Price]&lt;&gt;0)*($C937=Table_dim_price_recipe[Subcategory]), 0))*$B937,"")</f>
        <v/>
      </c>
      <c r="J937" s="39" t="str" cm="1">
        <f t="array" ref="J937">IFERROR(INDEX(Table_dim_price_recipe[Retail Price], MATCH(1, ("Calculator"&lt;&gt;Table_dim_price_recipe[Type.display])*($L937=Table_dim_price_recipe[Category])*($D937=Table_dim_price_recipe[Item Description]) * (J$6=Table_dim_price_recipe[Type])*(Table_dim_price_recipe[Retail Price]&lt;&gt;0)*($C937=Table_dim_price_recipe[Subcategory]), 0))*$B937,"")</f>
        <v/>
      </c>
      <c r="K937" s="39" t="str" cm="1">
        <f t="array" ref="K937">IFERROR(INDEX(Table_dim_price_recipe[Retail Price], MATCH(1, ("Calculator"&lt;&gt;Table_dim_price_recipe[Type.display])*($L937=Table_dim_price_recipe[Category])*($D937=Table_dim_price_recipe[Item Description]) * (K$6=Table_dim_price_recipe[Type])*(Table_dim_price_recipe[Retail Price]&lt;&gt;0)*($C937=Table_dim_price_recipe[Subcategory]), 0))*$B937,"")</f>
        <v/>
      </c>
      <c r="L937" s="39" t="str" cm="1">
        <f t="array" ref="L937">IF($A937&lt;&gt;"", $A937, LOOKUP(2, 1/((A$7:INDEX(A:A, ROW()))&lt;&gt;""), A$7:INDEX(A:A, ROW())))</f>
        <v>PAINTING</v>
      </c>
      <c r="M937" s="14"/>
    </row>
    <row r="938" spans="1:13">
      <c r="A938" s="263"/>
      <c r="B938" s="263">
        <v>4</v>
      </c>
      <c r="C938" s="263" t="s">
        <v>1301</v>
      </c>
      <c r="D938" s="263" t="s">
        <v>122</v>
      </c>
      <c r="E938" s="263"/>
      <c r="F938" s="263"/>
      <c r="G938" s="39" t="str" cm="1">
        <f t="array" ref="G938">IFERROR(INDEX(Table_dim_price_recipe[Retail Price], MATCH(1, ("Calculator"&lt;&gt;Table_dim_price_recipe[Type.display])*($L938=Table_dim_price_recipe[Category])*($D938=Table_dim_price_recipe[Item Description]) * (G$6=Table_dim_price_recipe[Type])*(Table_dim_price_recipe[Retail Price]&lt;&gt;0)*($C938=Table_dim_price_recipe[Subcategory]), 0))*$B938,"")</f>
        <v/>
      </c>
      <c r="H938" s="39" cm="1">
        <f t="array" ref="H938">IFERROR(INDEX(Table_dim_price_recipe[Retail Price], MATCH(1, ("Calculator"&lt;&gt;Table_dim_price_recipe[Type.display])*($L938=Table_dim_price_recipe[Category])*($D938=Table_dim_price_recipe[Item Description]) * (H$6=Table_dim_price_recipe[Type])*(Table_dim_price_recipe[Retail Price]&lt;&gt;0)*($C938=Table_dim_price_recipe[Subcategory]), 0))*$B938,"")</f>
        <v>555.20000000000005</v>
      </c>
      <c r="I938" s="39" t="str" cm="1">
        <f t="array" ref="I938">IFERROR(INDEX(Table_dim_price_recipe[Retail Price], MATCH(1, ("Calculator"&lt;&gt;Table_dim_price_recipe[Type.display])*($L938=Table_dim_price_recipe[Category])*($D938=Table_dim_price_recipe[Item Description]) * (I$6=Table_dim_price_recipe[Type])*(Table_dim_price_recipe[Retail Price]&lt;&gt;0)*($C938=Table_dim_price_recipe[Subcategory]), 0))*$B938,"")</f>
        <v/>
      </c>
      <c r="J938" s="39" t="str" cm="1">
        <f t="array" ref="J938">IFERROR(INDEX(Table_dim_price_recipe[Retail Price], MATCH(1, ("Calculator"&lt;&gt;Table_dim_price_recipe[Type.display])*($L938=Table_dim_price_recipe[Category])*($D938=Table_dim_price_recipe[Item Description]) * (J$6=Table_dim_price_recipe[Type])*(Table_dim_price_recipe[Retail Price]&lt;&gt;0)*($C938=Table_dim_price_recipe[Subcategory]), 0))*$B938,"")</f>
        <v/>
      </c>
      <c r="K938" s="39" t="str" cm="1">
        <f t="array" ref="K938">IFERROR(INDEX(Table_dim_price_recipe[Retail Price], MATCH(1, ("Calculator"&lt;&gt;Table_dim_price_recipe[Type.display])*($L938=Table_dim_price_recipe[Category])*($D938=Table_dim_price_recipe[Item Description]) * (K$6=Table_dim_price_recipe[Type])*(Table_dim_price_recipe[Retail Price]&lt;&gt;0)*($C938=Table_dim_price_recipe[Subcategory]), 0))*$B938,"")</f>
        <v/>
      </c>
      <c r="L938" s="39" t="str" cm="1">
        <f t="array" ref="L938">IF($A938&lt;&gt;"", $A938, LOOKUP(2, 1/((A$7:INDEX(A:A, ROW()))&lt;&gt;""), A$7:INDEX(A:A, ROW())))</f>
        <v>PAINTING</v>
      </c>
      <c r="M938" s="14"/>
    </row>
    <row r="939" spans="1:13">
      <c r="A939" s="263"/>
      <c r="B939" s="263">
        <v>1</v>
      </c>
      <c r="C939" s="263" t="s">
        <v>1301</v>
      </c>
      <c r="D939" s="263" t="s">
        <v>1197</v>
      </c>
      <c r="E939" s="263"/>
      <c r="F939" s="263"/>
      <c r="G939" s="39" t="str" cm="1">
        <f t="array" ref="G939">IFERROR(INDEX(Table_dim_price_recipe[Retail Price], MATCH(1, ("Calculator"&lt;&gt;Table_dim_price_recipe[Type.display])*($L939=Table_dim_price_recipe[Category])*($D939=Table_dim_price_recipe[Item Description]) * (G$6=Table_dim_price_recipe[Type])*(Table_dim_price_recipe[Retail Price]&lt;&gt;0)*($C939=Table_dim_price_recipe[Subcategory]), 0))*$B939,"")</f>
        <v/>
      </c>
      <c r="H939" s="39" cm="1">
        <f t="array" ref="H939">IFERROR(INDEX(Table_dim_price_recipe[Retail Price], MATCH(1, ("Calculator"&lt;&gt;Table_dim_price_recipe[Type.display])*($L939=Table_dim_price_recipe[Category])*($D939=Table_dim_price_recipe[Item Description]) * (H$6=Table_dim_price_recipe[Type])*(Table_dim_price_recipe[Retail Price]&lt;&gt;0)*($C939=Table_dim_price_recipe[Subcategory]), 0))*$B939,"")</f>
        <v>34.32</v>
      </c>
      <c r="I939" s="39" t="str" cm="1">
        <f t="array" ref="I939">IFERROR(INDEX(Table_dim_price_recipe[Retail Price], MATCH(1, ("Calculator"&lt;&gt;Table_dim_price_recipe[Type.display])*($L939=Table_dim_price_recipe[Category])*($D939=Table_dim_price_recipe[Item Description]) * (I$6=Table_dim_price_recipe[Type])*(Table_dim_price_recipe[Retail Price]&lt;&gt;0)*($C939=Table_dim_price_recipe[Subcategory]), 0))*$B939,"")</f>
        <v/>
      </c>
      <c r="J939" s="39" t="str" cm="1">
        <f t="array" ref="J939">IFERROR(INDEX(Table_dim_price_recipe[Retail Price], MATCH(1, ("Calculator"&lt;&gt;Table_dim_price_recipe[Type.display])*($L939=Table_dim_price_recipe[Category])*($D939=Table_dim_price_recipe[Item Description]) * (J$6=Table_dim_price_recipe[Type])*(Table_dim_price_recipe[Retail Price]&lt;&gt;0)*($C939=Table_dim_price_recipe[Subcategory]), 0))*$B939,"")</f>
        <v/>
      </c>
      <c r="K939" s="39" t="str" cm="1">
        <f t="array" ref="K939">IFERROR(INDEX(Table_dim_price_recipe[Retail Price], MATCH(1, ("Calculator"&lt;&gt;Table_dim_price_recipe[Type.display])*($L939=Table_dim_price_recipe[Category])*($D939=Table_dim_price_recipe[Item Description]) * (K$6=Table_dim_price_recipe[Type])*(Table_dim_price_recipe[Retail Price]&lt;&gt;0)*($C939=Table_dim_price_recipe[Subcategory]), 0))*$B939,"")</f>
        <v/>
      </c>
      <c r="L939" s="39" t="str" cm="1">
        <f t="array" ref="L939">IF($A939&lt;&gt;"", $A939, LOOKUP(2, 1/((A$7:INDEX(A:A, ROW()))&lt;&gt;""), A$7:INDEX(A:A, ROW())))</f>
        <v>PAINTING</v>
      </c>
      <c r="M939" s="14"/>
    </row>
    <row r="940" spans="1:13">
      <c r="A940" s="263"/>
      <c r="B940" s="263">
        <v>1</v>
      </c>
      <c r="C940" s="263" t="s">
        <v>1301</v>
      </c>
      <c r="D940" s="263" t="s">
        <v>1182</v>
      </c>
      <c r="E940" s="263"/>
      <c r="F940" s="263"/>
      <c r="G940" s="39" t="str" cm="1">
        <f t="array" ref="G940">IFERROR(INDEX(Table_dim_price_recipe[Retail Price], MATCH(1, ("Calculator"&lt;&gt;Table_dim_price_recipe[Type.display])*($L940=Table_dim_price_recipe[Category])*($D940=Table_dim_price_recipe[Item Description]) * (G$6=Table_dim_price_recipe[Type])*(Table_dim_price_recipe[Retail Price]&lt;&gt;0)*($C940=Table_dim_price_recipe[Subcategory]), 0))*$B940,"")</f>
        <v/>
      </c>
      <c r="H940" s="39" t="str" cm="1">
        <f t="array" ref="H940">IFERROR(INDEX(Table_dim_price_recipe[Retail Price], MATCH(1, ("Calculator"&lt;&gt;Table_dim_price_recipe[Type.display])*($L940=Table_dim_price_recipe[Category])*($D940=Table_dim_price_recipe[Item Description]) * (H$6=Table_dim_price_recipe[Type])*(Table_dim_price_recipe[Retail Price]&lt;&gt;0)*($C940=Table_dim_price_recipe[Subcategory]), 0))*$B940,"")</f>
        <v/>
      </c>
      <c r="I940" s="39" t="str" cm="1">
        <f t="array" ref="I940">IFERROR(INDEX(Table_dim_price_recipe[Retail Price], MATCH(1, ("Calculator"&lt;&gt;Table_dim_price_recipe[Type.display])*($L940=Table_dim_price_recipe[Category])*($D940=Table_dim_price_recipe[Item Description]) * (I$6=Table_dim_price_recipe[Type])*(Table_dim_price_recipe[Retail Price]&lt;&gt;0)*($C940=Table_dim_price_recipe[Subcategory]), 0))*$B940,"")</f>
        <v/>
      </c>
      <c r="J940" s="39" t="str" cm="1">
        <f t="array" ref="J940">IFERROR(INDEX(Table_dim_price_recipe[Retail Price], MATCH(1, ("Calculator"&lt;&gt;Table_dim_price_recipe[Type.display])*($L940=Table_dim_price_recipe[Category])*($D940=Table_dim_price_recipe[Item Description]) * (J$6=Table_dim_price_recipe[Type])*(Table_dim_price_recipe[Retail Price]&lt;&gt;0)*($C940=Table_dim_price_recipe[Subcategory]), 0))*$B940,"")</f>
        <v/>
      </c>
      <c r="K940" s="39" t="str" cm="1">
        <f t="array" ref="K940">IFERROR(INDEX(Table_dim_price_recipe[Retail Price], MATCH(1, ("Calculator"&lt;&gt;Table_dim_price_recipe[Type.display])*($L940=Table_dim_price_recipe[Category])*($D940=Table_dim_price_recipe[Item Description]) * (K$6=Table_dim_price_recipe[Type])*(Table_dim_price_recipe[Retail Price]&lt;&gt;0)*($C940=Table_dim_price_recipe[Subcategory]), 0))*$B940,"")</f>
        <v/>
      </c>
      <c r="L940" s="39" t="str" cm="1">
        <f t="array" ref="L940">IF($A940&lt;&gt;"", $A940, LOOKUP(2, 1/((A$7:INDEX(A:A, ROW()))&lt;&gt;""), A$7:INDEX(A:A, ROW())))</f>
        <v>PAINTING</v>
      </c>
      <c r="M940" s="14"/>
    </row>
    <row r="941" spans="1:13">
      <c r="A941" s="263"/>
      <c r="B941" s="263">
        <v>5</v>
      </c>
      <c r="C941" s="263" t="s">
        <v>1301</v>
      </c>
      <c r="D941" s="263" t="s">
        <v>120</v>
      </c>
      <c r="E941" s="263"/>
      <c r="F941" s="263"/>
      <c r="G941" s="39" t="str" cm="1">
        <f t="array" ref="G941">IFERROR(INDEX(Table_dim_price_recipe[Retail Price], MATCH(1, ("Calculator"&lt;&gt;Table_dim_price_recipe[Type.display])*($L941=Table_dim_price_recipe[Category])*($D941=Table_dim_price_recipe[Item Description]) * (G$6=Table_dim_price_recipe[Type])*(Table_dim_price_recipe[Retail Price]&lt;&gt;0)*($C941=Table_dim_price_recipe[Subcategory]), 0))*$B941,"")</f>
        <v/>
      </c>
      <c r="H941" s="39" cm="1">
        <f t="array" ref="H941">IFERROR(INDEX(Table_dim_price_recipe[Retail Price], MATCH(1, ("Calculator"&lt;&gt;Table_dim_price_recipe[Type.display])*($L941=Table_dim_price_recipe[Category])*($D941=Table_dim_price_recipe[Item Description]) * (H$6=Table_dim_price_recipe[Type])*(Table_dim_price_recipe[Retail Price]&lt;&gt;0)*($C941=Table_dim_price_recipe[Subcategory]), 0))*$B941,"")</f>
        <v>22</v>
      </c>
      <c r="I941" s="39" t="str" cm="1">
        <f t="array" ref="I941">IFERROR(INDEX(Table_dim_price_recipe[Retail Price], MATCH(1, ("Calculator"&lt;&gt;Table_dim_price_recipe[Type.display])*($L941=Table_dim_price_recipe[Category])*($D941=Table_dim_price_recipe[Item Description]) * (I$6=Table_dim_price_recipe[Type])*(Table_dim_price_recipe[Retail Price]&lt;&gt;0)*($C941=Table_dim_price_recipe[Subcategory]), 0))*$B941,"")</f>
        <v/>
      </c>
      <c r="J941" s="39" t="str" cm="1">
        <f t="array" ref="J941">IFERROR(INDEX(Table_dim_price_recipe[Retail Price], MATCH(1, ("Calculator"&lt;&gt;Table_dim_price_recipe[Type.display])*($L941=Table_dim_price_recipe[Category])*($D941=Table_dim_price_recipe[Item Description]) * (J$6=Table_dim_price_recipe[Type])*(Table_dim_price_recipe[Retail Price]&lt;&gt;0)*($C941=Table_dim_price_recipe[Subcategory]), 0))*$B941,"")</f>
        <v/>
      </c>
      <c r="K941" s="39" t="str" cm="1">
        <f t="array" ref="K941">IFERROR(INDEX(Table_dim_price_recipe[Retail Price], MATCH(1, ("Calculator"&lt;&gt;Table_dim_price_recipe[Type.display])*($L941=Table_dim_price_recipe[Category])*($D941=Table_dim_price_recipe[Item Description]) * (K$6=Table_dim_price_recipe[Type])*(Table_dim_price_recipe[Retail Price]&lt;&gt;0)*($C941=Table_dim_price_recipe[Subcategory]), 0))*$B941,"")</f>
        <v/>
      </c>
      <c r="L941" s="39" t="str" cm="1">
        <f t="array" ref="L941">IF($A941&lt;&gt;"", $A941, LOOKUP(2, 1/((A$7:INDEX(A:A, ROW()))&lt;&gt;""), A$7:INDEX(A:A, ROW())))</f>
        <v>PAINTING</v>
      </c>
      <c r="M941" s="14"/>
    </row>
    <row r="942" spans="1:13">
      <c r="A942" s="263"/>
      <c r="B942" s="263">
        <v>1</v>
      </c>
      <c r="C942" s="263" t="s">
        <v>1301</v>
      </c>
      <c r="D942" s="263" t="s">
        <v>1184</v>
      </c>
      <c r="E942" s="263"/>
      <c r="F942" s="263"/>
      <c r="G942" s="39" t="str" cm="1">
        <f t="array" ref="G942">IFERROR(INDEX(Table_dim_price_recipe[Retail Price], MATCH(1, ("Calculator"&lt;&gt;Table_dim_price_recipe[Type.display])*($L942=Table_dim_price_recipe[Category])*($D942=Table_dim_price_recipe[Item Description]) * (G$6=Table_dim_price_recipe[Type])*(Table_dim_price_recipe[Retail Price]&lt;&gt;0)*($C942=Table_dim_price_recipe[Subcategory]), 0))*$B942,"")</f>
        <v/>
      </c>
      <c r="H942" s="39" t="str" cm="1">
        <f t="array" ref="H942">IFERROR(INDEX(Table_dim_price_recipe[Retail Price], MATCH(1, ("Calculator"&lt;&gt;Table_dim_price_recipe[Type.display])*($L942=Table_dim_price_recipe[Category])*($D942=Table_dim_price_recipe[Item Description]) * (H$6=Table_dim_price_recipe[Type])*(Table_dim_price_recipe[Retail Price]&lt;&gt;0)*($C942=Table_dim_price_recipe[Subcategory]), 0))*$B942,"")</f>
        <v/>
      </c>
      <c r="I942" s="39" t="str" cm="1">
        <f t="array" ref="I942">IFERROR(INDEX(Table_dim_price_recipe[Retail Price], MATCH(1, ("Calculator"&lt;&gt;Table_dim_price_recipe[Type.display])*($L942=Table_dim_price_recipe[Category])*($D942=Table_dim_price_recipe[Item Description]) * (I$6=Table_dim_price_recipe[Type])*(Table_dim_price_recipe[Retail Price]&lt;&gt;0)*($C942=Table_dim_price_recipe[Subcategory]), 0))*$B942,"")</f>
        <v/>
      </c>
      <c r="J942" s="39" t="str" cm="1">
        <f t="array" ref="J942">IFERROR(INDEX(Table_dim_price_recipe[Retail Price], MATCH(1, ("Calculator"&lt;&gt;Table_dim_price_recipe[Type.display])*($L942=Table_dim_price_recipe[Category])*($D942=Table_dim_price_recipe[Item Description]) * (J$6=Table_dim_price_recipe[Type])*(Table_dim_price_recipe[Retail Price]&lt;&gt;0)*($C942=Table_dim_price_recipe[Subcategory]), 0))*$B942,"")</f>
        <v/>
      </c>
      <c r="K942" s="39" t="str" cm="1">
        <f t="array" ref="K942">IFERROR(INDEX(Table_dim_price_recipe[Retail Price], MATCH(1, ("Calculator"&lt;&gt;Table_dim_price_recipe[Type.display])*($L942=Table_dim_price_recipe[Category])*($D942=Table_dim_price_recipe[Item Description]) * (K$6=Table_dim_price_recipe[Type])*(Table_dim_price_recipe[Retail Price]&lt;&gt;0)*($C942=Table_dim_price_recipe[Subcategory]), 0))*$B942,"")</f>
        <v/>
      </c>
      <c r="L942" s="39" t="str" cm="1">
        <f t="array" ref="L942">IF($A942&lt;&gt;"", $A942, LOOKUP(2, 1/((A$7:INDEX(A:A, ROW()))&lt;&gt;""), A$7:INDEX(A:A, ROW())))</f>
        <v>PAINTING</v>
      </c>
      <c r="M942" s="14"/>
    </row>
    <row r="943" spans="1:13">
      <c r="A943" s="263"/>
      <c r="B943" s="263">
        <v>1</v>
      </c>
      <c r="C943" s="263" t="s">
        <v>1301</v>
      </c>
      <c r="D943" s="263" t="s">
        <v>1185</v>
      </c>
      <c r="E943" s="263"/>
      <c r="F943" s="263"/>
      <c r="G943" s="39" t="str" cm="1">
        <f t="array" ref="G943">IFERROR(INDEX(Table_dim_price_recipe[Retail Price], MATCH(1, ("Calculator"&lt;&gt;Table_dim_price_recipe[Type.display])*($L943=Table_dim_price_recipe[Category])*($D943=Table_dim_price_recipe[Item Description]) * (G$6=Table_dim_price_recipe[Type])*(Table_dim_price_recipe[Retail Price]&lt;&gt;0)*($C943=Table_dim_price_recipe[Subcategory]), 0))*$B943,"")</f>
        <v/>
      </c>
      <c r="H943" s="39" t="str" cm="1">
        <f t="array" ref="H943">IFERROR(INDEX(Table_dim_price_recipe[Retail Price], MATCH(1, ("Calculator"&lt;&gt;Table_dim_price_recipe[Type.display])*($L943=Table_dim_price_recipe[Category])*($D943=Table_dim_price_recipe[Item Description]) * (H$6=Table_dim_price_recipe[Type])*(Table_dim_price_recipe[Retail Price]&lt;&gt;0)*($C943=Table_dim_price_recipe[Subcategory]), 0))*$B943,"")</f>
        <v/>
      </c>
      <c r="I943" s="39" t="str" cm="1">
        <f t="array" ref="I943">IFERROR(INDEX(Table_dim_price_recipe[Retail Price], MATCH(1, ("Calculator"&lt;&gt;Table_dim_price_recipe[Type.display])*($L943=Table_dim_price_recipe[Category])*($D943=Table_dim_price_recipe[Item Description]) * (I$6=Table_dim_price_recipe[Type])*(Table_dim_price_recipe[Retail Price]&lt;&gt;0)*($C943=Table_dim_price_recipe[Subcategory]), 0))*$B943,"")</f>
        <v/>
      </c>
      <c r="J943" s="39" t="str" cm="1">
        <f t="array" ref="J943">IFERROR(INDEX(Table_dim_price_recipe[Retail Price], MATCH(1, ("Calculator"&lt;&gt;Table_dim_price_recipe[Type.display])*($L943=Table_dim_price_recipe[Category])*($D943=Table_dim_price_recipe[Item Description]) * (J$6=Table_dim_price_recipe[Type])*(Table_dim_price_recipe[Retail Price]&lt;&gt;0)*($C943=Table_dim_price_recipe[Subcategory]), 0))*$B943,"")</f>
        <v/>
      </c>
      <c r="K943" s="39" t="str" cm="1">
        <f t="array" ref="K943">IFERROR(INDEX(Table_dim_price_recipe[Retail Price], MATCH(1, ("Calculator"&lt;&gt;Table_dim_price_recipe[Type.display])*($L943=Table_dim_price_recipe[Category])*($D943=Table_dim_price_recipe[Item Description]) * (K$6=Table_dim_price_recipe[Type])*(Table_dim_price_recipe[Retail Price]&lt;&gt;0)*($C943=Table_dim_price_recipe[Subcategory]), 0))*$B943,"")</f>
        <v/>
      </c>
      <c r="L943" s="39" t="str" cm="1">
        <f t="array" ref="L943">IF($A943&lt;&gt;"", $A943, LOOKUP(2, 1/((A$7:INDEX(A:A, ROW()))&lt;&gt;""), A$7:INDEX(A:A, ROW())))</f>
        <v>PAINTING</v>
      </c>
      <c r="M943" s="14"/>
    </row>
    <row r="944" spans="1:13">
      <c r="A944" s="263"/>
      <c r="B944" s="263">
        <v>1</v>
      </c>
      <c r="C944" s="263" t="s">
        <v>1301</v>
      </c>
      <c r="D944" s="263" t="s">
        <v>1194</v>
      </c>
      <c r="E944" s="263"/>
      <c r="F944" s="263"/>
      <c r="G944" s="39" t="str" cm="1">
        <f t="array" ref="G944">IFERROR(INDEX(Table_dim_price_recipe[Retail Price], MATCH(1, ("Calculator"&lt;&gt;Table_dim_price_recipe[Type.display])*($L944=Table_dim_price_recipe[Category])*($D944=Table_dim_price_recipe[Item Description]) * (G$6=Table_dim_price_recipe[Type])*(Table_dim_price_recipe[Retail Price]&lt;&gt;0)*($C944=Table_dim_price_recipe[Subcategory]), 0))*$B944,"")</f>
        <v/>
      </c>
      <c r="H944" s="39" cm="1">
        <f t="array" ref="H944">IFERROR(INDEX(Table_dim_price_recipe[Retail Price], MATCH(1, ("Calculator"&lt;&gt;Table_dim_price_recipe[Type.display])*($L944=Table_dim_price_recipe[Category])*($D944=Table_dim_price_recipe[Item Description]) * (H$6=Table_dim_price_recipe[Type])*(Table_dim_price_recipe[Retail Price]&lt;&gt;0)*($C944=Table_dim_price_recipe[Subcategory]), 0))*$B944,"")</f>
        <v>176</v>
      </c>
      <c r="I944" s="39" t="str" cm="1">
        <f t="array" ref="I944">IFERROR(INDEX(Table_dim_price_recipe[Retail Price], MATCH(1, ("Calculator"&lt;&gt;Table_dim_price_recipe[Type.display])*($L944=Table_dim_price_recipe[Category])*($D944=Table_dim_price_recipe[Item Description]) * (I$6=Table_dim_price_recipe[Type])*(Table_dim_price_recipe[Retail Price]&lt;&gt;0)*($C944=Table_dim_price_recipe[Subcategory]), 0))*$B944,"")</f>
        <v/>
      </c>
      <c r="J944" s="39" t="str" cm="1">
        <f t="array" ref="J944">IFERROR(INDEX(Table_dim_price_recipe[Retail Price], MATCH(1, ("Calculator"&lt;&gt;Table_dim_price_recipe[Type.display])*($L944=Table_dim_price_recipe[Category])*($D944=Table_dim_price_recipe[Item Description]) * (J$6=Table_dim_price_recipe[Type])*(Table_dim_price_recipe[Retail Price]&lt;&gt;0)*($C944=Table_dim_price_recipe[Subcategory]), 0))*$B944,"")</f>
        <v/>
      </c>
      <c r="K944" s="39" t="str" cm="1">
        <f t="array" ref="K944">IFERROR(INDEX(Table_dim_price_recipe[Retail Price], MATCH(1, ("Calculator"&lt;&gt;Table_dim_price_recipe[Type.display])*($L944=Table_dim_price_recipe[Category])*($D944=Table_dim_price_recipe[Item Description]) * (K$6=Table_dim_price_recipe[Type])*(Table_dim_price_recipe[Retail Price]&lt;&gt;0)*($C944=Table_dim_price_recipe[Subcategory]), 0))*$B944,"")</f>
        <v/>
      </c>
      <c r="L944" s="39" t="str" cm="1">
        <f t="array" ref="L944">IF($A944&lt;&gt;"", $A944, LOOKUP(2, 1/((A$7:INDEX(A:A, ROW()))&lt;&gt;""), A$7:INDEX(A:A, ROW())))</f>
        <v>PAINTING</v>
      </c>
      <c r="M944" s="14"/>
    </row>
    <row r="945" spans="1:13">
      <c r="A945" s="263"/>
      <c r="B945" s="263">
        <v>1</v>
      </c>
      <c r="C945" s="263" t="s">
        <v>1301</v>
      </c>
      <c r="D945" s="263" t="s">
        <v>1196</v>
      </c>
      <c r="E945" s="263"/>
      <c r="F945" s="263"/>
      <c r="G945" s="39" t="str" cm="1">
        <f t="array" ref="G945">IFERROR(INDEX(Table_dim_price_recipe[Retail Price], MATCH(1, ("Calculator"&lt;&gt;Table_dim_price_recipe[Type.display])*($L945=Table_dim_price_recipe[Category])*($D945=Table_dim_price_recipe[Item Description]) * (G$6=Table_dim_price_recipe[Type])*(Table_dim_price_recipe[Retail Price]&lt;&gt;0)*($C945=Table_dim_price_recipe[Subcategory]), 0))*$B945,"")</f>
        <v/>
      </c>
      <c r="H945" s="39" cm="1">
        <f t="array" ref="H945">IFERROR(INDEX(Table_dim_price_recipe[Retail Price], MATCH(1, ("Calculator"&lt;&gt;Table_dim_price_recipe[Type.display])*($L945=Table_dim_price_recipe[Category])*($D945=Table_dim_price_recipe[Item Description]) * (H$6=Table_dim_price_recipe[Type])*(Table_dim_price_recipe[Retail Price]&lt;&gt;0)*($C945=Table_dim_price_recipe[Subcategory]), 0))*$B945,"")</f>
        <v>39.996000000000002</v>
      </c>
      <c r="I945" s="39" t="str" cm="1">
        <f t="array" ref="I945">IFERROR(INDEX(Table_dim_price_recipe[Retail Price], MATCH(1, ("Calculator"&lt;&gt;Table_dim_price_recipe[Type.display])*($L945=Table_dim_price_recipe[Category])*($D945=Table_dim_price_recipe[Item Description]) * (I$6=Table_dim_price_recipe[Type])*(Table_dim_price_recipe[Retail Price]&lt;&gt;0)*($C945=Table_dim_price_recipe[Subcategory]), 0))*$B945,"")</f>
        <v/>
      </c>
      <c r="J945" s="39" t="str" cm="1">
        <f t="array" ref="J945">IFERROR(INDEX(Table_dim_price_recipe[Retail Price], MATCH(1, ("Calculator"&lt;&gt;Table_dim_price_recipe[Type.display])*($L945=Table_dim_price_recipe[Category])*($D945=Table_dim_price_recipe[Item Description]) * (J$6=Table_dim_price_recipe[Type])*(Table_dim_price_recipe[Retail Price]&lt;&gt;0)*($C945=Table_dim_price_recipe[Subcategory]), 0))*$B945,"")</f>
        <v/>
      </c>
      <c r="K945" s="39" t="str" cm="1">
        <f t="array" ref="K945">IFERROR(INDEX(Table_dim_price_recipe[Retail Price], MATCH(1, ("Calculator"&lt;&gt;Table_dim_price_recipe[Type.display])*($L945=Table_dim_price_recipe[Category])*($D945=Table_dim_price_recipe[Item Description]) * (K$6=Table_dim_price_recipe[Type])*(Table_dim_price_recipe[Retail Price]&lt;&gt;0)*($C945=Table_dim_price_recipe[Subcategory]), 0))*$B945,"")</f>
        <v/>
      </c>
      <c r="L945" s="39" t="str" cm="1">
        <f t="array" ref="L945">IF($A945&lt;&gt;"", $A945, LOOKUP(2, 1/((A$7:INDEX(A:A, ROW()))&lt;&gt;""), A$7:INDEX(A:A, ROW())))</f>
        <v>PAINTING</v>
      </c>
      <c r="M945" s="14"/>
    </row>
    <row r="946" spans="1:13">
      <c r="A946" s="263"/>
      <c r="B946" s="263">
        <v>1</v>
      </c>
      <c r="C946" s="263" t="s">
        <v>1301</v>
      </c>
      <c r="D946" s="263" t="s">
        <v>1195</v>
      </c>
      <c r="E946" s="263"/>
      <c r="F946" s="263"/>
      <c r="G946" s="39" t="str" cm="1">
        <f t="array" ref="G946">IFERROR(INDEX(Table_dim_price_recipe[Retail Price], MATCH(1, ("Calculator"&lt;&gt;Table_dim_price_recipe[Type.display])*($L946=Table_dim_price_recipe[Category])*($D946=Table_dim_price_recipe[Item Description]) * (G$6=Table_dim_price_recipe[Type])*(Table_dim_price_recipe[Retail Price]&lt;&gt;0)*($C946=Table_dim_price_recipe[Subcategory]), 0))*$B946,"")</f>
        <v/>
      </c>
      <c r="H946" s="39" cm="1">
        <f t="array" ref="H946">IFERROR(INDEX(Table_dim_price_recipe[Retail Price], MATCH(1, ("Calculator"&lt;&gt;Table_dim_price_recipe[Type.display])*($L946=Table_dim_price_recipe[Category])*($D946=Table_dim_price_recipe[Item Description]) * (H$6=Table_dim_price_recipe[Type])*(Table_dim_price_recipe[Retail Price]&lt;&gt;0)*($C946=Table_dim_price_recipe[Subcategory]), 0))*$B946,"")</f>
        <v>176</v>
      </c>
      <c r="I946" s="39" t="str" cm="1">
        <f t="array" ref="I946">IFERROR(INDEX(Table_dim_price_recipe[Retail Price], MATCH(1, ("Calculator"&lt;&gt;Table_dim_price_recipe[Type.display])*($L946=Table_dim_price_recipe[Category])*($D946=Table_dim_price_recipe[Item Description]) * (I$6=Table_dim_price_recipe[Type])*(Table_dim_price_recipe[Retail Price]&lt;&gt;0)*($C946=Table_dim_price_recipe[Subcategory]), 0))*$B946,"")</f>
        <v/>
      </c>
      <c r="J946" s="39" t="str" cm="1">
        <f t="array" ref="J946">IFERROR(INDEX(Table_dim_price_recipe[Retail Price], MATCH(1, ("Calculator"&lt;&gt;Table_dim_price_recipe[Type.display])*($L946=Table_dim_price_recipe[Category])*($D946=Table_dim_price_recipe[Item Description]) * (J$6=Table_dim_price_recipe[Type])*(Table_dim_price_recipe[Retail Price]&lt;&gt;0)*($C946=Table_dim_price_recipe[Subcategory]), 0))*$B946,"")</f>
        <v/>
      </c>
      <c r="K946" s="39" t="str" cm="1">
        <f t="array" ref="K946">IFERROR(INDEX(Table_dim_price_recipe[Retail Price], MATCH(1, ("Calculator"&lt;&gt;Table_dim_price_recipe[Type.display])*($L946=Table_dim_price_recipe[Category])*($D946=Table_dim_price_recipe[Item Description]) * (K$6=Table_dim_price_recipe[Type])*(Table_dim_price_recipe[Retail Price]&lt;&gt;0)*($C946=Table_dim_price_recipe[Subcategory]), 0))*$B946,"")</f>
        <v/>
      </c>
      <c r="L946" s="39" t="str" cm="1">
        <f t="array" ref="L946">IF($A946&lt;&gt;"", $A946, LOOKUP(2, 1/((A$7:INDEX(A:A, ROW()))&lt;&gt;""), A$7:INDEX(A:A, ROW())))</f>
        <v>PAINTING</v>
      </c>
      <c r="M946" s="14"/>
    </row>
    <row r="947" spans="1:13">
      <c r="A947" s="263"/>
      <c r="B947" s="263">
        <v>1</v>
      </c>
      <c r="C947" s="263" t="s">
        <v>1301</v>
      </c>
      <c r="D947" s="263" t="s">
        <v>121</v>
      </c>
      <c r="E947" s="263"/>
      <c r="F947" s="263"/>
      <c r="G947" s="39" t="str" cm="1">
        <f t="array" ref="G947">IFERROR(INDEX(Table_dim_price_recipe[Retail Price], MATCH(1, ("Calculator"&lt;&gt;Table_dim_price_recipe[Type.display])*($L947=Table_dim_price_recipe[Category])*($D947=Table_dim_price_recipe[Item Description]) * (G$6=Table_dim_price_recipe[Type])*(Table_dim_price_recipe[Retail Price]&lt;&gt;0)*($C947=Table_dim_price_recipe[Subcategory]), 0))*$B947,"")</f>
        <v/>
      </c>
      <c r="H947" s="39" t="str" cm="1">
        <f t="array" ref="H947">IFERROR(INDEX(Table_dim_price_recipe[Retail Price], MATCH(1, ("Calculator"&lt;&gt;Table_dim_price_recipe[Type.display])*($L947=Table_dim_price_recipe[Category])*($D947=Table_dim_price_recipe[Item Description]) * (H$6=Table_dim_price_recipe[Type])*(Table_dim_price_recipe[Retail Price]&lt;&gt;0)*($C947=Table_dim_price_recipe[Subcategory]), 0))*$B947,"")</f>
        <v/>
      </c>
      <c r="I947" s="39" t="str" cm="1">
        <f t="array" ref="I947">IFERROR(INDEX(Table_dim_price_recipe[Retail Price], MATCH(1, ("Calculator"&lt;&gt;Table_dim_price_recipe[Type.display])*($L947=Table_dim_price_recipe[Category])*($D947=Table_dim_price_recipe[Item Description]) * (I$6=Table_dim_price_recipe[Type])*(Table_dim_price_recipe[Retail Price]&lt;&gt;0)*($C947=Table_dim_price_recipe[Subcategory]), 0))*$B947,"")</f>
        <v/>
      </c>
      <c r="J947" s="39" t="str" cm="1">
        <f t="array" ref="J947">IFERROR(INDEX(Table_dim_price_recipe[Retail Price], MATCH(1, ("Calculator"&lt;&gt;Table_dim_price_recipe[Type.display])*($L947=Table_dim_price_recipe[Category])*($D947=Table_dim_price_recipe[Item Description]) * (J$6=Table_dim_price_recipe[Type])*(Table_dim_price_recipe[Retail Price]&lt;&gt;0)*($C947=Table_dim_price_recipe[Subcategory]), 0))*$B947,"")</f>
        <v/>
      </c>
      <c r="K947" s="39" t="str" cm="1">
        <f t="array" ref="K947">IFERROR(INDEX(Table_dim_price_recipe[Retail Price], MATCH(1, ("Calculator"&lt;&gt;Table_dim_price_recipe[Type.display])*($L947=Table_dim_price_recipe[Category])*($D947=Table_dim_price_recipe[Item Description]) * (K$6=Table_dim_price_recipe[Type])*(Table_dim_price_recipe[Retail Price]&lt;&gt;0)*($C947=Table_dim_price_recipe[Subcategory]), 0))*$B947,"")</f>
        <v/>
      </c>
      <c r="L947" s="39" t="str" cm="1">
        <f t="array" ref="L947">IF($A947&lt;&gt;"", $A947, LOOKUP(2, 1/((A$7:INDEX(A:A, ROW()))&lt;&gt;""), A$7:INDEX(A:A, ROW())))</f>
        <v>PAINTING</v>
      </c>
      <c r="M947" s="14"/>
    </row>
    <row r="948" spans="1:13">
      <c r="A948" s="263"/>
      <c r="B948" s="263">
        <v>1</v>
      </c>
      <c r="C948" s="263" t="s">
        <v>1301</v>
      </c>
      <c r="D948" s="263" t="s">
        <v>1183</v>
      </c>
      <c r="E948" s="263"/>
      <c r="F948" s="263"/>
      <c r="G948" s="39" t="str" cm="1">
        <f t="array" ref="G948">IFERROR(INDEX(Table_dim_price_recipe[Retail Price], MATCH(1, ("Calculator"&lt;&gt;Table_dim_price_recipe[Type.display])*($L948=Table_dim_price_recipe[Category])*($D948=Table_dim_price_recipe[Item Description]) * (G$6=Table_dim_price_recipe[Type])*(Table_dim_price_recipe[Retail Price]&lt;&gt;0)*($C948=Table_dim_price_recipe[Subcategory]), 0))*$B948,"")</f>
        <v/>
      </c>
      <c r="H948" s="39" t="str" cm="1">
        <f t="array" ref="H948">IFERROR(INDEX(Table_dim_price_recipe[Retail Price], MATCH(1, ("Calculator"&lt;&gt;Table_dim_price_recipe[Type.display])*($L948=Table_dim_price_recipe[Category])*($D948=Table_dim_price_recipe[Item Description]) * (H$6=Table_dim_price_recipe[Type])*(Table_dim_price_recipe[Retail Price]&lt;&gt;0)*($C948=Table_dim_price_recipe[Subcategory]), 0))*$B948,"")</f>
        <v/>
      </c>
      <c r="I948" s="39" t="str" cm="1">
        <f t="array" ref="I948">IFERROR(INDEX(Table_dim_price_recipe[Retail Price], MATCH(1, ("Calculator"&lt;&gt;Table_dim_price_recipe[Type.display])*($L948=Table_dim_price_recipe[Category])*($D948=Table_dim_price_recipe[Item Description]) * (I$6=Table_dim_price_recipe[Type])*(Table_dim_price_recipe[Retail Price]&lt;&gt;0)*($C948=Table_dim_price_recipe[Subcategory]), 0))*$B948,"")</f>
        <v/>
      </c>
      <c r="J948" s="39" t="str" cm="1">
        <f t="array" ref="J948">IFERROR(INDEX(Table_dim_price_recipe[Retail Price], MATCH(1, ("Calculator"&lt;&gt;Table_dim_price_recipe[Type.display])*($L948=Table_dim_price_recipe[Category])*($D948=Table_dim_price_recipe[Item Description]) * (J$6=Table_dim_price_recipe[Type])*(Table_dim_price_recipe[Retail Price]&lt;&gt;0)*($C948=Table_dim_price_recipe[Subcategory]), 0))*$B948,"")</f>
        <v/>
      </c>
      <c r="K948" s="39" t="str" cm="1">
        <f t="array" ref="K948">IFERROR(INDEX(Table_dim_price_recipe[Retail Price], MATCH(1, ("Calculator"&lt;&gt;Table_dim_price_recipe[Type.display])*($L948=Table_dim_price_recipe[Category])*($D948=Table_dim_price_recipe[Item Description]) * (K$6=Table_dim_price_recipe[Type])*(Table_dim_price_recipe[Retail Price]&lt;&gt;0)*($C948=Table_dim_price_recipe[Subcategory]), 0))*$B948,"")</f>
        <v/>
      </c>
      <c r="L948" s="39" t="str" cm="1">
        <f t="array" ref="L948">IF($A948&lt;&gt;"", $A948, LOOKUP(2, 1/((A$7:INDEX(A:A, ROW()))&lt;&gt;""), A$7:INDEX(A:A, ROW())))</f>
        <v>PAINTING</v>
      </c>
      <c r="M948" s="14"/>
    </row>
    <row r="949" spans="1:13">
      <c r="A949" s="263"/>
      <c r="B949" s="263">
        <v>1</v>
      </c>
      <c r="C949" s="263" t="s">
        <v>1301</v>
      </c>
      <c r="D949" s="263" t="s">
        <v>1188</v>
      </c>
      <c r="E949" s="263"/>
      <c r="F949" s="263"/>
      <c r="G949" s="39" t="str" cm="1">
        <f t="array" ref="G949">IFERROR(INDEX(Table_dim_price_recipe[Retail Price], MATCH(1, ("Calculator"&lt;&gt;Table_dim_price_recipe[Type.display])*($L949=Table_dim_price_recipe[Category])*($D949=Table_dim_price_recipe[Item Description]) * (G$6=Table_dim_price_recipe[Type])*(Table_dim_price_recipe[Retail Price]&lt;&gt;0)*($C949=Table_dim_price_recipe[Subcategory]), 0))*$B949,"")</f>
        <v/>
      </c>
      <c r="H949" s="39" t="str" cm="1">
        <f t="array" ref="H949">IFERROR(INDEX(Table_dim_price_recipe[Retail Price], MATCH(1, ("Calculator"&lt;&gt;Table_dim_price_recipe[Type.display])*($L949=Table_dim_price_recipe[Category])*($D949=Table_dim_price_recipe[Item Description]) * (H$6=Table_dim_price_recipe[Type])*(Table_dim_price_recipe[Retail Price]&lt;&gt;0)*($C949=Table_dim_price_recipe[Subcategory]), 0))*$B949,"")</f>
        <v/>
      </c>
      <c r="I949" s="39" t="str" cm="1">
        <f t="array" ref="I949">IFERROR(INDEX(Table_dim_price_recipe[Retail Price], MATCH(1, ("Calculator"&lt;&gt;Table_dim_price_recipe[Type.display])*($L949=Table_dim_price_recipe[Category])*($D949=Table_dim_price_recipe[Item Description]) * (I$6=Table_dim_price_recipe[Type])*(Table_dim_price_recipe[Retail Price]&lt;&gt;0)*($C949=Table_dim_price_recipe[Subcategory]), 0))*$B949,"")</f>
        <v/>
      </c>
      <c r="J949" s="39" t="str" cm="1">
        <f t="array" ref="J949">IFERROR(INDEX(Table_dim_price_recipe[Retail Price], MATCH(1, ("Calculator"&lt;&gt;Table_dim_price_recipe[Type.display])*($L949=Table_dim_price_recipe[Category])*($D949=Table_dim_price_recipe[Item Description]) * (J$6=Table_dim_price_recipe[Type])*(Table_dim_price_recipe[Retail Price]&lt;&gt;0)*($C949=Table_dim_price_recipe[Subcategory]), 0))*$B949,"")</f>
        <v/>
      </c>
      <c r="K949" s="39" t="str" cm="1">
        <f t="array" ref="K949">IFERROR(INDEX(Table_dim_price_recipe[Retail Price], MATCH(1, ("Calculator"&lt;&gt;Table_dim_price_recipe[Type.display])*($L949=Table_dim_price_recipe[Category])*($D949=Table_dim_price_recipe[Item Description]) * (K$6=Table_dim_price_recipe[Type])*(Table_dim_price_recipe[Retail Price]&lt;&gt;0)*($C949=Table_dim_price_recipe[Subcategory]), 0))*$B949,"")</f>
        <v/>
      </c>
      <c r="L949" s="39" t="str" cm="1">
        <f t="array" ref="L949">IF($A949&lt;&gt;"", $A949, LOOKUP(2, 1/((A$7:INDEX(A:A, ROW()))&lt;&gt;""), A$7:INDEX(A:A, ROW())))</f>
        <v>PAINTING</v>
      </c>
      <c r="M949" s="14"/>
    </row>
    <row r="950" spans="1:13">
      <c r="A950" s="263"/>
      <c r="B950" s="263">
        <v>1</v>
      </c>
      <c r="C950" s="263" t="s">
        <v>1301</v>
      </c>
      <c r="D950" s="263" t="s">
        <v>1192</v>
      </c>
      <c r="E950" s="263"/>
      <c r="F950" s="263"/>
      <c r="G950" s="39" t="str" cm="1">
        <f t="array" ref="G950">IFERROR(INDEX(Table_dim_price_recipe[Retail Price], MATCH(1, ("Calculator"&lt;&gt;Table_dim_price_recipe[Type.display])*($L950=Table_dim_price_recipe[Category])*($D950=Table_dim_price_recipe[Item Description]) * (G$6=Table_dim_price_recipe[Type])*(Table_dim_price_recipe[Retail Price]&lt;&gt;0)*($C950=Table_dim_price_recipe[Subcategory]), 0))*$B950,"")</f>
        <v/>
      </c>
      <c r="H950" s="39" cm="1">
        <f t="array" ref="H950">IFERROR(INDEX(Table_dim_price_recipe[Retail Price], MATCH(1, ("Calculator"&lt;&gt;Table_dim_price_recipe[Type.display])*($L950=Table_dim_price_recipe[Category])*($D950=Table_dim_price_recipe[Item Description]) * (H$6=Table_dim_price_recipe[Type])*(Table_dim_price_recipe[Retail Price]&lt;&gt;0)*($C950=Table_dim_price_recipe[Subcategory]), 0))*$B950,"")</f>
        <v>13.2</v>
      </c>
      <c r="I950" s="39" t="str" cm="1">
        <f t="array" ref="I950">IFERROR(INDEX(Table_dim_price_recipe[Retail Price], MATCH(1, ("Calculator"&lt;&gt;Table_dim_price_recipe[Type.display])*($L950=Table_dim_price_recipe[Category])*($D950=Table_dim_price_recipe[Item Description]) * (I$6=Table_dim_price_recipe[Type])*(Table_dim_price_recipe[Retail Price]&lt;&gt;0)*($C950=Table_dim_price_recipe[Subcategory]), 0))*$B950,"")</f>
        <v/>
      </c>
      <c r="J950" s="39" t="str" cm="1">
        <f t="array" ref="J950">IFERROR(INDEX(Table_dim_price_recipe[Retail Price], MATCH(1, ("Calculator"&lt;&gt;Table_dim_price_recipe[Type.display])*($L950=Table_dim_price_recipe[Category])*($D950=Table_dim_price_recipe[Item Description]) * (J$6=Table_dim_price_recipe[Type])*(Table_dim_price_recipe[Retail Price]&lt;&gt;0)*($C950=Table_dim_price_recipe[Subcategory]), 0))*$B950,"")</f>
        <v/>
      </c>
      <c r="K950" s="39" t="str" cm="1">
        <f t="array" ref="K950">IFERROR(INDEX(Table_dim_price_recipe[Retail Price], MATCH(1, ("Calculator"&lt;&gt;Table_dim_price_recipe[Type.display])*($L950=Table_dim_price_recipe[Category])*($D950=Table_dim_price_recipe[Item Description]) * (K$6=Table_dim_price_recipe[Type])*(Table_dim_price_recipe[Retail Price]&lt;&gt;0)*($C950=Table_dim_price_recipe[Subcategory]), 0))*$B950,"")</f>
        <v/>
      </c>
      <c r="L950" s="39" t="str" cm="1">
        <f t="array" ref="L950">IF($A950&lt;&gt;"", $A950, LOOKUP(2, 1/((A$7:INDEX(A:A, ROW()))&lt;&gt;""), A$7:INDEX(A:A, ROW())))</f>
        <v>PAINTING</v>
      </c>
      <c r="M950" s="14"/>
    </row>
    <row r="951" spans="1:13">
      <c r="A951" s="263"/>
      <c r="B951" s="263">
        <v>1</v>
      </c>
      <c r="C951" s="263" t="s">
        <v>1301</v>
      </c>
      <c r="D951" s="263" t="s">
        <v>1193</v>
      </c>
      <c r="E951" s="263"/>
      <c r="F951" s="263"/>
      <c r="G951" s="39" t="str" cm="1">
        <f t="array" ref="G951">IFERROR(INDEX(Table_dim_price_recipe[Retail Price], MATCH(1, ("Calculator"&lt;&gt;Table_dim_price_recipe[Type.display])*($L951=Table_dim_price_recipe[Category])*($D951=Table_dim_price_recipe[Item Description]) * (G$6=Table_dim_price_recipe[Type])*(Table_dim_price_recipe[Retail Price]&lt;&gt;0)*($C951=Table_dim_price_recipe[Subcategory]), 0))*$B951,"")</f>
        <v/>
      </c>
      <c r="H951" s="39" cm="1">
        <f t="array" ref="H951">IFERROR(INDEX(Table_dim_price_recipe[Retail Price], MATCH(1, ("Calculator"&lt;&gt;Table_dim_price_recipe[Type.display])*($L951=Table_dim_price_recipe[Category])*($D951=Table_dim_price_recipe[Item Description]) * (H$6=Table_dim_price_recipe[Type])*(Table_dim_price_recipe[Retail Price]&lt;&gt;0)*($C951=Table_dim_price_recipe[Subcategory]), 0))*$B951,"")</f>
        <v>176</v>
      </c>
      <c r="I951" s="39" t="str" cm="1">
        <f t="array" ref="I951">IFERROR(INDEX(Table_dim_price_recipe[Retail Price], MATCH(1, ("Calculator"&lt;&gt;Table_dim_price_recipe[Type.display])*($L951=Table_dim_price_recipe[Category])*($D951=Table_dim_price_recipe[Item Description]) * (I$6=Table_dim_price_recipe[Type])*(Table_dim_price_recipe[Retail Price]&lt;&gt;0)*($C951=Table_dim_price_recipe[Subcategory]), 0))*$B951,"")</f>
        <v/>
      </c>
      <c r="J951" s="39" t="str" cm="1">
        <f t="array" ref="J951">IFERROR(INDEX(Table_dim_price_recipe[Retail Price], MATCH(1, ("Calculator"&lt;&gt;Table_dim_price_recipe[Type.display])*($L951=Table_dim_price_recipe[Category])*($D951=Table_dim_price_recipe[Item Description]) * (J$6=Table_dim_price_recipe[Type])*(Table_dim_price_recipe[Retail Price]&lt;&gt;0)*($C951=Table_dim_price_recipe[Subcategory]), 0))*$B951,"")</f>
        <v/>
      </c>
      <c r="K951" s="39" t="str" cm="1">
        <f t="array" ref="K951">IFERROR(INDEX(Table_dim_price_recipe[Retail Price], MATCH(1, ("Calculator"&lt;&gt;Table_dim_price_recipe[Type.display])*($L951=Table_dim_price_recipe[Category])*($D951=Table_dim_price_recipe[Item Description]) * (K$6=Table_dim_price_recipe[Type])*(Table_dim_price_recipe[Retail Price]&lt;&gt;0)*($C951=Table_dim_price_recipe[Subcategory]), 0))*$B951,"")</f>
        <v/>
      </c>
      <c r="L951" s="39" t="str" cm="1">
        <f t="array" ref="L951">IF($A951&lt;&gt;"", $A951, LOOKUP(2, 1/((A$7:INDEX(A:A, ROW()))&lt;&gt;""), A$7:INDEX(A:A, ROW())))</f>
        <v>PAINTING</v>
      </c>
      <c r="M951" s="14"/>
    </row>
    <row r="952" spans="1:13">
      <c r="A952" s="263"/>
      <c r="B952" s="263">
        <v>1</v>
      </c>
      <c r="C952" s="263" t="s">
        <v>1301</v>
      </c>
      <c r="D952" s="263" t="s">
        <v>1191</v>
      </c>
      <c r="E952" s="263"/>
      <c r="F952" s="263"/>
      <c r="G952" s="39" t="str" cm="1">
        <f t="array" ref="G952">IFERROR(INDEX(Table_dim_price_recipe[Retail Price], MATCH(1, ("Calculator"&lt;&gt;Table_dim_price_recipe[Type.display])*($L952=Table_dim_price_recipe[Category])*($D952=Table_dim_price_recipe[Item Description]) * (G$6=Table_dim_price_recipe[Type])*(Table_dim_price_recipe[Retail Price]&lt;&gt;0)*($C952=Table_dim_price_recipe[Subcategory]), 0))*$B952,"")</f>
        <v/>
      </c>
      <c r="H952" s="39" cm="1">
        <f t="array" ref="H952">IFERROR(INDEX(Table_dim_price_recipe[Retail Price], MATCH(1, ("Calculator"&lt;&gt;Table_dim_price_recipe[Type.display])*($L952=Table_dim_price_recipe[Category])*($D952=Table_dim_price_recipe[Item Description]) * (H$6=Table_dim_price_recipe[Type])*(Table_dim_price_recipe[Retail Price]&lt;&gt;0)*($C952=Table_dim_price_recipe[Subcategory]), 0))*$B952,"")</f>
        <v>29.333300000000001</v>
      </c>
      <c r="I952" s="39" t="str" cm="1">
        <f t="array" ref="I952">IFERROR(INDEX(Table_dim_price_recipe[Retail Price], MATCH(1, ("Calculator"&lt;&gt;Table_dim_price_recipe[Type.display])*($L952=Table_dim_price_recipe[Category])*($D952=Table_dim_price_recipe[Item Description]) * (I$6=Table_dim_price_recipe[Type])*(Table_dim_price_recipe[Retail Price]&lt;&gt;0)*($C952=Table_dim_price_recipe[Subcategory]), 0))*$B952,"")</f>
        <v/>
      </c>
      <c r="J952" s="39" t="str" cm="1">
        <f t="array" ref="J952">IFERROR(INDEX(Table_dim_price_recipe[Retail Price], MATCH(1, ("Calculator"&lt;&gt;Table_dim_price_recipe[Type.display])*($L952=Table_dim_price_recipe[Category])*($D952=Table_dim_price_recipe[Item Description]) * (J$6=Table_dim_price_recipe[Type])*(Table_dim_price_recipe[Retail Price]&lt;&gt;0)*($C952=Table_dim_price_recipe[Subcategory]), 0))*$B952,"")</f>
        <v/>
      </c>
      <c r="K952" s="39" t="str" cm="1">
        <f t="array" ref="K952">IFERROR(INDEX(Table_dim_price_recipe[Retail Price], MATCH(1, ("Calculator"&lt;&gt;Table_dim_price_recipe[Type.display])*($L952=Table_dim_price_recipe[Category])*($D952=Table_dim_price_recipe[Item Description]) * (K$6=Table_dim_price_recipe[Type])*(Table_dim_price_recipe[Retail Price]&lt;&gt;0)*($C952=Table_dim_price_recipe[Subcategory]), 0))*$B952,"")</f>
        <v/>
      </c>
      <c r="L952" s="39" t="str" cm="1">
        <f t="array" ref="L952">IF($A952&lt;&gt;"", $A952, LOOKUP(2, 1/((A$7:INDEX(A:A, ROW()))&lt;&gt;""), A$7:INDEX(A:A, ROW())))</f>
        <v>PAINTING</v>
      </c>
      <c r="M952" s="14"/>
    </row>
    <row r="953" spans="1:13">
      <c r="A953" s="263"/>
      <c r="B953" s="263"/>
      <c r="C953" s="263" t="s">
        <v>1301</v>
      </c>
      <c r="D953" s="263"/>
      <c r="E953" s="263"/>
      <c r="F953" s="263"/>
      <c r="G953" s="39" t="str" cm="1">
        <f t="array" ref="G953">IFERROR(INDEX(Table_dim_price_recipe[Retail Price], MATCH(1, ("Calculator"&lt;&gt;Table_dim_price_recipe[Type.display])*($L953=Table_dim_price_recipe[Category])*($D953=Table_dim_price_recipe[Item Description]) * (G$6=Table_dim_price_recipe[Type])*(Table_dim_price_recipe[Retail Price]&lt;&gt;0)*($C953=Table_dim_price_recipe[Subcategory]), 0))*$B953,"")</f>
        <v/>
      </c>
      <c r="H953" s="39" t="str" cm="1">
        <f t="array" ref="H953">IFERROR(INDEX(Table_dim_price_recipe[Retail Price], MATCH(1, ("Calculator"&lt;&gt;Table_dim_price_recipe[Type.display])*($L953=Table_dim_price_recipe[Category])*($D953=Table_dim_price_recipe[Item Description]) * (H$6=Table_dim_price_recipe[Type])*(Table_dim_price_recipe[Retail Price]&lt;&gt;0)*($C953=Table_dim_price_recipe[Subcategory]), 0))*$B953,"")</f>
        <v/>
      </c>
      <c r="I953" s="39" t="str" cm="1">
        <f t="array" ref="I953">IFERROR(INDEX(Table_dim_price_recipe[Retail Price], MATCH(1, ("Calculator"&lt;&gt;Table_dim_price_recipe[Type.display])*($L953=Table_dim_price_recipe[Category])*($D953=Table_dim_price_recipe[Item Description]) * (I$6=Table_dim_price_recipe[Type])*(Table_dim_price_recipe[Retail Price]&lt;&gt;0)*($C953=Table_dim_price_recipe[Subcategory]), 0))*$B953,"")</f>
        <v/>
      </c>
      <c r="J953" s="39" t="str" cm="1">
        <f t="array" ref="J953">IFERROR(INDEX(Table_dim_price_recipe[Retail Price], MATCH(1, ("Calculator"&lt;&gt;Table_dim_price_recipe[Type.display])*($L953=Table_dim_price_recipe[Category])*($D953=Table_dim_price_recipe[Item Description]) * (J$6=Table_dim_price_recipe[Type])*(Table_dim_price_recipe[Retail Price]&lt;&gt;0)*($C953=Table_dim_price_recipe[Subcategory]), 0))*$B953,"")</f>
        <v/>
      </c>
      <c r="K953" s="39" t="str" cm="1">
        <f t="array" ref="K953">IFERROR(INDEX(Table_dim_price_recipe[Retail Price], MATCH(1, ("Calculator"&lt;&gt;Table_dim_price_recipe[Type.display])*($L953=Table_dim_price_recipe[Category])*($D953=Table_dim_price_recipe[Item Description]) * (K$6=Table_dim_price_recipe[Type])*(Table_dim_price_recipe[Retail Price]&lt;&gt;0)*($C953=Table_dim_price_recipe[Subcategory]), 0))*$B953,"")</f>
        <v/>
      </c>
      <c r="L953" s="39" t="str" cm="1">
        <f t="array" ref="L953">IF($A953&lt;&gt;"", $A953, LOOKUP(2, 1/((A$7:INDEX(A:A, ROW()))&lt;&gt;""), A$7:INDEX(A:A, ROW())))</f>
        <v>PAINTING</v>
      </c>
      <c r="M953" s="14"/>
    </row>
    <row r="954" spans="1:13">
      <c r="A954" s="263"/>
      <c r="B954" s="263"/>
      <c r="C954" s="263" t="s">
        <v>1301</v>
      </c>
      <c r="D954" s="263"/>
      <c r="E954" s="263"/>
      <c r="F954" s="263"/>
      <c r="G954" s="39" t="str" cm="1">
        <f t="array" ref="G954">IFERROR(INDEX(Table_dim_price_recipe[Retail Price], MATCH(1, ("Calculator"&lt;&gt;Table_dim_price_recipe[Type.display])*($L954=Table_dim_price_recipe[Category])*($D954=Table_dim_price_recipe[Item Description]) * (G$6=Table_dim_price_recipe[Type])*(Table_dim_price_recipe[Retail Price]&lt;&gt;0)*($C954=Table_dim_price_recipe[Subcategory]), 0))*$B954,"")</f>
        <v/>
      </c>
      <c r="H954" s="39" t="str" cm="1">
        <f t="array" ref="H954">IFERROR(INDEX(Table_dim_price_recipe[Retail Price], MATCH(1, ("Calculator"&lt;&gt;Table_dim_price_recipe[Type.display])*($L954=Table_dim_price_recipe[Category])*($D954=Table_dim_price_recipe[Item Description]) * (H$6=Table_dim_price_recipe[Type])*(Table_dim_price_recipe[Retail Price]&lt;&gt;0)*($C954=Table_dim_price_recipe[Subcategory]), 0))*$B954,"")</f>
        <v/>
      </c>
      <c r="I954" s="39" t="str" cm="1">
        <f t="array" ref="I954">IFERROR(INDEX(Table_dim_price_recipe[Retail Price], MATCH(1, ("Calculator"&lt;&gt;Table_dim_price_recipe[Type.display])*($L954=Table_dim_price_recipe[Category])*($D954=Table_dim_price_recipe[Item Description]) * (I$6=Table_dim_price_recipe[Type])*(Table_dim_price_recipe[Retail Price]&lt;&gt;0)*($C954=Table_dim_price_recipe[Subcategory]), 0))*$B954,"")</f>
        <v/>
      </c>
      <c r="J954" s="39" t="str" cm="1">
        <f t="array" ref="J954">IFERROR(INDEX(Table_dim_price_recipe[Retail Price], MATCH(1, ("Calculator"&lt;&gt;Table_dim_price_recipe[Type.display])*($L954=Table_dim_price_recipe[Category])*($D954=Table_dim_price_recipe[Item Description]) * (J$6=Table_dim_price_recipe[Type])*(Table_dim_price_recipe[Retail Price]&lt;&gt;0)*($C954=Table_dim_price_recipe[Subcategory]), 0))*$B954,"")</f>
        <v/>
      </c>
      <c r="K954" s="39" t="str" cm="1">
        <f t="array" ref="K954">IFERROR(INDEX(Table_dim_price_recipe[Retail Price], MATCH(1, ("Calculator"&lt;&gt;Table_dim_price_recipe[Type.display])*($L954=Table_dim_price_recipe[Category])*($D954=Table_dim_price_recipe[Item Description]) * (K$6=Table_dim_price_recipe[Type])*(Table_dim_price_recipe[Retail Price]&lt;&gt;0)*($C954=Table_dim_price_recipe[Subcategory]), 0))*$B954,"")</f>
        <v/>
      </c>
      <c r="L954" s="39" t="str" cm="1">
        <f t="array" ref="L954">IF($A954&lt;&gt;"", $A954, LOOKUP(2, 1/((A$7:INDEX(A:A, ROW()))&lt;&gt;""), A$7:INDEX(A:A, ROW())))</f>
        <v>PAINTING</v>
      </c>
      <c r="M954" s="14"/>
    </row>
    <row r="955" spans="1:13">
      <c r="A955" s="263"/>
      <c r="B955" s="263"/>
      <c r="C955" s="263" t="s">
        <v>629</v>
      </c>
      <c r="D955" s="263" t="s">
        <v>633</v>
      </c>
      <c r="E955" s="263"/>
      <c r="F955" s="263"/>
      <c r="G955" s="39" t="str" cm="1">
        <f t="array" ref="G955">IFERROR(INDEX(Table_dim_price_recipe[Retail Price], MATCH(1, ("Calculator"&lt;&gt;Table_dim_price_recipe[Type.display])*($L955=Table_dim_price_recipe[Category])*($D955=Table_dim_price_recipe[Item Description]) * (G$6=Table_dim_price_recipe[Type])*(Table_dim_price_recipe[Retail Price]&lt;&gt;0)*($C955=Table_dim_price_recipe[Subcategory]), 0))*$B955,"")</f>
        <v/>
      </c>
      <c r="H955" s="39" t="str" cm="1">
        <f t="array" ref="H955">IFERROR(INDEX(Table_dim_price_recipe[Retail Price], MATCH(1, ("Calculator"&lt;&gt;Table_dim_price_recipe[Type.display])*($L955=Table_dim_price_recipe[Category])*($D955=Table_dim_price_recipe[Item Description]) * (H$6=Table_dim_price_recipe[Type])*(Table_dim_price_recipe[Retail Price]&lt;&gt;0)*($C955=Table_dim_price_recipe[Subcategory]), 0))*$B955,"")</f>
        <v/>
      </c>
      <c r="I955" s="39" t="str" cm="1">
        <f t="array" ref="I955">IFERROR(INDEX(Table_dim_price_recipe[Retail Price], MATCH(1, ("Calculator"&lt;&gt;Table_dim_price_recipe[Type.display])*($L955=Table_dim_price_recipe[Category])*($D955=Table_dim_price_recipe[Item Description]) * (I$6=Table_dim_price_recipe[Type])*(Table_dim_price_recipe[Retail Price]&lt;&gt;0)*($C955=Table_dim_price_recipe[Subcategory]), 0))*$B955,"")</f>
        <v/>
      </c>
      <c r="J955" s="39" t="str" cm="1">
        <f t="array" ref="J955">IFERROR(INDEX(Table_dim_price_recipe[Retail Price], MATCH(1, ("Calculator"&lt;&gt;Table_dim_price_recipe[Type.display])*($L955=Table_dim_price_recipe[Category])*($D955=Table_dim_price_recipe[Item Description]) * (J$6=Table_dim_price_recipe[Type])*(Table_dim_price_recipe[Retail Price]&lt;&gt;0)*($C955=Table_dim_price_recipe[Subcategory]), 0))*$B955,"")</f>
        <v/>
      </c>
      <c r="K955" s="39" t="str" cm="1">
        <f t="array" ref="K955">IFERROR(INDEX(Table_dim_price_recipe[Retail Price], MATCH(1, ("Calculator"&lt;&gt;Table_dim_price_recipe[Type.display])*($L955=Table_dim_price_recipe[Category])*($D955=Table_dim_price_recipe[Item Description]) * (K$6=Table_dim_price_recipe[Type])*(Table_dim_price_recipe[Retail Price]&lt;&gt;0)*($C955=Table_dim_price_recipe[Subcategory]), 0))*$B955,"")</f>
        <v/>
      </c>
      <c r="L955" s="39" t="str" cm="1">
        <f t="array" ref="L955">IF($A955&lt;&gt;"", $A955, LOOKUP(2, 1/((A$7:INDEX(A:A, ROW()))&lt;&gt;""), A$7:INDEX(A:A, ROW())))</f>
        <v>PAINTING</v>
      </c>
      <c r="M955" s="14"/>
    </row>
    <row r="956" spans="1:13">
      <c r="A956" s="263"/>
      <c r="B956" s="263"/>
      <c r="C956" s="263" t="s">
        <v>629</v>
      </c>
      <c r="D956" s="263" t="s">
        <v>632</v>
      </c>
      <c r="E956" s="263"/>
      <c r="F956" s="263"/>
      <c r="G956" s="39" t="str" cm="1">
        <f t="array" ref="G956">IFERROR(INDEX(Table_dim_price_recipe[Retail Price], MATCH(1, ("Calculator"&lt;&gt;Table_dim_price_recipe[Type.display])*($L956=Table_dim_price_recipe[Category])*($D956=Table_dim_price_recipe[Item Description]) * (G$6=Table_dim_price_recipe[Type])*(Table_dim_price_recipe[Retail Price]&lt;&gt;0)*($C956=Table_dim_price_recipe[Subcategory]), 0))*$B956,"")</f>
        <v/>
      </c>
      <c r="H956" s="39" t="str" cm="1">
        <f t="array" ref="H956">IFERROR(INDEX(Table_dim_price_recipe[Retail Price], MATCH(1, ("Calculator"&lt;&gt;Table_dim_price_recipe[Type.display])*($L956=Table_dim_price_recipe[Category])*($D956=Table_dim_price_recipe[Item Description]) * (H$6=Table_dim_price_recipe[Type])*(Table_dim_price_recipe[Retail Price]&lt;&gt;0)*($C956=Table_dim_price_recipe[Subcategory]), 0))*$B956,"")</f>
        <v/>
      </c>
      <c r="I956" s="39" t="str" cm="1">
        <f t="array" ref="I956">IFERROR(INDEX(Table_dim_price_recipe[Retail Price], MATCH(1, ("Calculator"&lt;&gt;Table_dim_price_recipe[Type.display])*($L956=Table_dim_price_recipe[Category])*($D956=Table_dim_price_recipe[Item Description]) * (I$6=Table_dim_price_recipe[Type])*(Table_dim_price_recipe[Retail Price]&lt;&gt;0)*($C956=Table_dim_price_recipe[Subcategory]), 0))*$B956,"")</f>
        <v/>
      </c>
      <c r="J956" s="39" t="str" cm="1">
        <f t="array" ref="J956">IFERROR(INDEX(Table_dim_price_recipe[Retail Price], MATCH(1, ("Calculator"&lt;&gt;Table_dim_price_recipe[Type.display])*($L956=Table_dim_price_recipe[Category])*($D956=Table_dim_price_recipe[Item Description]) * (J$6=Table_dim_price_recipe[Type])*(Table_dim_price_recipe[Retail Price]&lt;&gt;0)*($C956=Table_dim_price_recipe[Subcategory]), 0))*$B956,"")</f>
        <v/>
      </c>
      <c r="K956" s="39" t="str" cm="1">
        <f t="array" ref="K956">IFERROR(INDEX(Table_dim_price_recipe[Retail Price], MATCH(1, ("Calculator"&lt;&gt;Table_dim_price_recipe[Type.display])*($L956=Table_dim_price_recipe[Category])*($D956=Table_dim_price_recipe[Item Description]) * (K$6=Table_dim_price_recipe[Type])*(Table_dim_price_recipe[Retail Price]&lt;&gt;0)*($C956=Table_dim_price_recipe[Subcategory]), 0))*$B956,"")</f>
        <v/>
      </c>
      <c r="L956" s="39" t="str" cm="1">
        <f t="array" ref="L956">IF($A956&lt;&gt;"", $A956, LOOKUP(2, 1/((A$7:INDEX(A:A, ROW()))&lt;&gt;""), A$7:INDEX(A:A, ROW())))</f>
        <v>PAINTING</v>
      </c>
      <c r="M956" s="14"/>
    </row>
    <row r="957" spans="1:13">
      <c r="A957" s="263"/>
      <c r="B957" s="263"/>
      <c r="C957" s="263" t="s">
        <v>629</v>
      </c>
      <c r="D957" s="263" t="s">
        <v>631</v>
      </c>
      <c r="E957" s="263"/>
      <c r="F957" s="263"/>
      <c r="G957" s="39" t="str" cm="1">
        <f t="array" ref="G957">IFERROR(INDEX(Table_dim_price_recipe[Retail Price], MATCH(1, ("Calculator"&lt;&gt;Table_dim_price_recipe[Type.display])*($L957=Table_dim_price_recipe[Category])*($D957=Table_dim_price_recipe[Item Description]) * (G$6=Table_dim_price_recipe[Type])*(Table_dim_price_recipe[Retail Price]&lt;&gt;0)*($C957=Table_dim_price_recipe[Subcategory]), 0))*$B957,"")</f>
        <v/>
      </c>
      <c r="H957" s="39" t="str" cm="1">
        <f t="array" ref="H957">IFERROR(INDEX(Table_dim_price_recipe[Retail Price], MATCH(1, ("Calculator"&lt;&gt;Table_dim_price_recipe[Type.display])*($L957=Table_dim_price_recipe[Category])*($D957=Table_dim_price_recipe[Item Description]) * (H$6=Table_dim_price_recipe[Type])*(Table_dim_price_recipe[Retail Price]&lt;&gt;0)*($C957=Table_dim_price_recipe[Subcategory]), 0))*$B957,"")</f>
        <v/>
      </c>
      <c r="I957" s="39" t="str" cm="1">
        <f t="array" ref="I957">IFERROR(INDEX(Table_dim_price_recipe[Retail Price], MATCH(1, ("Calculator"&lt;&gt;Table_dim_price_recipe[Type.display])*($L957=Table_dim_price_recipe[Category])*($D957=Table_dim_price_recipe[Item Description]) * (I$6=Table_dim_price_recipe[Type])*(Table_dim_price_recipe[Retail Price]&lt;&gt;0)*($C957=Table_dim_price_recipe[Subcategory]), 0))*$B957,"")</f>
        <v/>
      </c>
      <c r="J957" s="39" t="str" cm="1">
        <f t="array" ref="J957">IFERROR(INDEX(Table_dim_price_recipe[Retail Price], MATCH(1, ("Calculator"&lt;&gt;Table_dim_price_recipe[Type.display])*($L957=Table_dim_price_recipe[Category])*($D957=Table_dim_price_recipe[Item Description]) * (J$6=Table_dim_price_recipe[Type])*(Table_dim_price_recipe[Retail Price]&lt;&gt;0)*($C957=Table_dim_price_recipe[Subcategory]), 0))*$B957,"")</f>
        <v/>
      </c>
      <c r="K957" s="39" t="str" cm="1">
        <f t="array" ref="K957">IFERROR(INDEX(Table_dim_price_recipe[Retail Price], MATCH(1, ("Calculator"&lt;&gt;Table_dim_price_recipe[Type.display])*($L957=Table_dim_price_recipe[Category])*($D957=Table_dim_price_recipe[Item Description]) * (K$6=Table_dim_price_recipe[Type])*(Table_dim_price_recipe[Retail Price]&lt;&gt;0)*($C957=Table_dim_price_recipe[Subcategory]), 0))*$B957,"")</f>
        <v/>
      </c>
      <c r="L957" s="39" t="str" cm="1">
        <f t="array" ref="L957">IF($A957&lt;&gt;"", $A957, LOOKUP(2, 1/((A$7:INDEX(A:A, ROW()))&lt;&gt;""), A$7:INDEX(A:A, ROW())))</f>
        <v>PAINTING</v>
      </c>
      <c r="M957" s="14"/>
    </row>
    <row r="958" spans="1:13">
      <c r="A958" s="263"/>
      <c r="B958" s="263"/>
      <c r="C958" s="263" t="s">
        <v>629</v>
      </c>
      <c r="D958" s="263" t="s">
        <v>630</v>
      </c>
      <c r="E958" s="263"/>
      <c r="F958" s="263"/>
      <c r="G958" s="39" cm="1">
        <f t="array" ref="G958">IFERROR(INDEX(Table_dim_price_recipe[Retail Price], MATCH(1, ("Calculator"&lt;&gt;Table_dim_price_recipe[Type.display])*($L958=Table_dim_price_recipe[Category])*($D958=Table_dim_price_recipe[Item Description]) * (G$6=Table_dim_price_recipe[Type])*(Table_dim_price_recipe[Retail Price]&lt;&gt;0)*($C958=Table_dim_price_recipe[Subcategory]), 0))*$B958,"")</f>
        <v>0</v>
      </c>
      <c r="H958" s="39" t="str" cm="1">
        <f t="array" ref="H958">IFERROR(INDEX(Table_dim_price_recipe[Retail Price], MATCH(1, ("Calculator"&lt;&gt;Table_dim_price_recipe[Type.display])*($L958=Table_dim_price_recipe[Category])*($D958=Table_dim_price_recipe[Item Description]) * (H$6=Table_dim_price_recipe[Type])*(Table_dim_price_recipe[Retail Price]&lt;&gt;0)*($C958=Table_dim_price_recipe[Subcategory]), 0))*$B958,"")</f>
        <v/>
      </c>
      <c r="I958" s="39" t="str" cm="1">
        <f t="array" ref="I958">IFERROR(INDEX(Table_dim_price_recipe[Retail Price], MATCH(1, ("Calculator"&lt;&gt;Table_dim_price_recipe[Type.display])*($L958=Table_dim_price_recipe[Category])*($D958=Table_dim_price_recipe[Item Description]) * (I$6=Table_dim_price_recipe[Type])*(Table_dim_price_recipe[Retail Price]&lt;&gt;0)*($C958=Table_dim_price_recipe[Subcategory]), 0))*$B958,"")</f>
        <v/>
      </c>
      <c r="J958" s="39" t="str" cm="1">
        <f t="array" ref="J958">IFERROR(INDEX(Table_dim_price_recipe[Retail Price], MATCH(1, ("Calculator"&lt;&gt;Table_dim_price_recipe[Type.display])*($L958=Table_dim_price_recipe[Category])*($D958=Table_dim_price_recipe[Item Description]) * (J$6=Table_dim_price_recipe[Type])*(Table_dim_price_recipe[Retail Price]&lt;&gt;0)*($C958=Table_dim_price_recipe[Subcategory]), 0))*$B958,"")</f>
        <v/>
      </c>
      <c r="K958" s="39" t="str" cm="1">
        <f t="array" ref="K958">IFERROR(INDEX(Table_dim_price_recipe[Retail Price], MATCH(1, ("Calculator"&lt;&gt;Table_dim_price_recipe[Type.display])*($L958=Table_dim_price_recipe[Category])*($D958=Table_dim_price_recipe[Item Description]) * (K$6=Table_dim_price_recipe[Type])*(Table_dim_price_recipe[Retail Price]&lt;&gt;0)*($C958=Table_dim_price_recipe[Subcategory]), 0))*$B958,"")</f>
        <v/>
      </c>
      <c r="L958" s="39" t="str" cm="1">
        <f t="array" ref="L958">IF($A958&lt;&gt;"", $A958, LOOKUP(2, 1/((A$7:INDEX(A:A, ROW()))&lt;&gt;""), A$7:INDEX(A:A, ROW())))</f>
        <v>PAINTING</v>
      </c>
      <c r="M958" s="14"/>
    </row>
    <row r="959" spans="1:13">
      <c r="A959" s="263"/>
      <c r="B959" s="263"/>
      <c r="C959" s="263" t="s">
        <v>629</v>
      </c>
      <c r="D959" s="263" t="s">
        <v>638</v>
      </c>
      <c r="E959" s="263"/>
      <c r="F959" s="263"/>
      <c r="G959" s="39" cm="1">
        <f t="array" ref="G959">IFERROR(INDEX(Table_dim_price_recipe[Retail Price], MATCH(1, ("Calculator"&lt;&gt;Table_dim_price_recipe[Type.display])*($L959=Table_dim_price_recipe[Category])*($D959=Table_dim_price_recipe[Item Description]) * (G$6=Table_dim_price_recipe[Type])*(Table_dim_price_recipe[Retail Price]&lt;&gt;0)*($C959=Table_dim_price_recipe[Subcategory]), 0))*$B959,"")</f>
        <v>0</v>
      </c>
      <c r="H959" s="39" t="str" cm="1">
        <f t="array" ref="H959">IFERROR(INDEX(Table_dim_price_recipe[Retail Price], MATCH(1, ("Calculator"&lt;&gt;Table_dim_price_recipe[Type.display])*($L959=Table_dim_price_recipe[Category])*($D959=Table_dim_price_recipe[Item Description]) * (H$6=Table_dim_price_recipe[Type])*(Table_dim_price_recipe[Retail Price]&lt;&gt;0)*($C959=Table_dim_price_recipe[Subcategory]), 0))*$B959,"")</f>
        <v/>
      </c>
      <c r="I959" s="39" t="str" cm="1">
        <f t="array" ref="I959">IFERROR(INDEX(Table_dim_price_recipe[Retail Price], MATCH(1, ("Calculator"&lt;&gt;Table_dim_price_recipe[Type.display])*($L959=Table_dim_price_recipe[Category])*($D959=Table_dim_price_recipe[Item Description]) * (I$6=Table_dim_price_recipe[Type])*(Table_dim_price_recipe[Retail Price]&lt;&gt;0)*($C959=Table_dim_price_recipe[Subcategory]), 0))*$B959,"")</f>
        <v/>
      </c>
      <c r="J959" s="39" t="str" cm="1">
        <f t="array" ref="J959">IFERROR(INDEX(Table_dim_price_recipe[Retail Price], MATCH(1, ("Calculator"&lt;&gt;Table_dim_price_recipe[Type.display])*($L959=Table_dim_price_recipe[Category])*($D959=Table_dim_price_recipe[Item Description]) * (J$6=Table_dim_price_recipe[Type])*(Table_dim_price_recipe[Retail Price]&lt;&gt;0)*($C959=Table_dim_price_recipe[Subcategory]), 0))*$B959,"")</f>
        <v/>
      </c>
      <c r="K959" s="39" t="str" cm="1">
        <f t="array" ref="K959">IFERROR(INDEX(Table_dim_price_recipe[Retail Price], MATCH(1, ("Calculator"&lt;&gt;Table_dim_price_recipe[Type.display])*($L959=Table_dim_price_recipe[Category])*($D959=Table_dim_price_recipe[Item Description]) * (K$6=Table_dim_price_recipe[Type])*(Table_dim_price_recipe[Retail Price]&lt;&gt;0)*($C959=Table_dim_price_recipe[Subcategory]), 0))*$B959,"")</f>
        <v/>
      </c>
      <c r="L959" s="39" t="str" cm="1">
        <f t="array" ref="L959">IF($A959&lt;&gt;"", $A959, LOOKUP(2, 1/((A$7:INDEX(A:A, ROW()))&lt;&gt;""), A$7:INDEX(A:A, ROW())))</f>
        <v>PAINTING</v>
      </c>
      <c r="M959" s="14"/>
    </row>
    <row r="960" spans="1:13">
      <c r="A960" s="263"/>
      <c r="B960" s="263"/>
      <c r="C960" s="263" t="s">
        <v>629</v>
      </c>
      <c r="D960" s="263" t="s">
        <v>635</v>
      </c>
      <c r="E960" s="263"/>
      <c r="F960" s="263"/>
      <c r="G960" s="39" t="str" cm="1">
        <f t="array" ref="G960">IFERROR(INDEX(Table_dim_price_recipe[Retail Price], MATCH(1, ("Calculator"&lt;&gt;Table_dim_price_recipe[Type.display])*($L960=Table_dim_price_recipe[Category])*($D960=Table_dim_price_recipe[Item Description]) * (G$6=Table_dim_price_recipe[Type])*(Table_dim_price_recipe[Retail Price]&lt;&gt;0)*($C960=Table_dim_price_recipe[Subcategory]), 0))*$B960,"")</f>
        <v/>
      </c>
      <c r="H960" s="39" t="str" cm="1">
        <f t="array" ref="H960">IFERROR(INDEX(Table_dim_price_recipe[Retail Price], MATCH(1, ("Calculator"&lt;&gt;Table_dim_price_recipe[Type.display])*($L960=Table_dim_price_recipe[Category])*($D960=Table_dim_price_recipe[Item Description]) * (H$6=Table_dim_price_recipe[Type])*(Table_dim_price_recipe[Retail Price]&lt;&gt;0)*($C960=Table_dim_price_recipe[Subcategory]), 0))*$B960,"")</f>
        <v/>
      </c>
      <c r="I960" s="39" t="str" cm="1">
        <f t="array" ref="I960">IFERROR(INDEX(Table_dim_price_recipe[Retail Price], MATCH(1, ("Calculator"&lt;&gt;Table_dim_price_recipe[Type.display])*($L960=Table_dim_price_recipe[Category])*($D960=Table_dim_price_recipe[Item Description]) * (I$6=Table_dim_price_recipe[Type])*(Table_dim_price_recipe[Retail Price]&lt;&gt;0)*($C960=Table_dim_price_recipe[Subcategory]), 0))*$B960,"")</f>
        <v/>
      </c>
      <c r="J960" s="39" t="str" cm="1">
        <f t="array" ref="J960">IFERROR(INDEX(Table_dim_price_recipe[Retail Price], MATCH(1, ("Calculator"&lt;&gt;Table_dim_price_recipe[Type.display])*($L960=Table_dim_price_recipe[Category])*($D960=Table_dim_price_recipe[Item Description]) * (J$6=Table_dim_price_recipe[Type])*(Table_dim_price_recipe[Retail Price]&lt;&gt;0)*($C960=Table_dim_price_recipe[Subcategory]), 0))*$B960,"")</f>
        <v/>
      </c>
      <c r="K960" s="39" t="str" cm="1">
        <f t="array" ref="K960">IFERROR(INDEX(Table_dim_price_recipe[Retail Price], MATCH(1, ("Calculator"&lt;&gt;Table_dim_price_recipe[Type.display])*($L960=Table_dim_price_recipe[Category])*($D960=Table_dim_price_recipe[Item Description]) * (K$6=Table_dim_price_recipe[Type])*(Table_dim_price_recipe[Retail Price]&lt;&gt;0)*($C960=Table_dim_price_recipe[Subcategory]), 0))*$B960,"")</f>
        <v/>
      </c>
      <c r="L960" s="39" t="str" cm="1">
        <f t="array" ref="L960">IF($A960&lt;&gt;"", $A960, LOOKUP(2, 1/((A$7:INDEX(A:A, ROW()))&lt;&gt;""), A$7:INDEX(A:A, ROW())))</f>
        <v>PAINTING</v>
      </c>
      <c r="M960" s="14"/>
    </row>
    <row r="961" spans="1:13">
      <c r="A961" s="263"/>
      <c r="B961" s="263"/>
      <c r="C961" s="263" t="s">
        <v>629</v>
      </c>
      <c r="D961" s="263" t="s">
        <v>637</v>
      </c>
      <c r="E961" s="263"/>
      <c r="F961" s="263"/>
      <c r="G961" s="39" t="str" cm="1">
        <f t="array" ref="G961">IFERROR(INDEX(Table_dim_price_recipe[Retail Price], MATCH(1, ("Calculator"&lt;&gt;Table_dim_price_recipe[Type.display])*($L961=Table_dim_price_recipe[Category])*($D961=Table_dim_price_recipe[Item Description]) * (G$6=Table_dim_price_recipe[Type])*(Table_dim_price_recipe[Retail Price]&lt;&gt;0)*($C961=Table_dim_price_recipe[Subcategory]), 0))*$B961,"")</f>
        <v/>
      </c>
      <c r="H961" s="39" t="str" cm="1">
        <f t="array" ref="H961">IFERROR(INDEX(Table_dim_price_recipe[Retail Price], MATCH(1, ("Calculator"&lt;&gt;Table_dim_price_recipe[Type.display])*($L961=Table_dim_price_recipe[Category])*($D961=Table_dim_price_recipe[Item Description]) * (H$6=Table_dim_price_recipe[Type])*(Table_dim_price_recipe[Retail Price]&lt;&gt;0)*($C961=Table_dim_price_recipe[Subcategory]), 0))*$B961,"")</f>
        <v/>
      </c>
      <c r="I961" s="39" t="str" cm="1">
        <f t="array" ref="I961">IFERROR(INDEX(Table_dim_price_recipe[Retail Price], MATCH(1, ("Calculator"&lt;&gt;Table_dim_price_recipe[Type.display])*($L961=Table_dim_price_recipe[Category])*($D961=Table_dim_price_recipe[Item Description]) * (I$6=Table_dim_price_recipe[Type])*(Table_dim_price_recipe[Retail Price]&lt;&gt;0)*($C961=Table_dim_price_recipe[Subcategory]), 0))*$B961,"")</f>
        <v/>
      </c>
      <c r="J961" s="39" t="str" cm="1">
        <f t="array" ref="J961">IFERROR(INDEX(Table_dim_price_recipe[Retail Price], MATCH(1, ("Calculator"&lt;&gt;Table_dim_price_recipe[Type.display])*($L961=Table_dim_price_recipe[Category])*($D961=Table_dim_price_recipe[Item Description]) * (J$6=Table_dim_price_recipe[Type])*(Table_dim_price_recipe[Retail Price]&lt;&gt;0)*($C961=Table_dim_price_recipe[Subcategory]), 0))*$B961,"")</f>
        <v/>
      </c>
      <c r="K961" s="39" t="str" cm="1">
        <f t="array" ref="K961">IFERROR(INDEX(Table_dim_price_recipe[Retail Price], MATCH(1, ("Calculator"&lt;&gt;Table_dim_price_recipe[Type.display])*($L961=Table_dim_price_recipe[Category])*($D961=Table_dim_price_recipe[Item Description]) * (K$6=Table_dim_price_recipe[Type])*(Table_dim_price_recipe[Retail Price]&lt;&gt;0)*($C961=Table_dim_price_recipe[Subcategory]), 0))*$B961,"")</f>
        <v/>
      </c>
      <c r="L961" s="39" t="str" cm="1">
        <f t="array" ref="L961">IF($A961&lt;&gt;"", $A961, LOOKUP(2, 1/((A$7:INDEX(A:A, ROW()))&lt;&gt;""), A$7:INDEX(A:A, ROW())))</f>
        <v>PAINTING</v>
      </c>
      <c r="M961" s="14"/>
    </row>
    <row r="962" spans="1:13">
      <c r="A962" s="263"/>
      <c r="B962" s="263"/>
      <c r="C962" s="263" t="s">
        <v>629</v>
      </c>
      <c r="D962" s="263" t="s">
        <v>636</v>
      </c>
      <c r="E962" s="263"/>
      <c r="F962" s="263"/>
      <c r="G962" s="39" t="str" cm="1">
        <f t="array" ref="G962">IFERROR(INDEX(Table_dim_price_recipe[Retail Price], MATCH(1, ("Calculator"&lt;&gt;Table_dim_price_recipe[Type.display])*($L962=Table_dim_price_recipe[Category])*($D962=Table_dim_price_recipe[Item Description]) * (G$6=Table_dim_price_recipe[Type])*(Table_dim_price_recipe[Retail Price]&lt;&gt;0)*($C962=Table_dim_price_recipe[Subcategory]), 0))*$B962,"")</f>
        <v/>
      </c>
      <c r="H962" s="39" t="str" cm="1">
        <f t="array" ref="H962">IFERROR(INDEX(Table_dim_price_recipe[Retail Price], MATCH(1, ("Calculator"&lt;&gt;Table_dim_price_recipe[Type.display])*($L962=Table_dim_price_recipe[Category])*($D962=Table_dim_price_recipe[Item Description]) * (H$6=Table_dim_price_recipe[Type])*(Table_dim_price_recipe[Retail Price]&lt;&gt;0)*($C962=Table_dim_price_recipe[Subcategory]), 0))*$B962,"")</f>
        <v/>
      </c>
      <c r="I962" s="39" t="str" cm="1">
        <f t="array" ref="I962">IFERROR(INDEX(Table_dim_price_recipe[Retail Price], MATCH(1, ("Calculator"&lt;&gt;Table_dim_price_recipe[Type.display])*($L962=Table_dim_price_recipe[Category])*($D962=Table_dim_price_recipe[Item Description]) * (I$6=Table_dim_price_recipe[Type])*(Table_dim_price_recipe[Retail Price]&lt;&gt;0)*($C962=Table_dim_price_recipe[Subcategory]), 0))*$B962,"")</f>
        <v/>
      </c>
      <c r="J962" s="39" t="str" cm="1">
        <f t="array" ref="J962">IFERROR(INDEX(Table_dim_price_recipe[Retail Price], MATCH(1, ("Calculator"&lt;&gt;Table_dim_price_recipe[Type.display])*($L962=Table_dim_price_recipe[Category])*($D962=Table_dim_price_recipe[Item Description]) * (J$6=Table_dim_price_recipe[Type])*(Table_dim_price_recipe[Retail Price]&lt;&gt;0)*($C962=Table_dim_price_recipe[Subcategory]), 0))*$B962,"")</f>
        <v/>
      </c>
      <c r="K962" s="39" t="str" cm="1">
        <f t="array" ref="K962">IFERROR(INDEX(Table_dim_price_recipe[Retail Price], MATCH(1, ("Calculator"&lt;&gt;Table_dim_price_recipe[Type.display])*($L962=Table_dim_price_recipe[Category])*($D962=Table_dim_price_recipe[Item Description]) * (K$6=Table_dim_price_recipe[Type])*(Table_dim_price_recipe[Retail Price]&lt;&gt;0)*($C962=Table_dim_price_recipe[Subcategory]), 0))*$B962,"")</f>
        <v/>
      </c>
      <c r="L962" s="39" t="str" cm="1">
        <f t="array" ref="L962">IF($A962&lt;&gt;"", $A962, LOOKUP(2, 1/((A$7:INDEX(A:A, ROW()))&lt;&gt;""), A$7:INDEX(A:A, ROW())))</f>
        <v>PAINTING</v>
      </c>
      <c r="M962" s="14"/>
    </row>
    <row r="963" spans="1:13">
      <c r="A963" s="263"/>
      <c r="B963" s="263"/>
      <c r="C963" s="263" t="s">
        <v>629</v>
      </c>
      <c r="D963" s="263" t="s">
        <v>634</v>
      </c>
      <c r="E963" s="263"/>
      <c r="F963" s="263"/>
      <c r="G963" s="39" cm="1">
        <f t="array" ref="G963">IFERROR(INDEX(Table_dim_price_recipe[Retail Price], MATCH(1, ("Calculator"&lt;&gt;Table_dim_price_recipe[Type.display])*($L963=Table_dim_price_recipe[Category])*($D963=Table_dim_price_recipe[Item Description]) * (G$6=Table_dim_price_recipe[Type])*(Table_dim_price_recipe[Retail Price]&lt;&gt;0)*($C963=Table_dim_price_recipe[Subcategory]), 0))*$B963,"")</f>
        <v>0</v>
      </c>
      <c r="H963" s="39" t="str" cm="1">
        <f t="array" ref="H963">IFERROR(INDEX(Table_dim_price_recipe[Retail Price], MATCH(1, ("Calculator"&lt;&gt;Table_dim_price_recipe[Type.display])*($L963=Table_dim_price_recipe[Category])*($D963=Table_dim_price_recipe[Item Description]) * (H$6=Table_dim_price_recipe[Type])*(Table_dim_price_recipe[Retail Price]&lt;&gt;0)*($C963=Table_dim_price_recipe[Subcategory]), 0))*$B963,"")</f>
        <v/>
      </c>
      <c r="I963" s="39" t="str" cm="1">
        <f t="array" ref="I963">IFERROR(INDEX(Table_dim_price_recipe[Retail Price], MATCH(1, ("Calculator"&lt;&gt;Table_dim_price_recipe[Type.display])*($L963=Table_dim_price_recipe[Category])*($D963=Table_dim_price_recipe[Item Description]) * (I$6=Table_dim_price_recipe[Type])*(Table_dim_price_recipe[Retail Price]&lt;&gt;0)*($C963=Table_dim_price_recipe[Subcategory]), 0))*$B963,"")</f>
        <v/>
      </c>
      <c r="J963" s="39" t="str" cm="1">
        <f t="array" ref="J963">IFERROR(INDEX(Table_dim_price_recipe[Retail Price], MATCH(1, ("Calculator"&lt;&gt;Table_dim_price_recipe[Type.display])*($L963=Table_dim_price_recipe[Category])*($D963=Table_dim_price_recipe[Item Description]) * (J$6=Table_dim_price_recipe[Type])*(Table_dim_price_recipe[Retail Price]&lt;&gt;0)*($C963=Table_dim_price_recipe[Subcategory]), 0))*$B963,"")</f>
        <v/>
      </c>
      <c r="K963" s="39" t="str" cm="1">
        <f t="array" ref="K963">IFERROR(INDEX(Table_dim_price_recipe[Retail Price], MATCH(1, ("Calculator"&lt;&gt;Table_dim_price_recipe[Type.display])*($L963=Table_dim_price_recipe[Category])*($D963=Table_dim_price_recipe[Item Description]) * (K$6=Table_dim_price_recipe[Type])*(Table_dim_price_recipe[Retail Price]&lt;&gt;0)*($C963=Table_dim_price_recipe[Subcategory]), 0))*$B963,"")</f>
        <v/>
      </c>
      <c r="L963" s="39" t="str" cm="1">
        <f t="array" ref="L963">IF($A963&lt;&gt;"", $A963, LOOKUP(2, 1/((A$7:INDEX(A:A, ROW()))&lt;&gt;""), A$7:INDEX(A:A, ROW())))</f>
        <v>PAINTING</v>
      </c>
      <c r="M963" s="14"/>
    </row>
    <row r="964" spans="1:13">
      <c r="A964" s="263"/>
      <c r="B964" s="263"/>
      <c r="C964" s="263" t="s">
        <v>629</v>
      </c>
      <c r="D964" s="263" t="s">
        <v>639</v>
      </c>
      <c r="E964" s="263"/>
      <c r="F964" s="263"/>
      <c r="G964" s="39" cm="1">
        <f t="array" ref="G964">IFERROR(INDEX(Table_dim_price_recipe[Retail Price], MATCH(1, ("Calculator"&lt;&gt;Table_dim_price_recipe[Type.display])*($L964=Table_dim_price_recipe[Category])*($D964=Table_dim_price_recipe[Item Description]) * (G$6=Table_dim_price_recipe[Type])*(Table_dim_price_recipe[Retail Price]&lt;&gt;0)*($C964=Table_dim_price_recipe[Subcategory]), 0))*$B964,"")</f>
        <v>0</v>
      </c>
      <c r="H964" s="39" t="str" cm="1">
        <f t="array" ref="H964">IFERROR(INDEX(Table_dim_price_recipe[Retail Price], MATCH(1, ("Calculator"&lt;&gt;Table_dim_price_recipe[Type.display])*($L964=Table_dim_price_recipe[Category])*($D964=Table_dim_price_recipe[Item Description]) * (H$6=Table_dim_price_recipe[Type])*(Table_dim_price_recipe[Retail Price]&lt;&gt;0)*($C964=Table_dim_price_recipe[Subcategory]), 0))*$B964,"")</f>
        <v/>
      </c>
      <c r="I964" s="39" t="str" cm="1">
        <f t="array" ref="I964">IFERROR(INDEX(Table_dim_price_recipe[Retail Price], MATCH(1, ("Calculator"&lt;&gt;Table_dim_price_recipe[Type.display])*($L964=Table_dim_price_recipe[Category])*($D964=Table_dim_price_recipe[Item Description]) * (I$6=Table_dim_price_recipe[Type])*(Table_dim_price_recipe[Retail Price]&lt;&gt;0)*($C964=Table_dim_price_recipe[Subcategory]), 0))*$B964,"")</f>
        <v/>
      </c>
      <c r="J964" s="39" t="str" cm="1">
        <f t="array" ref="J964">IFERROR(INDEX(Table_dim_price_recipe[Retail Price], MATCH(1, ("Calculator"&lt;&gt;Table_dim_price_recipe[Type.display])*($L964=Table_dim_price_recipe[Category])*($D964=Table_dim_price_recipe[Item Description]) * (J$6=Table_dim_price_recipe[Type])*(Table_dim_price_recipe[Retail Price]&lt;&gt;0)*($C964=Table_dim_price_recipe[Subcategory]), 0))*$B964,"")</f>
        <v/>
      </c>
      <c r="K964" s="39" t="str" cm="1">
        <f t="array" ref="K964">IFERROR(INDEX(Table_dim_price_recipe[Retail Price], MATCH(1, ("Calculator"&lt;&gt;Table_dim_price_recipe[Type.display])*($L964=Table_dim_price_recipe[Category])*($D964=Table_dim_price_recipe[Item Description]) * (K$6=Table_dim_price_recipe[Type])*(Table_dim_price_recipe[Retail Price]&lt;&gt;0)*($C964=Table_dim_price_recipe[Subcategory]), 0))*$B964,"")</f>
        <v/>
      </c>
      <c r="L964" s="39" t="str" cm="1">
        <f t="array" ref="L964">IF($A964&lt;&gt;"", $A964, LOOKUP(2, 1/((A$7:INDEX(A:A, ROW()))&lt;&gt;""), A$7:INDEX(A:A, ROW())))</f>
        <v>PAINTING</v>
      </c>
      <c r="M964" s="14"/>
    </row>
    <row r="965" spans="1:13">
      <c r="A965" s="263"/>
      <c r="B965" s="263"/>
      <c r="C965" s="263" t="s">
        <v>629</v>
      </c>
      <c r="D965" s="263"/>
      <c r="E965" s="263"/>
      <c r="F965" s="263"/>
      <c r="G965" s="39" t="str" cm="1">
        <f t="array" ref="G965">IFERROR(INDEX(Table_dim_price_recipe[Retail Price], MATCH(1, ("Calculator"&lt;&gt;Table_dim_price_recipe[Type.display])*($L965=Table_dim_price_recipe[Category])*($D965=Table_dim_price_recipe[Item Description]) * (G$6=Table_dim_price_recipe[Type])*(Table_dim_price_recipe[Retail Price]&lt;&gt;0)*($C965=Table_dim_price_recipe[Subcategory]), 0))*$B965,"")</f>
        <v/>
      </c>
      <c r="H965" s="39" t="str" cm="1">
        <f t="array" ref="H965">IFERROR(INDEX(Table_dim_price_recipe[Retail Price], MATCH(1, ("Calculator"&lt;&gt;Table_dim_price_recipe[Type.display])*($L965=Table_dim_price_recipe[Category])*($D965=Table_dim_price_recipe[Item Description]) * (H$6=Table_dim_price_recipe[Type])*(Table_dim_price_recipe[Retail Price]&lt;&gt;0)*($C965=Table_dim_price_recipe[Subcategory]), 0))*$B965,"")</f>
        <v/>
      </c>
      <c r="I965" s="39" t="str" cm="1">
        <f t="array" ref="I965">IFERROR(INDEX(Table_dim_price_recipe[Retail Price], MATCH(1, ("Calculator"&lt;&gt;Table_dim_price_recipe[Type.display])*($L965=Table_dim_price_recipe[Category])*($D965=Table_dim_price_recipe[Item Description]) * (I$6=Table_dim_price_recipe[Type])*(Table_dim_price_recipe[Retail Price]&lt;&gt;0)*($C965=Table_dim_price_recipe[Subcategory]), 0))*$B965,"")</f>
        <v/>
      </c>
      <c r="J965" s="39" t="str" cm="1">
        <f t="array" ref="J965">IFERROR(INDEX(Table_dim_price_recipe[Retail Price], MATCH(1, ("Calculator"&lt;&gt;Table_dim_price_recipe[Type.display])*($L965=Table_dim_price_recipe[Category])*($D965=Table_dim_price_recipe[Item Description]) * (J$6=Table_dim_price_recipe[Type])*(Table_dim_price_recipe[Retail Price]&lt;&gt;0)*($C965=Table_dim_price_recipe[Subcategory]), 0))*$B965,"")</f>
        <v/>
      </c>
      <c r="K965" s="39" t="str" cm="1">
        <f t="array" ref="K965">IFERROR(INDEX(Table_dim_price_recipe[Retail Price], MATCH(1, ("Calculator"&lt;&gt;Table_dim_price_recipe[Type.display])*($L965=Table_dim_price_recipe[Category])*($D965=Table_dim_price_recipe[Item Description]) * (K$6=Table_dim_price_recipe[Type])*(Table_dim_price_recipe[Retail Price]&lt;&gt;0)*($C965=Table_dim_price_recipe[Subcategory]), 0))*$B965,"")</f>
        <v/>
      </c>
      <c r="L965" s="39" t="str" cm="1">
        <f t="array" ref="L965">IF($A965&lt;&gt;"", $A965, LOOKUP(2, 1/((A$7:INDEX(A:A, ROW()))&lt;&gt;""), A$7:INDEX(A:A, ROW())))</f>
        <v>PAINTING</v>
      </c>
      <c r="M965" s="14"/>
    </row>
    <row r="966" spans="1:13">
      <c r="A966" s="263"/>
      <c r="B966" s="263"/>
      <c r="C966" s="263" t="s">
        <v>629</v>
      </c>
      <c r="D966" s="263"/>
      <c r="E966" s="263"/>
      <c r="F966" s="263"/>
      <c r="G966" s="39" t="str" cm="1">
        <f t="array" ref="G966">IFERROR(INDEX(Table_dim_price_recipe[Retail Price], MATCH(1, ("Calculator"&lt;&gt;Table_dim_price_recipe[Type.display])*($L966=Table_dim_price_recipe[Category])*($D966=Table_dim_price_recipe[Item Description]) * (G$6=Table_dim_price_recipe[Type])*(Table_dim_price_recipe[Retail Price]&lt;&gt;0)*($C966=Table_dim_price_recipe[Subcategory]), 0))*$B966,"")</f>
        <v/>
      </c>
      <c r="H966" s="39" t="str" cm="1">
        <f t="array" ref="H966">IFERROR(INDEX(Table_dim_price_recipe[Retail Price], MATCH(1, ("Calculator"&lt;&gt;Table_dim_price_recipe[Type.display])*($L966=Table_dim_price_recipe[Category])*($D966=Table_dim_price_recipe[Item Description]) * (H$6=Table_dim_price_recipe[Type])*(Table_dim_price_recipe[Retail Price]&lt;&gt;0)*($C966=Table_dim_price_recipe[Subcategory]), 0))*$B966,"")</f>
        <v/>
      </c>
      <c r="I966" s="39" t="str" cm="1">
        <f t="array" ref="I966">IFERROR(INDEX(Table_dim_price_recipe[Retail Price], MATCH(1, ("Calculator"&lt;&gt;Table_dim_price_recipe[Type.display])*($L966=Table_dim_price_recipe[Category])*($D966=Table_dim_price_recipe[Item Description]) * (I$6=Table_dim_price_recipe[Type])*(Table_dim_price_recipe[Retail Price]&lt;&gt;0)*($C966=Table_dim_price_recipe[Subcategory]), 0))*$B966,"")</f>
        <v/>
      </c>
      <c r="J966" s="39" t="str" cm="1">
        <f t="array" ref="J966">IFERROR(INDEX(Table_dim_price_recipe[Retail Price], MATCH(1, ("Calculator"&lt;&gt;Table_dim_price_recipe[Type.display])*($L966=Table_dim_price_recipe[Category])*($D966=Table_dim_price_recipe[Item Description]) * (J$6=Table_dim_price_recipe[Type])*(Table_dim_price_recipe[Retail Price]&lt;&gt;0)*($C966=Table_dim_price_recipe[Subcategory]), 0))*$B966,"")</f>
        <v/>
      </c>
      <c r="K966" s="39" t="str" cm="1">
        <f t="array" ref="K966">IFERROR(INDEX(Table_dim_price_recipe[Retail Price], MATCH(1, ("Calculator"&lt;&gt;Table_dim_price_recipe[Type.display])*($L966=Table_dim_price_recipe[Category])*($D966=Table_dim_price_recipe[Item Description]) * (K$6=Table_dim_price_recipe[Type])*(Table_dim_price_recipe[Retail Price]&lt;&gt;0)*($C966=Table_dim_price_recipe[Subcategory]), 0))*$B966,"")</f>
        <v/>
      </c>
      <c r="L966" s="39" t="str" cm="1">
        <f t="array" ref="L966">IF($A966&lt;&gt;"", $A966, LOOKUP(2, 1/((A$7:INDEX(A:A, ROW()))&lt;&gt;""), A$7:INDEX(A:A, ROW())))</f>
        <v>PAINTING</v>
      </c>
      <c r="M966" s="14"/>
    </row>
    <row r="967" spans="1:13">
      <c r="A967" s="260" t="s">
        <v>99</v>
      </c>
      <c r="B967" s="261"/>
      <c r="C967" s="261"/>
      <c r="D967" s="261"/>
      <c r="E967" s="261"/>
      <c r="F967" s="261"/>
      <c r="G967" s="262" t="str" cm="1">
        <f t="array" ref="G967">IFERROR(INDEX(Table_dim_price_recipe[Retail Price], MATCH(1, ("Calculator"&lt;&gt;Table_dim_price_recipe[Type.display])*($L967=Table_dim_price_recipe[Category])*($D967=Table_dim_price_recipe[Item Description]) * (G$6=Table_dim_price_recipe[Type])*(Table_dim_price_recipe[Retail Price]&lt;&gt;0)*($C967=Table_dim_price_recipe[Subcategory]), 0))*$B967,"")</f>
        <v/>
      </c>
      <c r="H967" s="262" t="str" cm="1">
        <f t="array" ref="H967">IFERROR(INDEX(Table_dim_price_recipe[Retail Price], MATCH(1, ("Calculator"&lt;&gt;Table_dim_price_recipe[Type.display])*($L967=Table_dim_price_recipe[Category])*($D967=Table_dim_price_recipe[Item Description]) * (H$6=Table_dim_price_recipe[Type])*(Table_dim_price_recipe[Retail Price]&lt;&gt;0)*($C967=Table_dim_price_recipe[Subcategory]), 0))*$B967,"")</f>
        <v/>
      </c>
      <c r="I967" s="262" t="str" cm="1">
        <f t="array" ref="I967">IFERROR(INDEX(Table_dim_price_recipe[Retail Price], MATCH(1, ("Calculator"&lt;&gt;Table_dim_price_recipe[Type.display])*($L967=Table_dim_price_recipe[Category])*($D967=Table_dim_price_recipe[Item Description]) * (I$6=Table_dim_price_recipe[Type])*(Table_dim_price_recipe[Retail Price]&lt;&gt;0)*($C967=Table_dim_price_recipe[Subcategory]), 0))*$B967,"")</f>
        <v/>
      </c>
      <c r="J967" s="262" t="str" cm="1">
        <f t="array" ref="J967">IFERROR(INDEX(Table_dim_price_recipe[Retail Price], MATCH(1, ("Calculator"&lt;&gt;Table_dim_price_recipe[Type.display])*($L967=Table_dim_price_recipe[Category])*($D967=Table_dim_price_recipe[Item Description]) * (J$6=Table_dim_price_recipe[Type])*(Table_dim_price_recipe[Retail Price]&lt;&gt;0)*($C967=Table_dim_price_recipe[Subcategory]), 0))*$B967,"")</f>
        <v/>
      </c>
      <c r="K967" s="262" t="str" cm="1">
        <f t="array" ref="K967">IFERROR(INDEX(Table_dim_price_recipe[Retail Price], MATCH(1, ("Calculator"&lt;&gt;Table_dim_price_recipe[Type.display])*($L967=Table_dim_price_recipe[Category])*($D967=Table_dim_price_recipe[Item Description]) * (K$6=Table_dim_price_recipe[Type])*(Table_dim_price_recipe[Retail Price]&lt;&gt;0)*($C967=Table_dim_price_recipe[Subcategory]), 0))*$B967,"")</f>
        <v/>
      </c>
      <c r="L967" s="262" t="str" cm="1">
        <f t="array" ref="L967">IF($A967&lt;&gt;"", $A967, LOOKUP(2, 1/((A$7:INDEX(A:A, ROW()))&lt;&gt;""), A$7:INDEX(A:A, ROW())))</f>
        <v>RENDERING</v>
      </c>
      <c r="M967" s="14"/>
    </row>
    <row r="968" spans="1:13">
      <c r="A968" s="263"/>
      <c r="B968" s="263"/>
      <c r="C968" s="263" t="s">
        <v>754</v>
      </c>
      <c r="D968" s="263" t="s">
        <v>755</v>
      </c>
      <c r="E968" s="263"/>
      <c r="F968" s="263"/>
      <c r="G968" s="39" cm="1">
        <f t="array" ref="G968">IFERROR(INDEX(Table_dim_price_recipe[Retail Price], MATCH(1, ("Calculator"&lt;&gt;Table_dim_price_recipe[Type.display])*($L968=Table_dim_price_recipe[Category])*($D968=Table_dim_price_recipe[Item Description]) * (G$6=Table_dim_price_recipe[Type])*(Table_dim_price_recipe[Retail Price]&lt;&gt;0)*($C968=Table_dim_price_recipe[Subcategory]), 0))*$B968,"")</f>
        <v>0</v>
      </c>
      <c r="H968" s="39" t="str" cm="1">
        <f t="array" ref="H968">IFERROR(INDEX(Table_dim_price_recipe[Retail Price], MATCH(1, ("Calculator"&lt;&gt;Table_dim_price_recipe[Type.display])*($L968=Table_dim_price_recipe[Category])*($D968=Table_dim_price_recipe[Item Description]) * (H$6=Table_dim_price_recipe[Type])*(Table_dim_price_recipe[Retail Price]&lt;&gt;0)*($C968=Table_dim_price_recipe[Subcategory]), 0))*$B968,"")</f>
        <v/>
      </c>
      <c r="I968" s="39" t="str" cm="1">
        <f t="array" ref="I968">IFERROR(INDEX(Table_dim_price_recipe[Retail Price], MATCH(1, ("Calculator"&lt;&gt;Table_dim_price_recipe[Type.display])*($L968=Table_dim_price_recipe[Category])*($D968=Table_dim_price_recipe[Item Description]) * (I$6=Table_dim_price_recipe[Type])*(Table_dim_price_recipe[Retail Price]&lt;&gt;0)*($C968=Table_dim_price_recipe[Subcategory]), 0))*$B968,"")</f>
        <v/>
      </c>
      <c r="J968" s="39" t="str" cm="1">
        <f t="array" ref="J968">IFERROR(INDEX(Table_dim_price_recipe[Retail Price], MATCH(1, ("Calculator"&lt;&gt;Table_dim_price_recipe[Type.display])*($L968=Table_dim_price_recipe[Category])*($D968=Table_dim_price_recipe[Item Description]) * (J$6=Table_dim_price_recipe[Type])*(Table_dim_price_recipe[Retail Price]&lt;&gt;0)*($C968=Table_dim_price_recipe[Subcategory]), 0))*$B968,"")</f>
        <v/>
      </c>
      <c r="K968" s="39" t="str" cm="1">
        <f t="array" ref="K968">IFERROR(INDEX(Table_dim_price_recipe[Retail Price], MATCH(1, ("Calculator"&lt;&gt;Table_dim_price_recipe[Type.display])*($L968=Table_dim_price_recipe[Category])*($D968=Table_dim_price_recipe[Item Description]) * (K$6=Table_dim_price_recipe[Type])*(Table_dim_price_recipe[Retail Price]&lt;&gt;0)*($C968=Table_dim_price_recipe[Subcategory]), 0))*$B968,"")</f>
        <v/>
      </c>
      <c r="L968" s="39" t="str" cm="1">
        <f t="array" ref="L968">IF($A968&lt;&gt;"", $A968, LOOKUP(2, 1/((A$7:INDEX(A:A, ROW()))&lt;&gt;""), A$7:INDEX(A:A, ROW())))</f>
        <v>RENDERING</v>
      </c>
      <c r="M968" s="14"/>
    </row>
    <row r="969" spans="1:13">
      <c r="A969" s="263"/>
      <c r="B969" s="263"/>
      <c r="C969" s="263" t="s">
        <v>754</v>
      </c>
      <c r="D969" s="263" t="s">
        <v>756</v>
      </c>
      <c r="E969" s="263"/>
      <c r="F969" s="263"/>
      <c r="G969" s="39" cm="1">
        <f t="array" ref="G969">IFERROR(INDEX(Table_dim_price_recipe[Retail Price], MATCH(1, ("Calculator"&lt;&gt;Table_dim_price_recipe[Type.display])*($L969=Table_dim_price_recipe[Category])*($D969=Table_dim_price_recipe[Item Description]) * (G$6=Table_dim_price_recipe[Type])*(Table_dim_price_recipe[Retail Price]&lt;&gt;0)*($C969=Table_dim_price_recipe[Subcategory]), 0))*$B969,"")</f>
        <v>0</v>
      </c>
      <c r="H969" s="39" t="str" cm="1">
        <f t="array" ref="H969">IFERROR(INDEX(Table_dim_price_recipe[Retail Price], MATCH(1, ("Calculator"&lt;&gt;Table_dim_price_recipe[Type.display])*($L969=Table_dim_price_recipe[Category])*($D969=Table_dim_price_recipe[Item Description]) * (H$6=Table_dim_price_recipe[Type])*(Table_dim_price_recipe[Retail Price]&lt;&gt;0)*($C969=Table_dim_price_recipe[Subcategory]), 0))*$B969,"")</f>
        <v/>
      </c>
      <c r="I969" s="39" t="str" cm="1">
        <f t="array" ref="I969">IFERROR(INDEX(Table_dim_price_recipe[Retail Price], MATCH(1, ("Calculator"&lt;&gt;Table_dim_price_recipe[Type.display])*($L969=Table_dim_price_recipe[Category])*($D969=Table_dim_price_recipe[Item Description]) * (I$6=Table_dim_price_recipe[Type])*(Table_dim_price_recipe[Retail Price]&lt;&gt;0)*($C969=Table_dim_price_recipe[Subcategory]), 0))*$B969,"")</f>
        <v/>
      </c>
      <c r="J969" s="39" t="str" cm="1">
        <f t="array" ref="J969">IFERROR(INDEX(Table_dim_price_recipe[Retail Price], MATCH(1, ("Calculator"&lt;&gt;Table_dim_price_recipe[Type.display])*($L969=Table_dim_price_recipe[Category])*($D969=Table_dim_price_recipe[Item Description]) * (J$6=Table_dim_price_recipe[Type])*(Table_dim_price_recipe[Retail Price]&lt;&gt;0)*($C969=Table_dim_price_recipe[Subcategory]), 0))*$B969,"")</f>
        <v/>
      </c>
      <c r="K969" s="39" t="str" cm="1">
        <f t="array" ref="K969">IFERROR(INDEX(Table_dim_price_recipe[Retail Price], MATCH(1, ("Calculator"&lt;&gt;Table_dim_price_recipe[Type.display])*($L969=Table_dim_price_recipe[Category])*($D969=Table_dim_price_recipe[Item Description]) * (K$6=Table_dim_price_recipe[Type])*(Table_dim_price_recipe[Retail Price]&lt;&gt;0)*($C969=Table_dim_price_recipe[Subcategory]), 0))*$B969,"")</f>
        <v/>
      </c>
      <c r="L969" s="39" t="str" cm="1">
        <f t="array" ref="L969">IF($A969&lt;&gt;"", $A969, LOOKUP(2, 1/((A$7:INDEX(A:A, ROW()))&lt;&gt;""), A$7:INDEX(A:A, ROW())))</f>
        <v>RENDERING</v>
      </c>
      <c r="M969" s="14"/>
    </row>
    <row r="970" spans="1:13">
      <c r="A970" s="263"/>
      <c r="B970" s="263"/>
      <c r="C970" s="263" t="s">
        <v>754</v>
      </c>
      <c r="D970" s="263" t="s">
        <v>100</v>
      </c>
      <c r="E970" s="263"/>
      <c r="F970" s="263"/>
      <c r="G970" s="39" cm="1">
        <f t="array" ref="G970">IFERROR(INDEX(Table_dim_price_recipe[Retail Price], MATCH(1, ("Calculator"&lt;&gt;Table_dim_price_recipe[Type.display])*($L970=Table_dim_price_recipe[Category])*($D970=Table_dim_price_recipe[Item Description]) * (G$6=Table_dim_price_recipe[Type])*(Table_dim_price_recipe[Retail Price]&lt;&gt;0)*($C970=Table_dim_price_recipe[Subcategory]), 0))*$B970,"")</f>
        <v>0</v>
      </c>
      <c r="H970" s="39" t="str" cm="1">
        <f t="array" ref="H970">IFERROR(INDEX(Table_dim_price_recipe[Retail Price], MATCH(1, ("Calculator"&lt;&gt;Table_dim_price_recipe[Type.display])*($L970=Table_dim_price_recipe[Category])*($D970=Table_dim_price_recipe[Item Description]) * (H$6=Table_dim_price_recipe[Type])*(Table_dim_price_recipe[Retail Price]&lt;&gt;0)*($C970=Table_dim_price_recipe[Subcategory]), 0))*$B970,"")</f>
        <v/>
      </c>
      <c r="I970" s="39" t="str" cm="1">
        <f t="array" ref="I970">IFERROR(INDEX(Table_dim_price_recipe[Retail Price], MATCH(1, ("Calculator"&lt;&gt;Table_dim_price_recipe[Type.display])*($L970=Table_dim_price_recipe[Category])*($D970=Table_dim_price_recipe[Item Description]) * (I$6=Table_dim_price_recipe[Type])*(Table_dim_price_recipe[Retail Price]&lt;&gt;0)*($C970=Table_dim_price_recipe[Subcategory]), 0))*$B970,"")</f>
        <v/>
      </c>
      <c r="J970" s="39" t="str" cm="1">
        <f t="array" ref="J970">IFERROR(INDEX(Table_dim_price_recipe[Retail Price], MATCH(1, ("Calculator"&lt;&gt;Table_dim_price_recipe[Type.display])*($L970=Table_dim_price_recipe[Category])*($D970=Table_dim_price_recipe[Item Description]) * (J$6=Table_dim_price_recipe[Type])*(Table_dim_price_recipe[Retail Price]&lt;&gt;0)*($C970=Table_dim_price_recipe[Subcategory]), 0))*$B970,"")</f>
        <v/>
      </c>
      <c r="K970" s="39" t="str" cm="1">
        <f t="array" ref="K970">IFERROR(INDEX(Table_dim_price_recipe[Retail Price], MATCH(1, ("Calculator"&lt;&gt;Table_dim_price_recipe[Type.display])*($L970=Table_dim_price_recipe[Category])*($D970=Table_dim_price_recipe[Item Description]) * (K$6=Table_dim_price_recipe[Type])*(Table_dim_price_recipe[Retail Price]&lt;&gt;0)*($C970=Table_dim_price_recipe[Subcategory]), 0))*$B970,"")</f>
        <v/>
      </c>
      <c r="L970" s="39" t="str" cm="1">
        <f t="array" ref="L970">IF($A970&lt;&gt;"", $A970, LOOKUP(2, 1/((A$7:INDEX(A:A, ROW()))&lt;&gt;""), A$7:INDEX(A:A, ROW())))</f>
        <v>RENDERING</v>
      </c>
      <c r="M970" s="14"/>
    </row>
    <row r="971" spans="1:13">
      <c r="A971" s="263"/>
      <c r="B971" s="263"/>
      <c r="C971" s="263" t="s">
        <v>754</v>
      </c>
      <c r="D971" s="263"/>
      <c r="E971" s="263"/>
      <c r="F971" s="263"/>
      <c r="G971" s="39" t="str" cm="1">
        <f t="array" ref="G971">IFERROR(INDEX(Table_dim_price_recipe[Retail Price], MATCH(1, ("Calculator"&lt;&gt;Table_dim_price_recipe[Type.display])*($L971=Table_dim_price_recipe[Category])*($D971=Table_dim_price_recipe[Item Description]) * (G$6=Table_dim_price_recipe[Type])*(Table_dim_price_recipe[Retail Price]&lt;&gt;0)*($C971=Table_dim_price_recipe[Subcategory]), 0))*$B971,"")</f>
        <v/>
      </c>
      <c r="H971" s="39" t="str" cm="1">
        <f t="array" ref="H971">IFERROR(INDEX(Table_dim_price_recipe[Retail Price], MATCH(1, ("Calculator"&lt;&gt;Table_dim_price_recipe[Type.display])*($L971=Table_dim_price_recipe[Category])*($D971=Table_dim_price_recipe[Item Description]) * (H$6=Table_dim_price_recipe[Type])*(Table_dim_price_recipe[Retail Price]&lt;&gt;0)*($C971=Table_dim_price_recipe[Subcategory]), 0))*$B971,"")</f>
        <v/>
      </c>
      <c r="I971" s="39" t="str" cm="1">
        <f t="array" ref="I971">IFERROR(INDEX(Table_dim_price_recipe[Retail Price], MATCH(1, ("Calculator"&lt;&gt;Table_dim_price_recipe[Type.display])*($L971=Table_dim_price_recipe[Category])*($D971=Table_dim_price_recipe[Item Description]) * (I$6=Table_dim_price_recipe[Type])*(Table_dim_price_recipe[Retail Price]&lt;&gt;0)*($C971=Table_dim_price_recipe[Subcategory]), 0))*$B971,"")</f>
        <v/>
      </c>
      <c r="J971" s="39" t="str" cm="1">
        <f t="array" ref="J971">IFERROR(INDEX(Table_dim_price_recipe[Retail Price], MATCH(1, ("Calculator"&lt;&gt;Table_dim_price_recipe[Type.display])*($L971=Table_dim_price_recipe[Category])*($D971=Table_dim_price_recipe[Item Description]) * (J$6=Table_dim_price_recipe[Type])*(Table_dim_price_recipe[Retail Price]&lt;&gt;0)*($C971=Table_dim_price_recipe[Subcategory]), 0))*$B971,"")</f>
        <v/>
      </c>
      <c r="K971" s="39" t="str" cm="1">
        <f t="array" ref="K971">IFERROR(INDEX(Table_dim_price_recipe[Retail Price], MATCH(1, ("Calculator"&lt;&gt;Table_dim_price_recipe[Type.display])*($L971=Table_dim_price_recipe[Category])*($D971=Table_dim_price_recipe[Item Description]) * (K$6=Table_dim_price_recipe[Type])*(Table_dim_price_recipe[Retail Price]&lt;&gt;0)*($C971=Table_dim_price_recipe[Subcategory]), 0))*$B971,"")</f>
        <v/>
      </c>
      <c r="L971" s="39" t="str" cm="1">
        <f t="array" ref="L971">IF($A971&lt;&gt;"", $A971, LOOKUP(2, 1/((A$7:INDEX(A:A, ROW()))&lt;&gt;""), A$7:INDEX(A:A, ROW())))</f>
        <v>RENDERING</v>
      </c>
      <c r="M971" s="14"/>
    </row>
    <row r="972" spans="1:13">
      <c r="A972" s="263"/>
      <c r="B972" s="263"/>
      <c r="C972" s="263" t="s">
        <v>754</v>
      </c>
      <c r="D972" s="263"/>
      <c r="E972" s="263"/>
      <c r="F972" s="263"/>
      <c r="G972" s="39" t="str" cm="1">
        <f t="array" ref="G972">IFERROR(INDEX(Table_dim_price_recipe[Retail Price], MATCH(1, ("Calculator"&lt;&gt;Table_dim_price_recipe[Type.display])*($L972=Table_dim_price_recipe[Category])*($D972=Table_dim_price_recipe[Item Description]) * (G$6=Table_dim_price_recipe[Type])*(Table_dim_price_recipe[Retail Price]&lt;&gt;0)*($C972=Table_dim_price_recipe[Subcategory]), 0))*$B972,"")</f>
        <v/>
      </c>
      <c r="H972" s="39" t="str" cm="1">
        <f t="array" ref="H972">IFERROR(INDEX(Table_dim_price_recipe[Retail Price], MATCH(1, ("Calculator"&lt;&gt;Table_dim_price_recipe[Type.display])*($L972=Table_dim_price_recipe[Category])*($D972=Table_dim_price_recipe[Item Description]) * (H$6=Table_dim_price_recipe[Type])*(Table_dim_price_recipe[Retail Price]&lt;&gt;0)*($C972=Table_dim_price_recipe[Subcategory]), 0))*$B972,"")</f>
        <v/>
      </c>
      <c r="I972" s="39" t="str" cm="1">
        <f t="array" ref="I972">IFERROR(INDEX(Table_dim_price_recipe[Retail Price], MATCH(1, ("Calculator"&lt;&gt;Table_dim_price_recipe[Type.display])*($L972=Table_dim_price_recipe[Category])*($D972=Table_dim_price_recipe[Item Description]) * (I$6=Table_dim_price_recipe[Type])*(Table_dim_price_recipe[Retail Price]&lt;&gt;0)*($C972=Table_dim_price_recipe[Subcategory]), 0))*$B972,"")</f>
        <v/>
      </c>
      <c r="J972" s="39" t="str" cm="1">
        <f t="array" ref="J972">IFERROR(INDEX(Table_dim_price_recipe[Retail Price], MATCH(1, ("Calculator"&lt;&gt;Table_dim_price_recipe[Type.display])*($L972=Table_dim_price_recipe[Category])*($D972=Table_dim_price_recipe[Item Description]) * (J$6=Table_dim_price_recipe[Type])*(Table_dim_price_recipe[Retail Price]&lt;&gt;0)*($C972=Table_dim_price_recipe[Subcategory]), 0))*$B972,"")</f>
        <v/>
      </c>
      <c r="K972" s="39" t="str" cm="1">
        <f t="array" ref="K972">IFERROR(INDEX(Table_dim_price_recipe[Retail Price], MATCH(1, ("Calculator"&lt;&gt;Table_dim_price_recipe[Type.display])*($L972=Table_dim_price_recipe[Category])*($D972=Table_dim_price_recipe[Item Description]) * (K$6=Table_dim_price_recipe[Type])*(Table_dim_price_recipe[Retail Price]&lt;&gt;0)*($C972=Table_dim_price_recipe[Subcategory]), 0))*$B972,"")</f>
        <v/>
      </c>
      <c r="L972" s="39" t="str" cm="1">
        <f t="array" ref="L972">IF($A972&lt;&gt;"", $A972, LOOKUP(2, 1/((A$7:INDEX(A:A, ROW()))&lt;&gt;""), A$7:INDEX(A:A, ROW())))</f>
        <v>RENDERING</v>
      </c>
      <c r="M972" s="14"/>
    </row>
    <row r="973" spans="1:13">
      <c r="A973" s="260" t="s">
        <v>101</v>
      </c>
      <c r="B973" s="261"/>
      <c r="C973" s="261"/>
      <c r="D973" s="261"/>
      <c r="E973" s="261"/>
      <c r="F973" s="261"/>
      <c r="G973" s="262" t="str" cm="1">
        <f t="array" ref="G973">IFERROR(INDEX(Table_dim_price_recipe[Retail Price], MATCH(1, ("Calculator"&lt;&gt;Table_dim_price_recipe[Type.display])*($L973=Table_dim_price_recipe[Category])*($D973=Table_dim_price_recipe[Item Description]) * (G$6=Table_dim_price_recipe[Type])*(Table_dim_price_recipe[Retail Price]&lt;&gt;0)*($C973=Table_dim_price_recipe[Subcategory]), 0))*$B973,"")</f>
        <v/>
      </c>
      <c r="H973" s="262" t="str" cm="1">
        <f t="array" ref="H973">IFERROR(INDEX(Table_dim_price_recipe[Retail Price], MATCH(1, ("Calculator"&lt;&gt;Table_dim_price_recipe[Type.display])*($L973=Table_dim_price_recipe[Category])*($D973=Table_dim_price_recipe[Item Description]) * (H$6=Table_dim_price_recipe[Type])*(Table_dim_price_recipe[Retail Price]&lt;&gt;0)*($C973=Table_dim_price_recipe[Subcategory]), 0))*$B973,"")</f>
        <v/>
      </c>
      <c r="I973" s="262" t="str" cm="1">
        <f t="array" ref="I973">IFERROR(INDEX(Table_dim_price_recipe[Retail Price], MATCH(1, ("Calculator"&lt;&gt;Table_dim_price_recipe[Type.display])*($L973=Table_dim_price_recipe[Category])*($D973=Table_dim_price_recipe[Item Description]) * (I$6=Table_dim_price_recipe[Type])*(Table_dim_price_recipe[Retail Price]&lt;&gt;0)*($C973=Table_dim_price_recipe[Subcategory]), 0))*$B973,"")</f>
        <v/>
      </c>
      <c r="J973" s="262" t="str" cm="1">
        <f t="array" ref="J973">IFERROR(INDEX(Table_dim_price_recipe[Retail Price], MATCH(1, ("Calculator"&lt;&gt;Table_dim_price_recipe[Type.display])*($L973=Table_dim_price_recipe[Category])*($D973=Table_dim_price_recipe[Item Description]) * (J$6=Table_dim_price_recipe[Type])*(Table_dim_price_recipe[Retail Price]&lt;&gt;0)*($C973=Table_dim_price_recipe[Subcategory]), 0))*$B973,"")</f>
        <v/>
      </c>
      <c r="K973" s="262" t="str" cm="1">
        <f t="array" ref="K973">IFERROR(INDEX(Table_dim_price_recipe[Retail Price], MATCH(1, ("Calculator"&lt;&gt;Table_dim_price_recipe[Type.display])*($L973=Table_dim_price_recipe[Category])*($D973=Table_dim_price_recipe[Item Description]) * (K$6=Table_dim_price_recipe[Type])*(Table_dim_price_recipe[Retail Price]&lt;&gt;0)*($C973=Table_dim_price_recipe[Subcategory]), 0))*$B973,"")</f>
        <v/>
      </c>
      <c r="L973" s="262" t="str" cm="1">
        <f t="array" ref="L973">IF($A973&lt;&gt;"", $A973, LOOKUP(2, 1/((A$7:INDEX(A:A, ROW()))&lt;&gt;""), A$7:INDEX(A:A, ROW())))</f>
        <v>LABOUR CALCULATION FOR CARPORTS, VERANDAHS &amp; PERGOLAS</v>
      </c>
      <c r="M973" s="14"/>
    </row>
    <row r="974" spans="1:13">
      <c r="A974" s="263"/>
      <c r="B974" s="263"/>
      <c r="C974" s="263" t="s">
        <v>1027</v>
      </c>
      <c r="D974" s="263" t="s">
        <v>1028</v>
      </c>
      <c r="E974" s="263"/>
      <c r="F974" s="263"/>
      <c r="G974" s="39" t="str" cm="1">
        <f t="array" ref="G974">IFERROR(INDEX(Table_dim_price_recipe[Retail Price], MATCH(1, ("Calculator"&lt;&gt;Table_dim_price_recipe[Type.display])*($L974=Table_dim_price_recipe[Category])*($D974=Table_dim_price_recipe[Item Description]) * (G$6=Table_dim_price_recipe[Type])*(Table_dim_price_recipe[Retail Price]&lt;&gt;0)*($C974=Table_dim_price_recipe[Subcategory]), 0))*$B974,"")</f>
        <v/>
      </c>
      <c r="H974" s="39" t="str" cm="1">
        <f t="array" ref="H974">IFERROR(INDEX(Table_dim_price_recipe[Retail Price], MATCH(1, ("Calculator"&lt;&gt;Table_dim_price_recipe[Type.display])*($L974=Table_dim_price_recipe[Category])*($D974=Table_dim_price_recipe[Item Description]) * (H$6=Table_dim_price_recipe[Type])*(Table_dim_price_recipe[Retail Price]&lt;&gt;0)*($C974=Table_dim_price_recipe[Subcategory]), 0))*$B974,"")</f>
        <v/>
      </c>
      <c r="I974" s="39" t="str" cm="1">
        <f t="array" ref="I974">IFERROR(INDEX(Table_dim_price_recipe[Retail Price], MATCH(1, ("Calculator"&lt;&gt;Table_dim_price_recipe[Type.display])*($L974=Table_dim_price_recipe[Category])*($D974=Table_dim_price_recipe[Item Description]) * (I$6=Table_dim_price_recipe[Type])*(Table_dim_price_recipe[Retail Price]&lt;&gt;0)*($C974=Table_dim_price_recipe[Subcategory]), 0))*$B974,"")</f>
        <v/>
      </c>
      <c r="J974" s="39" t="str" cm="1">
        <f t="array" ref="J974">IFERROR(INDEX(Table_dim_price_recipe[Retail Price], MATCH(1, ("Calculator"&lt;&gt;Table_dim_price_recipe[Type.display])*($L974=Table_dim_price_recipe[Category])*($D974=Table_dim_price_recipe[Item Description]) * (J$6=Table_dim_price_recipe[Type])*(Table_dim_price_recipe[Retail Price]&lt;&gt;0)*($C974=Table_dim_price_recipe[Subcategory]), 0))*$B974,"")</f>
        <v/>
      </c>
      <c r="K974" s="39" t="str" cm="1">
        <f t="array" ref="K974">IFERROR(INDEX(Table_dim_price_recipe[Retail Price], MATCH(1, ("Calculator"&lt;&gt;Table_dim_price_recipe[Type.display])*($L974=Table_dim_price_recipe[Category])*($D974=Table_dim_price_recipe[Item Description]) * (K$6=Table_dim_price_recipe[Type])*(Table_dim_price_recipe[Retail Price]&lt;&gt;0)*($C974=Table_dim_price_recipe[Subcategory]), 0))*$B974,"")</f>
        <v/>
      </c>
      <c r="L974" s="39" t="str" cm="1">
        <f t="array" ref="L974">IF($A974&lt;&gt;"", $A974, LOOKUP(2, 1/((A$7:INDEX(A:A, ROW()))&lt;&gt;""), A$7:INDEX(A:A, ROW())))</f>
        <v>LABOUR CALCULATION FOR CARPORTS, VERANDAHS &amp; PERGOLAS</v>
      </c>
      <c r="M974" s="14"/>
    </row>
    <row r="975" spans="1:13">
      <c r="A975" s="263"/>
      <c r="B975" s="263"/>
      <c r="C975" s="263" t="s">
        <v>1027</v>
      </c>
      <c r="D975" s="263" t="s">
        <v>1175</v>
      </c>
      <c r="E975" s="263"/>
      <c r="F975" s="263"/>
      <c r="G975" s="39" t="str" cm="1">
        <f t="array" ref="G975">IFERROR(INDEX(Table_dim_price_recipe[Retail Price], MATCH(1, ("Calculator"&lt;&gt;Table_dim_price_recipe[Type.display])*($L975=Table_dim_price_recipe[Category])*($D975=Table_dim_price_recipe[Item Description]) * (G$6=Table_dim_price_recipe[Type])*(Table_dim_price_recipe[Retail Price]&lt;&gt;0)*($C975=Table_dim_price_recipe[Subcategory]), 0))*$B975,"")</f>
        <v/>
      </c>
      <c r="H975" s="39" cm="1">
        <f t="array" ref="H975">IFERROR(INDEX(Table_dim_price_recipe[Retail Price], MATCH(1, ("Calculator"&lt;&gt;Table_dim_price_recipe[Type.display])*($L975=Table_dim_price_recipe[Category])*($D975=Table_dim_price_recipe[Item Description]) * (H$6=Table_dim_price_recipe[Type])*(Table_dim_price_recipe[Retail Price]&lt;&gt;0)*($C975=Table_dim_price_recipe[Subcategory]), 0))*$B975,"")</f>
        <v>0</v>
      </c>
      <c r="I975" s="39" t="str" cm="1">
        <f t="array" ref="I975">IFERROR(INDEX(Table_dim_price_recipe[Retail Price], MATCH(1, ("Calculator"&lt;&gt;Table_dim_price_recipe[Type.display])*($L975=Table_dim_price_recipe[Category])*($D975=Table_dim_price_recipe[Item Description]) * (I$6=Table_dim_price_recipe[Type])*(Table_dim_price_recipe[Retail Price]&lt;&gt;0)*($C975=Table_dim_price_recipe[Subcategory]), 0))*$B975,"")</f>
        <v/>
      </c>
      <c r="J975" s="39" t="str" cm="1">
        <f t="array" ref="J975">IFERROR(INDEX(Table_dim_price_recipe[Retail Price], MATCH(1, ("Calculator"&lt;&gt;Table_dim_price_recipe[Type.display])*($L975=Table_dim_price_recipe[Category])*($D975=Table_dim_price_recipe[Item Description]) * (J$6=Table_dim_price_recipe[Type])*(Table_dim_price_recipe[Retail Price]&lt;&gt;0)*($C975=Table_dim_price_recipe[Subcategory]), 0))*$B975,"")</f>
        <v/>
      </c>
      <c r="K975" s="39" t="str" cm="1">
        <f t="array" ref="K975">IFERROR(INDEX(Table_dim_price_recipe[Retail Price], MATCH(1, ("Calculator"&lt;&gt;Table_dim_price_recipe[Type.display])*($L975=Table_dim_price_recipe[Category])*($D975=Table_dim_price_recipe[Item Description]) * (K$6=Table_dim_price_recipe[Type])*(Table_dim_price_recipe[Retail Price]&lt;&gt;0)*($C975=Table_dim_price_recipe[Subcategory]), 0))*$B975,"")</f>
        <v/>
      </c>
      <c r="L975" s="39" t="str" cm="1">
        <f t="array" ref="L975">IF($A975&lt;&gt;"", $A975, LOOKUP(2, 1/((A$7:INDEX(A:A, ROW()))&lt;&gt;""), A$7:INDEX(A:A, ROW())))</f>
        <v>LABOUR CALCULATION FOR CARPORTS, VERANDAHS &amp; PERGOLAS</v>
      </c>
      <c r="M975" s="14"/>
    </row>
    <row r="976" spans="1:13">
      <c r="A976" s="263"/>
      <c r="B976" s="263"/>
      <c r="C976" s="263" t="s">
        <v>1027</v>
      </c>
      <c r="D976" s="263" t="s">
        <v>1176</v>
      </c>
      <c r="E976" s="263"/>
      <c r="F976" s="263"/>
      <c r="G976" s="39" t="str" cm="1">
        <f t="array" ref="G976">IFERROR(INDEX(Table_dim_price_recipe[Retail Price], MATCH(1, ("Calculator"&lt;&gt;Table_dim_price_recipe[Type.display])*($L976=Table_dim_price_recipe[Category])*($D976=Table_dim_price_recipe[Item Description]) * (G$6=Table_dim_price_recipe[Type])*(Table_dim_price_recipe[Retail Price]&lt;&gt;0)*($C976=Table_dim_price_recipe[Subcategory]), 0))*$B976,"")</f>
        <v/>
      </c>
      <c r="H976" s="39" cm="1">
        <f t="array" ref="H976">IFERROR(INDEX(Table_dim_price_recipe[Retail Price], MATCH(1, ("Calculator"&lt;&gt;Table_dim_price_recipe[Type.display])*($L976=Table_dim_price_recipe[Category])*($D976=Table_dim_price_recipe[Item Description]) * (H$6=Table_dim_price_recipe[Type])*(Table_dim_price_recipe[Retail Price]&lt;&gt;0)*($C976=Table_dim_price_recipe[Subcategory]), 0))*$B976,"")</f>
        <v>0</v>
      </c>
      <c r="I976" s="39" t="str" cm="1">
        <f t="array" ref="I976">IFERROR(INDEX(Table_dim_price_recipe[Retail Price], MATCH(1, ("Calculator"&lt;&gt;Table_dim_price_recipe[Type.display])*($L976=Table_dim_price_recipe[Category])*($D976=Table_dim_price_recipe[Item Description]) * (I$6=Table_dim_price_recipe[Type])*(Table_dim_price_recipe[Retail Price]&lt;&gt;0)*($C976=Table_dim_price_recipe[Subcategory]), 0))*$B976,"")</f>
        <v/>
      </c>
      <c r="J976" s="39" t="str" cm="1">
        <f t="array" ref="J976">IFERROR(INDEX(Table_dim_price_recipe[Retail Price], MATCH(1, ("Calculator"&lt;&gt;Table_dim_price_recipe[Type.display])*($L976=Table_dim_price_recipe[Category])*($D976=Table_dim_price_recipe[Item Description]) * (J$6=Table_dim_price_recipe[Type])*(Table_dim_price_recipe[Retail Price]&lt;&gt;0)*($C976=Table_dim_price_recipe[Subcategory]), 0))*$B976,"")</f>
        <v/>
      </c>
      <c r="K976" s="39" t="str" cm="1">
        <f t="array" ref="K976">IFERROR(INDEX(Table_dim_price_recipe[Retail Price], MATCH(1, ("Calculator"&lt;&gt;Table_dim_price_recipe[Type.display])*($L976=Table_dim_price_recipe[Category])*($D976=Table_dim_price_recipe[Item Description]) * (K$6=Table_dim_price_recipe[Type])*(Table_dim_price_recipe[Retail Price]&lt;&gt;0)*($C976=Table_dim_price_recipe[Subcategory]), 0))*$B976,"")</f>
        <v/>
      </c>
      <c r="L976" s="39" t="str" cm="1">
        <f t="array" ref="L976">IF($A976&lt;&gt;"", $A976, LOOKUP(2, 1/((A$7:INDEX(A:A, ROW()))&lt;&gt;""), A$7:INDEX(A:A, ROW())))</f>
        <v>LABOUR CALCULATION FOR CARPORTS, VERANDAHS &amp; PERGOLAS</v>
      </c>
      <c r="M976" s="14"/>
    </row>
    <row r="977" spans="1:13">
      <c r="A977" s="263"/>
      <c r="B977" s="263"/>
      <c r="C977" s="263" t="s">
        <v>1027</v>
      </c>
      <c r="D977" s="263" t="s">
        <v>1177</v>
      </c>
      <c r="E977" s="263"/>
      <c r="F977" s="263"/>
      <c r="G977" s="39" t="str" cm="1">
        <f t="array" ref="G977">IFERROR(INDEX(Table_dim_price_recipe[Retail Price], MATCH(1, ("Calculator"&lt;&gt;Table_dim_price_recipe[Type.display])*($L977=Table_dim_price_recipe[Category])*($D977=Table_dim_price_recipe[Item Description]) * (G$6=Table_dim_price_recipe[Type])*(Table_dim_price_recipe[Retail Price]&lt;&gt;0)*($C977=Table_dim_price_recipe[Subcategory]), 0))*$B977,"")</f>
        <v/>
      </c>
      <c r="H977" s="39" cm="1">
        <f t="array" ref="H977">IFERROR(INDEX(Table_dim_price_recipe[Retail Price], MATCH(1, ("Calculator"&lt;&gt;Table_dim_price_recipe[Type.display])*($L977=Table_dim_price_recipe[Category])*($D977=Table_dim_price_recipe[Item Description]) * (H$6=Table_dim_price_recipe[Type])*(Table_dim_price_recipe[Retail Price]&lt;&gt;0)*($C977=Table_dim_price_recipe[Subcategory]), 0))*$B977,"")</f>
        <v>0</v>
      </c>
      <c r="I977" s="39" t="str" cm="1">
        <f t="array" ref="I977">IFERROR(INDEX(Table_dim_price_recipe[Retail Price], MATCH(1, ("Calculator"&lt;&gt;Table_dim_price_recipe[Type.display])*($L977=Table_dim_price_recipe[Category])*($D977=Table_dim_price_recipe[Item Description]) * (I$6=Table_dim_price_recipe[Type])*(Table_dim_price_recipe[Retail Price]&lt;&gt;0)*($C977=Table_dim_price_recipe[Subcategory]), 0))*$B977,"")</f>
        <v/>
      </c>
      <c r="J977" s="39" t="str" cm="1">
        <f t="array" ref="J977">IFERROR(INDEX(Table_dim_price_recipe[Retail Price], MATCH(1, ("Calculator"&lt;&gt;Table_dim_price_recipe[Type.display])*($L977=Table_dim_price_recipe[Category])*($D977=Table_dim_price_recipe[Item Description]) * (J$6=Table_dim_price_recipe[Type])*(Table_dim_price_recipe[Retail Price]&lt;&gt;0)*($C977=Table_dim_price_recipe[Subcategory]), 0))*$B977,"")</f>
        <v/>
      </c>
      <c r="K977" s="39" t="str" cm="1">
        <f t="array" ref="K977">IFERROR(INDEX(Table_dim_price_recipe[Retail Price], MATCH(1, ("Calculator"&lt;&gt;Table_dim_price_recipe[Type.display])*($L977=Table_dim_price_recipe[Category])*($D977=Table_dim_price_recipe[Item Description]) * (K$6=Table_dim_price_recipe[Type])*(Table_dim_price_recipe[Retail Price]&lt;&gt;0)*($C977=Table_dim_price_recipe[Subcategory]), 0))*$B977,"")</f>
        <v/>
      </c>
      <c r="L977" s="39" t="str" cm="1">
        <f t="array" ref="L977">IF($A977&lt;&gt;"", $A977, LOOKUP(2, 1/((A$7:INDEX(A:A, ROW()))&lt;&gt;""), A$7:INDEX(A:A, ROW())))</f>
        <v>LABOUR CALCULATION FOR CARPORTS, VERANDAHS &amp; PERGOLAS</v>
      </c>
      <c r="M977" s="14"/>
    </row>
    <row r="978" spans="1:13">
      <c r="A978" s="263"/>
      <c r="B978" s="263"/>
      <c r="C978" s="263" t="s">
        <v>1027</v>
      </c>
      <c r="D978" s="263" t="s">
        <v>1178</v>
      </c>
      <c r="E978" s="263"/>
      <c r="F978" s="263"/>
      <c r="G978" s="39" t="str" cm="1">
        <f t="array" ref="G978">IFERROR(INDEX(Table_dim_price_recipe[Retail Price], MATCH(1, ("Calculator"&lt;&gt;Table_dim_price_recipe[Type.display])*($L978=Table_dim_price_recipe[Category])*($D978=Table_dim_price_recipe[Item Description]) * (G$6=Table_dim_price_recipe[Type])*(Table_dim_price_recipe[Retail Price]&lt;&gt;0)*($C978=Table_dim_price_recipe[Subcategory]), 0))*$B978,"")</f>
        <v/>
      </c>
      <c r="H978" s="39" cm="1">
        <f t="array" ref="H978">IFERROR(INDEX(Table_dim_price_recipe[Retail Price], MATCH(1, ("Calculator"&lt;&gt;Table_dim_price_recipe[Type.display])*($L978=Table_dim_price_recipe[Category])*($D978=Table_dim_price_recipe[Item Description]) * (H$6=Table_dim_price_recipe[Type])*(Table_dim_price_recipe[Retail Price]&lt;&gt;0)*($C978=Table_dim_price_recipe[Subcategory]), 0))*$B978,"")</f>
        <v>0</v>
      </c>
      <c r="I978" s="39" t="str" cm="1">
        <f t="array" ref="I978">IFERROR(INDEX(Table_dim_price_recipe[Retail Price], MATCH(1, ("Calculator"&lt;&gt;Table_dim_price_recipe[Type.display])*($L978=Table_dim_price_recipe[Category])*($D978=Table_dim_price_recipe[Item Description]) * (I$6=Table_dim_price_recipe[Type])*(Table_dim_price_recipe[Retail Price]&lt;&gt;0)*($C978=Table_dim_price_recipe[Subcategory]), 0))*$B978,"")</f>
        <v/>
      </c>
      <c r="J978" s="39" t="str" cm="1">
        <f t="array" ref="J978">IFERROR(INDEX(Table_dim_price_recipe[Retail Price], MATCH(1, ("Calculator"&lt;&gt;Table_dim_price_recipe[Type.display])*($L978=Table_dim_price_recipe[Category])*($D978=Table_dim_price_recipe[Item Description]) * (J$6=Table_dim_price_recipe[Type])*(Table_dim_price_recipe[Retail Price]&lt;&gt;0)*($C978=Table_dim_price_recipe[Subcategory]), 0))*$B978,"")</f>
        <v/>
      </c>
      <c r="K978" s="39" t="str" cm="1">
        <f t="array" ref="K978">IFERROR(INDEX(Table_dim_price_recipe[Retail Price], MATCH(1, ("Calculator"&lt;&gt;Table_dim_price_recipe[Type.display])*($L978=Table_dim_price_recipe[Category])*($D978=Table_dim_price_recipe[Item Description]) * (K$6=Table_dim_price_recipe[Type])*(Table_dim_price_recipe[Retail Price]&lt;&gt;0)*($C978=Table_dim_price_recipe[Subcategory]), 0))*$B978,"")</f>
        <v/>
      </c>
      <c r="L978" s="39" t="str" cm="1">
        <f t="array" ref="L978">IF($A978&lt;&gt;"", $A978, LOOKUP(2, 1/((A$7:INDEX(A:A, ROW()))&lt;&gt;""), A$7:INDEX(A:A, ROW())))</f>
        <v>LABOUR CALCULATION FOR CARPORTS, VERANDAHS &amp; PERGOLAS</v>
      </c>
      <c r="M978" s="14"/>
    </row>
    <row r="979" spans="1:13">
      <c r="A979" s="263"/>
      <c r="B979" s="263"/>
      <c r="C979" s="263" t="s">
        <v>1027</v>
      </c>
      <c r="D979" s="263" t="s">
        <v>1179</v>
      </c>
      <c r="E979" s="263"/>
      <c r="F979" s="263"/>
      <c r="G979" s="39" t="str" cm="1">
        <f t="array" ref="G979">IFERROR(INDEX(Table_dim_price_recipe[Retail Price], MATCH(1, ("Calculator"&lt;&gt;Table_dim_price_recipe[Type.display])*($L979=Table_dim_price_recipe[Category])*($D979=Table_dim_price_recipe[Item Description]) * (G$6=Table_dim_price_recipe[Type])*(Table_dim_price_recipe[Retail Price]&lt;&gt;0)*($C979=Table_dim_price_recipe[Subcategory]), 0))*$B979,"")</f>
        <v/>
      </c>
      <c r="H979" s="39" t="str" cm="1">
        <f t="array" ref="H979">IFERROR(INDEX(Table_dim_price_recipe[Retail Price], MATCH(1, ("Calculator"&lt;&gt;Table_dim_price_recipe[Type.display])*($L979=Table_dim_price_recipe[Category])*($D979=Table_dim_price_recipe[Item Description]) * (H$6=Table_dim_price_recipe[Type])*(Table_dim_price_recipe[Retail Price]&lt;&gt;0)*($C979=Table_dim_price_recipe[Subcategory]), 0))*$B979,"")</f>
        <v/>
      </c>
      <c r="I979" s="39" t="str" cm="1">
        <f t="array" ref="I979">IFERROR(INDEX(Table_dim_price_recipe[Retail Price], MATCH(1, ("Calculator"&lt;&gt;Table_dim_price_recipe[Type.display])*($L979=Table_dim_price_recipe[Category])*($D979=Table_dim_price_recipe[Item Description]) * (I$6=Table_dim_price_recipe[Type])*(Table_dim_price_recipe[Retail Price]&lt;&gt;0)*($C979=Table_dim_price_recipe[Subcategory]), 0))*$B979,"")</f>
        <v/>
      </c>
      <c r="J979" s="39" t="str" cm="1">
        <f t="array" ref="J979">IFERROR(INDEX(Table_dim_price_recipe[Retail Price], MATCH(1, ("Calculator"&lt;&gt;Table_dim_price_recipe[Type.display])*($L979=Table_dim_price_recipe[Category])*($D979=Table_dim_price_recipe[Item Description]) * (J$6=Table_dim_price_recipe[Type])*(Table_dim_price_recipe[Retail Price]&lt;&gt;0)*($C979=Table_dim_price_recipe[Subcategory]), 0))*$B979,"")</f>
        <v/>
      </c>
      <c r="K979" s="39" t="str" cm="1">
        <f t="array" ref="K979">IFERROR(INDEX(Table_dim_price_recipe[Retail Price], MATCH(1, ("Calculator"&lt;&gt;Table_dim_price_recipe[Type.display])*($L979=Table_dim_price_recipe[Category])*($D979=Table_dim_price_recipe[Item Description]) * (K$6=Table_dim_price_recipe[Type])*(Table_dim_price_recipe[Retail Price]&lt;&gt;0)*($C979=Table_dim_price_recipe[Subcategory]), 0))*$B979,"")</f>
        <v/>
      </c>
      <c r="L979" s="39" t="str" cm="1">
        <f t="array" ref="L979">IF($A979&lt;&gt;"", $A979, LOOKUP(2, 1/((A$7:INDEX(A:A, ROW()))&lt;&gt;""), A$7:INDEX(A:A, ROW())))</f>
        <v>LABOUR CALCULATION FOR CARPORTS, VERANDAHS &amp; PERGOLAS</v>
      </c>
      <c r="M979" s="14"/>
    </row>
    <row r="980" spans="1:13">
      <c r="A980" s="263"/>
      <c r="B980" s="263"/>
      <c r="C980" s="263" t="s">
        <v>1027</v>
      </c>
      <c r="D980" s="263" t="s">
        <v>1180</v>
      </c>
      <c r="E980" s="263"/>
      <c r="F980" s="263"/>
      <c r="G980" s="39" t="str" cm="1">
        <f t="array" ref="G980">IFERROR(INDEX(Table_dim_price_recipe[Retail Price], MATCH(1, ("Calculator"&lt;&gt;Table_dim_price_recipe[Type.display])*($L980=Table_dim_price_recipe[Category])*($D980=Table_dim_price_recipe[Item Description]) * (G$6=Table_dim_price_recipe[Type])*(Table_dim_price_recipe[Retail Price]&lt;&gt;0)*($C980=Table_dim_price_recipe[Subcategory]), 0))*$B980,"")</f>
        <v/>
      </c>
      <c r="H980" s="39" cm="1">
        <f t="array" ref="H980">IFERROR(INDEX(Table_dim_price_recipe[Retail Price], MATCH(1, ("Calculator"&lt;&gt;Table_dim_price_recipe[Type.display])*($L980=Table_dim_price_recipe[Category])*($D980=Table_dim_price_recipe[Item Description]) * (H$6=Table_dim_price_recipe[Type])*(Table_dim_price_recipe[Retail Price]&lt;&gt;0)*($C980=Table_dim_price_recipe[Subcategory]), 0))*$B980,"")</f>
        <v>0</v>
      </c>
      <c r="I980" s="39" t="str" cm="1">
        <f t="array" ref="I980">IFERROR(INDEX(Table_dim_price_recipe[Retail Price], MATCH(1, ("Calculator"&lt;&gt;Table_dim_price_recipe[Type.display])*($L980=Table_dim_price_recipe[Category])*($D980=Table_dim_price_recipe[Item Description]) * (I$6=Table_dim_price_recipe[Type])*(Table_dim_price_recipe[Retail Price]&lt;&gt;0)*($C980=Table_dim_price_recipe[Subcategory]), 0))*$B980,"")</f>
        <v/>
      </c>
      <c r="J980" s="39" t="str" cm="1">
        <f t="array" ref="J980">IFERROR(INDEX(Table_dim_price_recipe[Retail Price], MATCH(1, ("Calculator"&lt;&gt;Table_dim_price_recipe[Type.display])*($L980=Table_dim_price_recipe[Category])*($D980=Table_dim_price_recipe[Item Description]) * (J$6=Table_dim_price_recipe[Type])*(Table_dim_price_recipe[Retail Price]&lt;&gt;0)*($C980=Table_dim_price_recipe[Subcategory]), 0))*$B980,"")</f>
        <v/>
      </c>
      <c r="K980" s="39" t="str" cm="1">
        <f t="array" ref="K980">IFERROR(INDEX(Table_dim_price_recipe[Retail Price], MATCH(1, ("Calculator"&lt;&gt;Table_dim_price_recipe[Type.display])*($L980=Table_dim_price_recipe[Category])*($D980=Table_dim_price_recipe[Item Description]) * (K$6=Table_dim_price_recipe[Type])*(Table_dim_price_recipe[Retail Price]&lt;&gt;0)*($C980=Table_dim_price_recipe[Subcategory]), 0))*$B980,"")</f>
        <v/>
      </c>
      <c r="L980" s="39" t="str" cm="1">
        <f t="array" ref="L980">IF($A980&lt;&gt;"", $A980, LOOKUP(2, 1/((A$7:INDEX(A:A, ROW()))&lt;&gt;""), A$7:INDEX(A:A, ROW())))</f>
        <v>LABOUR CALCULATION FOR CARPORTS, VERANDAHS &amp; PERGOLAS</v>
      </c>
      <c r="M980" s="14"/>
    </row>
    <row r="981" spans="1:13">
      <c r="A981" s="263"/>
      <c r="B981" s="263"/>
      <c r="C981" s="263" t="s">
        <v>1027</v>
      </c>
      <c r="D981" s="263"/>
      <c r="E981" s="263"/>
      <c r="F981" s="263"/>
      <c r="G981" s="39" t="str" cm="1">
        <f t="array" ref="G981">IFERROR(INDEX(Table_dim_price_recipe[Retail Price], MATCH(1, ("Calculator"&lt;&gt;Table_dim_price_recipe[Type.display])*($L981=Table_dim_price_recipe[Category])*($D981=Table_dim_price_recipe[Item Description]) * (G$6=Table_dim_price_recipe[Type])*(Table_dim_price_recipe[Retail Price]&lt;&gt;0)*($C981=Table_dim_price_recipe[Subcategory]), 0))*$B981,"")</f>
        <v/>
      </c>
      <c r="H981" s="39" cm="1">
        <f t="array" ref="H981">IFERROR(INDEX(Table_dim_price_recipe[Retail Price], MATCH(1, ("Calculator"&lt;&gt;Table_dim_price_recipe[Type.display])*($L981=Table_dim_price_recipe[Category])*($D981=Table_dim_price_recipe[Item Description]) * (H$6=Table_dim_price_recipe[Type])*(Table_dim_price_recipe[Retail Price]&lt;&gt;0)*($C981=Table_dim_price_recipe[Subcategory]), 0))*$B981,"")</f>
        <v>0</v>
      </c>
      <c r="I981" s="39" t="str" cm="1">
        <f t="array" ref="I981">IFERROR(INDEX(Table_dim_price_recipe[Retail Price], MATCH(1, ("Calculator"&lt;&gt;Table_dim_price_recipe[Type.display])*($L981=Table_dim_price_recipe[Category])*($D981=Table_dim_price_recipe[Item Description]) * (I$6=Table_dim_price_recipe[Type])*(Table_dim_price_recipe[Retail Price]&lt;&gt;0)*($C981=Table_dim_price_recipe[Subcategory]), 0))*$B981,"")</f>
        <v/>
      </c>
      <c r="J981" s="39" t="str" cm="1">
        <f t="array" ref="J981">IFERROR(INDEX(Table_dim_price_recipe[Retail Price], MATCH(1, ("Calculator"&lt;&gt;Table_dim_price_recipe[Type.display])*($L981=Table_dim_price_recipe[Category])*($D981=Table_dim_price_recipe[Item Description]) * (J$6=Table_dim_price_recipe[Type])*(Table_dim_price_recipe[Retail Price]&lt;&gt;0)*($C981=Table_dim_price_recipe[Subcategory]), 0))*$B981,"")</f>
        <v/>
      </c>
      <c r="K981" s="39" t="str" cm="1">
        <f t="array" ref="K981">IFERROR(INDEX(Table_dim_price_recipe[Retail Price], MATCH(1, ("Calculator"&lt;&gt;Table_dim_price_recipe[Type.display])*($L981=Table_dim_price_recipe[Category])*($D981=Table_dim_price_recipe[Item Description]) * (K$6=Table_dim_price_recipe[Type])*(Table_dim_price_recipe[Retail Price]&lt;&gt;0)*($C981=Table_dim_price_recipe[Subcategory]), 0))*$B981,"")</f>
        <v/>
      </c>
      <c r="L981" s="39" t="str" cm="1">
        <f t="array" ref="L981">IF($A981&lt;&gt;"", $A981, LOOKUP(2, 1/((A$7:INDEX(A:A, ROW()))&lt;&gt;""), A$7:INDEX(A:A, ROW())))</f>
        <v>LABOUR CALCULATION FOR CARPORTS, VERANDAHS &amp; PERGOLAS</v>
      </c>
      <c r="M981" s="14"/>
    </row>
    <row r="982" spans="1:13">
      <c r="A982" s="263"/>
      <c r="B982" s="263"/>
      <c r="C982" s="263" t="s">
        <v>1027</v>
      </c>
      <c r="D982" s="263"/>
      <c r="E982" s="263"/>
      <c r="F982" s="263"/>
      <c r="G982" s="39" t="str" cm="1">
        <f t="array" ref="G982">IFERROR(INDEX(Table_dim_price_recipe[Retail Price], MATCH(1, ("Calculator"&lt;&gt;Table_dim_price_recipe[Type.display])*($L982=Table_dim_price_recipe[Category])*($D982=Table_dim_price_recipe[Item Description]) * (G$6=Table_dim_price_recipe[Type])*(Table_dim_price_recipe[Retail Price]&lt;&gt;0)*($C982=Table_dim_price_recipe[Subcategory]), 0))*$B982,"")</f>
        <v/>
      </c>
      <c r="H982" s="39" cm="1">
        <f t="array" ref="H982">IFERROR(INDEX(Table_dim_price_recipe[Retail Price], MATCH(1, ("Calculator"&lt;&gt;Table_dim_price_recipe[Type.display])*($L982=Table_dim_price_recipe[Category])*($D982=Table_dim_price_recipe[Item Description]) * (H$6=Table_dim_price_recipe[Type])*(Table_dim_price_recipe[Retail Price]&lt;&gt;0)*($C982=Table_dim_price_recipe[Subcategory]), 0))*$B982,"")</f>
        <v>0</v>
      </c>
      <c r="I982" s="39" t="str" cm="1">
        <f t="array" ref="I982">IFERROR(INDEX(Table_dim_price_recipe[Retail Price], MATCH(1, ("Calculator"&lt;&gt;Table_dim_price_recipe[Type.display])*($L982=Table_dim_price_recipe[Category])*($D982=Table_dim_price_recipe[Item Description]) * (I$6=Table_dim_price_recipe[Type])*(Table_dim_price_recipe[Retail Price]&lt;&gt;0)*($C982=Table_dim_price_recipe[Subcategory]), 0))*$B982,"")</f>
        <v/>
      </c>
      <c r="J982" s="39" t="str" cm="1">
        <f t="array" ref="J982">IFERROR(INDEX(Table_dim_price_recipe[Retail Price], MATCH(1, ("Calculator"&lt;&gt;Table_dim_price_recipe[Type.display])*($L982=Table_dim_price_recipe[Category])*($D982=Table_dim_price_recipe[Item Description]) * (J$6=Table_dim_price_recipe[Type])*(Table_dim_price_recipe[Retail Price]&lt;&gt;0)*($C982=Table_dim_price_recipe[Subcategory]), 0))*$B982,"")</f>
        <v/>
      </c>
      <c r="K982" s="39" t="str" cm="1">
        <f t="array" ref="K982">IFERROR(INDEX(Table_dim_price_recipe[Retail Price], MATCH(1, ("Calculator"&lt;&gt;Table_dim_price_recipe[Type.display])*($L982=Table_dim_price_recipe[Category])*($D982=Table_dim_price_recipe[Item Description]) * (K$6=Table_dim_price_recipe[Type])*(Table_dim_price_recipe[Retail Price]&lt;&gt;0)*($C982=Table_dim_price_recipe[Subcategory]), 0))*$B982,"")</f>
        <v/>
      </c>
      <c r="L982" s="39" t="str" cm="1">
        <f t="array" ref="L982">IF($A982&lt;&gt;"", $A982, LOOKUP(2, 1/((A$7:INDEX(A:A, ROW()))&lt;&gt;""), A$7:INDEX(A:A, ROW())))</f>
        <v>LABOUR CALCULATION FOR CARPORTS, VERANDAHS &amp; PERGOLAS</v>
      </c>
      <c r="M982" s="14"/>
    </row>
    <row r="983" spans="1:13">
      <c r="A983" s="263"/>
      <c r="B983" s="263"/>
      <c r="C983" s="263" t="s">
        <v>1015</v>
      </c>
      <c r="D983" s="263" t="s">
        <v>36</v>
      </c>
      <c r="E983" s="263"/>
      <c r="F983" s="263"/>
      <c r="G983" s="39" t="str" cm="1">
        <f t="array" ref="G983">IFERROR(INDEX(Table_dim_price_recipe[Retail Price], MATCH(1, ("Calculator"&lt;&gt;Table_dim_price_recipe[Type.display])*($L983=Table_dim_price_recipe[Category])*($D983=Table_dim_price_recipe[Item Description]) * (G$6=Table_dim_price_recipe[Type])*(Table_dim_price_recipe[Retail Price]&lt;&gt;0)*($C983=Table_dim_price_recipe[Subcategory]), 0))*$B983,"")</f>
        <v/>
      </c>
      <c r="H983" s="39" cm="1">
        <f t="array" ref="H983">IFERROR(INDEX(Table_dim_price_recipe[Retail Price], MATCH(1, ("Calculator"&lt;&gt;Table_dim_price_recipe[Type.display])*($L983=Table_dim_price_recipe[Category])*($D983=Table_dim_price_recipe[Item Description]) * (H$6=Table_dim_price_recipe[Type])*(Table_dim_price_recipe[Retail Price]&lt;&gt;0)*($C983=Table_dim_price_recipe[Subcategory]), 0))*$B983,"")</f>
        <v>0</v>
      </c>
      <c r="I983" s="39" t="str" cm="1">
        <f t="array" ref="I983">IFERROR(INDEX(Table_dim_price_recipe[Retail Price], MATCH(1, ("Calculator"&lt;&gt;Table_dim_price_recipe[Type.display])*($L983=Table_dim_price_recipe[Category])*($D983=Table_dim_price_recipe[Item Description]) * (I$6=Table_dim_price_recipe[Type])*(Table_dim_price_recipe[Retail Price]&lt;&gt;0)*($C983=Table_dim_price_recipe[Subcategory]), 0))*$B983,"")</f>
        <v/>
      </c>
      <c r="J983" s="39" t="str" cm="1">
        <f t="array" ref="J983">IFERROR(INDEX(Table_dim_price_recipe[Retail Price], MATCH(1, ("Calculator"&lt;&gt;Table_dim_price_recipe[Type.display])*($L983=Table_dim_price_recipe[Category])*($D983=Table_dim_price_recipe[Item Description]) * (J$6=Table_dim_price_recipe[Type])*(Table_dim_price_recipe[Retail Price]&lt;&gt;0)*($C983=Table_dim_price_recipe[Subcategory]), 0))*$B983,"")</f>
        <v/>
      </c>
      <c r="K983" s="39" t="str" cm="1">
        <f t="array" ref="K983">IFERROR(INDEX(Table_dim_price_recipe[Retail Price], MATCH(1, ("Calculator"&lt;&gt;Table_dim_price_recipe[Type.display])*($L983=Table_dim_price_recipe[Category])*($D983=Table_dim_price_recipe[Item Description]) * (K$6=Table_dim_price_recipe[Type])*(Table_dim_price_recipe[Retail Price]&lt;&gt;0)*($C983=Table_dim_price_recipe[Subcategory]), 0))*$B983,"")</f>
        <v/>
      </c>
      <c r="L983" s="39" t="str" cm="1">
        <f t="array" ref="L983">IF($A983&lt;&gt;"", $A983, LOOKUP(2, 1/((A$7:INDEX(A:A, ROW()))&lt;&gt;""), A$7:INDEX(A:A, ROW())))</f>
        <v>LABOUR CALCULATION FOR CARPORTS, VERANDAHS &amp; PERGOLAS</v>
      </c>
      <c r="M983" s="14"/>
    </row>
    <row r="984" spans="1:13">
      <c r="A984" s="263"/>
      <c r="B984" s="263"/>
      <c r="C984" s="263" t="s">
        <v>1015</v>
      </c>
      <c r="D984" s="263" t="s">
        <v>1026</v>
      </c>
      <c r="E984" s="263"/>
      <c r="F984" s="263"/>
      <c r="G984" s="39" t="str" cm="1">
        <f t="array" ref="G984">IFERROR(INDEX(Table_dim_price_recipe[Retail Price], MATCH(1, ("Calculator"&lt;&gt;Table_dim_price_recipe[Type.display])*($L984=Table_dim_price_recipe[Category])*($D984=Table_dim_price_recipe[Item Description]) * (G$6=Table_dim_price_recipe[Type])*(Table_dim_price_recipe[Retail Price]&lt;&gt;0)*($C984=Table_dim_price_recipe[Subcategory]), 0))*$B984,"")</f>
        <v/>
      </c>
      <c r="H984" s="39" t="str" cm="1">
        <f t="array" ref="H984">IFERROR(INDEX(Table_dim_price_recipe[Retail Price], MATCH(1, ("Calculator"&lt;&gt;Table_dim_price_recipe[Type.display])*($L984=Table_dim_price_recipe[Category])*($D984=Table_dim_price_recipe[Item Description]) * (H$6=Table_dim_price_recipe[Type])*(Table_dim_price_recipe[Retail Price]&lt;&gt;0)*($C984=Table_dim_price_recipe[Subcategory]), 0))*$B984,"")</f>
        <v/>
      </c>
      <c r="I984" s="39" t="str" cm="1">
        <f t="array" ref="I984">IFERROR(INDEX(Table_dim_price_recipe[Retail Price], MATCH(1, ("Calculator"&lt;&gt;Table_dim_price_recipe[Type.display])*($L984=Table_dim_price_recipe[Category])*($D984=Table_dim_price_recipe[Item Description]) * (I$6=Table_dim_price_recipe[Type])*(Table_dim_price_recipe[Retail Price]&lt;&gt;0)*($C984=Table_dim_price_recipe[Subcategory]), 0))*$B984,"")</f>
        <v/>
      </c>
      <c r="J984" s="39" t="str" cm="1">
        <f t="array" ref="J984">IFERROR(INDEX(Table_dim_price_recipe[Retail Price], MATCH(1, ("Calculator"&lt;&gt;Table_dim_price_recipe[Type.display])*($L984=Table_dim_price_recipe[Category])*($D984=Table_dim_price_recipe[Item Description]) * (J$6=Table_dim_price_recipe[Type])*(Table_dim_price_recipe[Retail Price]&lt;&gt;0)*($C984=Table_dim_price_recipe[Subcategory]), 0))*$B984,"")</f>
        <v/>
      </c>
      <c r="K984" s="39" t="str" cm="1">
        <f t="array" ref="K984">IFERROR(INDEX(Table_dim_price_recipe[Retail Price], MATCH(1, ("Calculator"&lt;&gt;Table_dim_price_recipe[Type.display])*($L984=Table_dim_price_recipe[Category])*($D984=Table_dim_price_recipe[Item Description]) * (K$6=Table_dim_price_recipe[Type])*(Table_dim_price_recipe[Retail Price]&lt;&gt;0)*($C984=Table_dim_price_recipe[Subcategory]), 0))*$B984,"")</f>
        <v/>
      </c>
      <c r="L984" s="39" t="str" cm="1">
        <f t="array" ref="L984">IF($A984&lt;&gt;"", $A984, LOOKUP(2, 1/((A$7:INDEX(A:A, ROW()))&lt;&gt;""), A$7:INDEX(A:A, ROW())))</f>
        <v>LABOUR CALCULATION FOR CARPORTS, VERANDAHS &amp; PERGOLAS</v>
      </c>
      <c r="M984" s="14"/>
    </row>
    <row r="985" spans="1:13">
      <c r="A985" s="263"/>
      <c r="B985" s="263"/>
      <c r="C985" s="263" t="s">
        <v>1015</v>
      </c>
      <c r="D985" s="263" t="s">
        <v>1023</v>
      </c>
      <c r="E985" s="263"/>
      <c r="F985" s="263"/>
      <c r="G985" s="39" t="str" cm="1">
        <f t="array" ref="G985">IFERROR(INDEX(Table_dim_price_recipe[Retail Price], MATCH(1, ("Calculator"&lt;&gt;Table_dim_price_recipe[Type.display])*($L985=Table_dim_price_recipe[Category])*($D985=Table_dim_price_recipe[Item Description]) * (G$6=Table_dim_price_recipe[Type])*(Table_dim_price_recipe[Retail Price]&lt;&gt;0)*($C985=Table_dim_price_recipe[Subcategory]), 0))*$B985,"")</f>
        <v/>
      </c>
      <c r="H985" s="39" cm="1">
        <f t="array" ref="H985">IFERROR(INDEX(Table_dim_price_recipe[Retail Price], MATCH(1, ("Calculator"&lt;&gt;Table_dim_price_recipe[Type.display])*($L985=Table_dim_price_recipe[Category])*($D985=Table_dim_price_recipe[Item Description]) * (H$6=Table_dim_price_recipe[Type])*(Table_dim_price_recipe[Retail Price]&lt;&gt;0)*($C985=Table_dim_price_recipe[Subcategory]), 0))*$B985,"")</f>
        <v>0</v>
      </c>
      <c r="I985" s="39" t="str" cm="1">
        <f t="array" ref="I985">IFERROR(INDEX(Table_dim_price_recipe[Retail Price], MATCH(1, ("Calculator"&lt;&gt;Table_dim_price_recipe[Type.display])*($L985=Table_dim_price_recipe[Category])*($D985=Table_dim_price_recipe[Item Description]) * (I$6=Table_dim_price_recipe[Type])*(Table_dim_price_recipe[Retail Price]&lt;&gt;0)*($C985=Table_dim_price_recipe[Subcategory]), 0))*$B985,"")</f>
        <v/>
      </c>
      <c r="J985" s="39" t="str" cm="1">
        <f t="array" ref="J985">IFERROR(INDEX(Table_dim_price_recipe[Retail Price], MATCH(1, ("Calculator"&lt;&gt;Table_dim_price_recipe[Type.display])*($L985=Table_dim_price_recipe[Category])*($D985=Table_dim_price_recipe[Item Description]) * (J$6=Table_dim_price_recipe[Type])*(Table_dim_price_recipe[Retail Price]&lt;&gt;0)*($C985=Table_dim_price_recipe[Subcategory]), 0))*$B985,"")</f>
        <v/>
      </c>
      <c r="K985" s="39" t="str" cm="1">
        <f t="array" ref="K985">IFERROR(INDEX(Table_dim_price_recipe[Retail Price], MATCH(1, ("Calculator"&lt;&gt;Table_dim_price_recipe[Type.display])*($L985=Table_dim_price_recipe[Category])*($D985=Table_dim_price_recipe[Item Description]) * (K$6=Table_dim_price_recipe[Type])*(Table_dim_price_recipe[Retail Price]&lt;&gt;0)*($C985=Table_dim_price_recipe[Subcategory]), 0))*$B985,"")</f>
        <v/>
      </c>
      <c r="L985" s="39" t="str" cm="1">
        <f t="array" ref="L985">IF($A985&lt;&gt;"", $A985, LOOKUP(2, 1/((A$7:INDEX(A:A, ROW()))&lt;&gt;""), A$7:INDEX(A:A, ROW())))</f>
        <v>LABOUR CALCULATION FOR CARPORTS, VERANDAHS &amp; PERGOLAS</v>
      </c>
      <c r="M985" s="14"/>
    </row>
    <row r="986" spans="1:13">
      <c r="A986" s="263"/>
      <c r="B986" s="263"/>
      <c r="C986" s="263" t="s">
        <v>1015</v>
      </c>
      <c r="D986" s="263" t="s">
        <v>1021</v>
      </c>
      <c r="E986" s="263"/>
      <c r="F986" s="263"/>
      <c r="G986" s="39" t="str" cm="1">
        <f t="array" ref="G986">IFERROR(INDEX(Table_dim_price_recipe[Retail Price], MATCH(1, ("Calculator"&lt;&gt;Table_dim_price_recipe[Type.display])*($L986=Table_dim_price_recipe[Category])*($D986=Table_dim_price_recipe[Item Description]) * (G$6=Table_dim_price_recipe[Type])*(Table_dim_price_recipe[Retail Price]&lt;&gt;0)*($C986=Table_dim_price_recipe[Subcategory]), 0))*$B986,"")</f>
        <v/>
      </c>
      <c r="H986" s="39" cm="1">
        <f t="array" ref="H986">IFERROR(INDEX(Table_dim_price_recipe[Retail Price], MATCH(1, ("Calculator"&lt;&gt;Table_dim_price_recipe[Type.display])*($L986=Table_dim_price_recipe[Category])*($D986=Table_dim_price_recipe[Item Description]) * (H$6=Table_dim_price_recipe[Type])*(Table_dim_price_recipe[Retail Price]&lt;&gt;0)*($C986=Table_dim_price_recipe[Subcategory]), 0))*$B986,"")</f>
        <v>0</v>
      </c>
      <c r="I986" s="39" t="str" cm="1">
        <f t="array" ref="I986">IFERROR(INDEX(Table_dim_price_recipe[Retail Price], MATCH(1, ("Calculator"&lt;&gt;Table_dim_price_recipe[Type.display])*($L986=Table_dim_price_recipe[Category])*($D986=Table_dim_price_recipe[Item Description]) * (I$6=Table_dim_price_recipe[Type])*(Table_dim_price_recipe[Retail Price]&lt;&gt;0)*($C986=Table_dim_price_recipe[Subcategory]), 0))*$B986,"")</f>
        <v/>
      </c>
      <c r="J986" s="39" t="str" cm="1">
        <f t="array" ref="J986">IFERROR(INDEX(Table_dim_price_recipe[Retail Price], MATCH(1, ("Calculator"&lt;&gt;Table_dim_price_recipe[Type.display])*($L986=Table_dim_price_recipe[Category])*($D986=Table_dim_price_recipe[Item Description]) * (J$6=Table_dim_price_recipe[Type])*(Table_dim_price_recipe[Retail Price]&lt;&gt;0)*($C986=Table_dim_price_recipe[Subcategory]), 0))*$B986,"")</f>
        <v/>
      </c>
      <c r="K986" s="39" t="str" cm="1">
        <f t="array" ref="K986">IFERROR(INDEX(Table_dim_price_recipe[Retail Price], MATCH(1, ("Calculator"&lt;&gt;Table_dim_price_recipe[Type.display])*($L986=Table_dim_price_recipe[Category])*($D986=Table_dim_price_recipe[Item Description]) * (K$6=Table_dim_price_recipe[Type])*(Table_dim_price_recipe[Retail Price]&lt;&gt;0)*($C986=Table_dim_price_recipe[Subcategory]), 0))*$B986,"")</f>
        <v/>
      </c>
      <c r="L986" s="39" t="str" cm="1">
        <f t="array" ref="L986">IF($A986&lt;&gt;"", $A986, LOOKUP(2, 1/((A$7:INDEX(A:A, ROW()))&lt;&gt;""), A$7:INDEX(A:A, ROW())))</f>
        <v>LABOUR CALCULATION FOR CARPORTS, VERANDAHS &amp; PERGOLAS</v>
      </c>
      <c r="M986" s="14"/>
    </row>
    <row r="987" spans="1:13">
      <c r="A987" s="263"/>
      <c r="B987" s="263"/>
      <c r="C987" s="263" t="s">
        <v>1015</v>
      </c>
      <c r="D987" s="263" t="s">
        <v>1022</v>
      </c>
      <c r="E987" s="263"/>
      <c r="F987" s="263"/>
      <c r="G987" s="39" t="str" cm="1">
        <f t="array" ref="G987">IFERROR(INDEX(Table_dim_price_recipe[Retail Price], MATCH(1, ("Calculator"&lt;&gt;Table_dim_price_recipe[Type.display])*($L987=Table_dim_price_recipe[Category])*($D987=Table_dim_price_recipe[Item Description]) * (G$6=Table_dim_price_recipe[Type])*(Table_dim_price_recipe[Retail Price]&lt;&gt;0)*($C987=Table_dim_price_recipe[Subcategory]), 0))*$B987,"")</f>
        <v/>
      </c>
      <c r="H987" s="39" cm="1">
        <f t="array" ref="H987">IFERROR(INDEX(Table_dim_price_recipe[Retail Price], MATCH(1, ("Calculator"&lt;&gt;Table_dim_price_recipe[Type.display])*($L987=Table_dim_price_recipe[Category])*($D987=Table_dim_price_recipe[Item Description]) * (H$6=Table_dim_price_recipe[Type])*(Table_dim_price_recipe[Retail Price]&lt;&gt;0)*($C987=Table_dim_price_recipe[Subcategory]), 0))*$B987,"")</f>
        <v>0</v>
      </c>
      <c r="I987" s="39" t="str" cm="1">
        <f t="array" ref="I987">IFERROR(INDEX(Table_dim_price_recipe[Retail Price], MATCH(1, ("Calculator"&lt;&gt;Table_dim_price_recipe[Type.display])*($L987=Table_dim_price_recipe[Category])*($D987=Table_dim_price_recipe[Item Description]) * (I$6=Table_dim_price_recipe[Type])*(Table_dim_price_recipe[Retail Price]&lt;&gt;0)*($C987=Table_dim_price_recipe[Subcategory]), 0))*$B987,"")</f>
        <v/>
      </c>
      <c r="J987" s="39" t="str" cm="1">
        <f t="array" ref="J987">IFERROR(INDEX(Table_dim_price_recipe[Retail Price], MATCH(1, ("Calculator"&lt;&gt;Table_dim_price_recipe[Type.display])*($L987=Table_dim_price_recipe[Category])*($D987=Table_dim_price_recipe[Item Description]) * (J$6=Table_dim_price_recipe[Type])*(Table_dim_price_recipe[Retail Price]&lt;&gt;0)*($C987=Table_dim_price_recipe[Subcategory]), 0))*$B987,"")</f>
        <v/>
      </c>
      <c r="K987" s="39" t="str" cm="1">
        <f t="array" ref="K987">IFERROR(INDEX(Table_dim_price_recipe[Retail Price], MATCH(1, ("Calculator"&lt;&gt;Table_dim_price_recipe[Type.display])*($L987=Table_dim_price_recipe[Category])*($D987=Table_dim_price_recipe[Item Description]) * (K$6=Table_dim_price_recipe[Type])*(Table_dim_price_recipe[Retail Price]&lt;&gt;0)*($C987=Table_dim_price_recipe[Subcategory]), 0))*$B987,"")</f>
        <v/>
      </c>
      <c r="L987" s="39" t="str" cm="1">
        <f t="array" ref="L987">IF($A987&lt;&gt;"", $A987, LOOKUP(2, 1/((A$7:INDEX(A:A, ROW()))&lt;&gt;""), A$7:INDEX(A:A, ROW())))</f>
        <v>LABOUR CALCULATION FOR CARPORTS, VERANDAHS &amp; PERGOLAS</v>
      </c>
      <c r="M987" s="14"/>
    </row>
    <row r="988" spans="1:13">
      <c r="A988" s="263"/>
      <c r="B988" s="263"/>
      <c r="C988" s="263" t="s">
        <v>1015</v>
      </c>
      <c r="D988" s="263" t="s">
        <v>103</v>
      </c>
      <c r="E988" s="263"/>
      <c r="F988" s="263"/>
      <c r="G988" s="39" t="str" cm="1">
        <f t="array" ref="G988">IFERROR(INDEX(Table_dim_price_recipe[Retail Price], MATCH(1, ("Calculator"&lt;&gt;Table_dim_price_recipe[Type.display])*($L988=Table_dim_price_recipe[Category])*($D988=Table_dim_price_recipe[Item Description]) * (G$6=Table_dim_price_recipe[Type])*(Table_dim_price_recipe[Retail Price]&lt;&gt;0)*($C988=Table_dim_price_recipe[Subcategory]), 0))*$B988,"")</f>
        <v/>
      </c>
      <c r="H988" s="39" cm="1">
        <f t="array" ref="H988">IFERROR(INDEX(Table_dim_price_recipe[Retail Price], MATCH(1, ("Calculator"&lt;&gt;Table_dim_price_recipe[Type.display])*($L988=Table_dim_price_recipe[Category])*($D988=Table_dim_price_recipe[Item Description]) * (H$6=Table_dim_price_recipe[Type])*(Table_dim_price_recipe[Retail Price]&lt;&gt;0)*($C988=Table_dim_price_recipe[Subcategory]), 0))*$B988,"")</f>
        <v>0</v>
      </c>
      <c r="I988" s="39" t="str" cm="1">
        <f t="array" ref="I988">IFERROR(INDEX(Table_dim_price_recipe[Retail Price], MATCH(1, ("Calculator"&lt;&gt;Table_dim_price_recipe[Type.display])*($L988=Table_dim_price_recipe[Category])*($D988=Table_dim_price_recipe[Item Description]) * (I$6=Table_dim_price_recipe[Type])*(Table_dim_price_recipe[Retail Price]&lt;&gt;0)*($C988=Table_dim_price_recipe[Subcategory]), 0))*$B988,"")</f>
        <v/>
      </c>
      <c r="J988" s="39" t="str" cm="1">
        <f t="array" ref="J988">IFERROR(INDEX(Table_dim_price_recipe[Retail Price], MATCH(1, ("Calculator"&lt;&gt;Table_dim_price_recipe[Type.display])*($L988=Table_dim_price_recipe[Category])*($D988=Table_dim_price_recipe[Item Description]) * (J$6=Table_dim_price_recipe[Type])*(Table_dim_price_recipe[Retail Price]&lt;&gt;0)*($C988=Table_dim_price_recipe[Subcategory]), 0))*$B988,"")</f>
        <v/>
      </c>
      <c r="K988" s="39" t="str" cm="1">
        <f t="array" ref="K988">IFERROR(INDEX(Table_dim_price_recipe[Retail Price], MATCH(1, ("Calculator"&lt;&gt;Table_dim_price_recipe[Type.display])*($L988=Table_dim_price_recipe[Category])*($D988=Table_dim_price_recipe[Item Description]) * (K$6=Table_dim_price_recipe[Type])*(Table_dim_price_recipe[Retail Price]&lt;&gt;0)*($C988=Table_dim_price_recipe[Subcategory]), 0))*$B988,"")</f>
        <v/>
      </c>
      <c r="L988" s="39" t="str" cm="1">
        <f t="array" ref="L988">IF($A988&lt;&gt;"", $A988, LOOKUP(2, 1/((A$7:INDEX(A:A, ROW()))&lt;&gt;""), A$7:INDEX(A:A, ROW())))</f>
        <v>LABOUR CALCULATION FOR CARPORTS, VERANDAHS &amp; PERGOLAS</v>
      </c>
      <c r="M988" s="14"/>
    </row>
    <row r="989" spans="1:13">
      <c r="A989" s="263"/>
      <c r="B989" s="263"/>
      <c r="C989" s="263" t="s">
        <v>1015</v>
      </c>
      <c r="D989" s="263" t="s">
        <v>1024</v>
      </c>
      <c r="E989" s="263"/>
      <c r="F989" s="263"/>
      <c r="G989" s="39" t="str" cm="1">
        <f t="array" ref="G989">IFERROR(INDEX(Table_dim_price_recipe[Retail Price], MATCH(1, ("Calculator"&lt;&gt;Table_dim_price_recipe[Type.display])*($L989=Table_dim_price_recipe[Category])*($D989=Table_dim_price_recipe[Item Description]) * (G$6=Table_dim_price_recipe[Type])*(Table_dim_price_recipe[Retail Price]&lt;&gt;0)*($C989=Table_dim_price_recipe[Subcategory]), 0))*$B989,"")</f>
        <v/>
      </c>
      <c r="H989" s="39" t="str" cm="1">
        <f t="array" ref="H989">IFERROR(INDEX(Table_dim_price_recipe[Retail Price], MATCH(1, ("Calculator"&lt;&gt;Table_dim_price_recipe[Type.display])*($L989=Table_dim_price_recipe[Category])*($D989=Table_dim_price_recipe[Item Description]) * (H$6=Table_dim_price_recipe[Type])*(Table_dim_price_recipe[Retail Price]&lt;&gt;0)*($C989=Table_dim_price_recipe[Subcategory]), 0))*$B989,"")</f>
        <v/>
      </c>
      <c r="I989" s="39" t="str" cm="1">
        <f t="array" ref="I989">IFERROR(INDEX(Table_dim_price_recipe[Retail Price], MATCH(1, ("Calculator"&lt;&gt;Table_dim_price_recipe[Type.display])*($L989=Table_dim_price_recipe[Category])*($D989=Table_dim_price_recipe[Item Description]) * (I$6=Table_dim_price_recipe[Type])*(Table_dim_price_recipe[Retail Price]&lt;&gt;0)*($C989=Table_dim_price_recipe[Subcategory]), 0))*$B989,"")</f>
        <v/>
      </c>
      <c r="J989" s="39" t="str" cm="1">
        <f t="array" ref="J989">IFERROR(INDEX(Table_dim_price_recipe[Retail Price], MATCH(1, ("Calculator"&lt;&gt;Table_dim_price_recipe[Type.display])*($L989=Table_dim_price_recipe[Category])*($D989=Table_dim_price_recipe[Item Description]) * (J$6=Table_dim_price_recipe[Type])*(Table_dim_price_recipe[Retail Price]&lt;&gt;0)*($C989=Table_dim_price_recipe[Subcategory]), 0))*$B989,"")</f>
        <v/>
      </c>
      <c r="K989" s="39" t="str" cm="1">
        <f t="array" ref="K989">IFERROR(INDEX(Table_dim_price_recipe[Retail Price], MATCH(1, ("Calculator"&lt;&gt;Table_dim_price_recipe[Type.display])*($L989=Table_dim_price_recipe[Category])*($D989=Table_dim_price_recipe[Item Description]) * (K$6=Table_dim_price_recipe[Type])*(Table_dim_price_recipe[Retail Price]&lt;&gt;0)*($C989=Table_dim_price_recipe[Subcategory]), 0))*$B989,"")</f>
        <v/>
      </c>
      <c r="L989" s="39" t="str" cm="1">
        <f t="array" ref="L989">IF($A989&lt;&gt;"", $A989, LOOKUP(2, 1/((A$7:INDEX(A:A, ROW()))&lt;&gt;""), A$7:INDEX(A:A, ROW())))</f>
        <v>LABOUR CALCULATION FOR CARPORTS, VERANDAHS &amp; PERGOLAS</v>
      </c>
      <c r="M989" s="14"/>
    </row>
    <row r="990" spans="1:13">
      <c r="A990" s="263"/>
      <c r="B990" s="263"/>
      <c r="C990" s="263" t="s">
        <v>1015</v>
      </c>
      <c r="D990" s="263" t="s">
        <v>102</v>
      </c>
      <c r="E990" s="263"/>
      <c r="F990" s="263"/>
      <c r="G990" s="39" t="str" cm="1">
        <f t="array" ref="G990">IFERROR(INDEX(Table_dim_price_recipe[Retail Price], MATCH(1, ("Calculator"&lt;&gt;Table_dim_price_recipe[Type.display])*($L990=Table_dim_price_recipe[Category])*($D990=Table_dim_price_recipe[Item Description]) * (G$6=Table_dim_price_recipe[Type])*(Table_dim_price_recipe[Retail Price]&lt;&gt;0)*($C990=Table_dim_price_recipe[Subcategory]), 0))*$B990,"")</f>
        <v/>
      </c>
      <c r="H990" s="39" t="str" cm="1">
        <f t="array" ref="H990">IFERROR(INDEX(Table_dim_price_recipe[Retail Price], MATCH(1, ("Calculator"&lt;&gt;Table_dim_price_recipe[Type.display])*($L990=Table_dim_price_recipe[Category])*($D990=Table_dim_price_recipe[Item Description]) * (H$6=Table_dim_price_recipe[Type])*(Table_dim_price_recipe[Retail Price]&lt;&gt;0)*($C990=Table_dim_price_recipe[Subcategory]), 0))*$B990,"")</f>
        <v/>
      </c>
      <c r="I990" s="39" t="str" cm="1">
        <f t="array" ref="I990">IFERROR(INDEX(Table_dim_price_recipe[Retail Price], MATCH(1, ("Calculator"&lt;&gt;Table_dim_price_recipe[Type.display])*($L990=Table_dim_price_recipe[Category])*($D990=Table_dim_price_recipe[Item Description]) * (I$6=Table_dim_price_recipe[Type])*(Table_dim_price_recipe[Retail Price]&lt;&gt;0)*($C990=Table_dim_price_recipe[Subcategory]), 0))*$B990,"")</f>
        <v/>
      </c>
      <c r="J990" s="39" t="str" cm="1">
        <f t="array" ref="J990">IFERROR(INDEX(Table_dim_price_recipe[Retail Price], MATCH(1, ("Calculator"&lt;&gt;Table_dim_price_recipe[Type.display])*($L990=Table_dim_price_recipe[Category])*($D990=Table_dim_price_recipe[Item Description]) * (J$6=Table_dim_price_recipe[Type])*(Table_dim_price_recipe[Retail Price]&lt;&gt;0)*($C990=Table_dim_price_recipe[Subcategory]), 0))*$B990,"")</f>
        <v/>
      </c>
      <c r="K990" s="39" t="str" cm="1">
        <f t="array" ref="K990">IFERROR(INDEX(Table_dim_price_recipe[Retail Price], MATCH(1, ("Calculator"&lt;&gt;Table_dim_price_recipe[Type.display])*($L990=Table_dim_price_recipe[Category])*($D990=Table_dim_price_recipe[Item Description]) * (K$6=Table_dim_price_recipe[Type])*(Table_dim_price_recipe[Retail Price]&lt;&gt;0)*($C990=Table_dim_price_recipe[Subcategory]), 0))*$B990,"")</f>
        <v/>
      </c>
      <c r="L990" s="39" t="str" cm="1">
        <f t="array" ref="L990">IF($A990&lt;&gt;"", $A990, LOOKUP(2, 1/((A$7:INDEX(A:A, ROW()))&lt;&gt;""), A$7:INDEX(A:A, ROW())))</f>
        <v>LABOUR CALCULATION FOR CARPORTS, VERANDAHS &amp; PERGOLAS</v>
      </c>
      <c r="M990" s="14"/>
    </row>
    <row r="991" spans="1:13">
      <c r="A991" s="263"/>
      <c r="B991" s="263"/>
      <c r="C991" s="263" t="s">
        <v>1015</v>
      </c>
      <c r="D991" s="263" t="s">
        <v>1025</v>
      </c>
      <c r="E991" s="263"/>
      <c r="F991" s="263"/>
      <c r="G991" s="39" t="str" cm="1">
        <f t="array" ref="G991">IFERROR(INDEX(Table_dim_price_recipe[Retail Price], MATCH(1, ("Calculator"&lt;&gt;Table_dim_price_recipe[Type.display])*($L991=Table_dim_price_recipe[Category])*($D991=Table_dim_price_recipe[Item Description]) * (G$6=Table_dim_price_recipe[Type])*(Table_dim_price_recipe[Retail Price]&lt;&gt;0)*($C991=Table_dim_price_recipe[Subcategory]), 0))*$B991,"")</f>
        <v/>
      </c>
      <c r="H991" s="39" cm="1">
        <f t="array" ref="H991">IFERROR(INDEX(Table_dim_price_recipe[Retail Price], MATCH(1, ("Calculator"&lt;&gt;Table_dim_price_recipe[Type.display])*($L991=Table_dim_price_recipe[Category])*($D991=Table_dim_price_recipe[Item Description]) * (H$6=Table_dim_price_recipe[Type])*(Table_dim_price_recipe[Retail Price]&lt;&gt;0)*($C991=Table_dim_price_recipe[Subcategory]), 0))*$B991,"")</f>
        <v>0</v>
      </c>
      <c r="I991" s="39" t="str" cm="1">
        <f t="array" ref="I991">IFERROR(INDEX(Table_dim_price_recipe[Retail Price], MATCH(1, ("Calculator"&lt;&gt;Table_dim_price_recipe[Type.display])*($L991=Table_dim_price_recipe[Category])*($D991=Table_dim_price_recipe[Item Description]) * (I$6=Table_dim_price_recipe[Type])*(Table_dim_price_recipe[Retail Price]&lt;&gt;0)*($C991=Table_dim_price_recipe[Subcategory]), 0))*$B991,"")</f>
        <v/>
      </c>
      <c r="J991" s="39" t="str" cm="1">
        <f t="array" ref="J991">IFERROR(INDEX(Table_dim_price_recipe[Retail Price], MATCH(1, ("Calculator"&lt;&gt;Table_dim_price_recipe[Type.display])*($L991=Table_dim_price_recipe[Category])*($D991=Table_dim_price_recipe[Item Description]) * (J$6=Table_dim_price_recipe[Type])*(Table_dim_price_recipe[Retail Price]&lt;&gt;0)*($C991=Table_dim_price_recipe[Subcategory]), 0))*$B991,"")</f>
        <v/>
      </c>
      <c r="K991" s="39" t="str" cm="1">
        <f t="array" ref="K991">IFERROR(INDEX(Table_dim_price_recipe[Retail Price], MATCH(1, ("Calculator"&lt;&gt;Table_dim_price_recipe[Type.display])*($L991=Table_dim_price_recipe[Category])*($D991=Table_dim_price_recipe[Item Description]) * (K$6=Table_dim_price_recipe[Type])*(Table_dim_price_recipe[Retail Price]&lt;&gt;0)*($C991=Table_dim_price_recipe[Subcategory]), 0))*$B991,"")</f>
        <v/>
      </c>
      <c r="L991" s="39" t="str" cm="1">
        <f t="array" ref="L991">IF($A991&lt;&gt;"", $A991, LOOKUP(2, 1/((A$7:INDEX(A:A, ROW()))&lt;&gt;""), A$7:INDEX(A:A, ROW())))</f>
        <v>LABOUR CALCULATION FOR CARPORTS, VERANDAHS &amp; PERGOLAS</v>
      </c>
      <c r="M991" s="14"/>
    </row>
    <row r="992" spans="1:13">
      <c r="A992" s="263"/>
      <c r="B992" s="263"/>
      <c r="C992" s="263" t="s">
        <v>1015</v>
      </c>
      <c r="D992" s="263" t="s">
        <v>1016</v>
      </c>
      <c r="E992" s="263"/>
      <c r="F992" s="263"/>
      <c r="G992" s="39" t="str" cm="1">
        <f t="array" ref="G992">IFERROR(INDEX(Table_dim_price_recipe[Retail Price], MATCH(1, ("Calculator"&lt;&gt;Table_dim_price_recipe[Type.display])*($L992=Table_dim_price_recipe[Category])*($D992=Table_dim_price_recipe[Item Description]) * (G$6=Table_dim_price_recipe[Type])*(Table_dim_price_recipe[Retail Price]&lt;&gt;0)*($C992=Table_dim_price_recipe[Subcategory]), 0))*$B992,"")</f>
        <v/>
      </c>
      <c r="H992" s="39" t="str" cm="1">
        <f t="array" ref="H992">IFERROR(INDEX(Table_dim_price_recipe[Retail Price], MATCH(1, ("Calculator"&lt;&gt;Table_dim_price_recipe[Type.display])*($L992=Table_dim_price_recipe[Category])*($D992=Table_dim_price_recipe[Item Description]) * (H$6=Table_dim_price_recipe[Type])*(Table_dim_price_recipe[Retail Price]&lt;&gt;0)*($C992=Table_dim_price_recipe[Subcategory]), 0))*$B992,"")</f>
        <v/>
      </c>
      <c r="I992" s="39" t="str" cm="1">
        <f t="array" ref="I992">IFERROR(INDEX(Table_dim_price_recipe[Retail Price], MATCH(1, ("Calculator"&lt;&gt;Table_dim_price_recipe[Type.display])*($L992=Table_dim_price_recipe[Category])*($D992=Table_dim_price_recipe[Item Description]) * (I$6=Table_dim_price_recipe[Type])*(Table_dim_price_recipe[Retail Price]&lt;&gt;0)*($C992=Table_dim_price_recipe[Subcategory]), 0))*$B992,"")</f>
        <v/>
      </c>
      <c r="J992" s="39" t="str" cm="1">
        <f t="array" ref="J992">IFERROR(INDEX(Table_dim_price_recipe[Retail Price], MATCH(1, ("Calculator"&lt;&gt;Table_dim_price_recipe[Type.display])*($L992=Table_dim_price_recipe[Category])*($D992=Table_dim_price_recipe[Item Description]) * (J$6=Table_dim_price_recipe[Type])*(Table_dim_price_recipe[Retail Price]&lt;&gt;0)*($C992=Table_dim_price_recipe[Subcategory]), 0))*$B992,"")</f>
        <v/>
      </c>
      <c r="K992" s="39" t="str" cm="1">
        <f t="array" ref="K992">IFERROR(INDEX(Table_dim_price_recipe[Retail Price], MATCH(1, ("Calculator"&lt;&gt;Table_dim_price_recipe[Type.display])*($L992=Table_dim_price_recipe[Category])*($D992=Table_dim_price_recipe[Item Description]) * (K$6=Table_dim_price_recipe[Type])*(Table_dim_price_recipe[Retail Price]&lt;&gt;0)*($C992=Table_dim_price_recipe[Subcategory]), 0))*$B992,"")</f>
        <v/>
      </c>
      <c r="L992" s="39" t="str" cm="1">
        <f t="array" ref="L992">IF($A992&lt;&gt;"", $A992, LOOKUP(2, 1/((A$7:INDEX(A:A, ROW()))&lt;&gt;""), A$7:INDEX(A:A, ROW())))</f>
        <v>LABOUR CALCULATION FOR CARPORTS, VERANDAHS &amp; PERGOLAS</v>
      </c>
      <c r="M992" s="14"/>
    </row>
    <row r="993" spans="1:13">
      <c r="A993" s="263"/>
      <c r="B993" s="263"/>
      <c r="C993" s="263" t="s">
        <v>1015</v>
      </c>
      <c r="D993" s="263" t="s">
        <v>1017</v>
      </c>
      <c r="E993" s="263"/>
      <c r="F993" s="263"/>
      <c r="G993" s="39" t="str" cm="1">
        <f t="array" ref="G993">IFERROR(INDEX(Table_dim_price_recipe[Retail Price], MATCH(1, ("Calculator"&lt;&gt;Table_dim_price_recipe[Type.display])*($L993=Table_dim_price_recipe[Category])*($D993=Table_dim_price_recipe[Item Description]) * (G$6=Table_dim_price_recipe[Type])*(Table_dim_price_recipe[Retail Price]&lt;&gt;0)*($C993=Table_dim_price_recipe[Subcategory]), 0))*$B993,"")</f>
        <v/>
      </c>
      <c r="H993" s="39" t="str" cm="1">
        <f t="array" ref="H993">IFERROR(INDEX(Table_dim_price_recipe[Retail Price], MATCH(1, ("Calculator"&lt;&gt;Table_dim_price_recipe[Type.display])*($L993=Table_dim_price_recipe[Category])*($D993=Table_dim_price_recipe[Item Description]) * (H$6=Table_dim_price_recipe[Type])*(Table_dim_price_recipe[Retail Price]&lt;&gt;0)*($C993=Table_dim_price_recipe[Subcategory]), 0))*$B993,"")</f>
        <v/>
      </c>
      <c r="I993" s="39" t="str" cm="1">
        <f t="array" ref="I993">IFERROR(INDEX(Table_dim_price_recipe[Retail Price], MATCH(1, ("Calculator"&lt;&gt;Table_dim_price_recipe[Type.display])*($L993=Table_dim_price_recipe[Category])*($D993=Table_dim_price_recipe[Item Description]) * (I$6=Table_dim_price_recipe[Type])*(Table_dim_price_recipe[Retail Price]&lt;&gt;0)*($C993=Table_dim_price_recipe[Subcategory]), 0))*$B993,"")</f>
        <v/>
      </c>
      <c r="J993" s="39" t="str" cm="1">
        <f t="array" ref="J993">IFERROR(INDEX(Table_dim_price_recipe[Retail Price], MATCH(1, ("Calculator"&lt;&gt;Table_dim_price_recipe[Type.display])*($L993=Table_dim_price_recipe[Category])*($D993=Table_dim_price_recipe[Item Description]) * (J$6=Table_dim_price_recipe[Type])*(Table_dim_price_recipe[Retail Price]&lt;&gt;0)*($C993=Table_dim_price_recipe[Subcategory]), 0))*$B993,"")</f>
        <v/>
      </c>
      <c r="K993" s="39" t="str" cm="1">
        <f t="array" ref="K993">IFERROR(INDEX(Table_dim_price_recipe[Retail Price], MATCH(1, ("Calculator"&lt;&gt;Table_dim_price_recipe[Type.display])*($L993=Table_dim_price_recipe[Category])*($D993=Table_dim_price_recipe[Item Description]) * (K$6=Table_dim_price_recipe[Type])*(Table_dim_price_recipe[Retail Price]&lt;&gt;0)*($C993=Table_dim_price_recipe[Subcategory]), 0))*$B993,"")</f>
        <v/>
      </c>
      <c r="L993" s="39" t="str" cm="1">
        <f t="array" ref="L993">IF($A993&lt;&gt;"", $A993, LOOKUP(2, 1/((A$7:INDEX(A:A, ROW()))&lt;&gt;""), A$7:INDEX(A:A, ROW())))</f>
        <v>LABOUR CALCULATION FOR CARPORTS, VERANDAHS &amp; PERGOLAS</v>
      </c>
      <c r="M993" s="14"/>
    </row>
    <row r="994" spans="1:13" customFormat="1">
      <c r="A994" s="263"/>
      <c r="B994" s="263"/>
      <c r="C994" s="263" t="s">
        <v>1015</v>
      </c>
      <c r="D994" s="263" t="s">
        <v>1018</v>
      </c>
      <c r="E994" s="263"/>
      <c r="F994" s="263"/>
      <c r="G994" s="39" t="str" cm="1">
        <f t="array" ref="G994">IFERROR(INDEX(Table_dim_price_recipe[Retail Price], MATCH(1, ("Calculator"&lt;&gt;Table_dim_price_recipe[Type.display])*($L994=Table_dim_price_recipe[Category])*($D994=Table_dim_price_recipe[Item Description]) * (G$6=Table_dim_price_recipe[Type])*(Table_dim_price_recipe[Retail Price]&lt;&gt;0)*($C994=Table_dim_price_recipe[Subcategory]), 0))*$B994,"")</f>
        <v/>
      </c>
      <c r="H994" s="39" t="str" cm="1">
        <f t="array" ref="H994">IFERROR(INDEX(Table_dim_price_recipe[Retail Price], MATCH(1, ("Calculator"&lt;&gt;Table_dim_price_recipe[Type.display])*($L994=Table_dim_price_recipe[Category])*($D994=Table_dim_price_recipe[Item Description]) * (H$6=Table_dim_price_recipe[Type])*(Table_dim_price_recipe[Retail Price]&lt;&gt;0)*($C994=Table_dim_price_recipe[Subcategory]), 0))*$B994,"")</f>
        <v/>
      </c>
      <c r="I994" s="39" t="str" cm="1">
        <f t="array" ref="I994">IFERROR(INDEX(Table_dim_price_recipe[Retail Price], MATCH(1, ("Calculator"&lt;&gt;Table_dim_price_recipe[Type.display])*($L994=Table_dim_price_recipe[Category])*($D994=Table_dim_price_recipe[Item Description]) * (I$6=Table_dim_price_recipe[Type])*(Table_dim_price_recipe[Retail Price]&lt;&gt;0)*($C994=Table_dim_price_recipe[Subcategory]), 0))*$B994,"")</f>
        <v/>
      </c>
      <c r="J994" s="39" t="str" cm="1">
        <f t="array" ref="J994">IFERROR(INDEX(Table_dim_price_recipe[Retail Price], MATCH(1, ("Calculator"&lt;&gt;Table_dim_price_recipe[Type.display])*($L994=Table_dim_price_recipe[Category])*($D994=Table_dim_price_recipe[Item Description]) * (J$6=Table_dim_price_recipe[Type])*(Table_dim_price_recipe[Retail Price]&lt;&gt;0)*($C994=Table_dim_price_recipe[Subcategory]), 0))*$B994,"")</f>
        <v/>
      </c>
      <c r="K994" s="39" t="str" cm="1">
        <f t="array" ref="K994">IFERROR(INDEX(Table_dim_price_recipe[Retail Price], MATCH(1, ("Calculator"&lt;&gt;Table_dim_price_recipe[Type.display])*($L994=Table_dim_price_recipe[Category])*($D994=Table_dim_price_recipe[Item Description]) * (K$6=Table_dim_price_recipe[Type])*(Table_dim_price_recipe[Retail Price]&lt;&gt;0)*($C994=Table_dim_price_recipe[Subcategory]), 0))*$B994,"")</f>
        <v/>
      </c>
      <c r="L994" s="39" t="str" cm="1">
        <f t="array" ref="L994">IF($A994&lt;&gt;"", $A994, LOOKUP(2, 1/((A$7:INDEX(A:A, ROW()))&lt;&gt;""), A$7:INDEX(A:A, ROW())))</f>
        <v>LABOUR CALCULATION FOR CARPORTS, VERANDAHS &amp; PERGOLAS</v>
      </c>
    </row>
    <row r="995" spans="1:13" customFormat="1">
      <c r="A995" s="263"/>
      <c r="B995" s="263"/>
      <c r="C995" s="263" t="s">
        <v>1015</v>
      </c>
      <c r="D995" s="263" t="s">
        <v>1020</v>
      </c>
      <c r="E995" s="263"/>
      <c r="F995" s="263"/>
      <c r="G995" s="39" t="str" cm="1">
        <f t="array" ref="G995">IFERROR(INDEX(Table_dim_price_recipe[Retail Price], MATCH(1, ("Calculator"&lt;&gt;Table_dim_price_recipe[Type.display])*($L995=Table_dim_price_recipe[Category])*($D995=Table_dim_price_recipe[Item Description]) * (G$6=Table_dim_price_recipe[Type])*(Table_dim_price_recipe[Retail Price]&lt;&gt;0)*($C995=Table_dim_price_recipe[Subcategory]), 0))*$B995,"")</f>
        <v/>
      </c>
      <c r="H995" s="39" t="str" cm="1">
        <f t="array" ref="H995">IFERROR(INDEX(Table_dim_price_recipe[Retail Price], MATCH(1, ("Calculator"&lt;&gt;Table_dim_price_recipe[Type.display])*($L995=Table_dim_price_recipe[Category])*($D995=Table_dim_price_recipe[Item Description]) * (H$6=Table_dim_price_recipe[Type])*(Table_dim_price_recipe[Retail Price]&lt;&gt;0)*($C995=Table_dim_price_recipe[Subcategory]), 0))*$B995,"")</f>
        <v/>
      </c>
      <c r="I995" s="39" t="str" cm="1">
        <f t="array" ref="I995">IFERROR(INDEX(Table_dim_price_recipe[Retail Price], MATCH(1, ("Calculator"&lt;&gt;Table_dim_price_recipe[Type.display])*($L995=Table_dim_price_recipe[Category])*($D995=Table_dim_price_recipe[Item Description]) * (I$6=Table_dim_price_recipe[Type])*(Table_dim_price_recipe[Retail Price]&lt;&gt;0)*($C995=Table_dim_price_recipe[Subcategory]), 0))*$B995,"")</f>
        <v/>
      </c>
      <c r="J995" s="39" t="str" cm="1">
        <f t="array" ref="J995">IFERROR(INDEX(Table_dim_price_recipe[Retail Price], MATCH(1, ("Calculator"&lt;&gt;Table_dim_price_recipe[Type.display])*($L995=Table_dim_price_recipe[Category])*($D995=Table_dim_price_recipe[Item Description]) * (J$6=Table_dim_price_recipe[Type])*(Table_dim_price_recipe[Retail Price]&lt;&gt;0)*($C995=Table_dim_price_recipe[Subcategory]), 0))*$B995,"")</f>
        <v/>
      </c>
      <c r="K995" s="39" t="str" cm="1">
        <f t="array" ref="K995">IFERROR(INDEX(Table_dim_price_recipe[Retail Price], MATCH(1, ("Calculator"&lt;&gt;Table_dim_price_recipe[Type.display])*($L995=Table_dim_price_recipe[Category])*($D995=Table_dim_price_recipe[Item Description]) * (K$6=Table_dim_price_recipe[Type])*(Table_dim_price_recipe[Retail Price]&lt;&gt;0)*($C995=Table_dim_price_recipe[Subcategory]), 0))*$B995,"")</f>
        <v/>
      </c>
      <c r="L995" s="39" t="str" cm="1">
        <f t="array" ref="L995">IF($A995&lt;&gt;"", $A995, LOOKUP(2, 1/((A$7:INDEX(A:A, ROW()))&lt;&gt;""), A$7:INDEX(A:A, ROW())))</f>
        <v>LABOUR CALCULATION FOR CARPORTS, VERANDAHS &amp; PERGOLAS</v>
      </c>
    </row>
    <row r="996" spans="1:13" customFormat="1">
      <c r="A996" s="263"/>
      <c r="B996" s="263"/>
      <c r="C996" s="263" t="s">
        <v>1015</v>
      </c>
      <c r="D996" s="263"/>
      <c r="E996" s="263"/>
      <c r="F996" s="263"/>
      <c r="G996" s="39" t="str" cm="1">
        <f t="array" ref="G996">IFERROR(INDEX(Table_dim_price_recipe[Retail Price], MATCH(1, ("Calculator"&lt;&gt;Table_dim_price_recipe[Type.display])*($L996=Table_dim_price_recipe[Category])*($D996=Table_dim_price_recipe[Item Description]) * (G$6=Table_dim_price_recipe[Type])*(Table_dim_price_recipe[Retail Price]&lt;&gt;0)*($C996=Table_dim_price_recipe[Subcategory]), 0))*$B996,"")</f>
        <v/>
      </c>
      <c r="H996" s="39" cm="1">
        <f t="array" ref="H996">IFERROR(INDEX(Table_dim_price_recipe[Retail Price], MATCH(1, ("Calculator"&lt;&gt;Table_dim_price_recipe[Type.display])*($L996=Table_dim_price_recipe[Category])*($D996=Table_dim_price_recipe[Item Description]) * (H$6=Table_dim_price_recipe[Type])*(Table_dim_price_recipe[Retail Price]&lt;&gt;0)*($C996=Table_dim_price_recipe[Subcategory]), 0))*$B996,"")</f>
        <v>0</v>
      </c>
      <c r="I996" s="39" t="str" cm="1">
        <f t="array" ref="I996">IFERROR(INDEX(Table_dim_price_recipe[Retail Price], MATCH(1, ("Calculator"&lt;&gt;Table_dim_price_recipe[Type.display])*($L996=Table_dim_price_recipe[Category])*($D996=Table_dim_price_recipe[Item Description]) * (I$6=Table_dim_price_recipe[Type])*(Table_dim_price_recipe[Retail Price]&lt;&gt;0)*($C996=Table_dim_price_recipe[Subcategory]), 0))*$B996,"")</f>
        <v/>
      </c>
      <c r="J996" s="39" t="str" cm="1">
        <f t="array" ref="J996">IFERROR(INDEX(Table_dim_price_recipe[Retail Price], MATCH(1, ("Calculator"&lt;&gt;Table_dim_price_recipe[Type.display])*($L996=Table_dim_price_recipe[Category])*($D996=Table_dim_price_recipe[Item Description]) * (J$6=Table_dim_price_recipe[Type])*(Table_dim_price_recipe[Retail Price]&lt;&gt;0)*($C996=Table_dim_price_recipe[Subcategory]), 0))*$B996,"")</f>
        <v/>
      </c>
      <c r="K996" s="39" t="str" cm="1">
        <f t="array" ref="K996">IFERROR(INDEX(Table_dim_price_recipe[Retail Price], MATCH(1, ("Calculator"&lt;&gt;Table_dim_price_recipe[Type.display])*($L996=Table_dim_price_recipe[Category])*($D996=Table_dim_price_recipe[Item Description]) * (K$6=Table_dim_price_recipe[Type])*(Table_dim_price_recipe[Retail Price]&lt;&gt;0)*($C996=Table_dim_price_recipe[Subcategory]), 0))*$B996,"")</f>
        <v/>
      </c>
      <c r="L996" s="39" t="str" cm="1">
        <f t="array" ref="L996">IF($A996&lt;&gt;"", $A996, LOOKUP(2, 1/((A$7:INDEX(A:A, ROW()))&lt;&gt;""), A$7:INDEX(A:A, ROW())))</f>
        <v>LABOUR CALCULATION FOR CARPORTS, VERANDAHS &amp; PERGOLAS</v>
      </c>
    </row>
    <row r="997" spans="1:13" customFormat="1">
      <c r="A997" s="263"/>
      <c r="B997" s="263"/>
      <c r="C997" s="263" t="s">
        <v>1015</v>
      </c>
      <c r="D997" s="263"/>
      <c r="E997" s="263"/>
      <c r="F997" s="263"/>
      <c r="G997" s="39" t="str" cm="1">
        <f t="array" ref="G997">IFERROR(INDEX(Table_dim_price_recipe[Retail Price], MATCH(1, ("Calculator"&lt;&gt;Table_dim_price_recipe[Type.display])*($L997=Table_dim_price_recipe[Category])*($D997=Table_dim_price_recipe[Item Description]) * (G$6=Table_dim_price_recipe[Type])*(Table_dim_price_recipe[Retail Price]&lt;&gt;0)*($C997=Table_dim_price_recipe[Subcategory]), 0))*$B997,"")</f>
        <v/>
      </c>
      <c r="H997" s="39" cm="1">
        <f t="array" ref="H997">IFERROR(INDEX(Table_dim_price_recipe[Retail Price], MATCH(1, ("Calculator"&lt;&gt;Table_dim_price_recipe[Type.display])*($L997=Table_dim_price_recipe[Category])*($D997=Table_dim_price_recipe[Item Description]) * (H$6=Table_dim_price_recipe[Type])*(Table_dim_price_recipe[Retail Price]&lt;&gt;0)*($C997=Table_dim_price_recipe[Subcategory]), 0))*$B997,"")</f>
        <v>0</v>
      </c>
      <c r="I997" s="39" t="str" cm="1">
        <f t="array" ref="I997">IFERROR(INDEX(Table_dim_price_recipe[Retail Price], MATCH(1, ("Calculator"&lt;&gt;Table_dim_price_recipe[Type.display])*($L997=Table_dim_price_recipe[Category])*($D997=Table_dim_price_recipe[Item Description]) * (I$6=Table_dim_price_recipe[Type])*(Table_dim_price_recipe[Retail Price]&lt;&gt;0)*($C997=Table_dim_price_recipe[Subcategory]), 0))*$B997,"")</f>
        <v/>
      </c>
      <c r="J997" s="39" t="str" cm="1">
        <f t="array" ref="J997">IFERROR(INDEX(Table_dim_price_recipe[Retail Price], MATCH(1, ("Calculator"&lt;&gt;Table_dim_price_recipe[Type.display])*($L997=Table_dim_price_recipe[Category])*($D997=Table_dim_price_recipe[Item Description]) * (J$6=Table_dim_price_recipe[Type])*(Table_dim_price_recipe[Retail Price]&lt;&gt;0)*($C997=Table_dim_price_recipe[Subcategory]), 0))*$B997,"")</f>
        <v/>
      </c>
      <c r="K997" s="39" t="str" cm="1">
        <f t="array" ref="K997">IFERROR(INDEX(Table_dim_price_recipe[Retail Price], MATCH(1, ("Calculator"&lt;&gt;Table_dim_price_recipe[Type.display])*($L997=Table_dim_price_recipe[Category])*($D997=Table_dim_price_recipe[Item Description]) * (K$6=Table_dim_price_recipe[Type])*(Table_dim_price_recipe[Retail Price]&lt;&gt;0)*($C997=Table_dim_price_recipe[Subcategory]), 0))*$B997,"")</f>
        <v/>
      </c>
      <c r="L997" s="39" t="str" cm="1">
        <f t="array" ref="L997">IF($A997&lt;&gt;"", $A997, LOOKUP(2, 1/((A$7:INDEX(A:A, ROW()))&lt;&gt;""), A$7:INDEX(A:A, ROW())))</f>
        <v>LABOUR CALCULATION FOR CARPORTS, VERANDAHS &amp; PERGOLAS</v>
      </c>
    </row>
    <row r="998" spans="1:13" customFormat="1">
      <c r="A998" s="260" t="s">
        <v>105</v>
      </c>
      <c r="B998" s="261"/>
      <c r="C998" s="261"/>
      <c r="D998" s="261"/>
      <c r="E998" s="261"/>
      <c r="F998" s="261"/>
      <c r="G998" s="262" t="str" cm="1">
        <f t="array" ref="G998">IFERROR(INDEX(Table_dim_price_recipe[Retail Price], MATCH(1, ("Calculator"&lt;&gt;Table_dim_price_recipe[Type.display])*($L998=Table_dim_price_recipe[Category])*($D998=Table_dim_price_recipe[Item Description]) * (G$6=Table_dim_price_recipe[Type])*(Table_dim_price_recipe[Retail Price]&lt;&gt;0)*($C998=Table_dim_price_recipe[Subcategory]), 0))*$B998,"")</f>
        <v/>
      </c>
      <c r="H998" s="262" t="str" cm="1">
        <f t="array" ref="H998">IFERROR(INDEX(Table_dim_price_recipe[Retail Price], MATCH(1, ("Calculator"&lt;&gt;Table_dim_price_recipe[Type.display])*($L998=Table_dim_price_recipe[Category])*($D998=Table_dim_price_recipe[Item Description]) * (H$6=Table_dim_price_recipe[Type])*(Table_dim_price_recipe[Retail Price]&lt;&gt;0)*($C998=Table_dim_price_recipe[Subcategory]), 0))*$B998,"")</f>
        <v/>
      </c>
      <c r="I998" s="262" t="str" cm="1">
        <f t="array" ref="I998">IFERROR(INDEX(Table_dim_price_recipe[Retail Price], MATCH(1, ("Calculator"&lt;&gt;Table_dim_price_recipe[Type.display])*($L998=Table_dim_price_recipe[Category])*($D998=Table_dim_price_recipe[Item Description]) * (I$6=Table_dim_price_recipe[Type])*(Table_dim_price_recipe[Retail Price]&lt;&gt;0)*($C998=Table_dim_price_recipe[Subcategory]), 0))*$B998,"")</f>
        <v/>
      </c>
      <c r="J998" s="262" t="str" cm="1">
        <f t="array" ref="J998">IFERROR(INDEX(Table_dim_price_recipe[Retail Price], MATCH(1, ("Calculator"&lt;&gt;Table_dim_price_recipe[Type.display])*($L998=Table_dim_price_recipe[Category])*($D998=Table_dim_price_recipe[Item Description]) * (J$6=Table_dim_price_recipe[Type])*(Table_dim_price_recipe[Retail Price]&lt;&gt;0)*($C998=Table_dim_price_recipe[Subcategory]), 0))*$B998,"")</f>
        <v/>
      </c>
      <c r="K998" s="262" t="str" cm="1">
        <f t="array" ref="K998">IFERROR(INDEX(Table_dim_price_recipe[Retail Price], MATCH(1, ("Calculator"&lt;&gt;Table_dim_price_recipe[Type.display])*($L998=Table_dim_price_recipe[Category])*($D998=Table_dim_price_recipe[Item Description]) * (K$6=Table_dim_price_recipe[Type])*(Table_dim_price_recipe[Retail Price]&lt;&gt;0)*($C998=Table_dim_price_recipe[Subcategory]), 0))*$B998,"")</f>
        <v/>
      </c>
      <c r="L998" s="262" t="str" cm="1">
        <f t="array" ref="L998">IF($A998&lt;&gt;"", $A998, LOOKUP(2, 1/((A$7:INDEX(A:A, ROW()))&lt;&gt;""), A$7:INDEX(A:A, ROW())))</f>
        <v>ADDITIONAL LABOUR</v>
      </c>
    </row>
    <row r="999" spans="1:13" customFormat="1">
      <c r="A999" s="263"/>
      <c r="B999" s="263"/>
      <c r="C999" s="263" t="s">
        <v>1047</v>
      </c>
      <c r="D999" s="263"/>
      <c r="E999" s="263"/>
      <c r="F999" s="263"/>
      <c r="G999" s="39" t="str" cm="1">
        <f t="array" ref="G999">IFERROR(INDEX(Table_dim_price_recipe[Retail Price], MATCH(1, ("Calculator"&lt;&gt;Table_dim_price_recipe[Type.display])*($L999=Table_dim_price_recipe[Category])*($D999=Table_dim_price_recipe[Item Description]) * (G$6=Table_dim_price_recipe[Type])*(Table_dim_price_recipe[Retail Price]&lt;&gt;0)*($C999=Table_dim_price_recipe[Subcategory]), 0))*$B999,"")</f>
        <v/>
      </c>
      <c r="H999" s="39" t="str" cm="1">
        <f t="array" ref="H999">IFERROR(INDEX(Table_dim_price_recipe[Retail Price], MATCH(1, ("Calculator"&lt;&gt;Table_dim_price_recipe[Type.display])*($L999=Table_dim_price_recipe[Category])*($D999=Table_dim_price_recipe[Item Description]) * (H$6=Table_dim_price_recipe[Type])*(Table_dim_price_recipe[Retail Price]&lt;&gt;0)*($C999=Table_dim_price_recipe[Subcategory]), 0))*$B999,"")</f>
        <v/>
      </c>
      <c r="I999" s="39" t="str" cm="1">
        <f t="array" ref="I999">IFERROR(INDEX(Table_dim_price_recipe[Retail Price], MATCH(1, ("Calculator"&lt;&gt;Table_dim_price_recipe[Type.display])*($L999=Table_dim_price_recipe[Category])*($D999=Table_dim_price_recipe[Item Description]) * (I$6=Table_dim_price_recipe[Type])*(Table_dim_price_recipe[Retail Price]&lt;&gt;0)*($C999=Table_dim_price_recipe[Subcategory]), 0))*$B999,"")</f>
        <v/>
      </c>
      <c r="J999" s="39" t="str" cm="1">
        <f t="array" ref="J999">IFERROR(INDEX(Table_dim_price_recipe[Retail Price], MATCH(1, ("Calculator"&lt;&gt;Table_dim_price_recipe[Type.display])*($L999=Table_dim_price_recipe[Category])*($D999=Table_dim_price_recipe[Item Description]) * (J$6=Table_dim_price_recipe[Type])*(Table_dim_price_recipe[Retail Price]&lt;&gt;0)*($C999=Table_dim_price_recipe[Subcategory]), 0))*$B999,"")</f>
        <v/>
      </c>
      <c r="K999" s="39" t="str" cm="1">
        <f t="array" ref="K999">IFERROR(INDEX(Table_dim_price_recipe[Retail Price], MATCH(1, ("Calculator"&lt;&gt;Table_dim_price_recipe[Type.display])*($L999=Table_dim_price_recipe[Category])*($D999=Table_dim_price_recipe[Item Description]) * (K$6=Table_dim_price_recipe[Type])*(Table_dim_price_recipe[Retail Price]&lt;&gt;0)*($C999=Table_dim_price_recipe[Subcategory]), 0))*$B999,"")</f>
        <v/>
      </c>
      <c r="L999" s="39" t="str" cm="1">
        <f t="array" ref="L999">IF($A999&lt;&gt;"", $A999, LOOKUP(2, 1/((A$7:INDEX(A:A, ROW()))&lt;&gt;""), A$7:INDEX(A:A, ROW())))</f>
        <v>ADDITIONAL LABOUR</v>
      </c>
    </row>
    <row r="1000" spans="1:13">
      <c r="A1000" s="263"/>
      <c r="B1000" s="263"/>
      <c r="C1000" s="263" t="s">
        <v>1047</v>
      </c>
      <c r="D1000" s="263"/>
      <c r="E1000" s="263"/>
      <c r="F1000" s="263"/>
      <c r="G1000" s="39" t="str" cm="1">
        <f t="array" ref="G1000">IFERROR(INDEX(Table_dim_price_recipe[Retail Price], MATCH(1, ("Calculator"&lt;&gt;Table_dim_price_recipe[Type.display])*($L1000=Table_dim_price_recipe[Category])*($D1000=Table_dim_price_recipe[Item Description]) * (G$6=Table_dim_price_recipe[Type])*(Table_dim_price_recipe[Retail Price]&lt;&gt;0)*($C1000=Table_dim_price_recipe[Subcategory]), 0))*$B1000,"")</f>
        <v/>
      </c>
      <c r="H1000" s="39" t="str" cm="1">
        <f t="array" ref="H1000">IFERROR(INDEX(Table_dim_price_recipe[Retail Price], MATCH(1, ("Calculator"&lt;&gt;Table_dim_price_recipe[Type.display])*($L1000=Table_dim_price_recipe[Category])*($D1000=Table_dim_price_recipe[Item Description]) * (H$6=Table_dim_price_recipe[Type])*(Table_dim_price_recipe[Retail Price]&lt;&gt;0)*($C1000=Table_dim_price_recipe[Subcategory]), 0))*$B1000,"")</f>
        <v/>
      </c>
      <c r="I1000" s="39" t="str" cm="1">
        <f t="array" ref="I1000">IFERROR(INDEX(Table_dim_price_recipe[Retail Price], MATCH(1, ("Calculator"&lt;&gt;Table_dim_price_recipe[Type.display])*($L1000=Table_dim_price_recipe[Category])*($D1000=Table_dim_price_recipe[Item Description]) * (I$6=Table_dim_price_recipe[Type])*(Table_dim_price_recipe[Retail Price]&lt;&gt;0)*($C1000=Table_dim_price_recipe[Subcategory]), 0))*$B1000,"")</f>
        <v/>
      </c>
      <c r="J1000" s="39" t="str" cm="1">
        <f t="array" ref="J1000">IFERROR(INDEX(Table_dim_price_recipe[Retail Price], MATCH(1, ("Calculator"&lt;&gt;Table_dim_price_recipe[Type.display])*($L1000=Table_dim_price_recipe[Category])*($D1000=Table_dim_price_recipe[Item Description]) * (J$6=Table_dim_price_recipe[Type])*(Table_dim_price_recipe[Retail Price]&lt;&gt;0)*($C1000=Table_dim_price_recipe[Subcategory]), 0))*$B1000,"")</f>
        <v/>
      </c>
      <c r="K1000" s="39" t="str" cm="1">
        <f t="array" ref="K1000">IFERROR(INDEX(Table_dim_price_recipe[Retail Price], MATCH(1, ("Calculator"&lt;&gt;Table_dim_price_recipe[Type.display])*($L1000=Table_dim_price_recipe[Category])*($D1000=Table_dim_price_recipe[Item Description]) * (K$6=Table_dim_price_recipe[Type])*(Table_dim_price_recipe[Retail Price]&lt;&gt;0)*($C1000=Table_dim_price_recipe[Subcategory]), 0))*$B1000,"")</f>
        <v/>
      </c>
      <c r="L1000" s="39" t="str" cm="1">
        <f t="array" ref="L1000">IF($A1000&lt;&gt;"", $A1000, LOOKUP(2, 1/((A$7:INDEX(A:A, ROW()))&lt;&gt;""), A$7:INDEX(A:A, ROW())))</f>
        <v>ADDITIONAL LABOUR</v>
      </c>
    </row>
    <row r="1001" spans="1:13">
      <c r="A1001" s="263"/>
      <c r="B1001" s="263"/>
      <c r="C1001" s="263" t="s">
        <v>1037</v>
      </c>
      <c r="D1001" s="263" t="s">
        <v>1038</v>
      </c>
      <c r="E1001" s="263"/>
      <c r="F1001" s="263"/>
      <c r="G1001" s="39" t="str" cm="1">
        <f t="array" ref="G1001">IFERROR(INDEX(Table_dim_price_recipe[Retail Price], MATCH(1, ("Calculator"&lt;&gt;Table_dim_price_recipe[Type.display])*($L1001=Table_dim_price_recipe[Category])*($D1001=Table_dim_price_recipe[Item Description]) * (G$6=Table_dim_price_recipe[Type])*(Table_dim_price_recipe[Retail Price]&lt;&gt;0)*($C1001=Table_dim_price_recipe[Subcategory]), 0))*$B1001,"")</f>
        <v/>
      </c>
      <c r="H1001" s="39" t="str" cm="1">
        <f t="array" ref="H1001">IFERROR(INDEX(Table_dim_price_recipe[Retail Price], MATCH(1, ("Calculator"&lt;&gt;Table_dim_price_recipe[Type.display])*($L1001=Table_dim_price_recipe[Category])*($D1001=Table_dim_price_recipe[Item Description]) * (H$6=Table_dim_price_recipe[Type])*(Table_dim_price_recipe[Retail Price]&lt;&gt;0)*($C1001=Table_dim_price_recipe[Subcategory]), 0))*$B1001,"")</f>
        <v/>
      </c>
      <c r="I1001" s="39" t="str" cm="1">
        <f t="array" ref="I1001">IFERROR(INDEX(Table_dim_price_recipe[Retail Price], MATCH(1, ("Calculator"&lt;&gt;Table_dim_price_recipe[Type.display])*($L1001=Table_dim_price_recipe[Category])*($D1001=Table_dim_price_recipe[Item Description]) * (I$6=Table_dim_price_recipe[Type])*(Table_dim_price_recipe[Retail Price]&lt;&gt;0)*($C1001=Table_dim_price_recipe[Subcategory]), 0))*$B1001,"")</f>
        <v/>
      </c>
      <c r="J1001" s="39" t="str" cm="1">
        <f t="array" ref="J1001">IFERROR(INDEX(Table_dim_price_recipe[Retail Price], MATCH(1, ("Calculator"&lt;&gt;Table_dim_price_recipe[Type.display])*($L1001=Table_dim_price_recipe[Category])*($D1001=Table_dim_price_recipe[Item Description]) * (J$6=Table_dim_price_recipe[Type])*(Table_dim_price_recipe[Retail Price]&lt;&gt;0)*($C1001=Table_dim_price_recipe[Subcategory]), 0))*$B1001,"")</f>
        <v/>
      </c>
      <c r="K1001" s="39" cm="1">
        <f t="array" ref="K1001">IFERROR(INDEX(Table_dim_price_recipe[Retail Price], MATCH(1, ("Calculator"&lt;&gt;Table_dim_price_recipe[Type.display])*($L1001=Table_dim_price_recipe[Category])*($D1001=Table_dim_price_recipe[Item Description]) * (K$6=Table_dim_price_recipe[Type])*(Table_dim_price_recipe[Retail Price]&lt;&gt;0)*($C1001=Table_dim_price_recipe[Subcategory]), 0))*$B1001,"")</f>
        <v>0</v>
      </c>
      <c r="L1001" s="39" t="str" cm="1">
        <f t="array" ref="L1001">IF($A1001&lt;&gt;"", $A1001, LOOKUP(2, 1/((A$7:INDEX(A:A, ROW()))&lt;&gt;""), A$7:INDEX(A:A, ROW())))</f>
        <v>ADDITIONAL LABOUR</v>
      </c>
    </row>
    <row r="1002" spans="1:13">
      <c r="A1002" s="263"/>
      <c r="B1002" s="263"/>
      <c r="C1002" s="263" t="s">
        <v>1037</v>
      </c>
      <c r="D1002" s="263" t="s">
        <v>1039</v>
      </c>
      <c r="E1002" s="263"/>
      <c r="F1002" s="263"/>
      <c r="G1002" s="39" t="str" cm="1">
        <f t="array" ref="G1002">IFERROR(INDEX(Table_dim_price_recipe[Retail Price], MATCH(1, ("Calculator"&lt;&gt;Table_dim_price_recipe[Type.display])*($L1002=Table_dim_price_recipe[Category])*($D1002=Table_dim_price_recipe[Item Description]) * (G$6=Table_dim_price_recipe[Type])*(Table_dim_price_recipe[Retail Price]&lt;&gt;0)*($C1002=Table_dim_price_recipe[Subcategory]), 0))*$B1002,"")</f>
        <v/>
      </c>
      <c r="H1002" s="39" t="str" cm="1">
        <f t="array" ref="H1002">IFERROR(INDEX(Table_dim_price_recipe[Retail Price], MATCH(1, ("Calculator"&lt;&gt;Table_dim_price_recipe[Type.display])*($L1002=Table_dim_price_recipe[Category])*($D1002=Table_dim_price_recipe[Item Description]) * (H$6=Table_dim_price_recipe[Type])*(Table_dim_price_recipe[Retail Price]&lt;&gt;0)*($C1002=Table_dim_price_recipe[Subcategory]), 0))*$B1002,"")</f>
        <v/>
      </c>
      <c r="I1002" s="39" t="str" cm="1">
        <f t="array" ref="I1002">IFERROR(INDEX(Table_dim_price_recipe[Retail Price], MATCH(1, ("Calculator"&lt;&gt;Table_dim_price_recipe[Type.display])*($L1002=Table_dim_price_recipe[Category])*($D1002=Table_dim_price_recipe[Item Description]) * (I$6=Table_dim_price_recipe[Type])*(Table_dim_price_recipe[Retail Price]&lt;&gt;0)*($C1002=Table_dim_price_recipe[Subcategory]), 0))*$B1002,"")</f>
        <v/>
      </c>
      <c r="J1002" s="39" t="str" cm="1">
        <f t="array" ref="J1002">IFERROR(INDEX(Table_dim_price_recipe[Retail Price], MATCH(1, ("Calculator"&lt;&gt;Table_dim_price_recipe[Type.display])*($L1002=Table_dim_price_recipe[Category])*($D1002=Table_dim_price_recipe[Item Description]) * (J$6=Table_dim_price_recipe[Type])*(Table_dim_price_recipe[Retail Price]&lt;&gt;0)*($C1002=Table_dim_price_recipe[Subcategory]), 0))*$B1002,"")</f>
        <v/>
      </c>
      <c r="K1002" s="39" cm="1">
        <f t="array" ref="K1002">IFERROR(INDEX(Table_dim_price_recipe[Retail Price], MATCH(1, ("Calculator"&lt;&gt;Table_dim_price_recipe[Type.display])*($L1002=Table_dim_price_recipe[Category])*($D1002=Table_dim_price_recipe[Item Description]) * (K$6=Table_dim_price_recipe[Type])*(Table_dim_price_recipe[Retail Price]&lt;&gt;0)*($C1002=Table_dim_price_recipe[Subcategory]), 0))*$B1002,"")</f>
        <v>0</v>
      </c>
      <c r="L1002" s="39" t="str" cm="1">
        <f t="array" ref="L1002">IF($A1002&lt;&gt;"", $A1002, LOOKUP(2, 1/((A$7:INDEX(A:A, ROW()))&lt;&gt;""), A$7:INDEX(A:A, ROW())))</f>
        <v>ADDITIONAL LABOUR</v>
      </c>
    </row>
    <row r="1003" spans="1:13">
      <c r="A1003" s="263"/>
      <c r="B1003" s="263"/>
      <c r="C1003" s="263" t="s">
        <v>1037</v>
      </c>
      <c r="D1003" s="263" t="s">
        <v>1040</v>
      </c>
      <c r="E1003" s="263"/>
      <c r="F1003" s="263"/>
      <c r="G1003" s="39" t="str" cm="1">
        <f t="array" ref="G1003">IFERROR(INDEX(Table_dim_price_recipe[Retail Price], MATCH(1, ("Calculator"&lt;&gt;Table_dim_price_recipe[Type.display])*($L1003=Table_dim_price_recipe[Category])*($D1003=Table_dim_price_recipe[Item Description]) * (G$6=Table_dim_price_recipe[Type])*(Table_dim_price_recipe[Retail Price]&lt;&gt;0)*($C1003=Table_dim_price_recipe[Subcategory]), 0))*$B1003,"")</f>
        <v/>
      </c>
      <c r="H1003" s="39" t="str" cm="1">
        <f t="array" ref="H1003">IFERROR(INDEX(Table_dim_price_recipe[Retail Price], MATCH(1, ("Calculator"&lt;&gt;Table_dim_price_recipe[Type.display])*($L1003=Table_dim_price_recipe[Category])*($D1003=Table_dim_price_recipe[Item Description]) * (H$6=Table_dim_price_recipe[Type])*(Table_dim_price_recipe[Retail Price]&lt;&gt;0)*($C1003=Table_dim_price_recipe[Subcategory]), 0))*$B1003,"")</f>
        <v/>
      </c>
      <c r="I1003" s="39" t="str" cm="1">
        <f t="array" ref="I1003">IFERROR(INDEX(Table_dim_price_recipe[Retail Price], MATCH(1, ("Calculator"&lt;&gt;Table_dim_price_recipe[Type.display])*($L1003=Table_dim_price_recipe[Category])*($D1003=Table_dim_price_recipe[Item Description]) * (I$6=Table_dim_price_recipe[Type])*(Table_dim_price_recipe[Retail Price]&lt;&gt;0)*($C1003=Table_dim_price_recipe[Subcategory]), 0))*$B1003,"")</f>
        <v/>
      </c>
      <c r="J1003" s="39" t="str" cm="1">
        <f t="array" ref="J1003">IFERROR(INDEX(Table_dim_price_recipe[Retail Price], MATCH(1, ("Calculator"&lt;&gt;Table_dim_price_recipe[Type.display])*($L1003=Table_dim_price_recipe[Category])*($D1003=Table_dim_price_recipe[Item Description]) * (J$6=Table_dim_price_recipe[Type])*(Table_dim_price_recipe[Retail Price]&lt;&gt;0)*($C1003=Table_dim_price_recipe[Subcategory]), 0))*$B1003,"")</f>
        <v/>
      </c>
      <c r="K1003" s="39" t="str" cm="1">
        <f t="array" ref="K1003">IFERROR(INDEX(Table_dim_price_recipe[Retail Price], MATCH(1, ("Calculator"&lt;&gt;Table_dim_price_recipe[Type.display])*($L1003=Table_dim_price_recipe[Category])*($D1003=Table_dim_price_recipe[Item Description]) * (K$6=Table_dim_price_recipe[Type])*(Table_dim_price_recipe[Retail Price]&lt;&gt;0)*($C1003=Table_dim_price_recipe[Subcategory]), 0))*$B1003,"")</f>
        <v/>
      </c>
      <c r="L1003" s="39" t="str" cm="1">
        <f t="array" ref="L1003">IF($A1003&lt;&gt;"", $A1003, LOOKUP(2, 1/((A$7:INDEX(A:A, ROW()))&lt;&gt;""), A$7:INDEX(A:A, ROW())))</f>
        <v>ADDITIONAL LABOUR</v>
      </c>
    </row>
    <row r="1004" spans="1:13">
      <c r="A1004" s="263"/>
      <c r="B1004" s="263"/>
      <c r="C1004" s="263" t="s">
        <v>1037</v>
      </c>
      <c r="D1004" s="263"/>
      <c r="E1004" s="263"/>
      <c r="F1004" s="263"/>
      <c r="G1004" s="39" t="str" cm="1">
        <f t="array" ref="G1004">IFERROR(INDEX(Table_dim_price_recipe[Retail Price], MATCH(1, ("Calculator"&lt;&gt;Table_dim_price_recipe[Type.display])*($L1004=Table_dim_price_recipe[Category])*($D1004=Table_dim_price_recipe[Item Description]) * (G$6=Table_dim_price_recipe[Type])*(Table_dim_price_recipe[Retail Price]&lt;&gt;0)*($C1004=Table_dim_price_recipe[Subcategory]), 0))*$B1004,"")</f>
        <v/>
      </c>
      <c r="H1004" s="39" t="str" cm="1">
        <f t="array" ref="H1004">IFERROR(INDEX(Table_dim_price_recipe[Retail Price], MATCH(1, ("Calculator"&lt;&gt;Table_dim_price_recipe[Type.display])*($L1004=Table_dim_price_recipe[Category])*($D1004=Table_dim_price_recipe[Item Description]) * (H$6=Table_dim_price_recipe[Type])*(Table_dim_price_recipe[Retail Price]&lt;&gt;0)*($C1004=Table_dim_price_recipe[Subcategory]), 0))*$B1004,"")</f>
        <v/>
      </c>
      <c r="I1004" s="39" t="str" cm="1">
        <f t="array" ref="I1004">IFERROR(INDEX(Table_dim_price_recipe[Retail Price], MATCH(1, ("Calculator"&lt;&gt;Table_dim_price_recipe[Type.display])*($L1004=Table_dim_price_recipe[Category])*($D1004=Table_dim_price_recipe[Item Description]) * (I$6=Table_dim_price_recipe[Type])*(Table_dim_price_recipe[Retail Price]&lt;&gt;0)*($C1004=Table_dim_price_recipe[Subcategory]), 0))*$B1004,"")</f>
        <v/>
      </c>
      <c r="J1004" s="39" t="str" cm="1">
        <f t="array" ref="J1004">IFERROR(INDEX(Table_dim_price_recipe[Retail Price], MATCH(1, ("Calculator"&lt;&gt;Table_dim_price_recipe[Type.display])*($L1004=Table_dim_price_recipe[Category])*($D1004=Table_dim_price_recipe[Item Description]) * (J$6=Table_dim_price_recipe[Type])*(Table_dim_price_recipe[Retail Price]&lt;&gt;0)*($C1004=Table_dim_price_recipe[Subcategory]), 0))*$B1004,"")</f>
        <v/>
      </c>
      <c r="K1004" s="39" cm="1">
        <f t="array" ref="K1004">IFERROR(INDEX(Table_dim_price_recipe[Retail Price], MATCH(1, ("Calculator"&lt;&gt;Table_dim_price_recipe[Type.display])*($L1004=Table_dim_price_recipe[Category])*($D1004=Table_dim_price_recipe[Item Description]) * (K$6=Table_dim_price_recipe[Type])*(Table_dim_price_recipe[Retail Price]&lt;&gt;0)*($C1004=Table_dim_price_recipe[Subcategory]), 0))*$B1004,"")</f>
        <v>0</v>
      </c>
      <c r="L1004" s="39" t="str" cm="1">
        <f t="array" ref="L1004">IF($A1004&lt;&gt;"", $A1004, LOOKUP(2, 1/((A$7:INDEX(A:A, ROW()))&lt;&gt;""), A$7:INDEX(A:A, ROW())))</f>
        <v>ADDITIONAL LABOUR</v>
      </c>
    </row>
    <row r="1005" spans="1:13">
      <c r="A1005" s="263"/>
      <c r="B1005" s="263"/>
      <c r="C1005" s="263" t="s">
        <v>1037</v>
      </c>
      <c r="D1005" s="263"/>
      <c r="E1005" s="263"/>
      <c r="F1005" s="263"/>
      <c r="G1005" s="39" t="str" cm="1">
        <f t="array" ref="G1005">IFERROR(INDEX(Table_dim_price_recipe[Retail Price], MATCH(1, ("Calculator"&lt;&gt;Table_dim_price_recipe[Type.display])*($L1005=Table_dim_price_recipe[Category])*($D1005=Table_dim_price_recipe[Item Description]) * (G$6=Table_dim_price_recipe[Type])*(Table_dim_price_recipe[Retail Price]&lt;&gt;0)*($C1005=Table_dim_price_recipe[Subcategory]), 0))*$B1005,"")</f>
        <v/>
      </c>
      <c r="H1005" s="39" t="str" cm="1">
        <f t="array" ref="H1005">IFERROR(INDEX(Table_dim_price_recipe[Retail Price], MATCH(1, ("Calculator"&lt;&gt;Table_dim_price_recipe[Type.display])*($L1005=Table_dim_price_recipe[Category])*($D1005=Table_dim_price_recipe[Item Description]) * (H$6=Table_dim_price_recipe[Type])*(Table_dim_price_recipe[Retail Price]&lt;&gt;0)*($C1005=Table_dim_price_recipe[Subcategory]), 0))*$B1005,"")</f>
        <v/>
      </c>
      <c r="I1005" s="39" t="str" cm="1">
        <f t="array" ref="I1005">IFERROR(INDEX(Table_dim_price_recipe[Retail Price], MATCH(1, ("Calculator"&lt;&gt;Table_dim_price_recipe[Type.display])*($L1005=Table_dim_price_recipe[Category])*($D1005=Table_dim_price_recipe[Item Description]) * (I$6=Table_dim_price_recipe[Type])*(Table_dim_price_recipe[Retail Price]&lt;&gt;0)*($C1005=Table_dim_price_recipe[Subcategory]), 0))*$B1005,"")</f>
        <v/>
      </c>
      <c r="J1005" s="39" t="str" cm="1">
        <f t="array" ref="J1005">IFERROR(INDEX(Table_dim_price_recipe[Retail Price], MATCH(1, ("Calculator"&lt;&gt;Table_dim_price_recipe[Type.display])*($L1005=Table_dim_price_recipe[Category])*($D1005=Table_dim_price_recipe[Item Description]) * (J$6=Table_dim_price_recipe[Type])*(Table_dim_price_recipe[Retail Price]&lt;&gt;0)*($C1005=Table_dim_price_recipe[Subcategory]), 0))*$B1005,"")</f>
        <v/>
      </c>
      <c r="K1005" s="39" cm="1">
        <f t="array" ref="K1005">IFERROR(INDEX(Table_dim_price_recipe[Retail Price], MATCH(1, ("Calculator"&lt;&gt;Table_dim_price_recipe[Type.display])*($L1005=Table_dim_price_recipe[Category])*($D1005=Table_dim_price_recipe[Item Description]) * (K$6=Table_dim_price_recipe[Type])*(Table_dim_price_recipe[Retail Price]&lt;&gt;0)*($C1005=Table_dim_price_recipe[Subcategory]), 0))*$B1005,"")</f>
        <v>0</v>
      </c>
      <c r="L1005" s="39" t="str" cm="1">
        <f t="array" ref="L1005">IF($A1005&lt;&gt;"", $A1005, LOOKUP(2, 1/((A$7:INDEX(A:A, ROW()))&lt;&gt;""), A$7:INDEX(A:A, ROW())))</f>
        <v>ADDITIONAL LABOUR</v>
      </c>
    </row>
    <row r="1006" spans="1:13">
      <c r="A1006" s="263"/>
      <c r="B1006" s="263"/>
      <c r="C1006" s="263" t="s">
        <v>1063</v>
      </c>
      <c r="D1006" s="263" t="s">
        <v>1200</v>
      </c>
      <c r="E1006" s="263"/>
      <c r="F1006" s="263"/>
      <c r="G1006" s="39" t="str" cm="1">
        <f t="array" ref="G1006">IFERROR(INDEX(Table_dim_price_recipe[Retail Price], MATCH(1, ("Calculator"&lt;&gt;Table_dim_price_recipe[Type.display])*($L1006=Table_dim_price_recipe[Category])*($D1006=Table_dim_price_recipe[Item Description]) * (G$6=Table_dim_price_recipe[Type])*(Table_dim_price_recipe[Retail Price]&lt;&gt;0)*($C1006=Table_dim_price_recipe[Subcategory]), 0))*$B1006,"")</f>
        <v/>
      </c>
      <c r="H1006" s="39" t="str" cm="1">
        <f t="array" ref="H1006">IFERROR(INDEX(Table_dim_price_recipe[Retail Price], MATCH(1, ("Calculator"&lt;&gt;Table_dim_price_recipe[Type.display])*($L1006=Table_dim_price_recipe[Category])*($D1006=Table_dim_price_recipe[Item Description]) * (H$6=Table_dim_price_recipe[Type])*(Table_dim_price_recipe[Retail Price]&lt;&gt;0)*($C1006=Table_dim_price_recipe[Subcategory]), 0))*$B1006,"")</f>
        <v/>
      </c>
      <c r="I1006" s="39" t="str" cm="1">
        <f t="array" ref="I1006">IFERROR(INDEX(Table_dim_price_recipe[Retail Price], MATCH(1, ("Calculator"&lt;&gt;Table_dim_price_recipe[Type.display])*($L1006=Table_dim_price_recipe[Category])*($D1006=Table_dim_price_recipe[Item Description]) * (I$6=Table_dim_price_recipe[Type])*(Table_dim_price_recipe[Retail Price]&lt;&gt;0)*($C1006=Table_dim_price_recipe[Subcategory]), 0))*$B1006,"")</f>
        <v/>
      </c>
      <c r="J1006" s="39" t="str" cm="1">
        <f t="array" ref="J1006">IFERROR(INDEX(Table_dim_price_recipe[Retail Price], MATCH(1, ("Calculator"&lt;&gt;Table_dim_price_recipe[Type.display])*($L1006=Table_dim_price_recipe[Category])*($D1006=Table_dim_price_recipe[Item Description]) * (J$6=Table_dim_price_recipe[Type])*(Table_dim_price_recipe[Retail Price]&lt;&gt;0)*($C1006=Table_dim_price_recipe[Subcategory]), 0))*$B1006,"")</f>
        <v/>
      </c>
      <c r="K1006" s="39" cm="1">
        <f t="array" ref="K1006">IFERROR(INDEX(Table_dim_price_recipe[Retail Price], MATCH(1, ("Calculator"&lt;&gt;Table_dim_price_recipe[Type.display])*($L1006=Table_dim_price_recipe[Category])*($D1006=Table_dim_price_recipe[Item Description]) * (K$6=Table_dim_price_recipe[Type])*(Table_dim_price_recipe[Retail Price]&lt;&gt;0)*($C1006=Table_dim_price_recipe[Subcategory]), 0))*$B1006,"")</f>
        <v>0</v>
      </c>
      <c r="L1006" s="39" t="str" cm="1">
        <f t="array" ref="L1006">IF($A1006&lt;&gt;"", $A1006, LOOKUP(2, 1/((A$7:INDEX(A:A, ROW()))&lt;&gt;""), A$7:INDEX(A:A, ROW())))</f>
        <v>ADDITIONAL LABOUR</v>
      </c>
    </row>
    <row r="1007" spans="1:13">
      <c r="A1007" s="263"/>
      <c r="B1007" s="263"/>
      <c r="C1007" s="263" t="s">
        <v>1063</v>
      </c>
      <c r="D1007" s="263" t="s">
        <v>1225</v>
      </c>
      <c r="E1007" s="263"/>
      <c r="F1007" s="263"/>
      <c r="G1007" s="39" t="str" cm="1">
        <f t="array" ref="G1007">IFERROR(INDEX(Table_dim_price_recipe[Retail Price], MATCH(1, ("Calculator"&lt;&gt;Table_dim_price_recipe[Type.display])*($L1007=Table_dim_price_recipe[Category])*($D1007=Table_dim_price_recipe[Item Description]) * (G$6=Table_dim_price_recipe[Type])*(Table_dim_price_recipe[Retail Price]&lt;&gt;0)*($C1007=Table_dim_price_recipe[Subcategory]), 0))*$B1007,"")</f>
        <v/>
      </c>
      <c r="H1007" s="39" t="str" cm="1">
        <f t="array" ref="H1007">IFERROR(INDEX(Table_dim_price_recipe[Retail Price], MATCH(1, ("Calculator"&lt;&gt;Table_dim_price_recipe[Type.display])*($L1007=Table_dim_price_recipe[Category])*($D1007=Table_dim_price_recipe[Item Description]) * (H$6=Table_dim_price_recipe[Type])*(Table_dim_price_recipe[Retail Price]&lt;&gt;0)*($C1007=Table_dim_price_recipe[Subcategory]), 0))*$B1007,"")</f>
        <v/>
      </c>
      <c r="I1007" s="39" t="str" cm="1">
        <f t="array" ref="I1007">IFERROR(INDEX(Table_dim_price_recipe[Retail Price], MATCH(1, ("Calculator"&lt;&gt;Table_dim_price_recipe[Type.display])*($L1007=Table_dim_price_recipe[Category])*($D1007=Table_dim_price_recipe[Item Description]) * (I$6=Table_dim_price_recipe[Type])*(Table_dim_price_recipe[Retail Price]&lt;&gt;0)*($C1007=Table_dim_price_recipe[Subcategory]), 0))*$B1007,"")</f>
        <v/>
      </c>
      <c r="J1007" s="39" t="str" cm="1">
        <f t="array" ref="J1007">IFERROR(INDEX(Table_dim_price_recipe[Retail Price], MATCH(1, ("Calculator"&lt;&gt;Table_dim_price_recipe[Type.display])*($L1007=Table_dim_price_recipe[Category])*($D1007=Table_dim_price_recipe[Item Description]) * (J$6=Table_dim_price_recipe[Type])*(Table_dim_price_recipe[Retail Price]&lt;&gt;0)*($C1007=Table_dim_price_recipe[Subcategory]), 0))*$B1007,"")</f>
        <v/>
      </c>
      <c r="K1007" s="39" cm="1">
        <f t="array" ref="K1007">IFERROR(INDEX(Table_dim_price_recipe[Retail Price], MATCH(1, ("Calculator"&lt;&gt;Table_dim_price_recipe[Type.display])*($L1007=Table_dim_price_recipe[Category])*($D1007=Table_dim_price_recipe[Item Description]) * (K$6=Table_dim_price_recipe[Type])*(Table_dim_price_recipe[Retail Price]&lt;&gt;0)*($C1007=Table_dim_price_recipe[Subcategory]), 0))*$B1007,"")</f>
        <v>0</v>
      </c>
      <c r="L1007" s="39" t="str" cm="1">
        <f t="array" ref="L1007">IF($A1007&lt;&gt;"", $A1007, LOOKUP(2, 1/((A$7:INDEX(A:A, ROW()))&lt;&gt;""), A$7:INDEX(A:A, ROW())))</f>
        <v>ADDITIONAL LABOUR</v>
      </c>
    </row>
    <row r="1008" spans="1:13">
      <c r="A1008" s="263"/>
      <c r="B1008" s="263"/>
      <c r="C1008" s="263" t="s">
        <v>1063</v>
      </c>
      <c r="D1008" s="263" t="s">
        <v>1201</v>
      </c>
      <c r="E1008" s="263"/>
      <c r="F1008" s="263"/>
      <c r="G1008" s="39" t="str" cm="1">
        <f t="array" ref="G1008">IFERROR(INDEX(Table_dim_price_recipe[Retail Price], MATCH(1, ("Calculator"&lt;&gt;Table_dim_price_recipe[Type.display])*($L1008=Table_dim_price_recipe[Category])*($D1008=Table_dim_price_recipe[Item Description]) * (G$6=Table_dim_price_recipe[Type])*(Table_dim_price_recipe[Retail Price]&lt;&gt;0)*($C1008=Table_dim_price_recipe[Subcategory]), 0))*$B1008,"")</f>
        <v/>
      </c>
      <c r="H1008" s="39" t="str" cm="1">
        <f t="array" ref="H1008">IFERROR(INDEX(Table_dim_price_recipe[Retail Price], MATCH(1, ("Calculator"&lt;&gt;Table_dim_price_recipe[Type.display])*($L1008=Table_dim_price_recipe[Category])*($D1008=Table_dim_price_recipe[Item Description]) * (H$6=Table_dim_price_recipe[Type])*(Table_dim_price_recipe[Retail Price]&lt;&gt;0)*($C1008=Table_dim_price_recipe[Subcategory]), 0))*$B1008,"")</f>
        <v/>
      </c>
      <c r="I1008" s="39" t="str" cm="1">
        <f t="array" ref="I1008">IFERROR(INDEX(Table_dim_price_recipe[Retail Price], MATCH(1, ("Calculator"&lt;&gt;Table_dim_price_recipe[Type.display])*($L1008=Table_dim_price_recipe[Category])*($D1008=Table_dim_price_recipe[Item Description]) * (I$6=Table_dim_price_recipe[Type])*(Table_dim_price_recipe[Retail Price]&lt;&gt;0)*($C1008=Table_dim_price_recipe[Subcategory]), 0))*$B1008,"")</f>
        <v/>
      </c>
      <c r="J1008" s="39" t="str" cm="1">
        <f t="array" ref="J1008">IFERROR(INDEX(Table_dim_price_recipe[Retail Price], MATCH(1, ("Calculator"&lt;&gt;Table_dim_price_recipe[Type.display])*($L1008=Table_dim_price_recipe[Category])*($D1008=Table_dim_price_recipe[Item Description]) * (J$6=Table_dim_price_recipe[Type])*(Table_dim_price_recipe[Retail Price]&lt;&gt;0)*($C1008=Table_dim_price_recipe[Subcategory]), 0))*$B1008,"")</f>
        <v/>
      </c>
      <c r="K1008" s="39" cm="1">
        <f t="array" ref="K1008">IFERROR(INDEX(Table_dim_price_recipe[Retail Price], MATCH(1, ("Calculator"&lt;&gt;Table_dim_price_recipe[Type.display])*($L1008=Table_dim_price_recipe[Category])*($D1008=Table_dim_price_recipe[Item Description]) * (K$6=Table_dim_price_recipe[Type])*(Table_dim_price_recipe[Retail Price]&lt;&gt;0)*($C1008=Table_dim_price_recipe[Subcategory]), 0))*$B1008,"")</f>
        <v>0</v>
      </c>
      <c r="L1008" s="39" t="str" cm="1">
        <f t="array" ref="L1008">IF($A1008&lt;&gt;"", $A1008, LOOKUP(2, 1/((A$7:INDEX(A:A, ROW()))&lt;&gt;""), A$7:INDEX(A:A, ROW())))</f>
        <v>ADDITIONAL LABOUR</v>
      </c>
    </row>
    <row r="1009" spans="1:12">
      <c r="A1009" s="263"/>
      <c r="B1009" s="263"/>
      <c r="C1009" s="263" t="s">
        <v>1063</v>
      </c>
      <c r="D1009" s="263" t="s">
        <v>1064</v>
      </c>
      <c r="E1009" s="263"/>
      <c r="F1009" s="263"/>
      <c r="G1009" s="39" t="str" cm="1">
        <f t="array" ref="G1009">IFERROR(INDEX(Table_dim_price_recipe[Retail Price], MATCH(1, ("Calculator"&lt;&gt;Table_dim_price_recipe[Type.display])*($L1009=Table_dim_price_recipe[Category])*($D1009=Table_dim_price_recipe[Item Description]) * (G$6=Table_dim_price_recipe[Type])*(Table_dim_price_recipe[Retail Price]&lt;&gt;0)*($C1009=Table_dim_price_recipe[Subcategory]), 0))*$B1009,"")</f>
        <v/>
      </c>
      <c r="H1009" s="39" t="str" cm="1">
        <f t="array" ref="H1009">IFERROR(INDEX(Table_dim_price_recipe[Retail Price], MATCH(1, ("Calculator"&lt;&gt;Table_dim_price_recipe[Type.display])*($L1009=Table_dim_price_recipe[Category])*($D1009=Table_dim_price_recipe[Item Description]) * (H$6=Table_dim_price_recipe[Type])*(Table_dim_price_recipe[Retail Price]&lt;&gt;0)*($C1009=Table_dim_price_recipe[Subcategory]), 0))*$B1009,"")</f>
        <v/>
      </c>
      <c r="I1009" s="39" t="str" cm="1">
        <f t="array" ref="I1009">IFERROR(INDEX(Table_dim_price_recipe[Retail Price], MATCH(1, ("Calculator"&lt;&gt;Table_dim_price_recipe[Type.display])*($L1009=Table_dim_price_recipe[Category])*($D1009=Table_dim_price_recipe[Item Description]) * (I$6=Table_dim_price_recipe[Type])*(Table_dim_price_recipe[Retail Price]&lt;&gt;0)*($C1009=Table_dim_price_recipe[Subcategory]), 0))*$B1009,"")</f>
        <v/>
      </c>
      <c r="J1009" s="39" t="str" cm="1">
        <f t="array" ref="J1009">IFERROR(INDEX(Table_dim_price_recipe[Retail Price], MATCH(1, ("Calculator"&lt;&gt;Table_dim_price_recipe[Type.display])*($L1009=Table_dim_price_recipe[Category])*($D1009=Table_dim_price_recipe[Item Description]) * (J$6=Table_dim_price_recipe[Type])*(Table_dim_price_recipe[Retail Price]&lt;&gt;0)*($C1009=Table_dim_price_recipe[Subcategory]), 0))*$B1009,"")</f>
        <v/>
      </c>
      <c r="K1009" s="39" cm="1">
        <f t="array" ref="K1009">IFERROR(INDEX(Table_dim_price_recipe[Retail Price], MATCH(1, ("Calculator"&lt;&gt;Table_dim_price_recipe[Type.display])*($L1009=Table_dim_price_recipe[Category])*($D1009=Table_dim_price_recipe[Item Description]) * (K$6=Table_dim_price_recipe[Type])*(Table_dim_price_recipe[Retail Price]&lt;&gt;0)*($C1009=Table_dim_price_recipe[Subcategory]), 0))*$B1009,"")</f>
        <v>0</v>
      </c>
      <c r="L1009" s="39" t="str" cm="1">
        <f t="array" ref="L1009">IF($A1009&lt;&gt;"", $A1009, LOOKUP(2, 1/((A$7:INDEX(A:A, ROW()))&lt;&gt;""), A$7:INDEX(A:A, ROW())))</f>
        <v>ADDITIONAL LABOUR</v>
      </c>
    </row>
    <row r="1010" spans="1:12">
      <c r="A1010" s="263"/>
      <c r="B1010" s="263"/>
      <c r="C1010" s="263" t="s">
        <v>1063</v>
      </c>
      <c r="D1010" s="263" t="s">
        <v>1224</v>
      </c>
      <c r="E1010" s="263"/>
      <c r="F1010" s="263"/>
      <c r="G1010" s="39" t="str" cm="1">
        <f t="array" ref="G1010">IFERROR(INDEX(Table_dim_price_recipe[Retail Price], MATCH(1, ("Calculator"&lt;&gt;Table_dim_price_recipe[Type.display])*($L1010=Table_dim_price_recipe[Category])*($D1010=Table_dim_price_recipe[Item Description]) * (G$6=Table_dim_price_recipe[Type])*(Table_dim_price_recipe[Retail Price]&lt;&gt;0)*($C1010=Table_dim_price_recipe[Subcategory]), 0))*$B1010,"")</f>
        <v/>
      </c>
      <c r="H1010" s="39" t="str" cm="1">
        <f t="array" ref="H1010">IFERROR(INDEX(Table_dim_price_recipe[Retail Price], MATCH(1, ("Calculator"&lt;&gt;Table_dim_price_recipe[Type.display])*($L1010=Table_dim_price_recipe[Category])*($D1010=Table_dim_price_recipe[Item Description]) * (H$6=Table_dim_price_recipe[Type])*(Table_dim_price_recipe[Retail Price]&lt;&gt;0)*($C1010=Table_dim_price_recipe[Subcategory]), 0))*$B1010,"")</f>
        <v/>
      </c>
      <c r="I1010" s="39" t="str" cm="1">
        <f t="array" ref="I1010">IFERROR(INDEX(Table_dim_price_recipe[Retail Price], MATCH(1, ("Calculator"&lt;&gt;Table_dim_price_recipe[Type.display])*($L1010=Table_dim_price_recipe[Category])*($D1010=Table_dim_price_recipe[Item Description]) * (I$6=Table_dim_price_recipe[Type])*(Table_dim_price_recipe[Retail Price]&lt;&gt;0)*($C1010=Table_dim_price_recipe[Subcategory]), 0))*$B1010,"")</f>
        <v/>
      </c>
      <c r="J1010" s="39" t="str" cm="1">
        <f t="array" ref="J1010">IFERROR(INDEX(Table_dim_price_recipe[Retail Price], MATCH(1, ("Calculator"&lt;&gt;Table_dim_price_recipe[Type.display])*($L1010=Table_dim_price_recipe[Category])*($D1010=Table_dim_price_recipe[Item Description]) * (J$6=Table_dim_price_recipe[Type])*(Table_dim_price_recipe[Retail Price]&lt;&gt;0)*($C1010=Table_dim_price_recipe[Subcategory]), 0))*$B1010,"")</f>
        <v/>
      </c>
      <c r="K1010" s="39" cm="1">
        <f t="array" ref="K1010">IFERROR(INDEX(Table_dim_price_recipe[Retail Price], MATCH(1, ("Calculator"&lt;&gt;Table_dim_price_recipe[Type.display])*($L1010=Table_dim_price_recipe[Category])*($D1010=Table_dim_price_recipe[Item Description]) * (K$6=Table_dim_price_recipe[Type])*(Table_dim_price_recipe[Retail Price]&lt;&gt;0)*($C1010=Table_dim_price_recipe[Subcategory]), 0))*$B1010,"")</f>
        <v>0</v>
      </c>
      <c r="L1010" s="39" t="str" cm="1">
        <f t="array" ref="L1010">IF($A1010&lt;&gt;"", $A1010, LOOKUP(2, 1/((A$7:INDEX(A:A, ROW()))&lt;&gt;""), A$7:INDEX(A:A, ROW())))</f>
        <v>ADDITIONAL LABOUR</v>
      </c>
    </row>
    <row r="1011" spans="1:12">
      <c r="A1011" s="263"/>
      <c r="B1011" s="263"/>
      <c r="C1011" s="263" t="s">
        <v>1063</v>
      </c>
      <c r="D1011" s="263" t="s">
        <v>1223</v>
      </c>
      <c r="E1011" s="263"/>
      <c r="F1011" s="263"/>
      <c r="G1011" s="39" t="str" cm="1">
        <f t="array" ref="G1011">IFERROR(INDEX(Table_dim_price_recipe[Retail Price], MATCH(1, ("Calculator"&lt;&gt;Table_dim_price_recipe[Type.display])*($L1011=Table_dim_price_recipe[Category])*($D1011=Table_dim_price_recipe[Item Description]) * (G$6=Table_dim_price_recipe[Type])*(Table_dim_price_recipe[Retail Price]&lt;&gt;0)*($C1011=Table_dim_price_recipe[Subcategory]), 0))*$B1011,"")</f>
        <v/>
      </c>
      <c r="H1011" s="39" t="str" cm="1">
        <f t="array" ref="H1011">IFERROR(INDEX(Table_dim_price_recipe[Retail Price], MATCH(1, ("Calculator"&lt;&gt;Table_dim_price_recipe[Type.display])*($L1011=Table_dim_price_recipe[Category])*($D1011=Table_dim_price_recipe[Item Description]) * (H$6=Table_dim_price_recipe[Type])*(Table_dim_price_recipe[Retail Price]&lt;&gt;0)*($C1011=Table_dim_price_recipe[Subcategory]), 0))*$B1011,"")</f>
        <v/>
      </c>
      <c r="I1011" s="39" t="str" cm="1">
        <f t="array" ref="I1011">IFERROR(INDEX(Table_dim_price_recipe[Retail Price], MATCH(1, ("Calculator"&lt;&gt;Table_dim_price_recipe[Type.display])*($L1011=Table_dim_price_recipe[Category])*($D1011=Table_dim_price_recipe[Item Description]) * (I$6=Table_dim_price_recipe[Type])*(Table_dim_price_recipe[Retail Price]&lt;&gt;0)*($C1011=Table_dim_price_recipe[Subcategory]), 0))*$B1011,"")</f>
        <v/>
      </c>
      <c r="J1011" s="39" t="str" cm="1">
        <f t="array" ref="J1011">IFERROR(INDEX(Table_dim_price_recipe[Retail Price], MATCH(1, ("Calculator"&lt;&gt;Table_dim_price_recipe[Type.display])*($L1011=Table_dim_price_recipe[Category])*($D1011=Table_dim_price_recipe[Item Description]) * (J$6=Table_dim_price_recipe[Type])*(Table_dim_price_recipe[Retail Price]&lt;&gt;0)*($C1011=Table_dim_price_recipe[Subcategory]), 0))*$B1011,"")</f>
        <v/>
      </c>
      <c r="K1011" s="39" cm="1">
        <f t="array" ref="K1011">IFERROR(INDEX(Table_dim_price_recipe[Retail Price], MATCH(1, ("Calculator"&lt;&gt;Table_dim_price_recipe[Type.display])*($L1011=Table_dim_price_recipe[Category])*($D1011=Table_dim_price_recipe[Item Description]) * (K$6=Table_dim_price_recipe[Type])*(Table_dim_price_recipe[Retail Price]&lt;&gt;0)*($C1011=Table_dim_price_recipe[Subcategory]), 0))*$B1011,"")</f>
        <v>0</v>
      </c>
      <c r="L1011" s="39" t="str" cm="1">
        <f t="array" ref="L1011">IF($A1011&lt;&gt;"", $A1011, LOOKUP(2, 1/((A$7:INDEX(A:A, ROW()))&lt;&gt;""), A$7:INDEX(A:A, ROW())))</f>
        <v>ADDITIONAL LABOUR</v>
      </c>
    </row>
    <row r="1012" spans="1:12">
      <c r="A1012" s="263"/>
      <c r="B1012" s="263"/>
      <c r="C1012" s="263" t="s">
        <v>1063</v>
      </c>
      <c r="D1012" s="263"/>
      <c r="E1012" s="263"/>
      <c r="F1012" s="263"/>
      <c r="G1012" s="39" t="str" cm="1">
        <f t="array" ref="G1012">IFERROR(INDEX(Table_dim_price_recipe[Retail Price], MATCH(1, ("Calculator"&lt;&gt;Table_dim_price_recipe[Type.display])*($L1012=Table_dim_price_recipe[Category])*($D1012=Table_dim_price_recipe[Item Description]) * (G$6=Table_dim_price_recipe[Type])*(Table_dim_price_recipe[Retail Price]&lt;&gt;0)*($C1012=Table_dim_price_recipe[Subcategory]), 0))*$B1012,"")</f>
        <v/>
      </c>
      <c r="H1012" s="39" t="str" cm="1">
        <f t="array" ref="H1012">IFERROR(INDEX(Table_dim_price_recipe[Retail Price], MATCH(1, ("Calculator"&lt;&gt;Table_dim_price_recipe[Type.display])*($L1012=Table_dim_price_recipe[Category])*($D1012=Table_dim_price_recipe[Item Description]) * (H$6=Table_dim_price_recipe[Type])*(Table_dim_price_recipe[Retail Price]&lt;&gt;0)*($C1012=Table_dim_price_recipe[Subcategory]), 0))*$B1012,"")</f>
        <v/>
      </c>
      <c r="I1012" s="39" t="str" cm="1">
        <f t="array" ref="I1012">IFERROR(INDEX(Table_dim_price_recipe[Retail Price], MATCH(1, ("Calculator"&lt;&gt;Table_dim_price_recipe[Type.display])*($L1012=Table_dim_price_recipe[Category])*($D1012=Table_dim_price_recipe[Item Description]) * (I$6=Table_dim_price_recipe[Type])*(Table_dim_price_recipe[Retail Price]&lt;&gt;0)*($C1012=Table_dim_price_recipe[Subcategory]), 0))*$B1012,"")</f>
        <v/>
      </c>
      <c r="J1012" s="39" t="str" cm="1">
        <f t="array" ref="J1012">IFERROR(INDEX(Table_dim_price_recipe[Retail Price], MATCH(1, ("Calculator"&lt;&gt;Table_dim_price_recipe[Type.display])*($L1012=Table_dim_price_recipe[Category])*($D1012=Table_dim_price_recipe[Item Description]) * (J$6=Table_dim_price_recipe[Type])*(Table_dim_price_recipe[Retail Price]&lt;&gt;0)*($C1012=Table_dim_price_recipe[Subcategory]), 0))*$B1012,"")</f>
        <v/>
      </c>
      <c r="K1012" s="39" t="str" cm="1">
        <f t="array" ref="K1012">IFERROR(INDEX(Table_dim_price_recipe[Retail Price], MATCH(1, ("Calculator"&lt;&gt;Table_dim_price_recipe[Type.display])*($L1012=Table_dim_price_recipe[Category])*($D1012=Table_dim_price_recipe[Item Description]) * (K$6=Table_dim_price_recipe[Type])*(Table_dim_price_recipe[Retail Price]&lt;&gt;0)*($C1012=Table_dim_price_recipe[Subcategory]), 0))*$B1012,"")</f>
        <v/>
      </c>
      <c r="L1012" s="39" t="str" cm="1">
        <f t="array" ref="L1012">IF($A1012&lt;&gt;"", $A1012, LOOKUP(2, 1/((A$7:INDEX(A:A, ROW()))&lt;&gt;""), A$7:INDEX(A:A, ROW())))</f>
        <v>ADDITIONAL LABOUR</v>
      </c>
    </row>
    <row r="1013" spans="1:12">
      <c r="A1013" s="263"/>
      <c r="B1013" s="263"/>
      <c r="C1013" s="263" t="s">
        <v>1063</v>
      </c>
      <c r="D1013" s="263"/>
      <c r="E1013" s="263"/>
      <c r="F1013" s="263"/>
      <c r="G1013" s="39" t="str" cm="1">
        <f t="array" ref="G1013">IFERROR(INDEX(Table_dim_price_recipe[Retail Price], MATCH(1, ("Calculator"&lt;&gt;Table_dim_price_recipe[Type.display])*($L1013=Table_dim_price_recipe[Category])*($D1013=Table_dim_price_recipe[Item Description]) * (G$6=Table_dim_price_recipe[Type])*(Table_dim_price_recipe[Retail Price]&lt;&gt;0)*($C1013=Table_dim_price_recipe[Subcategory]), 0))*$B1013,"")</f>
        <v/>
      </c>
      <c r="H1013" s="39" t="str" cm="1">
        <f t="array" ref="H1013">IFERROR(INDEX(Table_dim_price_recipe[Retail Price], MATCH(1, ("Calculator"&lt;&gt;Table_dim_price_recipe[Type.display])*($L1013=Table_dim_price_recipe[Category])*($D1013=Table_dim_price_recipe[Item Description]) * (H$6=Table_dim_price_recipe[Type])*(Table_dim_price_recipe[Retail Price]&lt;&gt;0)*($C1013=Table_dim_price_recipe[Subcategory]), 0))*$B1013,"")</f>
        <v/>
      </c>
      <c r="I1013" s="39" t="str" cm="1">
        <f t="array" ref="I1013">IFERROR(INDEX(Table_dim_price_recipe[Retail Price], MATCH(1, ("Calculator"&lt;&gt;Table_dim_price_recipe[Type.display])*($L1013=Table_dim_price_recipe[Category])*($D1013=Table_dim_price_recipe[Item Description]) * (I$6=Table_dim_price_recipe[Type])*(Table_dim_price_recipe[Retail Price]&lt;&gt;0)*($C1013=Table_dim_price_recipe[Subcategory]), 0))*$B1013,"")</f>
        <v/>
      </c>
      <c r="J1013" s="39" t="str" cm="1">
        <f t="array" ref="J1013">IFERROR(INDEX(Table_dim_price_recipe[Retail Price], MATCH(1, ("Calculator"&lt;&gt;Table_dim_price_recipe[Type.display])*($L1013=Table_dim_price_recipe[Category])*($D1013=Table_dim_price_recipe[Item Description]) * (J$6=Table_dim_price_recipe[Type])*(Table_dim_price_recipe[Retail Price]&lt;&gt;0)*($C1013=Table_dim_price_recipe[Subcategory]), 0))*$B1013,"")</f>
        <v/>
      </c>
      <c r="K1013" s="39" t="str" cm="1">
        <f t="array" ref="K1013">IFERROR(INDEX(Table_dim_price_recipe[Retail Price], MATCH(1, ("Calculator"&lt;&gt;Table_dim_price_recipe[Type.display])*($L1013=Table_dim_price_recipe[Category])*($D1013=Table_dim_price_recipe[Item Description]) * (K$6=Table_dim_price_recipe[Type])*(Table_dim_price_recipe[Retail Price]&lt;&gt;0)*($C1013=Table_dim_price_recipe[Subcategory]), 0))*$B1013,"")</f>
        <v/>
      </c>
      <c r="L1013" s="39" t="str" cm="1">
        <f t="array" ref="L1013">IF($A1013&lt;&gt;"", $A1013, LOOKUP(2, 1/((A$7:INDEX(A:A, ROW()))&lt;&gt;""), A$7:INDEX(A:A, ROW())))</f>
        <v>ADDITIONAL LABOUR</v>
      </c>
    </row>
    <row r="1014" spans="1:12">
      <c r="A1014" s="263"/>
      <c r="B1014" s="263"/>
      <c r="C1014" s="263" t="s">
        <v>890</v>
      </c>
      <c r="D1014" s="263" t="s">
        <v>892</v>
      </c>
      <c r="E1014" s="263"/>
      <c r="F1014" s="263"/>
      <c r="G1014" s="39" t="str" cm="1">
        <f t="array" ref="G1014">IFERROR(INDEX(Table_dim_price_recipe[Retail Price], MATCH(1, ("Calculator"&lt;&gt;Table_dim_price_recipe[Type.display])*($L1014=Table_dim_price_recipe[Category])*($D1014=Table_dim_price_recipe[Item Description]) * (G$6=Table_dim_price_recipe[Type])*(Table_dim_price_recipe[Retail Price]&lt;&gt;0)*($C1014=Table_dim_price_recipe[Subcategory]), 0))*$B1014,"")</f>
        <v/>
      </c>
      <c r="H1014" s="39" cm="1">
        <f t="array" ref="H1014">IFERROR(INDEX(Table_dim_price_recipe[Retail Price], MATCH(1, ("Calculator"&lt;&gt;Table_dim_price_recipe[Type.display])*($L1014=Table_dim_price_recipe[Category])*($D1014=Table_dim_price_recipe[Item Description]) * (H$6=Table_dim_price_recipe[Type])*(Table_dim_price_recipe[Retail Price]&lt;&gt;0)*($C1014=Table_dim_price_recipe[Subcategory]), 0))*$B1014,"")</f>
        <v>0</v>
      </c>
      <c r="I1014" s="39" t="str" cm="1">
        <f t="array" ref="I1014">IFERROR(INDEX(Table_dim_price_recipe[Retail Price], MATCH(1, ("Calculator"&lt;&gt;Table_dim_price_recipe[Type.display])*($L1014=Table_dim_price_recipe[Category])*($D1014=Table_dim_price_recipe[Item Description]) * (I$6=Table_dim_price_recipe[Type])*(Table_dim_price_recipe[Retail Price]&lt;&gt;0)*($C1014=Table_dim_price_recipe[Subcategory]), 0))*$B1014,"")</f>
        <v/>
      </c>
      <c r="J1014" s="39" t="str" cm="1">
        <f t="array" ref="J1014">IFERROR(INDEX(Table_dim_price_recipe[Retail Price], MATCH(1, ("Calculator"&lt;&gt;Table_dim_price_recipe[Type.display])*($L1014=Table_dim_price_recipe[Category])*($D1014=Table_dim_price_recipe[Item Description]) * (J$6=Table_dim_price_recipe[Type])*(Table_dim_price_recipe[Retail Price]&lt;&gt;0)*($C1014=Table_dim_price_recipe[Subcategory]), 0))*$B1014,"")</f>
        <v/>
      </c>
      <c r="K1014" s="39" t="str" cm="1">
        <f t="array" ref="K1014">IFERROR(INDEX(Table_dim_price_recipe[Retail Price], MATCH(1, ("Calculator"&lt;&gt;Table_dim_price_recipe[Type.display])*($L1014=Table_dim_price_recipe[Category])*($D1014=Table_dim_price_recipe[Item Description]) * (K$6=Table_dim_price_recipe[Type])*(Table_dim_price_recipe[Retail Price]&lt;&gt;0)*($C1014=Table_dim_price_recipe[Subcategory]), 0))*$B1014,"")</f>
        <v/>
      </c>
      <c r="L1014" s="39" t="str" cm="1">
        <f t="array" ref="L1014">IF($A1014&lt;&gt;"", $A1014, LOOKUP(2, 1/((A$7:INDEX(A:A, ROW()))&lt;&gt;""), A$7:INDEX(A:A, ROW())))</f>
        <v>ADDITIONAL LABOUR</v>
      </c>
    </row>
    <row r="1015" spans="1:12">
      <c r="A1015" s="263"/>
      <c r="B1015" s="263"/>
      <c r="C1015" s="263" t="s">
        <v>890</v>
      </c>
      <c r="D1015" s="263" t="s">
        <v>893</v>
      </c>
      <c r="E1015" s="263"/>
      <c r="F1015" s="263"/>
      <c r="G1015" s="39" t="str" cm="1">
        <f t="array" ref="G1015">IFERROR(INDEX(Table_dim_price_recipe[Retail Price], MATCH(1, ("Calculator"&lt;&gt;Table_dim_price_recipe[Type.display])*($L1015=Table_dim_price_recipe[Category])*($D1015=Table_dim_price_recipe[Item Description]) * (G$6=Table_dim_price_recipe[Type])*(Table_dim_price_recipe[Retail Price]&lt;&gt;0)*($C1015=Table_dim_price_recipe[Subcategory]), 0))*$B1015,"")</f>
        <v/>
      </c>
      <c r="H1015" s="39" cm="1">
        <f t="array" ref="H1015">IFERROR(INDEX(Table_dim_price_recipe[Retail Price], MATCH(1, ("Calculator"&lt;&gt;Table_dim_price_recipe[Type.display])*($L1015=Table_dim_price_recipe[Category])*($D1015=Table_dim_price_recipe[Item Description]) * (H$6=Table_dim_price_recipe[Type])*(Table_dim_price_recipe[Retail Price]&lt;&gt;0)*($C1015=Table_dim_price_recipe[Subcategory]), 0))*$B1015,"")</f>
        <v>0</v>
      </c>
      <c r="I1015" s="39" t="str" cm="1">
        <f t="array" ref="I1015">IFERROR(INDEX(Table_dim_price_recipe[Retail Price], MATCH(1, ("Calculator"&lt;&gt;Table_dim_price_recipe[Type.display])*($L1015=Table_dim_price_recipe[Category])*($D1015=Table_dim_price_recipe[Item Description]) * (I$6=Table_dim_price_recipe[Type])*(Table_dim_price_recipe[Retail Price]&lt;&gt;0)*($C1015=Table_dim_price_recipe[Subcategory]), 0))*$B1015,"")</f>
        <v/>
      </c>
      <c r="J1015" s="39" t="str" cm="1">
        <f t="array" ref="J1015">IFERROR(INDEX(Table_dim_price_recipe[Retail Price], MATCH(1, ("Calculator"&lt;&gt;Table_dim_price_recipe[Type.display])*($L1015=Table_dim_price_recipe[Category])*($D1015=Table_dim_price_recipe[Item Description]) * (J$6=Table_dim_price_recipe[Type])*(Table_dim_price_recipe[Retail Price]&lt;&gt;0)*($C1015=Table_dim_price_recipe[Subcategory]), 0))*$B1015,"")</f>
        <v/>
      </c>
      <c r="K1015" s="39" t="str" cm="1">
        <f t="array" ref="K1015">IFERROR(INDEX(Table_dim_price_recipe[Retail Price], MATCH(1, ("Calculator"&lt;&gt;Table_dim_price_recipe[Type.display])*($L1015=Table_dim_price_recipe[Category])*($D1015=Table_dim_price_recipe[Item Description]) * (K$6=Table_dim_price_recipe[Type])*(Table_dim_price_recipe[Retail Price]&lt;&gt;0)*($C1015=Table_dim_price_recipe[Subcategory]), 0))*$B1015,"")</f>
        <v/>
      </c>
      <c r="L1015" s="39" t="str" cm="1">
        <f t="array" ref="L1015">IF($A1015&lt;&gt;"", $A1015, LOOKUP(2, 1/((A$7:INDEX(A:A, ROW()))&lt;&gt;""), A$7:INDEX(A:A, ROW())))</f>
        <v>ADDITIONAL LABOUR</v>
      </c>
    </row>
    <row r="1016" spans="1:12">
      <c r="A1016" s="263"/>
      <c r="B1016" s="263"/>
      <c r="C1016" s="263" t="s">
        <v>890</v>
      </c>
      <c r="D1016" s="263" t="s">
        <v>900</v>
      </c>
      <c r="E1016" s="263"/>
      <c r="F1016" s="263"/>
      <c r="G1016" s="39" t="str" cm="1">
        <f t="array" ref="G1016">IFERROR(INDEX(Table_dim_price_recipe[Retail Price], MATCH(1, ("Calculator"&lt;&gt;Table_dim_price_recipe[Type.display])*($L1016=Table_dim_price_recipe[Category])*($D1016=Table_dim_price_recipe[Item Description]) * (G$6=Table_dim_price_recipe[Type])*(Table_dim_price_recipe[Retail Price]&lt;&gt;0)*($C1016=Table_dim_price_recipe[Subcategory]), 0))*$B1016,"")</f>
        <v/>
      </c>
      <c r="H1016" s="39" cm="1">
        <f t="array" ref="H1016">IFERROR(INDEX(Table_dim_price_recipe[Retail Price], MATCH(1, ("Calculator"&lt;&gt;Table_dim_price_recipe[Type.display])*($L1016=Table_dim_price_recipe[Category])*($D1016=Table_dim_price_recipe[Item Description]) * (H$6=Table_dim_price_recipe[Type])*(Table_dim_price_recipe[Retail Price]&lt;&gt;0)*($C1016=Table_dim_price_recipe[Subcategory]), 0))*$B1016,"")</f>
        <v>0</v>
      </c>
      <c r="I1016" s="39" t="str" cm="1">
        <f t="array" ref="I1016">IFERROR(INDEX(Table_dim_price_recipe[Retail Price], MATCH(1, ("Calculator"&lt;&gt;Table_dim_price_recipe[Type.display])*($L1016=Table_dim_price_recipe[Category])*($D1016=Table_dim_price_recipe[Item Description]) * (I$6=Table_dim_price_recipe[Type])*(Table_dim_price_recipe[Retail Price]&lt;&gt;0)*($C1016=Table_dim_price_recipe[Subcategory]), 0))*$B1016,"")</f>
        <v/>
      </c>
      <c r="J1016" s="39" t="str" cm="1">
        <f t="array" ref="J1016">IFERROR(INDEX(Table_dim_price_recipe[Retail Price], MATCH(1, ("Calculator"&lt;&gt;Table_dim_price_recipe[Type.display])*($L1016=Table_dim_price_recipe[Category])*($D1016=Table_dim_price_recipe[Item Description]) * (J$6=Table_dim_price_recipe[Type])*(Table_dim_price_recipe[Retail Price]&lt;&gt;0)*($C1016=Table_dim_price_recipe[Subcategory]), 0))*$B1016,"")</f>
        <v/>
      </c>
      <c r="K1016" s="39" t="str" cm="1">
        <f t="array" ref="K1016">IFERROR(INDEX(Table_dim_price_recipe[Retail Price], MATCH(1, ("Calculator"&lt;&gt;Table_dim_price_recipe[Type.display])*($L1016=Table_dim_price_recipe[Category])*($D1016=Table_dim_price_recipe[Item Description]) * (K$6=Table_dim_price_recipe[Type])*(Table_dim_price_recipe[Retail Price]&lt;&gt;0)*($C1016=Table_dim_price_recipe[Subcategory]), 0))*$B1016,"")</f>
        <v/>
      </c>
      <c r="L1016" s="39" t="str" cm="1">
        <f t="array" ref="L1016">IF($A1016&lt;&gt;"", $A1016, LOOKUP(2, 1/((A$7:INDEX(A:A, ROW()))&lt;&gt;""), A$7:INDEX(A:A, ROW())))</f>
        <v>ADDITIONAL LABOUR</v>
      </c>
    </row>
    <row r="1017" spans="1:12">
      <c r="A1017" s="263"/>
      <c r="B1017" s="263"/>
      <c r="C1017" s="263" t="s">
        <v>890</v>
      </c>
      <c r="D1017" s="263" t="s">
        <v>899</v>
      </c>
      <c r="E1017" s="263"/>
      <c r="F1017" s="263"/>
      <c r="G1017" s="39" t="str" cm="1">
        <f t="array" ref="G1017">IFERROR(INDEX(Table_dim_price_recipe[Retail Price], MATCH(1, ("Calculator"&lt;&gt;Table_dim_price_recipe[Type.display])*($L1017=Table_dim_price_recipe[Category])*($D1017=Table_dim_price_recipe[Item Description]) * (G$6=Table_dim_price_recipe[Type])*(Table_dim_price_recipe[Retail Price]&lt;&gt;0)*($C1017=Table_dim_price_recipe[Subcategory]), 0))*$B1017,"")</f>
        <v/>
      </c>
      <c r="H1017" s="39" cm="1">
        <f t="array" ref="H1017">IFERROR(INDEX(Table_dim_price_recipe[Retail Price], MATCH(1, ("Calculator"&lt;&gt;Table_dim_price_recipe[Type.display])*($L1017=Table_dim_price_recipe[Category])*($D1017=Table_dim_price_recipe[Item Description]) * (H$6=Table_dim_price_recipe[Type])*(Table_dim_price_recipe[Retail Price]&lt;&gt;0)*($C1017=Table_dim_price_recipe[Subcategory]), 0))*$B1017,"")</f>
        <v>0</v>
      </c>
      <c r="I1017" s="39" t="str" cm="1">
        <f t="array" ref="I1017">IFERROR(INDEX(Table_dim_price_recipe[Retail Price], MATCH(1, ("Calculator"&lt;&gt;Table_dim_price_recipe[Type.display])*($L1017=Table_dim_price_recipe[Category])*($D1017=Table_dim_price_recipe[Item Description]) * (I$6=Table_dim_price_recipe[Type])*(Table_dim_price_recipe[Retail Price]&lt;&gt;0)*($C1017=Table_dim_price_recipe[Subcategory]), 0))*$B1017,"")</f>
        <v/>
      </c>
      <c r="J1017" s="39" t="str" cm="1">
        <f t="array" ref="J1017">IFERROR(INDEX(Table_dim_price_recipe[Retail Price], MATCH(1, ("Calculator"&lt;&gt;Table_dim_price_recipe[Type.display])*($L1017=Table_dim_price_recipe[Category])*($D1017=Table_dim_price_recipe[Item Description]) * (J$6=Table_dim_price_recipe[Type])*(Table_dim_price_recipe[Retail Price]&lt;&gt;0)*($C1017=Table_dim_price_recipe[Subcategory]), 0))*$B1017,"")</f>
        <v/>
      </c>
      <c r="K1017" s="39" t="str" cm="1">
        <f t="array" ref="K1017">IFERROR(INDEX(Table_dim_price_recipe[Retail Price], MATCH(1, ("Calculator"&lt;&gt;Table_dim_price_recipe[Type.display])*($L1017=Table_dim_price_recipe[Category])*($D1017=Table_dim_price_recipe[Item Description]) * (K$6=Table_dim_price_recipe[Type])*(Table_dim_price_recipe[Retail Price]&lt;&gt;0)*($C1017=Table_dim_price_recipe[Subcategory]), 0))*$B1017,"")</f>
        <v/>
      </c>
      <c r="L1017" s="39" t="str" cm="1">
        <f t="array" ref="L1017">IF($A1017&lt;&gt;"", $A1017, LOOKUP(2, 1/((A$7:INDEX(A:A, ROW()))&lt;&gt;""), A$7:INDEX(A:A, ROW())))</f>
        <v>ADDITIONAL LABOUR</v>
      </c>
    </row>
    <row r="1018" spans="1:12">
      <c r="A1018" s="263"/>
      <c r="B1018" s="263"/>
      <c r="C1018" s="263" t="s">
        <v>890</v>
      </c>
      <c r="D1018" s="263" t="s">
        <v>898</v>
      </c>
      <c r="E1018" s="263"/>
      <c r="F1018" s="263"/>
      <c r="G1018" s="39" t="str" cm="1">
        <f t="array" ref="G1018">IFERROR(INDEX(Table_dim_price_recipe[Retail Price], MATCH(1, ("Calculator"&lt;&gt;Table_dim_price_recipe[Type.display])*($L1018=Table_dim_price_recipe[Category])*($D1018=Table_dim_price_recipe[Item Description]) * (G$6=Table_dim_price_recipe[Type])*(Table_dim_price_recipe[Retail Price]&lt;&gt;0)*($C1018=Table_dim_price_recipe[Subcategory]), 0))*$B1018,"")</f>
        <v/>
      </c>
      <c r="H1018" s="39" cm="1">
        <f t="array" ref="H1018">IFERROR(INDEX(Table_dim_price_recipe[Retail Price], MATCH(1, ("Calculator"&lt;&gt;Table_dim_price_recipe[Type.display])*($L1018=Table_dim_price_recipe[Category])*($D1018=Table_dim_price_recipe[Item Description]) * (H$6=Table_dim_price_recipe[Type])*(Table_dim_price_recipe[Retail Price]&lt;&gt;0)*($C1018=Table_dim_price_recipe[Subcategory]), 0))*$B1018,"")</f>
        <v>0</v>
      </c>
      <c r="I1018" s="39" t="str" cm="1">
        <f t="array" ref="I1018">IFERROR(INDEX(Table_dim_price_recipe[Retail Price], MATCH(1, ("Calculator"&lt;&gt;Table_dim_price_recipe[Type.display])*($L1018=Table_dim_price_recipe[Category])*($D1018=Table_dim_price_recipe[Item Description]) * (I$6=Table_dim_price_recipe[Type])*(Table_dim_price_recipe[Retail Price]&lt;&gt;0)*($C1018=Table_dim_price_recipe[Subcategory]), 0))*$B1018,"")</f>
        <v/>
      </c>
      <c r="J1018" s="39" t="str" cm="1">
        <f t="array" ref="J1018">IFERROR(INDEX(Table_dim_price_recipe[Retail Price], MATCH(1, ("Calculator"&lt;&gt;Table_dim_price_recipe[Type.display])*($L1018=Table_dim_price_recipe[Category])*($D1018=Table_dim_price_recipe[Item Description]) * (J$6=Table_dim_price_recipe[Type])*(Table_dim_price_recipe[Retail Price]&lt;&gt;0)*($C1018=Table_dim_price_recipe[Subcategory]), 0))*$B1018,"")</f>
        <v/>
      </c>
      <c r="K1018" s="39" t="str" cm="1">
        <f t="array" ref="K1018">IFERROR(INDEX(Table_dim_price_recipe[Retail Price], MATCH(1, ("Calculator"&lt;&gt;Table_dim_price_recipe[Type.display])*($L1018=Table_dim_price_recipe[Category])*($D1018=Table_dim_price_recipe[Item Description]) * (K$6=Table_dim_price_recipe[Type])*(Table_dim_price_recipe[Retail Price]&lt;&gt;0)*($C1018=Table_dim_price_recipe[Subcategory]), 0))*$B1018,"")</f>
        <v/>
      </c>
      <c r="L1018" s="39" t="str" cm="1">
        <f t="array" ref="L1018">IF($A1018&lt;&gt;"", $A1018, LOOKUP(2, 1/((A$7:INDEX(A:A, ROW()))&lt;&gt;""), A$7:INDEX(A:A, ROW())))</f>
        <v>ADDITIONAL LABOUR</v>
      </c>
    </row>
    <row r="1019" spans="1:12">
      <c r="A1019" s="263"/>
      <c r="B1019" s="263"/>
      <c r="C1019" s="263" t="s">
        <v>890</v>
      </c>
      <c r="D1019" s="263" t="s">
        <v>891</v>
      </c>
      <c r="E1019" s="263"/>
      <c r="F1019" s="263"/>
      <c r="G1019" s="39" t="str" cm="1">
        <f t="array" ref="G1019">IFERROR(INDEX(Table_dim_price_recipe[Retail Price], MATCH(1, ("Calculator"&lt;&gt;Table_dim_price_recipe[Type.display])*($L1019=Table_dim_price_recipe[Category])*($D1019=Table_dim_price_recipe[Item Description]) * (G$6=Table_dim_price_recipe[Type])*(Table_dim_price_recipe[Retail Price]&lt;&gt;0)*($C1019=Table_dim_price_recipe[Subcategory]), 0))*$B1019,"")</f>
        <v/>
      </c>
      <c r="H1019" s="39" cm="1">
        <f t="array" ref="H1019">IFERROR(INDEX(Table_dim_price_recipe[Retail Price], MATCH(1, ("Calculator"&lt;&gt;Table_dim_price_recipe[Type.display])*($L1019=Table_dim_price_recipe[Category])*($D1019=Table_dim_price_recipe[Item Description]) * (H$6=Table_dim_price_recipe[Type])*(Table_dim_price_recipe[Retail Price]&lt;&gt;0)*($C1019=Table_dim_price_recipe[Subcategory]), 0))*$B1019,"")</f>
        <v>0</v>
      </c>
      <c r="I1019" s="39" t="str" cm="1">
        <f t="array" ref="I1019">IFERROR(INDEX(Table_dim_price_recipe[Retail Price], MATCH(1, ("Calculator"&lt;&gt;Table_dim_price_recipe[Type.display])*($L1019=Table_dim_price_recipe[Category])*($D1019=Table_dim_price_recipe[Item Description]) * (I$6=Table_dim_price_recipe[Type])*(Table_dim_price_recipe[Retail Price]&lt;&gt;0)*($C1019=Table_dim_price_recipe[Subcategory]), 0))*$B1019,"")</f>
        <v/>
      </c>
      <c r="J1019" s="39" t="str" cm="1">
        <f t="array" ref="J1019">IFERROR(INDEX(Table_dim_price_recipe[Retail Price], MATCH(1, ("Calculator"&lt;&gt;Table_dim_price_recipe[Type.display])*($L1019=Table_dim_price_recipe[Category])*($D1019=Table_dim_price_recipe[Item Description]) * (J$6=Table_dim_price_recipe[Type])*(Table_dim_price_recipe[Retail Price]&lt;&gt;0)*($C1019=Table_dim_price_recipe[Subcategory]), 0))*$B1019,"")</f>
        <v/>
      </c>
      <c r="K1019" s="39" t="str" cm="1">
        <f t="array" ref="K1019">IFERROR(INDEX(Table_dim_price_recipe[Retail Price], MATCH(1, ("Calculator"&lt;&gt;Table_dim_price_recipe[Type.display])*($L1019=Table_dim_price_recipe[Category])*($D1019=Table_dim_price_recipe[Item Description]) * (K$6=Table_dim_price_recipe[Type])*(Table_dim_price_recipe[Retail Price]&lt;&gt;0)*($C1019=Table_dim_price_recipe[Subcategory]), 0))*$B1019,"")</f>
        <v/>
      </c>
      <c r="L1019" s="39" t="str" cm="1">
        <f t="array" ref="L1019">IF($A1019&lt;&gt;"", $A1019, LOOKUP(2, 1/((A$7:INDEX(A:A, ROW()))&lt;&gt;""), A$7:INDEX(A:A, ROW())))</f>
        <v>ADDITIONAL LABOUR</v>
      </c>
    </row>
    <row r="1020" spans="1:12">
      <c r="A1020" s="263"/>
      <c r="B1020" s="263"/>
      <c r="C1020" s="263" t="s">
        <v>890</v>
      </c>
      <c r="D1020" s="263" t="s">
        <v>106</v>
      </c>
      <c r="E1020" s="263"/>
      <c r="F1020" s="263"/>
      <c r="G1020" s="39" t="str" cm="1">
        <f t="array" ref="G1020">IFERROR(INDEX(Table_dim_price_recipe[Retail Price], MATCH(1, ("Calculator"&lt;&gt;Table_dim_price_recipe[Type.display])*($L1020=Table_dim_price_recipe[Category])*($D1020=Table_dim_price_recipe[Item Description]) * (G$6=Table_dim_price_recipe[Type])*(Table_dim_price_recipe[Retail Price]&lt;&gt;0)*($C1020=Table_dim_price_recipe[Subcategory]), 0))*$B1020,"")</f>
        <v/>
      </c>
      <c r="H1020" s="39" cm="1">
        <f t="array" ref="H1020">IFERROR(INDEX(Table_dim_price_recipe[Retail Price], MATCH(1, ("Calculator"&lt;&gt;Table_dim_price_recipe[Type.display])*($L1020=Table_dim_price_recipe[Category])*($D1020=Table_dim_price_recipe[Item Description]) * (H$6=Table_dim_price_recipe[Type])*(Table_dim_price_recipe[Retail Price]&lt;&gt;0)*($C1020=Table_dim_price_recipe[Subcategory]), 0))*$B1020,"")</f>
        <v>0</v>
      </c>
      <c r="I1020" s="39" t="str" cm="1">
        <f t="array" ref="I1020">IFERROR(INDEX(Table_dim_price_recipe[Retail Price], MATCH(1, ("Calculator"&lt;&gt;Table_dim_price_recipe[Type.display])*($L1020=Table_dim_price_recipe[Category])*($D1020=Table_dim_price_recipe[Item Description]) * (I$6=Table_dim_price_recipe[Type])*(Table_dim_price_recipe[Retail Price]&lt;&gt;0)*($C1020=Table_dim_price_recipe[Subcategory]), 0))*$B1020,"")</f>
        <v/>
      </c>
      <c r="J1020" s="39" t="str" cm="1">
        <f t="array" ref="J1020">IFERROR(INDEX(Table_dim_price_recipe[Retail Price], MATCH(1, ("Calculator"&lt;&gt;Table_dim_price_recipe[Type.display])*($L1020=Table_dim_price_recipe[Category])*($D1020=Table_dim_price_recipe[Item Description]) * (J$6=Table_dim_price_recipe[Type])*(Table_dim_price_recipe[Retail Price]&lt;&gt;0)*($C1020=Table_dim_price_recipe[Subcategory]), 0))*$B1020,"")</f>
        <v/>
      </c>
      <c r="K1020" s="39" t="str" cm="1">
        <f t="array" ref="K1020">IFERROR(INDEX(Table_dim_price_recipe[Retail Price], MATCH(1, ("Calculator"&lt;&gt;Table_dim_price_recipe[Type.display])*($L1020=Table_dim_price_recipe[Category])*($D1020=Table_dim_price_recipe[Item Description]) * (K$6=Table_dim_price_recipe[Type])*(Table_dim_price_recipe[Retail Price]&lt;&gt;0)*($C1020=Table_dim_price_recipe[Subcategory]), 0))*$B1020,"")</f>
        <v/>
      </c>
      <c r="L1020" s="39" t="str" cm="1">
        <f t="array" ref="L1020">IF($A1020&lt;&gt;"", $A1020, LOOKUP(2, 1/((A$7:INDEX(A:A, ROW()))&lt;&gt;""), A$7:INDEX(A:A, ROW())))</f>
        <v>ADDITIONAL LABOUR</v>
      </c>
    </row>
    <row r="1021" spans="1:12">
      <c r="A1021" s="263"/>
      <c r="B1021" s="263"/>
      <c r="C1021" s="263" t="s">
        <v>890</v>
      </c>
      <c r="D1021" s="263"/>
      <c r="E1021" s="263"/>
      <c r="F1021" s="263"/>
      <c r="G1021" s="39" t="str" cm="1">
        <f t="array" ref="G1021">IFERROR(INDEX(Table_dim_price_recipe[Retail Price], MATCH(1, ("Calculator"&lt;&gt;Table_dim_price_recipe[Type.display])*($L1021=Table_dim_price_recipe[Category])*($D1021=Table_dim_price_recipe[Item Description]) * (G$6=Table_dim_price_recipe[Type])*(Table_dim_price_recipe[Retail Price]&lt;&gt;0)*($C1021=Table_dim_price_recipe[Subcategory]), 0))*$B1021,"")</f>
        <v/>
      </c>
      <c r="H1021" s="39" t="str" cm="1">
        <f t="array" ref="H1021">IFERROR(INDEX(Table_dim_price_recipe[Retail Price], MATCH(1, ("Calculator"&lt;&gt;Table_dim_price_recipe[Type.display])*($L1021=Table_dim_price_recipe[Category])*($D1021=Table_dim_price_recipe[Item Description]) * (H$6=Table_dim_price_recipe[Type])*(Table_dim_price_recipe[Retail Price]&lt;&gt;0)*($C1021=Table_dim_price_recipe[Subcategory]), 0))*$B1021,"")</f>
        <v/>
      </c>
      <c r="I1021" s="39" t="str" cm="1">
        <f t="array" ref="I1021">IFERROR(INDEX(Table_dim_price_recipe[Retail Price], MATCH(1, ("Calculator"&lt;&gt;Table_dim_price_recipe[Type.display])*($L1021=Table_dim_price_recipe[Category])*($D1021=Table_dim_price_recipe[Item Description]) * (I$6=Table_dim_price_recipe[Type])*(Table_dim_price_recipe[Retail Price]&lt;&gt;0)*($C1021=Table_dim_price_recipe[Subcategory]), 0))*$B1021,"")</f>
        <v/>
      </c>
      <c r="J1021" s="39" t="str" cm="1">
        <f t="array" ref="J1021">IFERROR(INDEX(Table_dim_price_recipe[Retail Price], MATCH(1, ("Calculator"&lt;&gt;Table_dim_price_recipe[Type.display])*($L1021=Table_dim_price_recipe[Category])*($D1021=Table_dim_price_recipe[Item Description]) * (J$6=Table_dim_price_recipe[Type])*(Table_dim_price_recipe[Retail Price]&lt;&gt;0)*($C1021=Table_dim_price_recipe[Subcategory]), 0))*$B1021,"")</f>
        <v/>
      </c>
      <c r="K1021" s="39" t="str" cm="1">
        <f t="array" ref="K1021">IFERROR(INDEX(Table_dim_price_recipe[Retail Price], MATCH(1, ("Calculator"&lt;&gt;Table_dim_price_recipe[Type.display])*($L1021=Table_dim_price_recipe[Category])*($D1021=Table_dim_price_recipe[Item Description]) * (K$6=Table_dim_price_recipe[Type])*(Table_dim_price_recipe[Retail Price]&lt;&gt;0)*($C1021=Table_dim_price_recipe[Subcategory]), 0))*$B1021,"")</f>
        <v/>
      </c>
      <c r="L1021" s="39" t="str" cm="1">
        <f t="array" ref="L1021">IF($A1021&lt;&gt;"", $A1021, LOOKUP(2, 1/((A$7:INDEX(A:A, ROW()))&lt;&gt;""), A$7:INDEX(A:A, ROW())))</f>
        <v>ADDITIONAL LABOUR</v>
      </c>
    </row>
    <row r="1022" spans="1:12">
      <c r="A1022" s="263"/>
      <c r="B1022" s="263"/>
      <c r="C1022" s="263" t="s">
        <v>890</v>
      </c>
      <c r="D1022" s="263"/>
      <c r="E1022" s="263"/>
      <c r="F1022" s="263"/>
      <c r="G1022" s="39" t="str" cm="1">
        <f t="array" ref="G1022">IFERROR(INDEX(Table_dim_price_recipe[Retail Price], MATCH(1, ("Calculator"&lt;&gt;Table_dim_price_recipe[Type.display])*($L1022=Table_dim_price_recipe[Category])*($D1022=Table_dim_price_recipe[Item Description]) * (G$6=Table_dim_price_recipe[Type])*(Table_dim_price_recipe[Retail Price]&lt;&gt;0)*($C1022=Table_dim_price_recipe[Subcategory]), 0))*$B1022,"")</f>
        <v/>
      </c>
      <c r="H1022" s="39" t="str" cm="1">
        <f t="array" ref="H1022">IFERROR(INDEX(Table_dim_price_recipe[Retail Price], MATCH(1, ("Calculator"&lt;&gt;Table_dim_price_recipe[Type.display])*($L1022=Table_dim_price_recipe[Category])*($D1022=Table_dim_price_recipe[Item Description]) * (H$6=Table_dim_price_recipe[Type])*(Table_dim_price_recipe[Retail Price]&lt;&gt;0)*($C1022=Table_dim_price_recipe[Subcategory]), 0))*$B1022,"")</f>
        <v/>
      </c>
      <c r="I1022" s="39" t="str" cm="1">
        <f t="array" ref="I1022">IFERROR(INDEX(Table_dim_price_recipe[Retail Price], MATCH(1, ("Calculator"&lt;&gt;Table_dim_price_recipe[Type.display])*($L1022=Table_dim_price_recipe[Category])*($D1022=Table_dim_price_recipe[Item Description]) * (I$6=Table_dim_price_recipe[Type])*(Table_dim_price_recipe[Retail Price]&lt;&gt;0)*($C1022=Table_dim_price_recipe[Subcategory]), 0))*$B1022,"")</f>
        <v/>
      </c>
      <c r="J1022" s="39" t="str" cm="1">
        <f t="array" ref="J1022">IFERROR(INDEX(Table_dim_price_recipe[Retail Price], MATCH(1, ("Calculator"&lt;&gt;Table_dim_price_recipe[Type.display])*($L1022=Table_dim_price_recipe[Category])*($D1022=Table_dim_price_recipe[Item Description]) * (J$6=Table_dim_price_recipe[Type])*(Table_dim_price_recipe[Retail Price]&lt;&gt;0)*($C1022=Table_dim_price_recipe[Subcategory]), 0))*$B1022,"")</f>
        <v/>
      </c>
      <c r="K1022" s="39" t="str" cm="1">
        <f t="array" ref="K1022">IFERROR(INDEX(Table_dim_price_recipe[Retail Price], MATCH(1, ("Calculator"&lt;&gt;Table_dim_price_recipe[Type.display])*($L1022=Table_dim_price_recipe[Category])*($D1022=Table_dim_price_recipe[Item Description]) * (K$6=Table_dim_price_recipe[Type])*(Table_dim_price_recipe[Retail Price]&lt;&gt;0)*($C1022=Table_dim_price_recipe[Subcategory]), 0))*$B1022,"")</f>
        <v/>
      </c>
      <c r="L1022" s="39" t="str" cm="1">
        <f t="array" ref="L1022">IF($A1022&lt;&gt;"", $A1022, LOOKUP(2, 1/((A$7:INDEX(A:A, ROW()))&lt;&gt;""), A$7:INDEX(A:A, ROW())))</f>
        <v>ADDITIONAL LABOUR</v>
      </c>
    </row>
    <row r="1023" spans="1:12">
      <c r="A1023" s="263"/>
      <c r="B1023" s="263"/>
      <c r="C1023" s="263" t="s">
        <v>1049</v>
      </c>
      <c r="D1023" s="263" t="s">
        <v>1055</v>
      </c>
      <c r="E1023" s="263"/>
      <c r="F1023" s="263"/>
      <c r="G1023" s="39" t="str" cm="1">
        <f t="array" ref="G1023">IFERROR(INDEX(Table_dim_price_recipe[Retail Price], MATCH(1, ("Calculator"&lt;&gt;Table_dim_price_recipe[Type.display])*($L1023=Table_dim_price_recipe[Category])*($D1023=Table_dim_price_recipe[Item Description]) * (G$6=Table_dim_price_recipe[Type])*(Table_dim_price_recipe[Retail Price]&lt;&gt;0)*($C1023=Table_dim_price_recipe[Subcategory]), 0))*$B1023,"")</f>
        <v/>
      </c>
      <c r="H1023" s="39" t="str" cm="1">
        <f t="array" ref="H1023">IFERROR(INDEX(Table_dim_price_recipe[Retail Price], MATCH(1, ("Calculator"&lt;&gt;Table_dim_price_recipe[Type.display])*($L1023=Table_dim_price_recipe[Category])*($D1023=Table_dim_price_recipe[Item Description]) * (H$6=Table_dim_price_recipe[Type])*(Table_dim_price_recipe[Retail Price]&lt;&gt;0)*($C1023=Table_dim_price_recipe[Subcategory]), 0))*$B1023,"")</f>
        <v/>
      </c>
      <c r="I1023" s="39" t="str" cm="1">
        <f t="array" ref="I1023">IFERROR(INDEX(Table_dim_price_recipe[Retail Price], MATCH(1, ("Calculator"&lt;&gt;Table_dim_price_recipe[Type.display])*($L1023=Table_dim_price_recipe[Category])*($D1023=Table_dim_price_recipe[Item Description]) * (I$6=Table_dim_price_recipe[Type])*(Table_dim_price_recipe[Retail Price]&lt;&gt;0)*($C1023=Table_dim_price_recipe[Subcategory]), 0))*$B1023,"")</f>
        <v/>
      </c>
      <c r="J1023" s="39" t="str" cm="1">
        <f t="array" ref="J1023">IFERROR(INDEX(Table_dim_price_recipe[Retail Price], MATCH(1, ("Calculator"&lt;&gt;Table_dim_price_recipe[Type.display])*($L1023=Table_dim_price_recipe[Category])*($D1023=Table_dim_price_recipe[Item Description]) * (J$6=Table_dim_price_recipe[Type])*(Table_dim_price_recipe[Retail Price]&lt;&gt;0)*($C1023=Table_dim_price_recipe[Subcategory]), 0))*$B1023,"")</f>
        <v/>
      </c>
      <c r="K1023" s="39" t="str" cm="1">
        <f t="array" ref="K1023">IFERROR(INDEX(Table_dim_price_recipe[Retail Price], MATCH(1, ("Calculator"&lt;&gt;Table_dim_price_recipe[Type.display])*($L1023=Table_dim_price_recipe[Category])*($D1023=Table_dim_price_recipe[Item Description]) * (K$6=Table_dim_price_recipe[Type])*(Table_dim_price_recipe[Retail Price]&lt;&gt;0)*($C1023=Table_dim_price_recipe[Subcategory]), 0))*$B1023,"")</f>
        <v/>
      </c>
      <c r="L1023" s="39" t="str" cm="1">
        <f t="array" ref="L1023">IF($A1023&lt;&gt;"", $A1023, LOOKUP(2, 1/((A$7:INDEX(A:A, ROW()))&lt;&gt;""), A$7:INDEX(A:A, ROW())))</f>
        <v>ADDITIONAL LABOUR</v>
      </c>
    </row>
    <row r="1024" spans="1:12">
      <c r="A1024" s="263"/>
      <c r="B1024" s="263"/>
      <c r="C1024" s="263" t="s">
        <v>1049</v>
      </c>
      <c r="D1024" s="263" t="s">
        <v>1050</v>
      </c>
      <c r="E1024" s="263"/>
      <c r="F1024" s="263"/>
      <c r="G1024" s="39" t="str" cm="1">
        <f t="array" ref="G1024">IFERROR(INDEX(Table_dim_price_recipe[Retail Price], MATCH(1, ("Calculator"&lt;&gt;Table_dim_price_recipe[Type.display])*($L1024=Table_dim_price_recipe[Category])*($D1024=Table_dim_price_recipe[Item Description]) * (G$6=Table_dim_price_recipe[Type])*(Table_dim_price_recipe[Retail Price]&lt;&gt;0)*($C1024=Table_dim_price_recipe[Subcategory]), 0))*$B1024,"")</f>
        <v/>
      </c>
      <c r="H1024" s="39" t="str" cm="1">
        <f t="array" ref="H1024">IFERROR(INDEX(Table_dim_price_recipe[Retail Price], MATCH(1, ("Calculator"&lt;&gt;Table_dim_price_recipe[Type.display])*($L1024=Table_dim_price_recipe[Category])*($D1024=Table_dim_price_recipe[Item Description]) * (H$6=Table_dim_price_recipe[Type])*(Table_dim_price_recipe[Retail Price]&lt;&gt;0)*($C1024=Table_dim_price_recipe[Subcategory]), 0))*$B1024,"")</f>
        <v/>
      </c>
      <c r="I1024" s="39" t="str" cm="1">
        <f t="array" ref="I1024">IFERROR(INDEX(Table_dim_price_recipe[Retail Price], MATCH(1, ("Calculator"&lt;&gt;Table_dim_price_recipe[Type.display])*($L1024=Table_dim_price_recipe[Category])*($D1024=Table_dim_price_recipe[Item Description]) * (I$6=Table_dim_price_recipe[Type])*(Table_dim_price_recipe[Retail Price]&lt;&gt;0)*($C1024=Table_dim_price_recipe[Subcategory]), 0))*$B1024,"")</f>
        <v/>
      </c>
      <c r="J1024" s="39" t="str" cm="1">
        <f t="array" ref="J1024">IFERROR(INDEX(Table_dim_price_recipe[Retail Price], MATCH(1, ("Calculator"&lt;&gt;Table_dim_price_recipe[Type.display])*($L1024=Table_dim_price_recipe[Category])*($D1024=Table_dim_price_recipe[Item Description]) * (J$6=Table_dim_price_recipe[Type])*(Table_dim_price_recipe[Retail Price]&lt;&gt;0)*($C1024=Table_dim_price_recipe[Subcategory]), 0))*$B1024,"")</f>
        <v/>
      </c>
      <c r="K1024" s="39" t="str" cm="1">
        <f t="array" ref="K1024">IFERROR(INDEX(Table_dim_price_recipe[Retail Price], MATCH(1, ("Calculator"&lt;&gt;Table_dim_price_recipe[Type.display])*($L1024=Table_dim_price_recipe[Category])*($D1024=Table_dim_price_recipe[Item Description]) * (K$6=Table_dim_price_recipe[Type])*(Table_dim_price_recipe[Retail Price]&lt;&gt;0)*($C1024=Table_dim_price_recipe[Subcategory]), 0))*$B1024,"")</f>
        <v/>
      </c>
      <c r="L1024" s="39" t="str" cm="1">
        <f t="array" ref="L1024">IF($A1024&lt;&gt;"", $A1024, LOOKUP(2, 1/((A$7:INDEX(A:A, ROW()))&lt;&gt;""), A$7:INDEX(A:A, ROW())))</f>
        <v>ADDITIONAL LABOUR</v>
      </c>
    </row>
    <row r="1025" spans="1:12">
      <c r="A1025" s="263"/>
      <c r="B1025" s="263"/>
      <c r="C1025" s="263" t="s">
        <v>1049</v>
      </c>
      <c r="D1025" s="263" t="s">
        <v>1051</v>
      </c>
      <c r="E1025" s="263"/>
      <c r="F1025" s="263"/>
      <c r="G1025" s="39" t="str" cm="1">
        <f t="array" ref="G1025">IFERROR(INDEX(Table_dim_price_recipe[Retail Price], MATCH(1, ("Calculator"&lt;&gt;Table_dim_price_recipe[Type.display])*($L1025=Table_dim_price_recipe[Category])*($D1025=Table_dim_price_recipe[Item Description]) * (G$6=Table_dim_price_recipe[Type])*(Table_dim_price_recipe[Retail Price]&lt;&gt;0)*($C1025=Table_dim_price_recipe[Subcategory]), 0))*$B1025,"")</f>
        <v/>
      </c>
      <c r="H1025" s="39" t="str" cm="1">
        <f t="array" ref="H1025">IFERROR(INDEX(Table_dim_price_recipe[Retail Price], MATCH(1, ("Calculator"&lt;&gt;Table_dim_price_recipe[Type.display])*($L1025=Table_dim_price_recipe[Category])*($D1025=Table_dim_price_recipe[Item Description]) * (H$6=Table_dim_price_recipe[Type])*(Table_dim_price_recipe[Retail Price]&lt;&gt;0)*($C1025=Table_dim_price_recipe[Subcategory]), 0))*$B1025,"")</f>
        <v/>
      </c>
      <c r="I1025" s="39" t="str" cm="1">
        <f t="array" ref="I1025">IFERROR(INDEX(Table_dim_price_recipe[Retail Price], MATCH(1, ("Calculator"&lt;&gt;Table_dim_price_recipe[Type.display])*($L1025=Table_dim_price_recipe[Category])*($D1025=Table_dim_price_recipe[Item Description]) * (I$6=Table_dim_price_recipe[Type])*(Table_dim_price_recipe[Retail Price]&lt;&gt;0)*($C1025=Table_dim_price_recipe[Subcategory]), 0))*$B1025,"")</f>
        <v/>
      </c>
      <c r="J1025" s="39" t="str" cm="1">
        <f t="array" ref="J1025">IFERROR(INDEX(Table_dim_price_recipe[Retail Price], MATCH(1, ("Calculator"&lt;&gt;Table_dim_price_recipe[Type.display])*($L1025=Table_dim_price_recipe[Category])*($D1025=Table_dim_price_recipe[Item Description]) * (J$6=Table_dim_price_recipe[Type])*(Table_dim_price_recipe[Retail Price]&lt;&gt;0)*($C1025=Table_dim_price_recipe[Subcategory]), 0))*$B1025,"")</f>
        <v/>
      </c>
      <c r="K1025" s="39" t="str" cm="1">
        <f t="array" ref="K1025">IFERROR(INDEX(Table_dim_price_recipe[Retail Price], MATCH(1, ("Calculator"&lt;&gt;Table_dim_price_recipe[Type.display])*($L1025=Table_dim_price_recipe[Category])*($D1025=Table_dim_price_recipe[Item Description]) * (K$6=Table_dim_price_recipe[Type])*(Table_dim_price_recipe[Retail Price]&lt;&gt;0)*($C1025=Table_dim_price_recipe[Subcategory]), 0))*$B1025,"")</f>
        <v/>
      </c>
      <c r="L1025" s="39" t="str" cm="1">
        <f t="array" ref="L1025">IF($A1025&lt;&gt;"", $A1025, LOOKUP(2, 1/((A$7:INDEX(A:A, ROW()))&lt;&gt;""), A$7:INDEX(A:A, ROW())))</f>
        <v>ADDITIONAL LABOUR</v>
      </c>
    </row>
    <row r="1026" spans="1:12">
      <c r="A1026" s="263"/>
      <c r="B1026" s="263"/>
      <c r="C1026" s="263" t="s">
        <v>1049</v>
      </c>
      <c r="D1026" s="263" t="s">
        <v>1056</v>
      </c>
      <c r="E1026" s="263"/>
      <c r="F1026" s="263"/>
      <c r="G1026" s="39" t="str" cm="1">
        <f t="array" ref="G1026">IFERROR(INDEX(Table_dim_price_recipe[Retail Price], MATCH(1, ("Calculator"&lt;&gt;Table_dim_price_recipe[Type.display])*($L1026=Table_dim_price_recipe[Category])*($D1026=Table_dim_price_recipe[Item Description]) * (G$6=Table_dim_price_recipe[Type])*(Table_dim_price_recipe[Retail Price]&lt;&gt;0)*($C1026=Table_dim_price_recipe[Subcategory]), 0))*$B1026,"")</f>
        <v/>
      </c>
      <c r="H1026" s="39" t="str" cm="1">
        <f t="array" ref="H1026">IFERROR(INDEX(Table_dim_price_recipe[Retail Price], MATCH(1, ("Calculator"&lt;&gt;Table_dim_price_recipe[Type.display])*($L1026=Table_dim_price_recipe[Category])*($D1026=Table_dim_price_recipe[Item Description]) * (H$6=Table_dim_price_recipe[Type])*(Table_dim_price_recipe[Retail Price]&lt;&gt;0)*($C1026=Table_dim_price_recipe[Subcategory]), 0))*$B1026,"")</f>
        <v/>
      </c>
      <c r="I1026" s="39" t="str" cm="1">
        <f t="array" ref="I1026">IFERROR(INDEX(Table_dim_price_recipe[Retail Price], MATCH(1, ("Calculator"&lt;&gt;Table_dim_price_recipe[Type.display])*($L1026=Table_dim_price_recipe[Category])*($D1026=Table_dim_price_recipe[Item Description]) * (I$6=Table_dim_price_recipe[Type])*(Table_dim_price_recipe[Retail Price]&lt;&gt;0)*($C1026=Table_dim_price_recipe[Subcategory]), 0))*$B1026,"")</f>
        <v/>
      </c>
      <c r="J1026" s="39" t="str" cm="1">
        <f t="array" ref="J1026">IFERROR(INDEX(Table_dim_price_recipe[Retail Price], MATCH(1, ("Calculator"&lt;&gt;Table_dim_price_recipe[Type.display])*($L1026=Table_dim_price_recipe[Category])*($D1026=Table_dim_price_recipe[Item Description]) * (J$6=Table_dim_price_recipe[Type])*(Table_dim_price_recipe[Retail Price]&lt;&gt;0)*($C1026=Table_dim_price_recipe[Subcategory]), 0))*$B1026,"")</f>
        <v/>
      </c>
      <c r="K1026" s="39" cm="1">
        <f t="array" ref="K1026">IFERROR(INDEX(Table_dim_price_recipe[Retail Price], MATCH(1, ("Calculator"&lt;&gt;Table_dim_price_recipe[Type.display])*($L1026=Table_dim_price_recipe[Category])*($D1026=Table_dim_price_recipe[Item Description]) * (K$6=Table_dim_price_recipe[Type])*(Table_dim_price_recipe[Retail Price]&lt;&gt;0)*($C1026=Table_dim_price_recipe[Subcategory]), 0))*$B1026,"")</f>
        <v>0</v>
      </c>
      <c r="L1026" s="39" t="str" cm="1">
        <f t="array" ref="L1026">IF($A1026&lt;&gt;"", $A1026, LOOKUP(2, 1/((A$7:INDEX(A:A, ROW()))&lt;&gt;""), A$7:INDEX(A:A, ROW())))</f>
        <v>ADDITIONAL LABOUR</v>
      </c>
    </row>
    <row r="1027" spans="1:12">
      <c r="A1027" s="263"/>
      <c r="B1027" s="263"/>
      <c r="C1027" s="263" t="s">
        <v>1049</v>
      </c>
      <c r="D1027" s="263" t="s">
        <v>1054</v>
      </c>
      <c r="E1027" s="263"/>
      <c r="F1027" s="263"/>
      <c r="G1027" s="39" t="str" cm="1">
        <f t="array" ref="G1027">IFERROR(INDEX(Table_dim_price_recipe[Retail Price], MATCH(1, ("Calculator"&lt;&gt;Table_dim_price_recipe[Type.display])*($L1027=Table_dim_price_recipe[Category])*($D1027=Table_dim_price_recipe[Item Description]) * (G$6=Table_dim_price_recipe[Type])*(Table_dim_price_recipe[Retail Price]&lt;&gt;0)*($C1027=Table_dim_price_recipe[Subcategory]), 0))*$B1027,"")</f>
        <v/>
      </c>
      <c r="H1027" s="39" t="str" cm="1">
        <f t="array" ref="H1027">IFERROR(INDEX(Table_dim_price_recipe[Retail Price], MATCH(1, ("Calculator"&lt;&gt;Table_dim_price_recipe[Type.display])*($L1027=Table_dim_price_recipe[Category])*($D1027=Table_dim_price_recipe[Item Description]) * (H$6=Table_dim_price_recipe[Type])*(Table_dim_price_recipe[Retail Price]&lt;&gt;0)*($C1027=Table_dim_price_recipe[Subcategory]), 0))*$B1027,"")</f>
        <v/>
      </c>
      <c r="I1027" s="39" t="str" cm="1">
        <f t="array" ref="I1027">IFERROR(INDEX(Table_dim_price_recipe[Retail Price], MATCH(1, ("Calculator"&lt;&gt;Table_dim_price_recipe[Type.display])*($L1027=Table_dim_price_recipe[Category])*($D1027=Table_dim_price_recipe[Item Description]) * (I$6=Table_dim_price_recipe[Type])*(Table_dim_price_recipe[Retail Price]&lt;&gt;0)*($C1027=Table_dim_price_recipe[Subcategory]), 0))*$B1027,"")</f>
        <v/>
      </c>
      <c r="J1027" s="39" t="str" cm="1">
        <f t="array" ref="J1027">IFERROR(INDEX(Table_dim_price_recipe[Retail Price], MATCH(1, ("Calculator"&lt;&gt;Table_dim_price_recipe[Type.display])*($L1027=Table_dim_price_recipe[Category])*($D1027=Table_dim_price_recipe[Item Description]) * (J$6=Table_dim_price_recipe[Type])*(Table_dim_price_recipe[Retail Price]&lt;&gt;0)*($C1027=Table_dim_price_recipe[Subcategory]), 0))*$B1027,"")</f>
        <v/>
      </c>
      <c r="K1027" s="39" t="str" cm="1">
        <f t="array" ref="K1027">IFERROR(INDEX(Table_dim_price_recipe[Retail Price], MATCH(1, ("Calculator"&lt;&gt;Table_dim_price_recipe[Type.display])*($L1027=Table_dim_price_recipe[Category])*($D1027=Table_dim_price_recipe[Item Description]) * (K$6=Table_dim_price_recipe[Type])*(Table_dim_price_recipe[Retail Price]&lt;&gt;0)*($C1027=Table_dim_price_recipe[Subcategory]), 0))*$B1027,"")</f>
        <v/>
      </c>
      <c r="L1027" s="39" t="str" cm="1">
        <f t="array" ref="L1027">IF($A1027&lt;&gt;"", $A1027, LOOKUP(2, 1/((A$7:INDEX(A:A, ROW()))&lt;&gt;""), A$7:INDEX(A:A, ROW())))</f>
        <v>ADDITIONAL LABOUR</v>
      </c>
    </row>
    <row r="1028" spans="1:12">
      <c r="A1028" s="263"/>
      <c r="B1028" s="263"/>
      <c r="C1028" s="263" t="s">
        <v>1049</v>
      </c>
      <c r="D1028" s="263" t="s">
        <v>1053</v>
      </c>
      <c r="E1028" s="263"/>
      <c r="F1028" s="263"/>
      <c r="G1028" s="39" t="str" cm="1">
        <f t="array" ref="G1028">IFERROR(INDEX(Table_dim_price_recipe[Retail Price], MATCH(1, ("Calculator"&lt;&gt;Table_dim_price_recipe[Type.display])*($L1028=Table_dim_price_recipe[Category])*($D1028=Table_dim_price_recipe[Item Description]) * (G$6=Table_dim_price_recipe[Type])*(Table_dim_price_recipe[Retail Price]&lt;&gt;0)*($C1028=Table_dim_price_recipe[Subcategory]), 0))*$B1028,"")</f>
        <v/>
      </c>
      <c r="H1028" s="39" t="str" cm="1">
        <f t="array" ref="H1028">IFERROR(INDEX(Table_dim_price_recipe[Retail Price], MATCH(1, ("Calculator"&lt;&gt;Table_dim_price_recipe[Type.display])*($L1028=Table_dim_price_recipe[Category])*($D1028=Table_dim_price_recipe[Item Description]) * (H$6=Table_dim_price_recipe[Type])*(Table_dim_price_recipe[Retail Price]&lt;&gt;0)*($C1028=Table_dim_price_recipe[Subcategory]), 0))*$B1028,"")</f>
        <v/>
      </c>
      <c r="I1028" s="39" t="str" cm="1">
        <f t="array" ref="I1028">IFERROR(INDEX(Table_dim_price_recipe[Retail Price], MATCH(1, ("Calculator"&lt;&gt;Table_dim_price_recipe[Type.display])*($L1028=Table_dim_price_recipe[Category])*($D1028=Table_dim_price_recipe[Item Description]) * (I$6=Table_dim_price_recipe[Type])*(Table_dim_price_recipe[Retail Price]&lt;&gt;0)*($C1028=Table_dim_price_recipe[Subcategory]), 0))*$B1028,"")</f>
        <v/>
      </c>
      <c r="J1028" s="39" t="str" cm="1">
        <f t="array" ref="J1028">IFERROR(INDEX(Table_dim_price_recipe[Retail Price], MATCH(1, ("Calculator"&lt;&gt;Table_dim_price_recipe[Type.display])*($L1028=Table_dim_price_recipe[Category])*($D1028=Table_dim_price_recipe[Item Description]) * (J$6=Table_dim_price_recipe[Type])*(Table_dim_price_recipe[Retail Price]&lt;&gt;0)*($C1028=Table_dim_price_recipe[Subcategory]), 0))*$B1028,"")</f>
        <v/>
      </c>
      <c r="K1028" s="39" cm="1">
        <f t="array" ref="K1028">IFERROR(INDEX(Table_dim_price_recipe[Retail Price], MATCH(1, ("Calculator"&lt;&gt;Table_dim_price_recipe[Type.display])*($L1028=Table_dim_price_recipe[Category])*($D1028=Table_dim_price_recipe[Item Description]) * (K$6=Table_dim_price_recipe[Type])*(Table_dim_price_recipe[Retail Price]&lt;&gt;0)*($C1028=Table_dim_price_recipe[Subcategory]), 0))*$B1028,"")</f>
        <v>0</v>
      </c>
      <c r="L1028" s="39" t="str" cm="1">
        <f t="array" ref="L1028">IF($A1028&lt;&gt;"", $A1028, LOOKUP(2, 1/((A$7:INDEX(A:A, ROW()))&lt;&gt;""), A$7:INDEX(A:A, ROW())))</f>
        <v>ADDITIONAL LABOUR</v>
      </c>
    </row>
    <row r="1029" spans="1:12">
      <c r="A1029" s="263"/>
      <c r="B1029" s="263"/>
      <c r="C1029" s="263" t="s">
        <v>1049</v>
      </c>
      <c r="D1029" s="263" t="s">
        <v>1052</v>
      </c>
      <c r="E1029" s="263"/>
      <c r="F1029" s="263"/>
      <c r="G1029" s="39" t="str" cm="1">
        <f t="array" ref="G1029">IFERROR(INDEX(Table_dim_price_recipe[Retail Price], MATCH(1, ("Calculator"&lt;&gt;Table_dim_price_recipe[Type.display])*($L1029=Table_dim_price_recipe[Category])*($D1029=Table_dim_price_recipe[Item Description]) * (G$6=Table_dim_price_recipe[Type])*(Table_dim_price_recipe[Retail Price]&lt;&gt;0)*($C1029=Table_dim_price_recipe[Subcategory]), 0))*$B1029,"")</f>
        <v/>
      </c>
      <c r="H1029" s="39" t="str" cm="1">
        <f t="array" ref="H1029">IFERROR(INDEX(Table_dim_price_recipe[Retail Price], MATCH(1, ("Calculator"&lt;&gt;Table_dim_price_recipe[Type.display])*($L1029=Table_dim_price_recipe[Category])*($D1029=Table_dim_price_recipe[Item Description]) * (H$6=Table_dim_price_recipe[Type])*(Table_dim_price_recipe[Retail Price]&lt;&gt;0)*($C1029=Table_dim_price_recipe[Subcategory]), 0))*$B1029,"")</f>
        <v/>
      </c>
      <c r="I1029" s="39" t="str" cm="1">
        <f t="array" ref="I1029">IFERROR(INDEX(Table_dim_price_recipe[Retail Price], MATCH(1, ("Calculator"&lt;&gt;Table_dim_price_recipe[Type.display])*($L1029=Table_dim_price_recipe[Category])*($D1029=Table_dim_price_recipe[Item Description]) * (I$6=Table_dim_price_recipe[Type])*(Table_dim_price_recipe[Retail Price]&lt;&gt;0)*($C1029=Table_dim_price_recipe[Subcategory]), 0))*$B1029,"")</f>
        <v/>
      </c>
      <c r="J1029" s="39" t="str" cm="1">
        <f t="array" ref="J1029">IFERROR(INDEX(Table_dim_price_recipe[Retail Price], MATCH(1, ("Calculator"&lt;&gt;Table_dim_price_recipe[Type.display])*($L1029=Table_dim_price_recipe[Category])*($D1029=Table_dim_price_recipe[Item Description]) * (J$6=Table_dim_price_recipe[Type])*(Table_dim_price_recipe[Retail Price]&lt;&gt;0)*($C1029=Table_dim_price_recipe[Subcategory]), 0))*$B1029,"")</f>
        <v/>
      </c>
      <c r="K1029" s="39" cm="1">
        <f t="array" ref="K1029">IFERROR(INDEX(Table_dim_price_recipe[Retail Price], MATCH(1, ("Calculator"&lt;&gt;Table_dim_price_recipe[Type.display])*($L1029=Table_dim_price_recipe[Category])*($D1029=Table_dim_price_recipe[Item Description]) * (K$6=Table_dim_price_recipe[Type])*(Table_dim_price_recipe[Retail Price]&lt;&gt;0)*($C1029=Table_dim_price_recipe[Subcategory]), 0))*$B1029,"")</f>
        <v>0</v>
      </c>
      <c r="L1029" s="39" t="str" cm="1">
        <f t="array" ref="L1029">IF($A1029&lt;&gt;"", $A1029, LOOKUP(2, 1/((A$7:INDEX(A:A, ROW()))&lt;&gt;""), A$7:INDEX(A:A, ROW())))</f>
        <v>ADDITIONAL LABOUR</v>
      </c>
    </row>
    <row r="1030" spans="1:12">
      <c r="A1030" s="263"/>
      <c r="B1030" s="263"/>
      <c r="C1030" s="263" t="s">
        <v>1049</v>
      </c>
      <c r="D1030" s="263"/>
      <c r="E1030" s="263"/>
      <c r="F1030" s="263"/>
      <c r="G1030" s="39" t="str" cm="1">
        <f t="array" ref="G1030">IFERROR(INDEX(Table_dim_price_recipe[Retail Price], MATCH(1, ("Calculator"&lt;&gt;Table_dim_price_recipe[Type.display])*($L1030=Table_dim_price_recipe[Category])*($D1030=Table_dim_price_recipe[Item Description]) * (G$6=Table_dim_price_recipe[Type])*(Table_dim_price_recipe[Retail Price]&lt;&gt;0)*($C1030=Table_dim_price_recipe[Subcategory]), 0))*$B1030,"")</f>
        <v/>
      </c>
      <c r="H1030" s="39" t="str" cm="1">
        <f t="array" ref="H1030">IFERROR(INDEX(Table_dim_price_recipe[Retail Price], MATCH(1, ("Calculator"&lt;&gt;Table_dim_price_recipe[Type.display])*($L1030=Table_dim_price_recipe[Category])*($D1030=Table_dim_price_recipe[Item Description]) * (H$6=Table_dim_price_recipe[Type])*(Table_dim_price_recipe[Retail Price]&lt;&gt;0)*($C1030=Table_dim_price_recipe[Subcategory]), 0))*$B1030,"")</f>
        <v/>
      </c>
      <c r="I1030" s="39" t="str" cm="1">
        <f t="array" ref="I1030">IFERROR(INDEX(Table_dim_price_recipe[Retail Price], MATCH(1, ("Calculator"&lt;&gt;Table_dim_price_recipe[Type.display])*($L1030=Table_dim_price_recipe[Category])*($D1030=Table_dim_price_recipe[Item Description]) * (I$6=Table_dim_price_recipe[Type])*(Table_dim_price_recipe[Retail Price]&lt;&gt;0)*($C1030=Table_dim_price_recipe[Subcategory]), 0))*$B1030,"")</f>
        <v/>
      </c>
      <c r="J1030" s="39" t="str" cm="1">
        <f t="array" ref="J1030">IFERROR(INDEX(Table_dim_price_recipe[Retail Price], MATCH(1, ("Calculator"&lt;&gt;Table_dim_price_recipe[Type.display])*($L1030=Table_dim_price_recipe[Category])*($D1030=Table_dim_price_recipe[Item Description]) * (J$6=Table_dim_price_recipe[Type])*(Table_dim_price_recipe[Retail Price]&lt;&gt;0)*($C1030=Table_dim_price_recipe[Subcategory]), 0))*$B1030,"")</f>
        <v/>
      </c>
      <c r="K1030" s="39" t="str" cm="1">
        <f t="array" ref="K1030">IFERROR(INDEX(Table_dim_price_recipe[Retail Price], MATCH(1, ("Calculator"&lt;&gt;Table_dim_price_recipe[Type.display])*($L1030=Table_dim_price_recipe[Category])*($D1030=Table_dim_price_recipe[Item Description]) * (K$6=Table_dim_price_recipe[Type])*(Table_dim_price_recipe[Retail Price]&lt;&gt;0)*($C1030=Table_dim_price_recipe[Subcategory]), 0))*$B1030,"")</f>
        <v/>
      </c>
      <c r="L1030" s="39" t="str" cm="1">
        <f t="array" ref="L1030">IF($A1030&lt;&gt;"", $A1030, LOOKUP(2, 1/((A$7:INDEX(A:A, ROW()))&lt;&gt;""), A$7:INDEX(A:A, ROW())))</f>
        <v>ADDITIONAL LABOUR</v>
      </c>
    </row>
    <row r="1031" spans="1:12">
      <c r="A1031" s="263"/>
      <c r="B1031" s="263"/>
      <c r="C1031" s="263" t="s">
        <v>1049</v>
      </c>
      <c r="D1031" s="263"/>
      <c r="E1031" s="263"/>
      <c r="F1031" s="263"/>
      <c r="G1031" s="39" t="str" cm="1">
        <f t="array" ref="G1031">IFERROR(INDEX(Table_dim_price_recipe[Retail Price], MATCH(1, ("Calculator"&lt;&gt;Table_dim_price_recipe[Type.display])*($L1031=Table_dim_price_recipe[Category])*($D1031=Table_dim_price_recipe[Item Description]) * (G$6=Table_dim_price_recipe[Type])*(Table_dim_price_recipe[Retail Price]&lt;&gt;0)*($C1031=Table_dim_price_recipe[Subcategory]), 0))*$B1031,"")</f>
        <v/>
      </c>
      <c r="H1031" s="39" t="str" cm="1">
        <f t="array" ref="H1031">IFERROR(INDEX(Table_dim_price_recipe[Retail Price], MATCH(1, ("Calculator"&lt;&gt;Table_dim_price_recipe[Type.display])*($L1031=Table_dim_price_recipe[Category])*($D1031=Table_dim_price_recipe[Item Description]) * (H$6=Table_dim_price_recipe[Type])*(Table_dim_price_recipe[Retail Price]&lt;&gt;0)*($C1031=Table_dim_price_recipe[Subcategory]), 0))*$B1031,"")</f>
        <v/>
      </c>
      <c r="I1031" s="39" t="str" cm="1">
        <f t="array" ref="I1031">IFERROR(INDEX(Table_dim_price_recipe[Retail Price], MATCH(1, ("Calculator"&lt;&gt;Table_dim_price_recipe[Type.display])*($L1031=Table_dim_price_recipe[Category])*($D1031=Table_dim_price_recipe[Item Description]) * (I$6=Table_dim_price_recipe[Type])*(Table_dim_price_recipe[Retail Price]&lt;&gt;0)*($C1031=Table_dim_price_recipe[Subcategory]), 0))*$B1031,"")</f>
        <v/>
      </c>
      <c r="J1031" s="39" t="str" cm="1">
        <f t="array" ref="J1031">IFERROR(INDEX(Table_dim_price_recipe[Retail Price], MATCH(1, ("Calculator"&lt;&gt;Table_dim_price_recipe[Type.display])*($L1031=Table_dim_price_recipe[Category])*($D1031=Table_dim_price_recipe[Item Description]) * (J$6=Table_dim_price_recipe[Type])*(Table_dim_price_recipe[Retail Price]&lt;&gt;0)*($C1031=Table_dim_price_recipe[Subcategory]), 0))*$B1031,"")</f>
        <v/>
      </c>
      <c r="K1031" s="39" t="str" cm="1">
        <f t="array" ref="K1031">IFERROR(INDEX(Table_dim_price_recipe[Retail Price], MATCH(1, ("Calculator"&lt;&gt;Table_dim_price_recipe[Type.display])*($L1031=Table_dim_price_recipe[Category])*($D1031=Table_dim_price_recipe[Item Description]) * (K$6=Table_dim_price_recipe[Type])*(Table_dim_price_recipe[Retail Price]&lt;&gt;0)*($C1031=Table_dim_price_recipe[Subcategory]), 0))*$B1031,"")</f>
        <v/>
      </c>
      <c r="L1031" s="39" t="str" cm="1">
        <f t="array" ref="L1031">IF($A1031&lt;&gt;"", $A1031, LOOKUP(2, 1/((A$7:INDEX(A:A, ROW()))&lt;&gt;""), A$7:INDEX(A:A, ROW())))</f>
        <v>ADDITIONAL LABOUR</v>
      </c>
    </row>
    <row r="1032" spans="1:12">
      <c r="A1032" s="263"/>
      <c r="B1032" s="263"/>
      <c r="C1032" s="263" t="s">
        <v>886</v>
      </c>
      <c r="D1032" s="263" t="s">
        <v>887</v>
      </c>
      <c r="E1032" s="263"/>
      <c r="F1032" s="263"/>
      <c r="G1032" s="39" t="str" cm="1">
        <f t="array" ref="G1032">IFERROR(INDEX(Table_dim_price_recipe[Retail Price], MATCH(1, ("Calculator"&lt;&gt;Table_dim_price_recipe[Type.display])*($L1032=Table_dim_price_recipe[Category])*($D1032=Table_dim_price_recipe[Item Description]) * (G$6=Table_dim_price_recipe[Type])*(Table_dim_price_recipe[Retail Price]&lt;&gt;0)*($C1032=Table_dim_price_recipe[Subcategory]), 0))*$B1032,"")</f>
        <v/>
      </c>
      <c r="H1032" s="39" t="str" cm="1">
        <f t="array" ref="H1032">IFERROR(INDEX(Table_dim_price_recipe[Retail Price], MATCH(1, ("Calculator"&lt;&gt;Table_dim_price_recipe[Type.display])*($L1032=Table_dim_price_recipe[Category])*($D1032=Table_dim_price_recipe[Item Description]) * (H$6=Table_dim_price_recipe[Type])*(Table_dim_price_recipe[Retail Price]&lt;&gt;0)*($C1032=Table_dim_price_recipe[Subcategory]), 0))*$B1032,"")</f>
        <v/>
      </c>
      <c r="I1032" s="39" t="str" cm="1">
        <f t="array" ref="I1032">IFERROR(INDEX(Table_dim_price_recipe[Retail Price], MATCH(1, ("Calculator"&lt;&gt;Table_dim_price_recipe[Type.display])*($L1032=Table_dim_price_recipe[Category])*($D1032=Table_dim_price_recipe[Item Description]) * (I$6=Table_dim_price_recipe[Type])*(Table_dim_price_recipe[Retail Price]&lt;&gt;0)*($C1032=Table_dim_price_recipe[Subcategory]), 0))*$B1032,"")</f>
        <v/>
      </c>
      <c r="J1032" s="39" t="str" cm="1">
        <f t="array" ref="J1032">IFERROR(INDEX(Table_dim_price_recipe[Retail Price], MATCH(1, ("Calculator"&lt;&gt;Table_dim_price_recipe[Type.display])*($L1032=Table_dim_price_recipe[Category])*($D1032=Table_dim_price_recipe[Item Description]) * (J$6=Table_dim_price_recipe[Type])*(Table_dim_price_recipe[Retail Price]&lt;&gt;0)*($C1032=Table_dim_price_recipe[Subcategory]), 0))*$B1032,"")</f>
        <v/>
      </c>
      <c r="K1032" s="39" t="str" cm="1">
        <f t="array" ref="K1032">IFERROR(INDEX(Table_dim_price_recipe[Retail Price], MATCH(1, ("Calculator"&lt;&gt;Table_dim_price_recipe[Type.display])*($L1032=Table_dim_price_recipe[Category])*($D1032=Table_dim_price_recipe[Item Description]) * (K$6=Table_dim_price_recipe[Type])*(Table_dim_price_recipe[Retail Price]&lt;&gt;0)*($C1032=Table_dim_price_recipe[Subcategory]), 0))*$B1032,"")</f>
        <v/>
      </c>
      <c r="L1032" s="39" t="str" cm="1">
        <f t="array" ref="L1032">IF($A1032&lt;&gt;"", $A1032, LOOKUP(2, 1/((A$7:INDEX(A:A, ROW()))&lt;&gt;""), A$7:INDEX(A:A, ROW())))</f>
        <v>ADDITIONAL LABOUR</v>
      </c>
    </row>
    <row r="1033" spans="1:12">
      <c r="A1033" s="263"/>
      <c r="B1033" s="263"/>
      <c r="C1033" s="263" t="s">
        <v>886</v>
      </c>
      <c r="D1033" s="263" t="s">
        <v>888</v>
      </c>
      <c r="E1033" s="263"/>
      <c r="F1033" s="263"/>
      <c r="G1033" s="39" t="str" cm="1">
        <f t="array" ref="G1033">IFERROR(INDEX(Table_dim_price_recipe[Retail Price], MATCH(1, ("Calculator"&lt;&gt;Table_dim_price_recipe[Type.display])*($L1033=Table_dim_price_recipe[Category])*($D1033=Table_dim_price_recipe[Item Description]) * (G$6=Table_dim_price_recipe[Type])*(Table_dim_price_recipe[Retail Price]&lt;&gt;0)*($C1033=Table_dim_price_recipe[Subcategory]), 0))*$B1033,"")</f>
        <v/>
      </c>
      <c r="H1033" s="39" t="str" cm="1">
        <f t="array" ref="H1033">IFERROR(INDEX(Table_dim_price_recipe[Retail Price], MATCH(1, ("Calculator"&lt;&gt;Table_dim_price_recipe[Type.display])*($L1033=Table_dim_price_recipe[Category])*($D1033=Table_dim_price_recipe[Item Description]) * (H$6=Table_dim_price_recipe[Type])*(Table_dim_price_recipe[Retail Price]&lt;&gt;0)*($C1033=Table_dim_price_recipe[Subcategory]), 0))*$B1033,"")</f>
        <v/>
      </c>
      <c r="I1033" s="39" cm="1">
        <f t="array" ref="I1033">IFERROR(INDEX(Table_dim_price_recipe[Retail Price], MATCH(1, ("Calculator"&lt;&gt;Table_dim_price_recipe[Type.display])*($L1033=Table_dim_price_recipe[Category])*($D1033=Table_dim_price_recipe[Item Description]) * (I$6=Table_dim_price_recipe[Type])*(Table_dim_price_recipe[Retail Price]&lt;&gt;0)*($C1033=Table_dim_price_recipe[Subcategory]), 0))*$B1033,"")</f>
        <v>0</v>
      </c>
      <c r="J1033" s="39" t="str" cm="1">
        <f t="array" ref="J1033">IFERROR(INDEX(Table_dim_price_recipe[Retail Price], MATCH(1, ("Calculator"&lt;&gt;Table_dim_price_recipe[Type.display])*($L1033=Table_dim_price_recipe[Category])*($D1033=Table_dim_price_recipe[Item Description]) * (J$6=Table_dim_price_recipe[Type])*(Table_dim_price_recipe[Retail Price]&lt;&gt;0)*($C1033=Table_dim_price_recipe[Subcategory]), 0))*$B1033,"")</f>
        <v/>
      </c>
      <c r="K1033" s="39" t="str" cm="1">
        <f t="array" ref="K1033">IFERROR(INDEX(Table_dim_price_recipe[Retail Price], MATCH(1, ("Calculator"&lt;&gt;Table_dim_price_recipe[Type.display])*($L1033=Table_dim_price_recipe[Category])*($D1033=Table_dim_price_recipe[Item Description]) * (K$6=Table_dim_price_recipe[Type])*(Table_dim_price_recipe[Retail Price]&lt;&gt;0)*($C1033=Table_dim_price_recipe[Subcategory]), 0))*$B1033,"")</f>
        <v/>
      </c>
      <c r="L1033" s="39" t="str" cm="1">
        <f t="array" ref="L1033">IF($A1033&lt;&gt;"", $A1033, LOOKUP(2, 1/((A$7:INDEX(A:A, ROW()))&lt;&gt;""), A$7:INDEX(A:A, ROW())))</f>
        <v>ADDITIONAL LABOUR</v>
      </c>
    </row>
    <row r="1034" spans="1:12">
      <c r="A1034" s="263"/>
      <c r="B1034" s="263"/>
      <c r="C1034" s="263" t="s">
        <v>886</v>
      </c>
      <c r="D1034" s="263" t="s">
        <v>889</v>
      </c>
      <c r="E1034" s="263"/>
      <c r="F1034" s="263"/>
      <c r="G1034" s="39" t="str" cm="1">
        <f t="array" ref="G1034">IFERROR(INDEX(Table_dim_price_recipe[Retail Price], MATCH(1, ("Calculator"&lt;&gt;Table_dim_price_recipe[Type.display])*($L1034=Table_dim_price_recipe[Category])*($D1034=Table_dim_price_recipe[Item Description]) * (G$6=Table_dim_price_recipe[Type])*(Table_dim_price_recipe[Retail Price]&lt;&gt;0)*($C1034=Table_dim_price_recipe[Subcategory]), 0))*$B1034,"")</f>
        <v/>
      </c>
      <c r="H1034" s="39" t="str" cm="1">
        <f t="array" ref="H1034">IFERROR(INDEX(Table_dim_price_recipe[Retail Price], MATCH(1, ("Calculator"&lt;&gt;Table_dim_price_recipe[Type.display])*($L1034=Table_dim_price_recipe[Category])*($D1034=Table_dim_price_recipe[Item Description]) * (H$6=Table_dim_price_recipe[Type])*(Table_dim_price_recipe[Retail Price]&lt;&gt;0)*($C1034=Table_dim_price_recipe[Subcategory]), 0))*$B1034,"")</f>
        <v/>
      </c>
      <c r="I1034" s="39" cm="1">
        <f t="array" ref="I1034">IFERROR(INDEX(Table_dim_price_recipe[Retail Price], MATCH(1, ("Calculator"&lt;&gt;Table_dim_price_recipe[Type.display])*($L1034=Table_dim_price_recipe[Category])*($D1034=Table_dim_price_recipe[Item Description]) * (I$6=Table_dim_price_recipe[Type])*(Table_dim_price_recipe[Retail Price]&lt;&gt;0)*($C1034=Table_dim_price_recipe[Subcategory]), 0))*$B1034,"")</f>
        <v>0</v>
      </c>
      <c r="J1034" s="39" t="str" cm="1">
        <f t="array" ref="J1034">IFERROR(INDEX(Table_dim_price_recipe[Retail Price], MATCH(1, ("Calculator"&lt;&gt;Table_dim_price_recipe[Type.display])*($L1034=Table_dim_price_recipe[Category])*($D1034=Table_dim_price_recipe[Item Description]) * (J$6=Table_dim_price_recipe[Type])*(Table_dim_price_recipe[Retail Price]&lt;&gt;0)*($C1034=Table_dim_price_recipe[Subcategory]), 0))*$B1034,"")</f>
        <v/>
      </c>
      <c r="K1034" s="39" t="str" cm="1">
        <f t="array" ref="K1034">IFERROR(INDEX(Table_dim_price_recipe[Retail Price], MATCH(1, ("Calculator"&lt;&gt;Table_dim_price_recipe[Type.display])*($L1034=Table_dim_price_recipe[Category])*($D1034=Table_dim_price_recipe[Item Description]) * (K$6=Table_dim_price_recipe[Type])*(Table_dim_price_recipe[Retail Price]&lt;&gt;0)*($C1034=Table_dim_price_recipe[Subcategory]), 0))*$B1034,"")</f>
        <v/>
      </c>
      <c r="L1034" s="39" t="str" cm="1">
        <f t="array" ref="L1034">IF($A1034&lt;&gt;"", $A1034, LOOKUP(2, 1/((A$7:INDEX(A:A, ROW()))&lt;&gt;""), A$7:INDEX(A:A, ROW())))</f>
        <v>ADDITIONAL LABOUR</v>
      </c>
    </row>
    <row r="1035" spans="1:12">
      <c r="A1035" s="263"/>
      <c r="B1035" s="263"/>
      <c r="C1035" s="263" t="s">
        <v>886</v>
      </c>
      <c r="D1035" s="263"/>
      <c r="E1035" s="263"/>
      <c r="F1035" s="263"/>
      <c r="G1035" s="39" t="str" cm="1">
        <f t="array" ref="G1035">IFERROR(INDEX(Table_dim_price_recipe[Retail Price], MATCH(1, ("Calculator"&lt;&gt;Table_dim_price_recipe[Type.display])*($L1035=Table_dim_price_recipe[Category])*($D1035=Table_dim_price_recipe[Item Description]) * (G$6=Table_dim_price_recipe[Type])*(Table_dim_price_recipe[Retail Price]&lt;&gt;0)*($C1035=Table_dim_price_recipe[Subcategory]), 0))*$B1035,"")</f>
        <v/>
      </c>
      <c r="H1035" s="39" t="str" cm="1">
        <f t="array" ref="H1035">IFERROR(INDEX(Table_dim_price_recipe[Retail Price], MATCH(1, ("Calculator"&lt;&gt;Table_dim_price_recipe[Type.display])*($L1035=Table_dim_price_recipe[Category])*($D1035=Table_dim_price_recipe[Item Description]) * (H$6=Table_dim_price_recipe[Type])*(Table_dim_price_recipe[Retail Price]&lt;&gt;0)*($C1035=Table_dim_price_recipe[Subcategory]), 0))*$B1035,"")</f>
        <v/>
      </c>
      <c r="I1035" s="39" t="str" cm="1">
        <f t="array" ref="I1035">IFERROR(INDEX(Table_dim_price_recipe[Retail Price], MATCH(1, ("Calculator"&lt;&gt;Table_dim_price_recipe[Type.display])*($L1035=Table_dim_price_recipe[Category])*($D1035=Table_dim_price_recipe[Item Description]) * (I$6=Table_dim_price_recipe[Type])*(Table_dim_price_recipe[Retail Price]&lt;&gt;0)*($C1035=Table_dim_price_recipe[Subcategory]), 0))*$B1035,"")</f>
        <v/>
      </c>
      <c r="J1035" s="39" t="str" cm="1">
        <f t="array" ref="J1035">IFERROR(INDEX(Table_dim_price_recipe[Retail Price], MATCH(1, ("Calculator"&lt;&gt;Table_dim_price_recipe[Type.display])*($L1035=Table_dim_price_recipe[Category])*($D1035=Table_dim_price_recipe[Item Description]) * (J$6=Table_dim_price_recipe[Type])*(Table_dim_price_recipe[Retail Price]&lt;&gt;0)*($C1035=Table_dim_price_recipe[Subcategory]), 0))*$B1035,"")</f>
        <v/>
      </c>
      <c r="K1035" s="39" t="str" cm="1">
        <f t="array" ref="K1035">IFERROR(INDEX(Table_dim_price_recipe[Retail Price], MATCH(1, ("Calculator"&lt;&gt;Table_dim_price_recipe[Type.display])*($L1035=Table_dim_price_recipe[Category])*($D1035=Table_dim_price_recipe[Item Description]) * (K$6=Table_dim_price_recipe[Type])*(Table_dim_price_recipe[Retail Price]&lt;&gt;0)*($C1035=Table_dim_price_recipe[Subcategory]), 0))*$B1035,"")</f>
        <v/>
      </c>
      <c r="L1035" s="39" t="str" cm="1">
        <f t="array" ref="L1035">IF($A1035&lt;&gt;"", $A1035, LOOKUP(2, 1/((A$7:INDEX(A:A, ROW()))&lt;&gt;""), A$7:INDEX(A:A, ROW())))</f>
        <v>ADDITIONAL LABOUR</v>
      </c>
    </row>
    <row r="1036" spans="1:12">
      <c r="A1036" s="263"/>
      <c r="B1036" s="263"/>
      <c r="C1036" s="263" t="s">
        <v>886</v>
      </c>
      <c r="D1036" s="263"/>
      <c r="E1036" s="263"/>
      <c r="F1036" s="263"/>
      <c r="G1036" s="39" t="str" cm="1">
        <f t="array" ref="G1036">IFERROR(INDEX(Table_dim_price_recipe[Retail Price], MATCH(1, ("Calculator"&lt;&gt;Table_dim_price_recipe[Type.display])*($L1036=Table_dim_price_recipe[Category])*($D1036=Table_dim_price_recipe[Item Description]) * (G$6=Table_dim_price_recipe[Type])*(Table_dim_price_recipe[Retail Price]&lt;&gt;0)*($C1036=Table_dim_price_recipe[Subcategory]), 0))*$B1036,"")</f>
        <v/>
      </c>
      <c r="H1036" s="39" t="str" cm="1">
        <f t="array" ref="H1036">IFERROR(INDEX(Table_dim_price_recipe[Retail Price], MATCH(1, ("Calculator"&lt;&gt;Table_dim_price_recipe[Type.display])*($L1036=Table_dim_price_recipe[Category])*($D1036=Table_dim_price_recipe[Item Description]) * (H$6=Table_dim_price_recipe[Type])*(Table_dim_price_recipe[Retail Price]&lt;&gt;0)*($C1036=Table_dim_price_recipe[Subcategory]), 0))*$B1036,"")</f>
        <v/>
      </c>
      <c r="I1036" s="39" t="str" cm="1">
        <f t="array" ref="I1036">IFERROR(INDEX(Table_dim_price_recipe[Retail Price], MATCH(1, ("Calculator"&lt;&gt;Table_dim_price_recipe[Type.display])*($L1036=Table_dim_price_recipe[Category])*($D1036=Table_dim_price_recipe[Item Description]) * (I$6=Table_dim_price_recipe[Type])*(Table_dim_price_recipe[Retail Price]&lt;&gt;0)*($C1036=Table_dim_price_recipe[Subcategory]), 0))*$B1036,"")</f>
        <v/>
      </c>
      <c r="J1036" s="39" t="str" cm="1">
        <f t="array" ref="J1036">IFERROR(INDEX(Table_dim_price_recipe[Retail Price], MATCH(1, ("Calculator"&lt;&gt;Table_dim_price_recipe[Type.display])*($L1036=Table_dim_price_recipe[Category])*($D1036=Table_dim_price_recipe[Item Description]) * (J$6=Table_dim_price_recipe[Type])*(Table_dim_price_recipe[Retail Price]&lt;&gt;0)*($C1036=Table_dim_price_recipe[Subcategory]), 0))*$B1036,"")</f>
        <v/>
      </c>
      <c r="K1036" s="39" t="str" cm="1">
        <f t="array" ref="K1036">IFERROR(INDEX(Table_dim_price_recipe[Retail Price], MATCH(1, ("Calculator"&lt;&gt;Table_dim_price_recipe[Type.display])*($L1036=Table_dim_price_recipe[Category])*($D1036=Table_dim_price_recipe[Item Description]) * (K$6=Table_dim_price_recipe[Type])*(Table_dim_price_recipe[Retail Price]&lt;&gt;0)*($C1036=Table_dim_price_recipe[Subcategory]), 0))*$B1036,"")</f>
        <v/>
      </c>
      <c r="L1036" s="39" t="str" cm="1">
        <f t="array" ref="L1036">IF($A1036&lt;&gt;"", $A1036, LOOKUP(2, 1/((A$7:INDEX(A:A, ROW()))&lt;&gt;""), A$7:INDEX(A:A, ROW())))</f>
        <v>ADDITIONAL LABOUR</v>
      </c>
    </row>
    <row r="1037" spans="1:12">
      <c r="A1037" s="263"/>
      <c r="B1037" s="263"/>
      <c r="C1037" s="263" t="s">
        <v>1057</v>
      </c>
      <c r="D1037" s="263" t="s">
        <v>1239</v>
      </c>
      <c r="E1037" s="263"/>
      <c r="F1037" s="263"/>
      <c r="G1037" s="39" t="str" cm="1">
        <f t="array" ref="G1037">IFERROR(INDEX(Table_dim_price_recipe[Retail Price], MATCH(1, ("Calculator"&lt;&gt;Table_dim_price_recipe[Type.display])*($L1037=Table_dim_price_recipe[Category])*($D1037=Table_dim_price_recipe[Item Description]) * (G$6=Table_dim_price_recipe[Type])*(Table_dim_price_recipe[Retail Price]&lt;&gt;0)*($C1037=Table_dim_price_recipe[Subcategory]), 0))*$B1037,"")</f>
        <v/>
      </c>
      <c r="H1037" s="39" t="str" cm="1">
        <f t="array" ref="H1037">IFERROR(INDEX(Table_dim_price_recipe[Retail Price], MATCH(1, ("Calculator"&lt;&gt;Table_dim_price_recipe[Type.display])*($L1037=Table_dim_price_recipe[Category])*($D1037=Table_dim_price_recipe[Item Description]) * (H$6=Table_dim_price_recipe[Type])*(Table_dim_price_recipe[Retail Price]&lt;&gt;0)*($C1037=Table_dim_price_recipe[Subcategory]), 0))*$B1037,"")</f>
        <v/>
      </c>
      <c r="I1037" s="39" t="str" cm="1">
        <f t="array" ref="I1037">IFERROR(INDEX(Table_dim_price_recipe[Retail Price], MATCH(1, ("Calculator"&lt;&gt;Table_dim_price_recipe[Type.display])*($L1037=Table_dim_price_recipe[Category])*($D1037=Table_dim_price_recipe[Item Description]) * (I$6=Table_dim_price_recipe[Type])*(Table_dim_price_recipe[Retail Price]&lt;&gt;0)*($C1037=Table_dim_price_recipe[Subcategory]), 0))*$B1037,"")</f>
        <v/>
      </c>
      <c r="J1037" s="39" t="str" cm="1">
        <f t="array" ref="J1037">IFERROR(INDEX(Table_dim_price_recipe[Retail Price], MATCH(1, ("Calculator"&lt;&gt;Table_dim_price_recipe[Type.display])*($L1037=Table_dim_price_recipe[Category])*($D1037=Table_dim_price_recipe[Item Description]) * (J$6=Table_dim_price_recipe[Type])*(Table_dim_price_recipe[Retail Price]&lt;&gt;0)*($C1037=Table_dim_price_recipe[Subcategory]), 0))*$B1037,"")</f>
        <v/>
      </c>
      <c r="K1037" s="39" cm="1">
        <f t="array" ref="K1037">IFERROR(INDEX(Table_dim_price_recipe[Retail Price], MATCH(1, ("Calculator"&lt;&gt;Table_dim_price_recipe[Type.display])*($L1037=Table_dim_price_recipe[Category])*($D1037=Table_dim_price_recipe[Item Description]) * (K$6=Table_dim_price_recipe[Type])*(Table_dim_price_recipe[Retail Price]&lt;&gt;0)*($C1037=Table_dim_price_recipe[Subcategory]), 0))*$B1037,"")</f>
        <v>0</v>
      </c>
      <c r="L1037" s="39" t="str" cm="1">
        <f t="array" ref="L1037">IF($A1037&lt;&gt;"", $A1037, LOOKUP(2, 1/((A$7:INDEX(A:A, ROW()))&lt;&gt;""), A$7:INDEX(A:A, ROW())))</f>
        <v>ADDITIONAL LABOUR</v>
      </c>
    </row>
    <row r="1038" spans="1:12">
      <c r="A1038" s="263"/>
      <c r="B1038" s="263"/>
      <c r="C1038" s="263" t="s">
        <v>1057</v>
      </c>
      <c r="D1038" s="263" t="s">
        <v>1240</v>
      </c>
      <c r="E1038" s="263"/>
      <c r="F1038" s="263"/>
      <c r="G1038" s="39" t="str" cm="1">
        <f t="array" ref="G1038">IFERROR(INDEX(Table_dim_price_recipe[Retail Price], MATCH(1, ("Calculator"&lt;&gt;Table_dim_price_recipe[Type.display])*($L1038=Table_dim_price_recipe[Category])*($D1038=Table_dim_price_recipe[Item Description]) * (G$6=Table_dim_price_recipe[Type])*(Table_dim_price_recipe[Retail Price]&lt;&gt;0)*($C1038=Table_dim_price_recipe[Subcategory]), 0))*$B1038,"")</f>
        <v/>
      </c>
      <c r="H1038" s="39" t="str" cm="1">
        <f t="array" ref="H1038">IFERROR(INDEX(Table_dim_price_recipe[Retail Price], MATCH(1, ("Calculator"&lt;&gt;Table_dim_price_recipe[Type.display])*($L1038=Table_dim_price_recipe[Category])*($D1038=Table_dim_price_recipe[Item Description]) * (H$6=Table_dim_price_recipe[Type])*(Table_dim_price_recipe[Retail Price]&lt;&gt;0)*($C1038=Table_dim_price_recipe[Subcategory]), 0))*$B1038,"")</f>
        <v/>
      </c>
      <c r="I1038" s="39" t="str" cm="1">
        <f t="array" ref="I1038">IFERROR(INDEX(Table_dim_price_recipe[Retail Price], MATCH(1, ("Calculator"&lt;&gt;Table_dim_price_recipe[Type.display])*($L1038=Table_dim_price_recipe[Category])*($D1038=Table_dim_price_recipe[Item Description]) * (I$6=Table_dim_price_recipe[Type])*(Table_dim_price_recipe[Retail Price]&lt;&gt;0)*($C1038=Table_dim_price_recipe[Subcategory]), 0))*$B1038,"")</f>
        <v/>
      </c>
      <c r="J1038" s="39" t="str" cm="1">
        <f t="array" ref="J1038">IFERROR(INDEX(Table_dim_price_recipe[Retail Price], MATCH(1, ("Calculator"&lt;&gt;Table_dim_price_recipe[Type.display])*($L1038=Table_dim_price_recipe[Category])*($D1038=Table_dim_price_recipe[Item Description]) * (J$6=Table_dim_price_recipe[Type])*(Table_dim_price_recipe[Retail Price]&lt;&gt;0)*($C1038=Table_dim_price_recipe[Subcategory]), 0))*$B1038,"")</f>
        <v/>
      </c>
      <c r="K1038" s="39" cm="1">
        <f t="array" ref="K1038">IFERROR(INDEX(Table_dim_price_recipe[Retail Price], MATCH(1, ("Calculator"&lt;&gt;Table_dim_price_recipe[Type.display])*($L1038=Table_dim_price_recipe[Category])*($D1038=Table_dim_price_recipe[Item Description]) * (K$6=Table_dim_price_recipe[Type])*(Table_dim_price_recipe[Retail Price]&lt;&gt;0)*($C1038=Table_dim_price_recipe[Subcategory]), 0))*$B1038,"")</f>
        <v>0</v>
      </c>
      <c r="L1038" s="39" t="str" cm="1">
        <f t="array" ref="L1038">IF($A1038&lt;&gt;"", $A1038, LOOKUP(2, 1/((A$7:INDEX(A:A, ROW()))&lt;&gt;""), A$7:INDEX(A:A, ROW())))</f>
        <v>ADDITIONAL LABOUR</v>
      </c>
    </row>
    <row r="1039" spans="1:12">
      <c r="A1039" s="263"/>
      <c r="B1039" s="263"/>
      <c r="C1039" s="263" t="s">
        <v>1057</v>
      </c>
      <c r="D1039" s="263" t="s">
        <v>1241</v>
      </c>
      <c r="E1039" s="263"/>
      <c r="F1039" s="263"/>
      <c r="G1039" s="39" t="str" cm="1">
        <f t="array" ref="G1039">IFERROR(INDEX(Table_dim_price_recipe[Retail Price], MATCH(1, ("Calculator"&lt;&gt;Table_dim_price_recipe[Type.display])*($L1039=Table_dim_price_recipe[Category])*($D1039=Table_dim_price_recipe[Item Description]) * (G$6=Table_dim_price_recipe[Type])*(Table_dim_price_recipe[Retail Price]&lt;&gt;0)*($C1039=Table_dim_price_recipe[Subcategory]), 0))*$B1039,"")</f>
        <v/>
      </c>
      <c r="H1039" s="39" t="str" cm="1">
        <f t="array" ref="H1039">IFERROR(INDEX(Table_dim_price_recipe[Retail Price], MATCH(1, ("Calculator"&lt;&gt;Table_dim_price_recipe[Type.display])*($L1039=Table_dim_price_recipe[Category])*($D1039=Table_dim_price_recipe[Item Description]) * (H$6=Table_dim_price_recipe[Type])*(Table_dim_price_recipe[Retail Price]&lt;&gt;0)*($C1039=Table_dim_price_recipe[Subcategory]), 0))*$B1039,"")</f>
        <v/>
      </c>
      <c r="I1039" s="39" t="str" cm="1">
        <f t="array" ref="I1039">IFERROR(INDEX(Table_dim_price_recipe[Retail Price], MATCH(1, ("Calculator"&lt;&gt;Table_dim_price_recipe[Type.display])*($L1039=Table_dim_price_recipe[Category])*($D1039=Table_dim_price_recipe[Item Description]) * (I$6=Table_dim_price_recipe[Type])*(Table_dim_price_recipe[Retail Price]&lt;&gt;0)*($C1039=Table_dim_price_recipe[Subcategory]), 0))*$B1039,"")</f>
        <v/>
      </c>
      <c r="J1039" s="39" t="str" cm="1">
        <f t="array" ref="J1039">IFERROR(INDEX(Table_dim_price_recipe[Retail Price], MATCH(1, ("Calculator"&lt;&gt;Table_dim_price_recipe[Type.display])*($L1039=Table_dim_price_recipe[Category])*($D1039=Table_dim_price_recipe[Item Description]) * (J$6=Table_dim_price_recipe[Type])*(Table_dim_price_recipe[Retail Price]&lt;&gt;0)*($C1039=Table_dim_price_recipe[Subcategory]), 0))*$B1039,"")</f>
        <v/>
      </c>
      <c r="K1039" s="39" cm="1">
        <f t="array" ref="K1039">IFERROR(INDEX(Table_dim_price_recipe[Retail Price], MATCH(1, ("Calculator"&lt;&gt;Table_dim_price_recipe[Type.display])*($L1039=Table_dim_price_recipe[Category])*($D1039=Table_dim_price_recipe[Item Description]) * (K$6=Table_dim_price_recipe[Type])*(Table_dim_price_recipe[Retail Price]&lt;&gt;0)*($C1039=Table_dim_price_recipe[Subcategory]), 0))*$B1039,"")</f>
        <v>0</v>
      </c>
      <c r="L1039" s="39" t="str" cm="1">
        <f t="array" ref="L1039">IF($A1039&lt;&gt;"", $A1039, LOOKUP(2, 1/((A$7:INDEX(A:A, ROW()))&lt;&gt;""), A$7:INDEX(A:A, ROW())))</f>
        <v>ADDITIONAL LABOUR</v>
      </c>
    </row>
    <row r="1040" spans="1:12">
      <c r="A1040" s="263"/>
      <c r="B1040" s="263"/>
      <c r="C1040" s="263" t="s">
        <v>1057</v>
      </c>
      <c r="D1040" s="263" t="s">
        <v>1059</v>
      </c>
      <c r="E1040" s="263"/>
      <c r="F1040" s="263"/>
      <c r="G1040" s="39" t="str" cm="1">
        <f t="array" ref="G1040">IFERROR(INDEX(Table_dim_price_recipe[Retail Price], MATCH(1, ("Calculator"&lt;&gt;Table_dim_price_recipe[Type.display])*($L1040=Table_dim_price_recipe[Category])*($D1040=Table_dim_price_recipe[Item Description]) * (G$6=Table_dim_price_recipe[Type])*(Table_dim_price_recipe[Retail Price]&lt;&gt;0)*($C1040=Table_dim_price_recipe[Subcategory]), 0))*$B1040,"")</f>
        <v/>
      </c>
      <c r="H1040" s="39" t="str" cm="1">
        <f t="array" ref="H1040">IFERROR(INDEX(Table_dim_price_recipe[Retail Price], MATCH(1, ("Calculator"&lt;&gt;Table_dim_price_recipe[Type.display])*($L1040=Table_dim_price_recipe[Category])*($D1040=Table_dim_price_recipe[Item Description]) * (H$6=Table_dim_price_recipe[Type])*(Table_dim_price_recipe[Retail Price]&lt;&gt;0)*($C1040=Table_dim_price_recipe[Subcategory]), 0))*$B1040,"")</f>
        <v/>
      </c>
      <c r="I1040" s="39" t="str" cm="1">
        <f t="array" ref="I1040">IFERROR(INDEX(Table_dim_price_recipe[Retail Price], MATCH(1, ("Calculator"&lt;&gt;Table_dim_price_recipe[Type.display])*($L1040=Table_dim_price_recipe[Category])*($D1040=Table_dim_price_recipe[Item Description]) * (I$6=Table_dim_price_recipe[Type])*(Table_dim_price_recipe[Retail Price]&lt;&gt;0)*($C1040=Table_dim_price_recipe[Subcategory]), 0))*$B1040,"")</f>
        <v/>
      </c>
      <c r="J1040" s="39" t="str" cm="1">
        <f t="array" ref="J1040">IFERROR(INDEX(Table_dim_price_recipe[Retail Price], MATCH(1, ("Calculator"&lt;&gt;Table_dim_price_recipe[Type.display])*($L1040=Table_dim_price_recipe[Category])*($D1040=Table_dim_price_recipe[Item Description]) * (J$6=Table_dim_price_recipe[Type])*(Table_dim_price_recipe[Retail Price]&lt;&gt;0)*($C1040=Table_dim_price_recipe[Subcategory]), 0))*$B1040,"")</f>
        <v/>
      </c>
      <c r="K1040" s="39" t="str" cm="1">
        <f t="array" ref="K1040">IFERROR(INDEX(Table_dim_price_recipe[Retail Price], MATCH(1, ("Calculator"&lt;&gt;Table_dim_price_recipe[Type.display])*($L1040=Table_dim_price_recipe[Category])*($D1040=Table_dim_price_recipe[Item Description]) * (K$6=Table_dim_price_recipe[Type])*(Table_dim_price_recipe[Retail Price]&lt;&gt;0)*($C1040=Table_dim_price_recipe[Subcategory]), 0))*$B1040,"")</f>
        <v/>
      </c>
      <c r="L1040" s="39" t="str" cm="1">
        <f t="array" ref="L1040">IF($A1040&lt;&gt;"", $A1040, LOOKUP(2, 1/((A$7:INDEX(A:A, ROW()))&lt;&gt;""), A$7:INDEX(A:A, ROW())))</f>
        <v>ADDITIONAL LABOUR</v>
      </c>
    </row>
    <row r="1041" spans="1:12">
      <c r="A1041" s="263"/>
      <c r="B1041" s="263"/>
      <c r="C1041" s="263" t="s">
        <v>1057</v>
      </c>
      <c r="D1041" s="263" t="s">
        <v>1236</v>
      </c>
      <c r="E1041" s="263"/>
      <c r="F1041" s="263"/>
      <c r="G1041" s="39" t="str" cm="1">
        <f t="array" ref="G1041">IFERROR(INDEX(Table_dim_price_recipe[Retail Price], MATCH(1, ("Calculator"&lt;&gt;Table_dim_price_recipe[Type.display])*($L1041=Table_dim_price_recipe[Category])*($D1041=Table_dim_price_recipe[Item Description]) * (G$6=Table_dim_price_recipe[Type])*(Table_dim_price_recipe[Retail Price]&lt;&gt;0)*($C1041=Table_dim_price_recipe[Subcategory]), 0))*$B1041,"")</f>
        <v/>
      </c>
      <c r="H1041" s="39" t="str" cm="1">
        <f t="array" ref="H1041">IFERROR(INDEX(Table_dim_price_recipe[Retail Price], MATCH(1, ("Calculator"&lt;&gt;Table_dim_price_recipe[Type.display])*($L1041=Table_dim_price_recipe[Category])*($D1041=Table_dim_price_recipe[Item Description]) * (H$6=Table_dim_price_recipe[Type])*(Table_dim_price_recipe[Retail Price]&lt;&gt;0)*($C1041=Table_dim_price_recipe[Subcategory]), 0))*$B1041,"")</f>
        <v/>
      </c>
      <c r="I1041" s="39" t="str" cm="1">
        <f t="array" ref="I1041">IFERROR(INDEX(Table_dim_price_recipe[Retail Price], MATCH(1, ("Calculator"&lt;&gt;Table_dim_price_recipe[Type.display])*($L1041=Table_dim_price_recipe[Category])*($D1041=Table_dim_price_recipe[Item Description]) * (I$6=Table_dim_price_recipe[Type])*(Table_dim_price_recipe[Retail Price]&lt;&gt;0)*($C1041=Table_dim_price_recipe[Subcategory]), 0))*$B1041,"")</f>
        <v/>
      </c>
      <c r="J1041" s="39" t="str" cm="1">
        <f t="array" ref="J1041">IFERROR(INDEX(Table_dim_price_recipe[Retail Price], MATCH(1, ("Calculator"&lt;&gt;Table_dim_price_recipe[Type.display])*($L1041=Table_dim_price_recipe[Category])*($D1041=Table_dim_price_recipe[Item Description]) * (J$6=Table_dim_price_recipe[Type])*(Table_dim_price_recipe[Retail Price]&lt;&gt;0)*($C1041=Table_dim_price_recipe[Subcategory]), 0))*$B1041,"")</f>
        <v/>
      </c>
      <c r="K1041" s="39" t="str" cm="1">
        <f t="array" ref="K1041">IFERROR(INDEX(Table_dim_price_recipe[Retail Price], MATCH(1, ("Calculator"&lt;&gt;Table_dim_price_recipe[Type.display])*($L1041=Table_dim_price_recipe[Category])*($D1041=Table_dim_price_recipe[Item Description]) * (K$6=Table_dim_price_recipe[Type])*(Table_dim_price_recipe[Retail Price]&lt;&gt;0)*($C1041=Table_dim_price_recipe[Subcategory]), 0))*$B1041,"")</f>
        <v/>
      </c>
      <c r="L1041" s="39" t="str" cm="1">
        <f t="array" ref="L1041">IF($A1041&lt;&gt;"", $A1041, LOOKUP(2, 1/((A$7:INDEX(A:A, ROW()))&lt;&gt;""), A$7:INDEX(A:A, ROW())))</f>
        <v>ADDITIONAL LABOUR</v>
      </c>
    </row>
    <row r="1042" spans="1:12">
      <c r="A1042" s="263"/>
      <c r="B1042" s="263"/>
      <c r="C1042" s="263" t="s">
        <v>1057</v>
      </c>
      <c r="D1042" s="263" t="s">
        <v>1237</v>
      </c>
      <c r="E1042" s="263"/>
      <c r="F1042" s="263"/>
      <c r="G1042" s="39" t="str" cm="1">
        <f t="array" ref="G1042">IFERROR(INDEX(Table_dim_price_recipe[Retail Price], MATCH(1, ("Calculator"&lt;&gt;Table_dim_price_recipe[Type.display])*($L1042=Table_dim_price_recipe[Category])*($D1042=Table_dim_price_recipe[Item Description]) * (G$6=Table_dim_price_recipe[Type])*(Table_dim_price_recipe[Retail Price]&lt;&gt;0)*($C1042=Table_dim_price_recipe[Subcategory]), 0))*$B1042,"")</f>
        <v/>
      </c>
      <c r="H1042" s="39" t="str" cm="1">
        <f t="array" ref="H1042">IFERROR(INDEX(Table_dim_price_recipe[Retail Price], MATCH(1, ("Calculator"&lt;&gt;Table_dim_price_recipe[Type.display])*($L1042=Table_dim_price_recipe[Category])*($D1042=Table_dim_price_recipe[Item Description]) * (H$6=Table_dim_price_recipe[Type])*(Table_dim_price_recipe[Retail Price]&lt;&gt;0)*($C1042=Table_dim_price_recipe[Subcategory]), 0))*$B1042,"")</f>
        <v/>
      </c>
      <c r="I1042" s="39" t="str" cm="1">
        <f t="array" ref="I1042">IFERROR(INDEX(Table_dim_price_recipe[Retail Price], MATCH(1, ("Calculator"&lt;&gt;Table_dim_price_recipe[Type.display])*($L1042=Table_dim_price_recipe[Category])*($D1042=Table_dim_price_recipe[Item Description]) * (I$6=Table_dim_price_recipe[Type])*(Table_dim_price_recipe[Retail Price]&lt;&gt;0)*($C1042=Table_dim_price_recipe[Subcategory]), 0))*$B1042,"")</f>
        <v/>
      </c>
      <c r="J1042" s="39" t="str" cm="1">
        <f t="array" ref="J1042">IFERROR(INDEX(Table_dim_price_recipe[Retail Price], MATCH(1, ("Calculator"&lt;&gt;Table_dim_price_recipe[Type.display])*($L1042=Table_dim_price_recipe[Category])*($D1042=Table_dim_price_recipe[Item Description]) * (J$6=Table_dim_price_recipe[Type])*(Table_dim_price_recipe[Retail Price]&lt;&gt;0)*($C1042=Table_dim_price_recipe[Subcategory]), 0))*$B1042,"")</f>
        <v/>
      </c>
      <c r="K1042" s="39" t="str" cm="1">
        <f t="array" ref="K1042">IFERROR(INDEX(Table_dim_price_recipe[Retail Price], MATCH(1, ("Calculator"&lt;&gt;Table_dim_price_recipe[Type.display])*($L1042=Table_dim_price_recipe[Category])*($D1042=Table_dim_price_recipe[Item Description]) * (K$6=Table_dim_price_recipe[Type])*(Table_dim_price_recipe[Retail Price]&lt;&gt;0)*($C1042=Table_dim_price_recipe[Subcategory]), 0))*$B1042,"")</f>
        <v/>
      </c>
      <c r="L1042" s="39" t="str" cm="1">
        <f t="array" ref="L1042">IF($A1042&lt;&gt;"", $A1042, LOOKUP(2, 1/((A$7:INDEX(A:A, ROW()))&lt;&gt;""), A$7:INDEX(A:A, ROW())))</f>
        <v>ADDITIONAL LABOUR</v>
      </c>
    </row>
    <row r="1043" spans="1:12">
      <c r="A1043" s="263"/>
      <c r="B1043" s="263"/>
      <c r="C1043" s="263" t="s">
        <v>1057</v>
      </c>
      <c r="D1043" s="263" t="s">
        <v>1238</v>
      </c>
      <c r="E1043" s="263"/>
      <c r="F1043" s="263"/>
      <c r="G1043" s="39" t="str" cm="1">
        <f t="array" ref="G1043">IFERROR(INDEX(Table_dim_price_recipe[Retail Price], MATCH(1, ("Calculator"&lt;&gt;Table_dim_price_recipe[Type.display])*($L1043=Table_dim_price_recipe[Category])*($D1043=Table_dim_price_recipe[Item Description]) * (G$6=Table_dim_price_recipe[Type])*(Table_dim_price_recipe[Retail Price]&lt;&gt;0)*($C1043=Table_dim_price_recipe[Subcategory]), 0))*$B1043,"")</f>
        <v/>
      </c>
      <c r="H1043" s="39" t="str" cm="1">
        <f t="array" ref="H1043">IFERROR(INDEX(Table_dim_price_recipe[Retail Price], MATCH(1, ("Calculator"&lt;&gt;Table_dim_price_recipe[Type.display])*($L1043=Table_dim_price_recipe[Category])*($D1043=Table_dim_price_recipe[Item Description]) * (H$6=Table_dim_price_recipe[Type])*(Table_dim_price_recipe[Retail Price]&lt;&gt;0)*($C1043=Table_dim_price_recipe[Subcategory]), 0))*$B1043,"")</f>
        <v/>
      </c>
      <c r="I1043" s="39" t="str" cm="1">
        <f t="array" ref="I1043">IFERROR(INDEX(Table_dim_price_recipe[Retail Price], MATCH(1, ("Calculator"&lt;&gt;Table_dim_price_recipe[Type.display])*($L1043=Table_dim_price_recipe[Category])*($D1043=Table_dim_price_recipe[Item Description]) * (I$6=Table_dim_price_recipe[Type])*(Table_dim_price_recipe[Retail Price]&lt;&gt;0)*($C1043=Table_dim_price_recipe[Subcategory]), 0))*$B1043,"")</f>
        <v/>
      </c>
      <c r="J1043" s="39" t="str" cm="1">
        <f t="array" ref="J1043">IFERROR(INDEX(Table_dim_price_recipe[Retail Price], MATCH(1, ("Calculator"&lt;&gt;Table_dim_price_recipe[Type.display])*($L1043=Table_dim_price_recipe[Category])*($D1043=Table_dim_price_recipe[Item Description]) * (J$6=Table_dim_price_recipe[Type])*(Table_dim_price_recipe[Retail Price]&lt;&gt;0)*($C1043=Table_dim_price_recipe[Subcategory]), 0))*$B1043,"")</f>
        <v/>
      </c>
      <c r="K1043" s="39" t="str" cm="1">
        <f t="array" ref="K1043">IFERROR(INDEX(Table_dim_price_recipe[Retail Price], MATCH(1, ("Calculator"&lt;&gt;Table_dim_price_recipe[Type.display])*($L1043=Table_dim_price_recipe[Category])*($D1043=Table_dim_price_recipe[Item Description]) * (K$6=Table_dim_price_recipe[Type])*(Table_dim_price_recipe[Retail Price]&lt;&gt;0)*($C1043=Table_dim_price_recipe[Subcategory]), 0))*$B1043,"")</f>
        <v/>
      </c>
      <c r="L1043" s="39" t="str" cm="1">
        <f t="array" ref="L1043">IF($A1043&lt;&gt;"", $A1043, LOOKUP(2, 1/((A$7:INDEX(A:A, ROW()))&lt;&gt;""), A$7:INDEX(A:A, ROW())))</f>
        <v>ADDITIONAL LABOUR</v>
      </c>
    </row>
    <row r="1044" spans="1:12">
      <c r="A1044" s="263"/>
      <c r="B1044" s="263"/>
      <c r="C1044" s="263" t="s">
        <v>1057</v>
      </c>
      <c r="D1044" s="263" t="s">
        <v>1234</v>
      </c>
      <c r="E1044" s="263"/>
      <c r="F1044" s="263"/>
      <c r="G1044" s="39" t="str" cm="1">
        <f t="array" ref="G1044">IFERROR(INDEX(Table_dim_price_recipe[Retail Price], MATCH(1, ("Calculator"&lt;&gt;Table_dim_price_recipe[Type.display])*($L1044=Table_dim_price_recipe[Category])*($D1044=Table_dim_price_recipe[Item Description]) * (G$6=Table_dim_price_recipe[Type])*(Table_dim_price_recipe[Retail Price]&lt;&gt;0)*($C1044=Table_dim_price_recipe[Subcategory]), 0))*$B1044,"")</f>
        <v/>
      </c>
      <c r="H1044" s="39" t="str" cm="1">
        <f t="array" ref="H1044">IFERROR(INDEX(Table_dim_price_recipe[Retail Price], MATCH(1, ("Calculator"&lt;&gt;Table_dim_price_recipe[Type.display])*($L1044=Table_dim_price_recipe[Category])*($D1044=Table_dim_price_recipe[Item Description]) * (H$6=Table_dim_price_recipe[Type])*(Table_dim_price_recipe[Retail Price]&lt;&gt;0)*($C1044=Table_dim_price_recipe[Subcategory]), 0))*$B1044,"")</f>
        <v/>
      </c>
      <c r="I1044" s="39" t="str" cm="1">
        <f t="array" ref="I1044">IFERROR(INDEX(Table_dim_price_recipe[Retail Price], MATCH(1, ("Calculator"&lt;&gt;Table_dim_price_recipe[Type.display])*($L1044=Table_dim_price_recipe[Category])*($D1044=Table_dim_price_recipe[Item Description]) * (I$6=Table_dim_price_recipe[Type])*(Table_dim_price_recipe[Retail Price]&lt;&gt;0)*($C1044=Table_dim_price_recipe[Subcategory]), 0))*$B1044,"")</f>
        <v/>
      </c>
      <c r="J1044" s="39" t="str" cm="1">
        <f t="array" ref="J1044">IFERROR(INDEX(Table_dim_price_recipe[Retail Price], MATCH(1, ("Calculator"&lt;&gt;Table_dim_price_recipe[Type.display])*($L1044=Table_dim_price_recipe[Category])*($D1044=Table_dim_price_recipe[Item Description]) * (J$6=Table_dim_price_recipe[Type])*(Table_dim_price_recipe[Retail Price]&lt;&gt;0)*($C1044=Table_dim_price_recipe[Subcategory]), 0))*$B1044,"")</f>
        <v/>
      </c>
      <c r="K1044" s="39" t="str" cm="1">
        <f t="array" ref="K1044">IFERROR(INDEX(Table_dim_price_recipe[Retail Price], MATCH(1, ("Calculator"&lt;&gt;Table_dim_price_recipe[Type.display])*($L1044=Table_dim_price_recipe[Category])*($D1044=Table_dim_price_recipe[Item Description]) * (K$6=Table_dim_price_recipe[Type])*(Table_dim_price_recipe[Retail Price]&lt;&gt;0)*($C1044=Table_dim_price_recipe[Subcategory]), 0))*$B1044,"")</f>
        <v/>
      </c>
      <c r="L1044" s="39" t="str" cm="1">
        <f t="array" ref="L1044">IF($A1044&lt;&gt;"", $A1044, LOOKUP(2, 1/((A$7:INDEX(A:A, ROW()))&lt;&gt;""), A$7:INDEX(A:A, ROW())))</f>
        <v>ADDITIONAL LABOUR</v>
      </c>
    </row>
    <row r="1045" spans="1:12">
      <c r="A1045" s="263"/>
      <c r="B1045" s="263"/>
      <c r="C1045" s="263" t="s">
        <v>1057</v>
      </c>
      <c r="D1045" s="263" t="s">
        <v>1058</v>
      </c>
      <c r="E1045" s="263"/>
      <c r="F1045" s="263"/>
      <c r="G1045" s="39" t="str" cm="1">
        <f t="array" ref="G1045">IFERROR(INDEX(Table_dim_price_recipe[Retail Price], MATCH(1, ("Calculator"&lt;&gt;Table_dim_price_recipe[Type.display])*($L1045=Table_dim_price_recipe[Category])*($D1045=Table_dim_price_recipe[Item Description]) * (G$6=Table_dim_price_recipe[Type])*(Table_dim_price_recipe[Retail Price]&lt;&gt;0)*($C1045=Table_dim_price_recipe[Subcategory]), 0))*$B1045,"")</f>
        <v/>
      </c>
      <c r="H1045" s="39" t="str" cm="1">
        <f t="array" ref="H1045">IFERROR(INDEX(Table_dim_price_recipe[Retail Price], MATCH(1, ("Calculator"&lt;&gt;Table_dim_price_recipe[Type.display])*($L1045=Table_dim_price_recipe[Category])*($D1045=Table_dim_price_recipe[Item Description]) * (H$6=Table_dim_price_recipe[Type])*(Table_dim_price_recipe[Retail Price]&lt;&gt;0)*($C1045=Table_dim_price_recipe[Subcategory]), 0))*$B1045,"")</f>
        <v/>
      </c>
      <c r="I1045" s="39" t="str" cm="1">
        <f t="array" ref="I1045">IFERROR(INDEX(Table_dim_price_recipe[Retail Price], MATCH(1, ("Calculator"&lt;&gt;Table_dim_price_recipe[Type.display])*($L1045=Table_dim_price_recipe[Category])*($D1045=Table_dim_price_recipe[Item Description]) * (I$6=Table_dim_price_recipe[Type])*(Table_dim_price_recipe[Retail Price]&lt;&gt;0)*($C1045=Table_dim_price_recipe[Subcategory]), 0))*$B1045,"")</f>
        <v/>
      </c>
      <c r="J1045" s="39" t="str" cm="1">
        <f t="array" ref="J1045">IFERROR(INDEX(Table_dim_price_recipe[Retail Price], MATCH(1, ("Calculator"&lt;&gt;Table_dim_price_recipe[Type.display])*($L1045=Table_dim_price_recipe[Category])*($D1045=Table_dim_price_recipe[Item Description]) * (J$6=Table_dim_price_recipe[Type])*(Table_dim_price_recipe[Retail Price]&lt;&gt;0)*($C1045=Table_dim_price_recipe[Subcategory]), 0))*$B1045,"")</f>
        <v/>
      </c>
      <c r="K1045" s="39" t="str" cm="1">
        <f t="array" ref="K1045">IFERROR(INDEX(Table_dim_price_recipe[Retail Price], MATCH(1, ("Calculator"&lt;&gt;Table_dim_price_recipe[Type.display])*($L1045=Table_dim_price_recipe[Category])*($D1045=Table_dim_price_recipe[Item Description]) * (K$6=Table_dim_price_recipe[Type])*(Table_dim_price_recipe[Retail Price]&lt;&gt;0)*($C1045=Table_dim_price_recipe[Subcategory]), 0))*$B1045,"")</f>
        <v/>
      </c>
      <c r="L1045" s="39" t="str" cm="1">
        <f t="array" ref="L1045">IF($A1045&lt;&gt;"", $A1045, LOOKUP(2, 1/((A$7:INDEX(A:A, ROW()))&lt;&gt;""), A$7:INDEX(A:A, ROW())))</f>
        <v>ADDITIONAL LABOUR</v>
      </c>
    </row>
    <row r="1046" spans="1:12">
      <c r="A1046" s="263"/>
      <c r="B1046" s="263"/>
      <c r="C1046" s="263" t="s">
        <v>1057</v>
      </c>
      <c r="D1046" s="263" t="s">
        <v>1235</v>
      </c>
      <c r="E1046" s="263"/>
      <c r="F1046" s="263"/>
      <c r="G1046" s="39" t="str" cm="1">
        <f t="array" ref="G1046">IFERROR(INDEX(Table_dim_price_recipe[Retail Price], MATCH(1, ("Calculator"&lt;&gt;Table_dim_price_recipe[Type.display])*($L1046=Table_dim_price_recipe[Category])*($D1046=Table_dim_price_recipe[Item Description]) * (G$6=Table_dim_price_recipe[Type])*(Table_dim_price_recipe[Retail Price]&lt;&gt;0)*($C1046=Table_dim_price_recipe[Subcategory]), 0))*$B1046,"")</f>
        <v/>
      </c>
      <c r="H1046" s="39" t="str" cm="1">
        <f t="array" ref="H1046">IFERROR(INDEX(Table_dim_price_recipe[Retail Price], MATCH(1, ("Calculator"&lt;&gt;Table_dim_price_recipe[Type.display])*($L1046=Table_dim_price_recipe[Category])*($D1046=Table_dim_price_recipe[Item Description]) * (H$6=Table_dim_price_recipe[Type])*(Table_dim_price_recipe[Retail Price]&lt;&gt;0)*($C1046=Table_dim_price_recipe[Subcategory]), 0))*$B1046,"")</f>
        <v/>
      </c>
      <c r="I1046" s="39" t="str" cm="1">
        <f t="array" ref="I1046">IFERROR(INDEX(Table_dim_price_recipe[Retail Price], MATCH(1, ("Calculator"&lt;&gt;Table_dim_price_recipe[Type.display])*($L1046=Table_dim_price_recipe[Category])*($D1046=Table_dim_price_recipe[Item Description]) * (I$6=Table_dim_price_recipe[Type])*(Table_dim_price_recipe[Retail Price]&lt;&gt;0)*($C1046=Table_dim_price_recipe[Subcategory]), 0))*$B1046,"")</f>
        <v/>
      </c>
      <c r="J1046" s="39" t="str" cm="1">
        <f t="array" ref="J1046">IFERROR(INDEX(Table_dim_price_recipe[Retail Price], MATCH(1, ("Calculator"&lt;&gt;Table_dim_price_recipe[Type.display])*($L1046=Table_dim_price_recipe[Category])*($D1046=Table_dim_price_recipe[Item Description]) * (J$6=Table_dim_price_recipe[Type])*(Table_dim_price_recipe[Retail Price]&lt;&gt;0)*($C1046=Table_dim_price_recipe[Subcategory]), 0))*$B1046,"")</f>
        <v/>
      </c>
      <c r="K1046" s="39" t="str" cm="1">
        <f t="array" ref="K1046">IFERROR(INDEX(Table_dim_price_recipe[Retail Price], MATCH(1, ("Calculator"&lt;&gt;Table_dim_price_recipe[Type.display])*($L1046=Table_dim_price_recipe[Category])*($D1046=Table_dim_price_recipe[Item Description]) * (K$6=Table_dim_price_recipe[Type])*(Table_dim_price_recipe[Retail Price]&lt;&gt;0)*($C1046=Table_dim_price_recipe[Subcategory]), 0))*$B1046,"")</f>
        <v/>
      </c>
      <c r="L1046" s="39" t="str" cm="1">
        <f t="array" ref="L1046">IF($A1046&lt;&gt;"", $A1046, LOOKUP(2, 1/((A$7:INDEX(A:A, ROW()))&lt;&gt;""), A$7:INDEX(A:A, ROW())))</f>
        <v>ADDITIONAL LABOUR</v>
      </c>
    </row>
    <row r="1047" spans="1:12">
      <c r="A1047" s="263"/>
      <c r="B1047" s="263"/>
      <c r="C1047" s="263" t="s">
        <v>1057</v>
      </c>
      <c r="D1047" s="263" t="s">
        <v>1062</v>
      </c>
      <c r="E1047" s="263"/>
      <c r="F1047" s="263"/>
      <c r="G1047" s="39" t="str" cm="1">
        <f t="array" ref="G1047">IFERROR(INDEX(Table_dim_price_recipe[Retail Price], MATCH(1, ("Calculator"&lt;&gt;Table_dim_price_recipe[Type.display])*($L1047=Table_dim_price_recipe[Category])*($D1047=Table_dim_price_recipe[Item Description]) * (G$6=Table_dim_price_recipe[Type])*(Table_dim_price_recipe[Retail Price]&lt;&gt;0)*($C1047=Table_dim_price_recipe[Subcategory]), 0))*$B1047,"")</f>
        <v/>
      </c>
      <c r="H1047" s="39" t="str" cm="1">
        <f t="array" ref="H1047">IFERROR(INDEX(Table_dim_price_recipe[Retail Price], MATCH(1, ("Calculator"&lt;&gt;Table_dim_price_recipe[Type.display])*($L1047=Table_dim_price_recipe[Category])*($D1047=Table_dim_price_recipe[Item Description]) * (H$6=Table_dim_price_recipe[Type])*(Table_dim_price_recipe[Retail Price]&lt;&gt;0)*($C1047=Table_dim_price_recipe[Subcategory]), 0))*$B1047,"")</f>
        <v/>
      </c>
      <c r="I1047" s="39" t="str" cm="1">
        <f t="array" ref="I1047">IFERROR(INDEX(Table_dim_price_recipe[Retail Price], MATCH(1, ("Calculator"&lt;&gt;Table_dim_price_recipe[Type.display])*($L1047=Table_dim_price_recipe[Category])*($D1047=Table_dim_price_recipe[Item Description]) * (I$6=Table_dim_price_recipe[Type])*(Table_dim_price_recipe[Retail Price]&lt;&gt;0)*($C1047=Table_dim_price_recipe[Subcategory]), 0))*$B1047,"")</f>
        <v/>
      </c>
      <c r="J1047" s="39" t="str" cm="1">
        <f t="array" ref="J1047">IFERROR(INDEX(Table_dim_price_recipe[Retail Price], MATCH(1, ("Calculator"&lt;&gt;Table_dim_price_recipe[Type.display])*($L1047=Table_dim_price_recipe[Category])*($D1047=Table_dim_price_recipe[Item Description]) * (J$6=Table_dim_price_recipe[Type])*(Table_dim_price_recipe[Retail Price]&lt;&gt;0)*($C1047=Table_dim_price_recipe[Subcategory]), 0))*$B1047,"")</f>
        <v/>
      </c>
      <c r="K1047" s="39" t="str" cm="1">
        <f t="array" ref="K1047">IFERROR(INDEX(Table_dim_price_recipe[Retail Price], MATCH(1, ("Calculator"&lt;&gt;Table_dim_price_recipe[Type.display])*($L1047=Table_dim_price_recipe[Category])*($D1047=Table_dim_price_recipe[Item Description]) * (K$6=Table_dim_price_recipe[Type])*(Table_dim_price_recipe[Retail Price]&lt;&gt;0)*($C1047=Table_dim_price_recipe[Subcategory]), 0))*$B1047,"")</f>
        <v/>
      </c>
      <c r="L1047" s="39" t="str" cm="1">
        <f t="array" ref="L1047">IF($A1047&lt;&gt;"", $A1047, LOOKUP(2, 1/((A$7:INDEX(A:A, ROW()))&lt;&gt;""), A$7:INDEX(A:A, ROW())))</f>
        <v>ADDITIONAL LABOUR</v>
      </c>
    </row>
    <row r="1048" spans="1:12">
      <c r="A1048" s="263"/>
      <c r="B1048" s="263"/>
      <c r="C1048" s="263" t="s">
        <v>1057</v>
      </c>
      <c r="D1048" s="263" t="s">
        <v>1061</v>
      </c>
      <c r="E1048" s="263"/>
      <c r="F1048" s="263"/>
      <c r="G1048" s="39" t="str" cm="1">
        <f t="array" ref="G1048">IFERROR(INDEX(Table_dim_price_recipe[Retail Price], MATCH(1, ("Calculator"&lt;&gt;Table_dim_price_recipe[Type.display])*($L1048=Table_dim_price_recipe[Category])*($D1048=Table_dim_price_recipe[Item Description]) * (G$6=Table_dim_price_recipe[Type])*(Table_dim_price_recipe[Retail Price]&lt;&gt;0)*($C1048=Table_dim_price_recipe[Subcategory]), 0))*$B1048,"")</f>
        <v/>
      </c>
      <c r="H1048" s="39" t="str" cm="1">
        <f t="array" ref="H1048">IFERROR(INDEX(Table_dim_price_recipe[Retail Price], MATCH(1, ("Calculator"&lt;&gt;Table_dim_price_recipe[Type.display])*($L1048=Table_dim_price_recipe[Category])*($D1048=Table_dim_price_recipe[Item Description]) * (H$6=Table_dim_price_recipe[Type])*(Table_dim_price_recipe[Retail Price]&lt;&gt;0)*($C1048=Table_dim_price_recipe[Subcategory]), 0))*$B1048,"")</f>
        <v/>
      </c>
      <c r="I1048" s="39" t="str" cm="1">
        <f t="array" ref="I1048">IFERROR(INDEX(Table_dim_price_recipe[Retail Price], MATCH(1, ("Calculator"&lt;&gt;Table_dim_price_recipe[Type.display])*($L1048=Table_dim_price_recipe[Category])*($D1048=Table_dim_price_recipe[Item Description]) * (I$6=Table_dim_price_recipe[Type])*(Table_dim_price_recipe[Retail Price]&lt;&gt;0)*($C1048=Table_dim_price_recipe[Subcategory]), 0))*$B1048,"")</f>
        <v/>
      </c>
      <c r="J1048" s="39" t="str" cm="1">
        <f t="array" ref="J1048">IFERROR(INDEX(Table_dim_price_recipe[Retail Price], MATCH(1, ("Calculator"&lt;&gt;Table_dim_price_recipe[Type.display])*($L1048=Table_dim_price_recipe[Category])*($D1048=Table_dim_price_recipe[Item Description]) * (J$6=Table_dim_price_recipe[Type])*(Table_dim_price_recipe[Retail Price]&lt;&gt;0)*($C1048=Table_dim_price_recipe[Subcategory]), 0))*$B1048,"")</f>
        <v/>
      </c>
      <c r="K1048" s="39" cm="1">
        <f t="array" ref="K1048">IFERROR(INDEX(Table_dim_price_recipe[Retail Price], MATCH(1, ("Calculator"&lt;&gt;Table_dim_price_recipe[Type.display])*($L1048=Table_dim_price_recipe[Category])*($D1048=Table_dim_price_recipe[Item Description]) * (K$6=Table_dim_price_recipe[Type])*(Table_dim_price_recipe[Retail Price]&lt;&gt;0)*($C1048=Table_dim_price_recipe[Subcategory]), 0))*$B1048,"")</f>
        <v>0</v>
      </c>
      <c r="L1048" s="39" t="str" cm="1">
        <f t="array" ref="L1048">IF($A1048&lt;&gt;"", $A1048, LOOKUP(2, 1/((A$7:INDEX(A:A, ROW()))&lt;&gt;""), A$7:INDEX(A:A, ROW())))</f>
        <v>ADDITIONAL LABOUR</v>
      </c>
    </row>
    <row r="1049" spans="1:12">
      <c r="A1049" s="263"/>
      <c r="B1049" s="263"/>
      <c r="C1049" s="263" t="s">
        <v>1057</v>
      </c>
      <c r="D1049" s="263" t="s">
        <v>1060</v>
      </c>
      <c r="E1049" s="263"/>
      <c r="F1049" s="263"/>
      <c r="G1049" s="39" t="str" cm="1">
        <f t="array" ref="G1049">IFERROR(INDEX(Table_dim_price_recipe[Retail Price], MATCH(1, ("Calculator"&lt;&gt;Table_dim_price_recipe[Type.display])*($L1049=Table_dim_price_recipe[Category])*($D1049=Table_dim_price_recipe[Item Description]) * (G$6=Table_dim_price_recipe[Type])*(Table_dim_price_recipe[Retail Price]&lt;&gt;0)*($C1049=Table_dim_price_recipe[Subcategory]), 0))*$B1049,"")</f>
        <v/>
      </c>
      <c r="H1049" s="39" t="str" cm="1">
        <f t="array" ref="H1049">IFERROR(INDEX(Table_dim_price_recipe[Retail Price], MATCH(1, ("Calculator"&lt;&gt;Table_dim_price_recipe[Type.display])*($L1049=Table_dim_price_recipe[Category])*($D1049=Table_dim_price_recipe[Item Description]) * (H$6=Table_dim_price_recipe[Type])*(Table_dim_price_recipe[Retail Price]&lt;&gt;0)*($C1049=Table_dim_price_recipe[Subcategory]), 0))*$B1049,"")</f>
        <v/>
      </c>
      <c r="I1049" s="39" t="str" cm="1">
        <f t="array" ref="I1049">IFERROR(INDEX(Table_dim_price_recipe[Retail Price], MATCH(1, ("Calculator"&lt;&gt;Table_dim_price_recipe[Type.display])*($L1049=Table_dim_price_recipe[Category])*($D1049=Table_dim_price_recipe[Item Description]) * (I$6=Table_dim_price_recipe[Type])*(Table_dim_price_recipe[Retail Price]&lt;&gt;0)*($C1049=Table_dim_price_recipe[Subcategory]), 0))*$B1049,"")</f>
        <v/>
      </c>
      <c r="J1049" s="39" t="str" cm="1">
        <f t="array" ref="J1049">IFERROR(INDEX(Table_dim_price_recipe[Retail Price], MATCH(1, ("Calculator"&lt;&gt;Table_dim_price_recipe[Type.display])*($L1049=Table_dim_price_recipe[Category])*($D1049=Table_dim_price_recipe[Item Description]) * (J$6=Table_dim_price_recipe[Type])*(Table_dim_price_recipe[Retail Price]&lt;&gt;0)*($C1049=Table_dim_price_recipe[Subcategory]), 0))*$B1049,"")</f>
        <v/>
      </c>
      <c r="K1049" s="39" cm="1">
        <f t="array" ref="K1049">IFERROR(INDEX(Table_dim_price_recipe[Retail Price], MATCH(1, ("Calculator"&lt;&gt;Table_dim_price_recipe[Type.display])*($L1049=Table_dim_price_recipe[Category])*($D1049=Table_dim_price_recipe[Item Description]) * (K$6=Table_dim_price_recipe[Type])*(Table_dim_price_recipe[Retail Price]&lt;&gt;0)*($C1049=Table_dim_price_recipe[Subcategory]), 0))*$B1049,"")</f>
        <v>0</v>
      </c>
      <c r="L1049" s="39" t="str" cm="1">
        <f t="array" ref="L1049">IF($A1049&lt;&gt;"", $A1049, LOOKUP(2, 1/((A$7:INDEX(A:A, ROW()))&lt;&gt;""), A$7:INDEX(A:A, ROW())))</f>
        <v>ADDITIONAL LABOUR</v>
      </c>
    </row>
    <row r="1050" spans="1:12">
      <c r="A1050" s="263"/>
      <c r="B1050" s="263"/>
      <c r="C1050" s="263" t="s">
        <v>1057</v>
      </c>
      <c r="D1050" s="263"/>
      <c r="E1050" s="263"/>
      <c r="F1050" s="263"/>
      <c r="G1050" s="39" t="str" cm="1">
        <f t="array" ref="G1050">IFERROR(INDEX(Table_dim_price_recipe[Retail Price], MATCH(1, ("Calculator"&lt;&gt;Table_dim_price_recipe[Type.display])*($L1050=Table_dim_price_recipe[Category])*($D1050=Table_dim_price_recipe[Item Description]) * (G$6=Table_dim_price_recipe[Type])*(Table_dim_price_recipe[Retail Price]&lt;&gt;0)*($C1050=Table_dim_price_recipe[Subcategory]), 0))*$B1050,"")</f>
        <v/>
      </c>
      <c r="H1050" s="39" t="str" cm="1">
        <f t="array" ref="H1050">IFERROR(INDEX(Table_dim_price_recipe[Retail Price], MATCH(1, ("Calculator"&lt;&gt;Table_dim_price_recipe[Type.display])*($L1050=Table_dim_price_recipe[Category])*($D1050=Table_dim_price_recipe[Item Description]) * (H$6=Table_dim_price_recipe[Type])*(Table_dim_price_recipe[Retail Price]&lt;&gt;0)*($C1050=Table_dim_price_recipe[Subcategory]), 0))*$B1050,"")</f>
        <v/>
      </c>
      <c r="I1050" s="39" t="str" cm="1">
        <f t="array" ref="I1050">IFERROR(INDEX(Table_dim_price_recipe[Retail Price], MATCH(1, ("Calculator"&lt;&gt;Table_dim_price_recipe[Type.display])*($L1050=Table_dim_price_recipe[Category])*($D1050=Table_dim_price_recipe[Item Description]) * (I$6=Table_dim_price_recipe[Type])*(Table_dim_price_recipe[Retail Price]&lt;&gt;0)*($C1050=Table_dim_price_recipe[Subcategory]), 0))*$B1050,"")</f>
        <v/>
      </c>
      <c r="J1050" s="39" t="str" cm="1">
        <f t="array" ref="J1050">IFERROR(INDEX(Table_dim_price_recipe[Retail Price], MATCH(1, ("Calculator"&lt;&gt;Table_dim_price_recipe[Type.display])*($L1050=Table_dim_price_recipe[Category])*($D1050=Table_dim_price_recipe[Item Description]) * (J$6=Table_dim_price_recipe[Type])*(Table_dim_price_recipe[Retail Price]&lt;&gt;0)*($C1050=Table_dim_price_recipe[Subcategory]), 0))*$B1050,"")</f>
        <v/>
      </c>
      <c r="K1050" s="39" t="str" cm="1">
        <f t="array" ref="K1050">IFERROR(INDEX(Table_dim_price_recipe[Retail Price], MATCH(1, ("Calculator"&lt;&gt;Table_dim_price_recipe[Type.display])*($L1050=Table_dim_price_recipe[Category])*($D1050=Table_dim_price_recipe[Item Description]) * (K$6=Table_dim_price_recipe[Type])*(Table_dim_price_recipe[Retail Price]&lt;&gt;0)*($C1050=Table_dim_price_recipe[Subcategory]), 0))*$B1050,"")</f>
        <v/>
      </c>
      <c r="L1050" s="39" t="str" cm="1">
        <f t="array" ref="L1050">IF($A1050&lt;&gt;"", $A1050, LOOKUP(2, 1/((A$7:INDEX(A:A, ROW()))&lt;&gt;""), A$7:INDEX(A:A, ROW())))</f>
        <v>ADDITIONAL LABOUR</v>
      </c>
    </row>
    <row r="1051" spans="1:12">
      <c r="A1051" s="263"/>
      <c r="B1051" s="263"/>
      <c r="C1051" s="263" t="s">
        <v>1057</v>
      </c>
      <c r="D1051" s="263"/>
      <c r="E1051" s="263"/>
      <c r="F1051" s="263"/>
      <c r="G1051" s="39" t="str" cm="1">
        <f t="array" ref="G1051">IFERROR(INDEX(Table_dim_price_recipe[Retail Price], MATCH(1, ("Calculator"&lt;&gt;Table_dim_price_recipe[Type.display])*($L1051=Table_dim_price_recipe[Category])*($D1051=Table_dim_price_recipe[Item Description]) * (G$6=Table_dim_price_recipe[Type])*(Table_dim_price_recipe[Retail Price]&lt;&gt;0)*($C1051=Table_dim_price_recipe[Subcategory]), 0))*$B1051,"")</f>
        <v/>
      </c>
      <c r="H1051" s="39" t="str" cm="1">
        <f t="array" ref="H1051">IFERROR(INDEX(Table_dim_price_recipe[Retail Price], MATCH(1, ("Calculator"&lt;&gt;Table_dim_price_recipe[Type.display])*($L1051=Table_dim_price_recipe[Category])*($D1051=Table_dim_price_recipe[Item Description]) * (H$6=Table_dim_price_recipe[Type])*(Table_dim_price_recipe[Retail Price]&lt;&gt;0)*($C1051=Table_dim_price_recipe[Subcategory]), 0))*$B1051,"")</f>
        <v/>
      </c>
      <c r="I1051" s="39" t="str" cm="1">
        <f t="array" ref="I1051">IFERROR(INDEX(Table_dim_price_recipe[Retail Price], MATCH(1, ("Calculator"&lt;&gt;Table_dim_price_recipe[Type.display])*($L1051=Table_dim_price_recipe[Category])*($D1051=Table_dim_price_recipe[Item Description]) * (I$6=Table_dim_price_recipe[Type])*(Table_dim_price_recipe[Retail Price]&lt;&gt;0)*($C1051=Table_dim_price_recipe[Subcategory]), 0))*$B1051,"")</f>
        <v/>
      </c>
      <c r="J1051" s="39" t="str" cm="1">
        <f t="array" ref="J1051">IFERROR(INDEX(Table_dim_price_recipe[Retail Price], MATCH(1, ("Calculator"&lt;&gt;Table_dim_price_recipe[Type.display])*($L1051=Table_dim_price_recipe[Category])*($D1051=Table_dim_price_recipe[Item Description]) * (J$6=Table_dim_price_recipe[Type])*(Table_dim_price_recipe[Retail Price]&lt;&gt;0)*($C1051=Table_dim_price_recipe[Subcategory]), 0))*$B1051,"")</f>
        <v/>
      </c>
      <c r="K1051" s="39" t="str" cm="1">
        <f t="array" ref="K1051">IFERROR(INDEX(Table_dim_price_recipe[Retail Price], MATCH(1, ("Calculator"&lt;&gt;Table_dim_price_recipe[Type.display])*($L1051=Table_dim_price_recipe[Category])*($D1051=Table_dim_price_recipe[Item Description]) * (K$6=Table_dim_price_recipe[Type])*(Table_dim_price_recipe[Retail Price]&lt;&gt;0)*($C1051=Table_dim_price_recipe[Subcategory]), 0))*$B1051,"")</f>
        <v/>
      </c>
      <c r="L1051" s="39" t="str" cm="1">
        <f t="array" ref="L1051">IF($A1051&lt;&gt;"", $A1051, LOOKUP(2, 1/((A$7:INDEX(A:A, ROW()))&lt;&gt;""), A$7:INDEX(A:A, ROW())))</f>
        <v>ADDITIONAL LABOUR</v>
      </c>
    </row>
    <row r="1052" spans="1:12">
      <c r="A1052" s="263"/>
      <c r="B1052" s="263"/>
      <c r="C1052" s="263" t="s">
        <v>1044</v>
      </c>
      <c r="D1052" s="263" t="s">
        <v>1045</v>
      </c>
      <c r="E1052" s="263"/>
      <c r="F1052" s="263"/>
      <c r="G1052" s="39" t="str" cm="1">
        <f t="array" ref="G1052">IFERROR(INDEX(Table_dim_price_recipe[Retail Price], MATCH(1, ("Calculator"&lt;&gt;Table_dim_price_recipe[Type.display])*($L1052=Table_dim_price_recipe[Category])*($D1052=Table_dim_price_recipe[Item Description]) * (G$6=Table_dim_price_recipe[Type])*(Table_dim_price_recipe[Retail Price]&lt;&gt;0)*($C1052=Table_dim_price_recipe[Subcategory]), 0))*$B1052,"")</f>
        <v/>
      </c>
      <c r="H1052" s="39" t="str" cm="1">
        <f t="array" ref="H1052">IFERROR(INDEX(Table_dim_price_recipe[Retail Price], MATCH(1, ("Calculator"&lt;&gt;Table_dim_price_recipe[Type.display])*($L1052=Table_dim_price_recipe[Category])*($D1052=Table_dim_price_recipe[Item Description]) * (H$6=Table_dim_price_recipe[Type])*(Table_dim_price_recipe[Retail Price]&lt;&gt;0)*($C1052=Table_dim_price_recipe[Subcategory]), 0))*$B1052,"")</f>
        <v/>
      </c>
      <c r="I1052" s="39" t="str" cm="1">
        <f t="array" ref="I1052">IFERROR(INDEX(Table_dim_price_recipe[Retail Price], MATCH(1, ("Calculator"&lt;&gt;Table_dim_price_recipe[Type.display])*($L1052=Table_dim_price_recipe[Category])*($D1052=Table_dim_price_recipe[Item Description]) * (I$6=Table_dim_price_recipe[Type])*(Table_dim_price_recipe[Retail Price]&lt;&gt;0)*($C1052=Table_dim_price_recipe[Subcategory]), 0))*$B1052,"")</f>
        <v/>
      </c>
      <c r="J1052" s="39" t="str" cm="1">
        <f t="array" ref="J1052">IFERROR(INDEX(Table_dim_price_recipe[Retail Price], MATCH(1, ("Calculator"&lt;&gt;Table_dim_price_recipe[Type.display])*($L1052=Table_dim_price_recipe[Category])*($D1052=Table_dim_price_recipe[Item Description]) * (J$6=Table_dim_price_recipe[Type])*(Table_dim_price_recipe[Retail Price]&lt;&gt;0)*($C1052=Table_dim_price_recipe[Subcategory]), 0))*$B1052,"")</f>
        <v/>
      </c>
      <c r="K1052" s="39" cm="1">
        <f t="array" ref="K1052">IFERROR(INDEX(Table_dim_price_recipe[Retail Price], MATCH(1, ("Calculator"&lt;&gt;Table_dim_price_recipe[Type.display])*($L1052=Table_dim_price_recipe[Category])*($D1052=Table_dim_price_recipe[Item Description]) * (K$6=Table_dim_price_recipe[Type])*(Table_dim_price_recipe[Retail Price]&lt;&gt;0)*($C1052=Table_dim_price_recipe[Subcategory]), 0))*$B1052,"")</f>
        <v>0</v>
      </c>
      <c r="L1052" s="39" t="str" cm="1">
        <f t="array" ref="L1052">IF($A1052&lt;&gt;"", $A1052, LOOKUP(2, 1/((A$7:INDEX(A:A, ROW()))&lt;&gt;""), A$7:INDEX(A:A, ROW())))</f>
        <v>ADDITIONAL LABOUR</v>
      </c>
    </row>
    <row r="1053" spans="1:12">
      <c r="A1053" s="263"/>
      <c r="B1053" s="263"/>
      <c r="C1053" s="263" t="s">
        <v>1044</v>
      </c>
      <c r="D1053" s="263" t="s">
        <v>1046</v>
      </c>
      <c r="E1053" s="263"/>
      <c r="F1053" s="263"/>
      <c r="G1053" s="39" t="str" cm="1">
        <f t="array" ref="G1053">IFERROR(INDEX(Table_dim_price_recipe[Retail Price], MATCH(1, ("Calculator"&lt;&gt;Table_dim_price_recipe[Type.display])*($L1053=Table_dim_price_recipe[Category])*($D1053=Table_dim_price_recipe[Item Description]) * (G$6=Table_dim_price_recipe[Type])*(Table_dim_price_recipe[Retail Price]&lt;&gt;0)*($C1053=Table_dim_price_recipe[Subcategory]), 0))*$B1053,"")</f>
        <v/>
      </c>
      <c r="H1053" s="39" t="str" cm="1">
        <f t="array" ref="H1053">IFERROR(INDEX(Table_dim_price_recipe[Retail Price], MATCH(1, ("Calculator"&lt;&gt;Table_dim_price_recipe[Type.display])*($L1053=Table_dim_price_recipe[Category])*($D1053=Table_dim_price_recipe[Item Description]) * (H$6=Table_dim_price_recipe[Type])*(Table_dim_price_recipe[Retail Price]&lt;&gt;0)*($C1053=Table_dim_price_recipe[Subcategory]), 0))*$B1053,"")</f>
        <v/>
      </c>
      <c r="I1053" s="39" t="str" cm="1">
        <f t="array" ref="I1053">IFERROR(INDEX(Table_dim_price_recipe[Retail Price], MATCH(1, ("Calculator"&lt;&gt;Table_dim_price_recipe[Type.display])*($L1053=Table_dim_price_recipe[Category])*($D1053=Table_dim_price_recipe[Item Description]) * (I$6=Table_dim_price_recipe[Type])*(Table_dim_price_recipe[Retail Price]&lt;&gt;0)*($C1053=Table_dim_price_recipe[Subcategory]), 0))*$B1053,"")</f>
        <v/>
      </c>
      <c r="J1053" s="39" t="str" cm="1">
        <f t="array" ref="J1053">IFERROR(INDEX(Table_dim_price_recipe[Retail Price], MATCH(1, ("Calculator"&lt;&gt;Table_dim_price_recipe[Type.display])*($L1053=Table_dim_price_recipe[Category])*($D1053=Table_dim_price_recipe[Item Description]) * (J$6=Table_dim_price_recipe[Type])*(Table_dim_price_recipe[Retail Price]&lt;&gt;0)*($C1053=Table_dim_price_recipe[Subcategory]), 0))*$B1053,"")</f>
        <v/>
      </c>
      <c r="K1053" s="39" t="str" cm="1">
        <f t="array" ref="K1053">IFERROR(INDEX(Table_dim_price_recipe[Retail Price], MATCH(1, ("Calculator"&lt;&gt;Table_dim_price_recipe[Type.display])*($L1053=Table_dim_price_recipe[Category])*($D1053=Table_dim_price_recipe[Item Description]) * (K$6=Table_dim_price_recipe[Type])*(Table_dim_price_recipe[Retail Price]&lt;&gt;0)*($C1053=Table_dim_price_recipe[Subcategory]), 0))*$B1053,"")</f>
        <v/>
      </c>
      <c r="L1053" s="39" t="str" cm="1">
        <f t="array" ref="L1053">IF($A1053&lt;&gt;"", $A1053, LOOKUP(2, 1/((A$7:INDEX(A:A, ROW()))&lt;&gt;""), A$7:INDEX(A:A, ROW())))</f>
        <v>ADDITIONAL LABOUR</v>
      </c>
    </row>
    <row r="1054" spans="1:12">
      <c r="A1054" s="263"/>
      <c r="B1054" s="263"/>
      <c r="C1054" s="263" t="s">
        <v>1044</v>
      </c>
      <c r="D1054" s="263"/>
      <c r="E1054" s="263"/>
      <c r="F1054" s="263"/>
      <c r="G1054" s="39" t="str" cm="1">
        <f t="array" ref="G1054">IFERROR(INDEX(Table_dim_price_recipe[Retail Price], MATCH(1, ("Calculator"&lt;&gt;Table_dim_price_recipe[Type.display])*($L1054=Table_dim_price_recipe[Category])*($D1054=Table_dim_price_recipe[Item Description]) * (G$6=Table_dim_price_recipe[Type])*(Table_dim_price_recipe[Retail Price]&lt;&gt;0)*($C1054=Table_dim_price_recipe[Subcategory]), 0))*$B1054,"")</f>
        <v/>
      </c>
      <c r="H1054" s="39" t="str" cm="1">
        <f t="array" ref="H1054">IFERROR(INDEX(Table_dim_price_recipe[Retail Price], MATCH(1, ("Calculator"&lt;&gt;Table_dim_price_recipe[Type.display])*($L1054=Table_dim_price_recipe[Category])*($D1054=Table_dim_price_recipe[Item Description]) * (H$6=Table_dim_price_recipe[Type])*(Table_dim_price_recipe[Retail Price]&lt;&gt;0)*($C1054=Table_dim_price_recipe[Subcategory]), 0))*$B1054,"")</f>
        <v/>
      </c>
      <c r="I1054" s="39" t="str" cm="1">
        <f t="array" ref="I1054">IFERROR(INDEX(Table_dim_price_recipe[Retail Price], MATCH(1, ("Calculator"&lt;&gt;Table_dim_price_recipe[Type.display])*($L1054=Table_dim_price_recipe[Category])*($D1054=Table_dim_price_recipe[Item Description]) * (I$6=Table_dim_price_recipe[Type])*(Table_dim_price_recipe[Retail Price]&lt;&gt;0)*($C1054=Table_dim_price_recipe[Subcategory]), 0))*$B1054,"")</f>
        <v/>
      </c>
      <c r="J1054" s="39" t="str" cm="1">
        <f t="array" ref="J1054">IFERROR(INDEX(Table_dim_price_recipe[Retail Price], MATCH(1, ("Calculator"&lt;&gt;Table_dim_price_recipe[Type.display])*($L1054=Table_dim_price_recipe[Category])*($D1054=Table_dim_price_recipe[Item Description]) * (J$6=Table_dim_price_recipe[Type])*(Table_dim_price_recipe[Retail Price]&lt;&gt;0)*($C1054=Table_dim_price_recipe[Subcategory]), 0))*$B1054,"")</f>
        <v/>
      </c>
      <c r="K1054" s="39" t="str" cm="1">
        <f t="array" ref="K1054">IFERROR(INDEX(Table_dim_price_recipe[Retail Price], MATCH(1, ("Calculator"&lt;&gt;Table_dim_price_recipe[Type.display])*($L1054=Table_dim_price_recipe[Category])*($D1054=Table_dim_price_recipe[Item Description]) * (K$6=Table_dim_price_recipe[Type])*(Table_dim_price_recipe[Retail Price]&lt;&gt;0)*($C1054=Table_dim_price_recipe[Subcategory]), 0))*$B1054,"")</f>
        <v/>
      </c>
      <c r="L1054" s="39" t="str" cm="1">
        <f t="array" ref="L1054">IF($A1054&lt;&gt;"", $A1054, LOOKUP(2, 1/((A$7:INDEX(A:A, ROW()))&lt;&gt;""), A$7:INDEX(A:A, ROW())))</f>
        <v>ADDITIONAL LABOUR</v>
      </c>
    </row>
    <row r="1055" spans="1:12">
      <c r="A1055" s="263"/>
      <c r="B1055" s="263"/>
      <c r="C1055" s="263" t="s">
        <v>1044</v>
      </c>
      <c r="D1055" s="263"/>
      <c r="E1055" s="263"/>
      <c r="F1055" s="263"/>
      <c r="G1055" s="39" t="str" cm="1">
        <f t="array" ref="G1055">IFERROR(INDEX(Table_dim_price_recipe[Retail Price], MATCH(1, ("Calculator"&lt;&gt;Table_dim_price_recipe[Type.display])*($L1055=Table_dim_price_recipe[Category])*($D1055=Table_dim_price_recipe[Item Description]) * (G$6=Table_dim_price_recipe[Type])*(Table_dim_price_recipe[Retail Price]&lt;&gt;0)*($C1055=Table_dim_price_recipe[Subcategory]), 0))*$B1055,"")</f>
        <v/>
      </c>
      <c r="H1055" s="39" t="str" cm="1">
        <f t="array" ref="H1055">IFERROR(INDEX(Table_dim_price_recipe[Retail Price], MATCH(1, ("Calculator"&lt;&gt;Table_dim_price_recipe[Type.display])*($L1055=Table_dim_price_recipe[Category])*($D1055=Table_dim_price_recipe[Item Description]) * (H$6=Table_dim_price_recipe[Type])*(Table_dim_price_recipe[Retail Price]&lt;&gt;0)*($C1055=Table_dim_price_recipe[Subcategory]), 0))*$B1055,"")</f>
        <v/>
      </c>
      <c r="I1055" s="39" t="str" cm="1">
        <f t="array" ref="I1055">IFERROR(INDEX(Table_dim_price_recipe[Retail Price], MATCH(1, ("Calculator"&lt;&gt;Table_dim_price_recipe[Type.display])*($L1055=Table_dim_price_recipe[Category])*($D1055=Table_dim_price_recipe[Item Description]) * (I$6=Table_dim_price_recipe[Type])*(Table_dim_price_recipe[Retail Price]&lt;&gt;0)*($C1055=Table_dim_price_recipe[Subcategory]), 0))*$B1055,"")</f>
        <v/>
      </c>
      <c r="J1055" s="39" t="str" cm="1">
        <f t="array" ref="J1055">IFERROR(INDEX(Table_dim_price_recipe[Retail Price], MATCH(1, ("Calculator"&lt;&gt;Table_dim_price_recipe[Type.display])*($L1055=Table_dim_price_recipe[Category])*($D1055=Table_dim_price_recipe[Item Description]) * (J$6=Table_dim_price_recipe[Type])*(Table_dim_price_recipe[Retail Price]&lt;&gt;0)*($C1055=Table_dim_price_recipe[Subcategory]), 0))*$B1055,"")</f>
        <v/>
      </c>
      <c r="K1055" s="39" t="str" cm="1">
        <f t="array" ref="K1055">IFERROR(INDEX(Table_dim_price_recipe[Retail Price], MATCH(1, ("Calculator"&lt;&gt;Table_dim_price_recipe[Type.display])*($L1055=Table_dim_price_recipe[Category])*($D1055=Table_dim_price_recipe[Item Description]) * (K$6=Table_dim_price_recipe[Type])*(Table_dim_price_recipe[Retail Price]&lt;&gt;0)*($C1055=Table_dim_price_recipe[Subcategory]), 0))*$B1055,"")</f>
        <v/>
      </c>
      <c r="L1055" s="39" t="str" cm="1">
        <f t="array" ref="L1055">IF($A1055&lt;&gt;"", $A1055, LOOKUP(2, 1/((A$7:INDEX(A:A, ROW()))&lt;&gt;""), A$7:INDEX(A:A, ROW())))</f>
        <v>ADDITIONAL LABOUR</v>
      </c>
    </row>
    <row r="1056" spans="1:12">
      <c r="A1056" s="263"/>
      <c r="B1056" s="263"/>
      <c r="C1056" s="263" t="s">
        <v>813</v>
      </c>
      <c r="D1056" s="263" t="s">
        <v>814</v>
      </c>
      <c r="E1056" s="263"/>
      <c r="F1056" s="263"/>
      <c r="G1056" s="39" t="str" cm="1">
        <f t="array" ref="G1056">IFERROR(INDEX(Table_dim_price_recipe[Retail Price], MATCH(1, ("Calculator"&lt;&gt;Table_dim_price_recipe[Type.display])*($L1056=Table_dim_price_recipe[Category])*($D1056=Table_dim_price_recipe[Item Description]) * (G$6=Table_dim_price_recipe[Type])*(Table_dim_price_recipe[Retail Price]&lt;&gt;0)*($C1056=Table_dim_price_recipe[Subcategory]), 0))*$B1056,"")</f>
        <v/>
      </c>
      <c r="H1056" s="39" t="str" cm="1">
        <f t="array" ref="H1056">IFERROR(INDEX(Table_dim_price_recipe[Retail Price], MATCH(1, ("Calculator"&lt;&gt;Table_dim_price_recipe[Type.display])*($L1056=Table_dim_price_recipe[Category])*($D1056=Table_dim_price_recipe[Item Description]) * (H$6=Table_dim_price_recipe[Type])*(Table_dim_price_recipe[Retail Price]&lt;&gt;0)*($C1056=Table_dim_price_recipe[Subcategory]), 0))*$B1056,"")</f>
        <v/>
      </c>
      <c r="I1056" s="39" t="str" cm="1">
        <f t="array" ref="I1056">IFERROR(INDEX(Table_dim_price_recipe[Retail Price], MATCH(1, ("Calculator"&lt;&gt;Table_dim_price_recipe[Type.display])*($L1056=Table_dim_price_recipe[Category])*($D1056=Table_dim_price_recipe[Item Description]) * (I$6=Table_dim_price_recipe[Type])*(Table_dim_price_recipe[Retail Price]&lt;&gt;0)*($C1056=Table_dim_price_recipe[Subcategory]), 0))*$B1056,"")</f>
        <v/>
      </c>
      <c r="J1056" s="39" t="str" cm="1">
        <f t="array" ref="J1056">IFERROR(INDEX(Table_dim_price_recipe[Retail Price], MATCH(1, ("Calculator"&lt;&gt;Table_dim_price_recipe[Type.display])*($L1056=Table_dim_price_recipe[Category])*($D1056=Table_dim_price_recipe[Item Description]) * (J$6=Table_dim_price_recipe[Type])*(Table_dim_price_recipe[Retail Price]&lt;&gt;0)*($C1056=Table_dim_price_recipe[Subcategory]), 0))*$B1056,"")</f>
        <v/>
      </c>
      <c r="K1056" s="39" t="str" cm="1">
        <f t="array" ref="K1056">IFERROR(INDEX(Table_dim_price_recipe[Retail Price], MATCH(1, ("Calculator"&lt;&gt;Table_dim_price_recipe[Type.display])*($L1056=Table_dim_price_recipe[Category])*($D1056=Table_dim_price_recipe[Item Description]) * (K$6=Table_dim_price_recipe[Type])*(Table_dim_price_recipe[Retail Price]&lt;&gt;0)*($C1056=Table_dim_price_recipe[Subcategory]), 0))*$B1056,"")</f>
        <v/>
      </c>
      <c r="L1056" s="39" t="str" cm="1">
        <f t="array" ref="L1056">IF($A1056&lt;&gt;"", $A1056, LOOKUP(2, 1/((A$7:INDEX(A:A, ROW()))&lt;&gt;""), A$7:INDEX(A:A, ROW())))</f>
        <v>ADDITIONAL LABOUR</v>
      </c>
    </row>
    <row r="1057" spans="1:12">
      <c r="A1057" s="263"/>
      <c r="B1057" s="263"/>
      <c r="C1057" s="263" t="s">
        <v>813</v>
      </c>
      <c r="D1057" s="263" t="s">
        <v>817</v>
      </c>
      <c r="E1057" s="263"/>
      <c r="F1057" s="263"/>
      <c r="G1057" s="39" t="str" cm="1">
        <f t="array" ref="G1057">IFERROR(INDEX(Table_dim_price_recipe[Retail Price], MATCH(1, ("Calculator"&lt;&gt;Table_dim_price_recipe[Type.display])*($L1057=Table_dim_price_recipe[Category])*($D1057=Table_dim_price_recipe[Item Description]) * (G$6=Table_dim_price_recipe[Type])*(Table_dim_price_recipe[Retail Price]&lt;&gt;0)*($C1057=Table_dim_price_recipe[Subcategory]), 0))*$B1057,"")</f>
        <v/>
      </c>
      <c r="H1057" s="39" t="str" cm="1">
        <f t="array" ref="H1057">IFERROR(INDEX(Table_dim_price_recipe[Retail Price], MATCH(1, ("Calculator"&lt;&gt;Table_dim_price_recipe[Type.display])*($L1057=Table_dim_price_recipe[Category])*($D1057=Table_dim_price_recipe[Item Description]) * (H$6=Table_dim_price_recipe[Type])*(Table_dim_price_recipe[Retail Price]&lt;&gt;0)*($C1057=Table_dim_price_recipe[Subcategory]), 0))*$B1057,"")</f>
        <v/>
      </c>
      <c r="I1057" s="39" t="str" cm="1">
        <f t="array" ref="I1057">IFERROR(INDEX(Table_dim_price_recipe[Retail Price], MATCH(1, ("Calculator"&lt;&gt;Table_dim_price_recipe[Type.display])*($L1057=Table_dim_price_recipe[Category])*($D1057=Table_dim_price_recipe[Item Description]) * (I$6=Table_dim_price_recipe[Type])*(Table_dim_price_recipe[Retail Price]&lt;&gt;0)*($C1057=Table_dim_price_recipe[Subcategory]), 0))*$B1057,"")</f>
        <v/>
      </c>
      <c r="J1057" s="39" t="str" cm="1">
        <f t="array" ref="J1057">IFERROR(INDEX(Table_dim_price_recipe[Retail Price], MATCH(1, ("Calculator"&lt;&gt;Table_dim_price_recipe[Type.display])*($L1057=Table_dim_price_recipe[Category])*($D1057=Table_dim_price_recipe[Item Description]) * (J$6=Table_dim_price_recipe[Type])*(Table_dim_price_recipe[Retail Price]&lt;&gt;0)*($C1057=Table_dim_price_recipe[Subcategory]), 0))*$B1057,"")</f>
        <v/>
      </c>
      <c r="K1057" s="39" t="str" cm="1">
        <f t="array" ref="K1057">IFERROR(INDEX(Table_dim_price_recipe[Retail Price], MATCH(1, ("Calculator"&lt;&gt;Table_dim_price_recipe[Type.display])*($L1057=Table_dim_price_recipe[Category])*($D1057=Table_dim_price_recipe[Item Description]) * (K$6=Table_dim_price_recipe[Type])*(Table_dim_price_recipe[Retail Price]&lt;&gt;0)*($C1057=Table_dim_price_recipe[Subcategory]), 0))*$B1057,"")</f>
        <v/>
      </c>
      <c r="L1057" s="39" t="str" cm="1">
        <f t="array" ref="L1057">IF($A1057&lt;&gt;"", $A1057, LOOKUP(2, 1/((A$7:INDEX(A:A, ROW()))&lt;&gt;""), A$7:INDEX(A:A, ROW())))</f>
        <v>ADDITIONAL LABOUR</v>
      </c>
    </row>
    <row r="1058" spans="1:12">
      <c r="A1058" s="263"/>
      <c r="B1058" s="263"/>
      <c r="C1058" s="263" t="s">
        <v>813</v>
      </c>
      <c r="D1058" s="263" t="s">
        <v>815</v>
      </c>
      <c r="E1058" s="263"/>
      <c r="F1058" s="263"/>
      <c r="G1058" s="39" t="str" cm="1">
        <f t="array" ref="G1058">IFERROR(INDEX(Table_dim_price_recipe[Retail Price], MATCH(1, ("Calculator"&lt;&gt;Table_dim_price_recipe[Type.display])*($L1058=Table_dim_price_recipe[Category])*($D1058=Table_dim_price_recipe[Item Description]) * (G$6=Table_dim_price_recipe[Type])*(Table_dim_price_recipe[Retail Price]&lt;&gt;0)*($C1058=Table_dim_price_recipe[Subcategory]), 0))*$B1058,"")</f>
        <v/>
      </c>
      <c r="H1058" s="39" t="str" cm="1">
        <f t="array" ref="H1058">IFERROR(INDEX(Table_dim_price_recipe[Retail Price], MATCH(1, ("Calculator"&lt;&gt;Table_dim_price_recipe[Type.display])*($L1058=Table_dim_price_recipe[Category])*($D1058=Table_dim_price_recipe[Item Description]) * (H$6=Table_dim_price_recipe[Type])*(Table_dim_price_recipe[Retail Price]&lt;&gt;0)*($C1058=Table_dim_price_recipe[Subcategory]), 0))*$B1058,"")</f>
        <v/>
      </c>
      <c r="I1058" s="39" t="str" cm="1">
        <f t="array" ref="I1058">IFERROR(INDEX(Table_dim_price_recipe[Retail Price], MATCH(1, ("Calculator"&lt;&gt;Table_dim_price_recipe[Type.display])*($L1058=Table_dim_price_recipe[Category])*($D1058=Table_dim_price_recipe[Item Description]) * (I$6=Table_dim_price_recipe[Type])*(Table_dim_price_recipe[Retail Price]&lt;&gt;0)*($C1058=Table_dim_price_recipe[Subcategory]), 0))*$B1058,"")</f>
        <v/>
      </c>
      <c r="J1058" s="39" t="str" cm="1">
        <f t="array" ref="J1058">IFERROR(INDEX(Table_dim_price_recipe[Retail Price], MATCH(1, ("Calculator"&lt;&gt;Table_dim_price_recipe[Type.display])*($L1058=Table_dim_price_recipe[Category])*($D1058=Table_dim_price_recipe[Item Description]) * (J$6=Table_dim_price_recipe[Type])*(Table_dim_price_recipe[Retail Price]&lt;&gt;0)*($C1058=Table_dim_price_recipe[Subcategory]), 0))*$B1058,"")</f>
        <v/>
      </c>
      <c r="K1058" s="39" t="str" cm="1">
        <f t="array" ref="K1058">IFERROR(INDEX(Table_dim_price_recipe[Retail Price], MATCH(1, ("Calculator"&lt;&gt;Table_dim_price_recipe[Type.display])*($L1058=Table_dim_price_recipe[Category])*($D1058=Table_dim_price_recipe[Item Description]) * (K$6=Table_dim_price_recipe[Type])*(Table_dim_price_recipe[Retail Price]&lt;&gt;0)*($C1058=Table_dim_price_recipe[Subcategory]), 0))*$B1058,"")</f>
        <v/>
      </c>
      <c r="L1058" s="39" t="str" cm="1">
        <f t="array" ref="L1058">IF($A1058&lt;&gt;"", $A1058, LOOKUP(2, 1/((A$7:INDEX(A:A, ROW()))&lt;&gt;""), A$7:INDEX(A:A, ROW())))</f>
        <v>ADDITIONAL LABOUR</v>
      </c>
    </row>
    <row r="1059" spans="1:12">
      <c r="A1059" s="263"/>
      <c r="B1059" s="263"/>
      <c r="C1059" s="263" t="s">
        <v>813</v>
      </c>
      <c r="D1059" s="263" t="s">
        <v>816</v>
      </c>
      <c r="E1059" s="263"/>
      <c r="F1059" s="263"/>
      <c r="G1059" s="39" t="str" cm="1">
        <f t="array" ref="G1059">IFERROR(INDEX(Table_dim_price_recipe[Retail Price], MATCH(1, ("Calculator"&lt;&gt;Table_dim_price_recipe[Type.display])*($L1059=Table_dim_price_recipe[Category])*($D1059=Table_dim_price_recipe[Item Description]) * (G$6=Table_dim_price_recipe[Type])*(Table_dim_price_recipe[Retail Price]&lt;&gt;0)*($C1059=Table_dim_price_recipe[Subcategory]), 0))*$B1059,"")</f>
        <v/>
      </c>
      <c r="H1059" s="39" t="str" cm="1">
        <f t="array" ref="H1059">IFERROR(INDEX(Table_dim_price_recipe[Retail Price], MATCH(1, ("Calculator"&lt;&gt;Table_dim_price_recipe[Type.display])*($L1059=Table_dim_price_recipe[Category])*($D1059=Table_dim_price_recipe[Item Description]) * (H$6=Table_dim_price_recipe[Type])*(Table_dim_price_recipe[Retail Price]&lt;&gt;0)*($C1059=Table_dim_price_recipe[Subcategory]), 0))*$B1059,"")</f>
        <v/>
      </c>
      <c r="I1059" s="39" t="str" cm="1">
        <f t="array" ref="I1059">IFERROR(INDEX(Table_dim_price_recipe[Retail Price], MATCH(1, ("Calculator"&lt;&gt;Table_dim_price_recipe[Type.display])*($L1059=Table_dim_price_recipe[Category])*($D1059=Table_dim_price_recipe[Item Description]) * (I$6=Table_dim_price_recipe[Type])*(Table_dim_price_recipe[Retail Price]&lt;&gt;0)*($C1059=Table_dim_price_recipe[Subcategory]), 0))*$B1059,"")</f>
        <v/>
      </c>
      <c r="J1059" s="39" t="str" cm="1">
        <f t="array" ref="J1059">IFERROR(INDEX(Table_dim_price_recipe[Retail Price], MATCH(1, ("Calculator"&lt;&gt;Table_dim_price_recipe[Type.display])*($L1059=Table_dim_price_recipe[Category])*($D1059=Table_dim_price_recipe[Item Description]) * (J$6=Table_dim_price_recipe[Type])*(Table_dim_price_recipe[Retail Price]&lt;&gt;0)*($C1059=Table_dim_price_recipe[Subcategory]), 0))*$B1059,"")</f>
        <v/>
      </c>
      <c r="K1059" s="39" t="str" cm="1">
        <f t="array" ref="K1059">IFERROR(INDEX(Table_dim_price_recipe[Retail Price], MATCH(1, ("Calculator"&lt;&gt;Table_dim_price_recipe[Type.display])*($L1059=Table_dim_price_recipe[Category])*($D1059=Table_dim_price_recipe[Item Description]) * (K$6=Table_dim_price_recipe[Type])*(Table_dim_price_recipe[Retail Price]&lt;&gt;0)*($C1059=Table_dim_price_recipe[Subcategory]), 0))*$B1059,"")</f>
        <v/>
      </c>
      <c r="L1059" s="39" t="str" cm="1">
        <f t="array" ref="L1059">IF($A1059&lt;&gt;"", $A1059, LOOKUP(2, 1/((A$7:INDEX(A:A, ROW()))&lt;&gt;""), A$7:INDEX(A:A, ROW())))</f>
        <v>ADDITIONAL LABOUR</v>
      </c>
    </row>
    <row r="1060" spans="1:12">
      <c r="A1060" s="263"/>
      <c r="B1060" s="263"/>
      <c r="C1060" s="263" t="s">
        <v>813</v>
      </c>
      <c r="D1060" s="263"/>
      <c r="E1060" s="263"/>
      <c r="F1060" s="263"/>
      <c r="G1060" s="39" t="str" cm="1">
        <f t="array" ref="G1060">IFERROR(INDEX(Table_dim_price_recipe[Retail Price], MATCH(1, ("Calculator"&lt;&gt;Table_dim_price_recipe[Type.display])*($L1060=Table_dim_price_recipe[Category])*($D1060=Table_dim_price_recipe[Item Description]) * (G$6=Table_dim_price_recipe[Type])*(Table_dim_price_recipe[Retail Price]&lt;&gt;0)*($C1060=Table_dim_price_recipe[Subcategory]), 0))*$B1060,"")</f>
        <v/>
      </c>
      <c r="H1060" s="39" t="str" cm="1">
        <f t="array" ref="H1060">IFERROR(INDEX(Table_dim_price_recipe[Retail Price], MATCH(1, ("Calculator"&lt;&gt;Table_dim_price_recipe[Type.display])*($L1060=Table_dim_price_recipe[Category])*($D1060=Table_dim_price_recipe[Item Description]) * (H$6=Table_dim_price_recipe[Type])*(Table_dim_price_recipe[Retail Price]&lt;&gt;0)*($C1060=Table_dim_price_recipe[Subcategory]), 0))*$B1060,"")</f>
        <v/>
      </c>
      <c r="I1060" s="39" t="str" cm="1">
        <f t="array" ref="I1060">IFERROR(INDEX(Table_dim_price_recipe[Retail Price], MATCH(1, ("Calculator"&lt;&gt;Table_dim_price_recipe[Type.display])*($L1060=Table_dim_price_recipe[Category])*($D1060=Table_dim_price_recipe[Item Description]) * (I$6=Table_dim_price_recipe[Type])*(Table_dim_price_recipe[Retail Price]&lt;&gt;0)*($C1060=Table_dim_price_recipe[Subcategory]), 0))*$B1060,"")</f>
        <v/>
      </c>
      <c r="J1060" s="39" t="str" cm="1">
        <f t="array" ref="J1060">IFERROR(INDEX(Table_dim_price_recipe[Retail Price], MATCH(1, ("Calculator"&lt;&gt;Table_dim_price_recipe[Type.display])*($L1060=Table_dim_price_recipe[Category])*($D1060=Table_dim_price_recipe[Item Description]) * (J$6=Table_dim_price_recipe[Type])*(Table_dim_price_recipe[Retail Price]&lt;&gt;0)*($C1060=Table_dim_price_recipe[Subcategory]), 0))*$B1060,"")</f>
        <v/>
      </c>
      <c r="K1060" s="39" t="str" cm="1">
        <f t="array" ref="K1060">IFERROR(INDEX(Table_dim_price_recipe[Retail Price], MATCH(1, ("Calculator"&lt;&gt;Table_dim_price_recipe[Type.display])*($L1060=Table_dim_price_recipe[Category])*($D1060=Table_dim_price_recipe[Item Description]) * (K$6=Table_dim_price_recipe[Type])*(Table_dim_price_recipe[Retail Price]&lt;&gt;0)*($C1060=Table_dim_price_recipe[Subcategory]), 0))*$B1060,"")</f>
        <v/>
      </c>
      <c r="L1060" s="39" t="str" cm="1">
        <f t="array" ref="L1060">IF($A1060&lt;&gt;"", $A1060, LOOKUP(2, 1/((A$7:INDEX(A:A, ROW()))&lt;&gt;""), A$7:INDEX(A:A, ROW())))</f>
        <v>ADDITIONAL LABOUR</v>
      </c>
    </row>
    <row r="1061" spans="1:12">
      <c r="A1061" s="263"/>
      <c r="B1061" s="263"/>
      <c r="C1061" s="263" t="s">
        <v>813</v>
      </c>
      <c r="D1061" s="263"/>
      <c r="E1061" s="263"/>
      <c r="F1061" s="263"/>
      <c r="G1061" s="39" t="str" cm="1">
        <f t="array" ref="G1061">IFERROR(INDEX(Table_dim_price_recipe[Retail Price], MATCH(1, ("Calculator"&lt;&gt;Table_dim_price_recipe[Type.display])*($L1061=Table_dim_price_recipe[Category])*($D1061=Table_dim_price_recipe[Item Description]) * (G$6=Table_dim_price_recipe[Type])*(Table_dim_price_recipe[Retail Price]&lt;&gt;0)*($C1061=Table_dim_price_recipe[Subcategory]), 0))*$B1061,"")</f>
        <v/>
      </c>
      <c r="H1061" s="39" t="str" cm="1">
        <f t="array" ref="H1061">IFERROR(INDEX(Table_dim_price_recipe[Retail Price], MATCH(1, ("Calculator"&lt;&gt;Table_dim_price_recipe[Type.display])*($L1061=Table_dim_price_recipe[Category])*($D1061=Table_dim_price_recipe[Item Description]) * (H$6=Table_dim_price_recipe[Type])*(Table_dim_price_recipe[Retail Price]&lt;&gt;0)*($C1061=Table_dim_price_recipe[Subcategory]), 0))*$B1061,"")</f>
        <v/>
      </c>
      <c r="I1061" s="39" t="str" cm="1">
        <f t="array" ref="I1061">IFERROR(INDEX(Table_dim_price_recipe[Retail Price], MATCH(1, ("Calculator"&lt;&gt;Table_dim_price_recipe[Type.display])*($L1061=Table_dim_price_recipe[Category])*($D1061=Table_dim_price_recipe[Item Description]) * (I$6=Table_dim_price_recipe[Type])*(Table_dim_price_recipe[Retail Price]&lt;&gt;0)*($C1061=Table_dim_price_recipe[Subcategory]), 0))*$B1061,"")</f>
        <v/>
      </c>
      <c r="J1061" s="39" t="str" cm="1">
        <f t="array" ref="J1061">IFERROR(INDEX(Table_dim_price_recipe[Retail Price], MATCH(1, ("Calculator"&lt;&gt;Table_dim_price_recipe[Type.display])*($L1061=Table_dim_price_recipe[Category])*($D1061=Table_dim_price_recipe[Item Description]) * (J$6=Table_dim_price_recipe[Type])*(Table_dim_price_recipe[Retail Price]&lt;&gt;0)*($C1061=Table_dim_price_recipe[Subcategory]), 0))*$B1061,"")</f>
        <v/>
      </c>
      <c r="K1061" s="39" t="str" cm="1">
        <f t="array" ref="K1061">IFERROR(INDEX(Table_dim_price_recipe[Retail Price], MATCH(1, ("Calculator"&lt;&gt;Table_dim_price_recipe[Type.display])*($L1061=Table_dim_price_recipe[Category])*($D1061=Table_dim_price_recipe[Item Description]) * (K$6=Table_dim_price_recipe[Type])*(Table_dim_price_recipe[Retail Price]&lt;&gt;0)*($C1061=Table_dim_price_recipe[Subcategory]), 0))*$B1061,"")</f>
        <v/>
      </c>
      <c r="L1061" s="39" t="str" cm="1">
        <f t="array" ref="L1061">IF($A1061&lt;&gt;"", $A1061, LOOKUP(2, 1/((A$7:INDEX(A:A, ROW()))&lt;&gt;""), A$7:INDEX(A:A, ROW())))</f>
        <v>ADDITIONAL LABOUR</v>
      </c>
    </row>
    <row r="1062" spans="1:12">
      <c r="A1062" s="263"/>
      <c r="B1062" s="263"/>
      <c r="C1062" s="263" t="s">
        <v>878</v>
      </c>
      <c r="D1062" s="263" t="s">
        <v>879</v>
      </c>
      <c r="E1062" s="263"/>
      <c r="F1062" s="263"/>
      <c r="G1062" s="39" t="str" cm="1">
        <f t="array" ref="G1062">IFERROR(INDEX(Table_dim_price_recipe[Retail Price], MATCH(1, ("Calculator"&lt;&gt;Table_dim_price_recipe[Type.display])*($L1062=Table_dim_price_recipe[Category])*($D1062=Table_dim_price_recipe[Item Description]) * (G$6=Table_dim_price_recipe[Type])*(Table_dim_price_recipe[Retail Price]&lt;&gt;0)*($C1062=Table_dim_price_recipe[Subcategory]), 0))*$B1062,"")</f>
        <v/>
      </c>
      <c r="H1062" s="39" t="str" cm="1">
        <f t="array" ref="H1062">IFERROR(INDEX(Table_dim_price_recipe[Retail Price], MATCH(1, ("Calculator"&lt;&gt;Table_dim_price_recipe[Type.display])*($L1062=Table_dim_price_recipe[Category])*($D1062=Table_dim_price_recipe[Item Description]) * (H$6=Table_dim_price_recipe[Type])*(Table_dim_price_recipe[Retail Price]&lt;&gt;0)*($C1062=Table_dim_price_recipe[Subcategory]), 0))*$B1062,"")</f>
        <v/>
      </c>
      <c r="I1062" s="39" cm="1">
        <f t="array" ref="I1062">IFERROR(INDEX(Table_dim_price_recipe[Retail Price], MATCH(1, ("Calculator"&lt;&gt;Table_dim_price_recipe[Type.display])*($L1062=Table_dim_price_recipe[Category])*($D1062=Table_dim_price_recipe[Item Description]) * (I$6=Table_dim_price_recipe[Type])*(Table_dim_price_recipe[Retail Price]&lt;&gt;0)*($C1062=Table_dim_price_recipe[Subcategory]), 0))*$B1062,"")</f>
        <v>0</v>
      </c>
      <c r="J1062" s="39" t="str" cm="1">
        <f t="array" ref="J1062">IFERROR(INDEX(Table_dim_price_recipe[Retail Price], MATCH(1, ("Calculator"&lt;&gt;Table_dim_price_recipe[Type.display])*($L1062=Table_dim_price_recipe[Category])*($D1062=Table_dim_price_recipe[Item Description]) * (J$6=Table_dim_price_recipe[Type])*(Table_dim_price_recipe[Retail Price]&lt;&gt;0)*($C1062=Table_dim_price_recipe[Subcategory]), 0))*$B1062,"")</f>
        <v/>
      </c>
      <c r="K1062" s="39" t="str" cm="1">
        <f t="array" ref="K1062">IFERROR(INDEX(Table_dim_price_recipe[Retail Price], MATCH(1, ("Calculator"&lt;&gt;Table_dim_price_recipe[Type.display])*($L1062=Table_dim_price_recipe[Category])*($D1062=Table_dim_price_recipe[Item Description]) * (K$6=Table_dim_price_recipe[Type])*(Table_dim_price_recipe[Retail Price]&lt;&gt;0)*($C1062=Table_dim_price_recipe[Subcategory]), 0))*$B1062,"")</f>
        <v/>
      </c>
      <c r="L1062" s="39" t="str" cm="1">
        <f t="array" ref="L1062">IF($A1062&lt;&gt;"", $A1062, LOOKUP(2, 1/((A$7:INDEX(A:A, ROW()))&lt;&gt;""), A$7:INDEX(A:A, ROW())))</f>
        <v>ADDITIONAL LABOUR</v>
      </c>
    </row>
    <row r="1063" spans="1:12">
      <c r="A1063" s="263"/>
      <c r="B1063" s="263"/>
      <c r="C1063" s="263" t="s">
        <v>878</v>
      </c>
      <c r="D1063" s="263"/>
      <c r="E1063" s="263"/>
      <c r="F1063" s="263"/>
      <c r="G1063" s="39" t="str" cm="1">
        <f t="array" ref="G1063">IFERROR(INDEX(Table_dim_price_recipe[Retail Price], MATCH(1, ("Calculator"&lt;&gt;Table_dim_price_recipe[Type.display])*($L1063=Table_dim_price_recipe[Category])*($D1063=Table_dim_price_recipe[Item Description]) * (G$6=Table_dim_price_recipe[Type])*(Table_dim_price_recipe[Retail Price]&lt;&gt;0)*($C1063=Table_dim_price_recipe[Subcategory]), 0))*$B1063,"")</f>
        <v/>
      </c>
      <c r="H1063" s="39" t="str" cm="1">
        <f t="array" ref="H1063">IFERROR(INDEX(Table_dim_price_recipe[Retail Price], MATCH(1, ("Calculator"&lt;&gt;Table_dim_price_recipe[Type.display])*($L1063=Table_dim_price_recipe[Category])*($D1063=Table_dim_price_recipe[Item Description]) * (H$6=Table_dim_price_recipe[Type])*(Table_dim_price_recipe[Retail Price]&lt;&gt;0)*($C1063=Table_dim_price_recipe[Subcategory]), 0))*$B1063,"")</f>
        <v/>
      </c>
      <c r="I1063" s="39" t="str" cm="1">
        <f t="array" ref="I1063">IFERROR(INDEX(Table_dim_price_recipe[Retail Price], MATCH(1, ("Calculator"&lt;&gt;Table_dim_price_recipe[Type.display])*($L1063=Table_dim_price_recipe[Category])*($D1063=Table_dim_price_recipe[Item Description]) * (I$6=Table_dim_price_recipe[Type])*(Table_dim_price_recipe[Retail Price]&lt;&gt;0)*($C1063=Table_dim_price_recipe[Subcategory]), 0))*$B1063,"")</f>
        <v/>
      </c>
      <c r="J1063" s="39" t="str" cm="1">
        <f t="array" ref="J1063">IFERROR(INDEX(Table_dim_price_recipe[Retail Price], MATCH(1, ("Calculator"&lt;&gt;Table_dim_price_recipe[Type.display])*($L1063=Table_dim_price_recipe[Category])*($D1063=Table_dim_price_recipe[Item Description]) * (J$6=Table_dim_price_recipe[Type])*(Table_dim_price_recipe[Retail Price]&lt;&gt;0)*($C1063=Table_dim_price_recipe[Subcategory]), 0))*$B1063,"")</f>
        <v/>
      </c>
      <c r="K1063" s="39" t="str" cm="1">
        <f t="array" ref="K1063">IFERROR(INDEX(Table_dim_price_recipe[Retail Price], MATCH(1, ("Calculator"&lt;&gt;Table_dim_price_recipe[Type.display])*($L1063=Table_dim_price_recipe[Category])*($D1063=Table_dim_price_recipe[Item Description]) * (K$6=Table_dim_price_recipe[Type])*(Table_dim_price_recipe[Retail Price]&lt;&gt;0)*($C1063=Table_dim_price_recipe[Subcategory]), 0))*$B1063,"")</f>
        <v/>
      </c>
      <c r="L1063" s="39" t="str" cm="1">
        <f t="array" ref="L1063">IF($A1063&lt;&gt;"", $A1063, LOOKUP(2, 1/((A$7:INDEX(A:A, ROW()))&lt;&gt;""), A$7:INDEX(A:A, ROW())))</f>
        <v>ADDITIONAL LABOUR</v>
      </c>
    </row>
    <row r="1064" spans="1:12">
      <c r="A1064" s="263"/>
      <c r="B1064" s="263"/>
      <c r="C1064" s="263" t="s">
        <v>878</v>
      </c>
      <c r="D1064" s="263"/>
      <c r="E1064" s="263"/>
      <c r="F1064" s="263"/>
      <c r="G1064" s="39" t="str" cm="1">
        <f t="array" ref="G1064">IFERROR(INDEX(Table_dim_price_recipe[Retail Price], MATCH(1, ("Calculator"&lt;&gt;Table_dim_price_recipe[Type.display])*($L1064=Table_dim_price_recipe[Category])*($D1064=Table_dim_price_recipe[Item Description]) * (G$6=Table_dim_price_recipe[Type])*(Table_dim_price_recipe[Retail Price]&lt;&gt;0)*($C1064=Table_dim_price_recipe[Subcategory]), 0))*$B1064,"")</f>
        <v/>
      </c>
      <c r="H1064" s="39" t="str" cm="1">
        <f t="array" ref="H1064">IFERROR(INDEX(Table_dim_price_recipe[Retail Price], MATCH(1, ("Calculator"&lt;&gt;Table_dim_price_recipe[Type.display])*($L1064=Table_dim_price_recipe[Category])*($D1064=Table_dim_price_recipe[Item Description]) * (H$6=Table_dim_price_recipe[Type])*(Table_dim_price_recipe[Retail Price]&lt;&gt;0)*($C1064=Table_dim_price_recipe[Subcategory]), 0))*$B1064,"")</f>
        <v/>
      </c>
      <c r="I1064" s="39" t="str" cm="1">
        <f t="array" ref="I1064">IFERROR(INDEX(Table_dim_price_recipe[Retail Price], MATCH(1, ("Calculator"&lt;&gt;Table_dim_price_recipe[Type.display])*($L1064=Table_dim_price_recipe[Category])*($D1064=Table_dim_price_recipe[Item Description]) * (I$6=Table_dim_price_recipe[Type])*(Table_dim_price_recipe[Retail Price]&lt;&gt;0)*($C1064=Table_dim_price_recipe[Subcategory]), 0))*$B1064,"")</f>
        <v/>
      </c>
      <c r="J1064" s="39" t="str" cm="1">
        <f t="array" ref="J1064">IFERROR(INDEX(Table_dim_price_recipe[Retail Price], MATCH(1, ("Calculator"&lt;&gt;Table_dim_price_recipe[Type.display])*($L1064=Table_dim_price_recipe[Category])*($D1064=Table_dim_price_recipe[Item Description]) * (J$6=Table_dim_price_recipe[Type])*(Table_dim_price_recipe[Retail Price]&lt;&gt;0)*($C1064=Table_dim_price_recipe[Subcategory]), 0))*$B1064,"")</f>
        <v/>
      </c>
      <c r="K1064" s="39" t="str" cm="1">
        <f t="array" ref="K1064">IFERROR(INDEX(Table_dim_price_recipe[Retail Price], MATCH(1, ("Calculator"&lt;&gt;Table_dim_price_recipe[Type.display])*($L1064=Table_dim_price_recipe[Category])*($D1064=Table_dim_price_recipe[Item Description]) * (K$6=Table_dim_price_recipe[Type])*(Table_dim_price_recipe[Retail Price]&lt;&gt;0)*($C1064=Table_dim_price_recipe[Subcategory]), 0))*$B1064,"")</f>
        <v/>
      </c>
      <c r="L1064" s="39" t="str" cm="1">
        <f t="array" ref="L1064">IF($A1064&lt;&gt;"", $A1064, LOOKUP(2, 1/((A$7:INDEX(A:A, ROW()))&lt;&gt;""), A$7:INDEX(A:A, ROW())))</f>
        <v>ADDITIONAL LABOUR</v>
      </c>
    </row>
    <row r="1065" spans="1:12">
      <c r="A1065" s="263"/>
      <c r="B1065" s="263"/>
      <c r="C1065" s="263" t="s">
        <v>884</v>
      </c>
      <c r="D1065" s="263" t="s">
        <v>885</v>
      </c>
      <c r="E1065" s="263"/>
      <c r="F1065" s="263"/>
      <c r="G1065" s="39" t="str" cm="1">
        <f t="array" ref="G1065">IFERROR(INDEX(Table_dim_price_recipe[Retail Price], MATCH(1, ("Calculator"&lt;&gt;Table_dim_price_recipe[Type.display])*($L1065=Table_dim_price_recipe[Category])*($D1065=Table_dim_price_recipe[Item Description]) * (G$6=Table_dim_price_recipe[Type])*(Table_dim_price_recipe[Retail Price]&lt;&gt;0)*($C1065=Table_dim_price_recipe[Subcategory]), 0))*$B1065,"")</f>
        <v/>
      </c>
      <c r="H1065" s="39" t="str" cm="1">
        <f t="array" ref="H1065">IFERROR(INDEX(Table_dim_price_recipe[Retail Price], MATCH(1, ("Calculator"&lt;&gt;Table_dim_price_recipe[Type.display])*($L1065=Table_dim_price_recipe[Category])*($D1065=Table_dim_price_recipe[Item Description]) * (H$6=Table_dim_price_recipe[Type])*(Table_dim_price_recipe[Retail Price]&lt;&gt;0)*($C1065=Table_dim_price_recipe[Subcategory]), 0))*$B1065,"")</f>
        <v/>
      </c>
      <c r="I1065" s="39" cm="1">
        <f t="array" ref="I1065">IFERROR(INDEX(Table_dim_price_recipe[Retail Price], MATCH(1, ("Calculator"&lt;&gt;Table_dim_price_recipe[Type.display])*($L1065=Table_dim_price_recipe[Category])*($D1065=Table_dim_price_recipe[Item Description]) * (I$6=Table_dim_price_recipe[Type])*(Table_dim_price_recipe[Retail Price]&lt;&gt;0)*($C1065=Table_dim_price_recipe[Subcategory]), 0))*$B1065,"")</f>
        <v>0</v>
      </c>
      <c r="J1065" s="39" t="str" cm="1">
        <f t="array" ref="J1065">IFERROR(INDEX(Table_dim_price_recipe[Retail Price], MATCH(1, ("Calculator"&lt;&gt;Table_dim_price_recipe[Type.display])*($L1065=Table_dim_price_recipe[Category])*($D1065=Table_dim_price_recipe[Item Description]) * (J$6=Table_dim_price_recipe[Type])*(Table_dim_price_recipe[Retail Price]&lt;&gt;0)*($C1065=Table_dim_price_recipe[Subcategory]), 0))*$B1065,"")</f>
        <v/>
      </c>
      <c r="K1065" s="39" t="str" cm="1">
        <f t="array" ref="K1065">IFERROR(INDEX(Table_dim_price_recipe[Retail Price], MATCH(1, ("Calculator"&lt;&gt;Table_dim_price_recipe[Type.display])*($L1065=Table_dim_price_recipe[Category])*($D1065=Table_dim_price_recipe[Item Description]) * (K$6=Table_dim_price_recipe[Type])*(Table_dim_price_recipe[Retail Price]&lt;&gt;0)*($C1065=Table_dim_price_recipe[Subcategory]), 0))*$B1065,"")</f>
        <v/>
      </c>
      <c r="L1065" s="39" t="str" cm="1">
        <f t="array" ref="L1065">IF($A1065&lt;&gt;"", $A1065, LOOKUP(2, 1/((A$7:INDEX(A:A, ROW()))&lt;&gt;""), A$7:INDEX(A:A, ROW())))</f>
        <v>ADDITIONAL LABOUR</v>
      </c>
    </row>
    <row r="1066" spans="1:12">
      <c r="A1066" s="263"/>
      <c r="B1066" s="263"/>
      <c r="C1066" s="263" t="s">
        <v>884</v>
      </c>
      <c r="D1066" s="263"/>
      <c r="E1066" s="263"/>
      <c r="F1066" s="263"/>
      <c r="G1066" s="39" t="str" cm="1">
        <f t="array" ref="G1066">IFERROR(INDEX(Table_dim_price_recipe[Retail Price], MATCH(1, ("Calculator"&lt;&gt;Table_dim_price_recipe[Type.display])*($L1066=Table_dim_price_recipe[Category])*($D1066=Table_dim_price_recipe[Item Description]) * (G$6=Table_dim_price_recipe[Type])*(Table_dim_price_recipe[Retail Price]&lt;&gt;0)*($C1066=Table_dim_price_recipe[Subcategory]), 0))*$B1066,"")</f>
        <v/>
      </c>
      <c r="H1066" s="39" t="str" cm="1">
        <f t="array" ref="H1066">IFERROR(INDEX(Table_dim_price_recipe[Retail Price], MATCH(1, ("Calculator"&lt;&gt;Table_dim_price_recipe[Type.display])*($L1066=Table_dim_price_recipe[Category])*($D1066=Table_dim_price_recipe[Item Description]) * (H$6=Table_dim_price_recipe[Type])*(Table_dim_price_recipe[Retail Price]&lt;&gt;0)*($C1066=Table_dim_price_recipe[Subcategory]), 0))*$B1066,"")</f>
        <v/>
      </c>
      <c r="I1066" s="39" cm="1">
        <f t="array" ref="I1066">IFERROR(INDEX(Table_dim_price_recipe[Retail Price], MATCH(1, ("Calculator"&lt;&gt;Table_dim_price_recipe[Type.display])*($L1066=Table_dim_price_recipe[Category])*($D1066=Table_dim_price_recipe[Item Description]) * (I$6=Table_dim_price_recipe[Type])*(Table_dim_price_recipe[Retail Price]&lt;&gt;0)*($C1066=Table_dim_price_recipe[Subcategory]), 0))*$B1066,"")</f>
        <v>0</v>
      </c>
      <c r="J1066" s="39" t="str" cm="1">
        <f t="array" ref="J1066">IFERROR(INDEX(Table_dim_price_recipe[Retail Price], MATCH(1, ("Calculator"&lt;&gt;Table_dim_price_recipe[Type.display])*($L1066=Table_dim_price_recipe[Category])*($D1066=Table_dim_price_recipe[Item Description]) * (J$6=Table_dim_price_recipe[Type])*(Table_dim_price_recipe[Retail Price]&lt;&gt;0)*($C1066=Table_dim_price_recipe[Subcategory]), 0))*$B1066,"")</f>
        <v/>
      </c>
      <c r="K1066" s="39" t="str" cm="1">
        <f t="array" ref="K1066">IFERROR(INDEX(Table_dim_price_recipe[Retail Price], MATCH(1, ("Calculator"&lt;&gt;Table_dim_price_recipe[Type.display])*($L1066=Table_dim_price_recipe[Category])*($D1066=Table_dim_price_recipe[Item Description]) * (K$6=Table_dim_price_recipe[Type])*(Table_dim_price_recipe[Retail Price]&lt;&gt;0)*($C1066=Table_dim_price_recipe[Subcategory]), 0))*$B1066,"")</f>
        <v/>
      </c>
      <c r="L1066" s="39" t="str" cm="1">
        <f t="array" ref="L1066">IF($A1066&lt;&gt;"", $A1066, LOOKUP(2, 1/((A$7:INDEX(A:A, ROW()))&lt;&gt;""), A$7:INDEX(A:A, ROW())))</f>
        <v>ADDITIONAL LABOUR</v>
      </c>
    </row>
    <row r="1067" spans="1:12">
      <c r="A1067" s="263"/>
      <c r="B1067" s="263"/>
      <c r="C1067" s="263" t="s">
        <v>884</v>
      </c>
      <c r="D1067" s="263"/>
      <c r="E1067" s="263"/>
      <c r="F1067" s="263"/>
      <c r="G1067" s="39" t="str" cm="1">
        <f t="array" ref="G1067">IFERROR(INDEX(Table_dim_price_recipe[Retail Price], MATCH(1, ("Calculator"&lt;&gt;Table_dim_price_recipe[Type.display])*($L1067=Table_dim_price_recipe[Category])*($D1067=Table_dim_price_recipe[Item Description]) * (G$6=Table_dim_price_recipe[Type])*(Table_dim_price_recipe[Retail Price]&lt;&gt;0)*($C1067=Table_dim_price_recipe[Subcategory]), 0))*$B1067,"")</f>
        <v/>
      </c>
      <c r="H1067" s="39" t="str" cm="1">
        <f t="array" ref="H1067">IFERROR(INDEX(Table_dim_price_recipe[Retail Price], MATCH(1, ("Calculator"&lt;&gt;Table_dim_price_recipe[Type.display])*($L1067=Table_dim_price_recipe[Category])*($D1067=Table_dim_price_recipe[Item Description]) * (H$6=Table_dim_price_recipe[Type])*(Table_dim_price_recipe[Retail Price]&lt;&gt;0)*($C1067=Table_dim_price_recipe[Subcategory]), 0))*$B1067,"")</f>
        <v/>
      </c>
      <c r="I1067" s="39" cm="1">
        <f t="array" ref="I1067">IFERROR(INDEX(Table_dim_price_recipe[Retail Price], MATCH(1, ("Calculator"&lt;&gt;Table_dim_price_recipe[Type.display])*($L1067=Table_dim_price_recipe[Category])*($D1067=Table_dim_price_recipe[Item Description]) * (I$6=Table_dim_price_recipe[Type])*(Table_dim_price_recipe[Retail Price]&lt;&gt;0)*($C1067=Table_dim_price_recipe[Subcategory]), 0))*$B1067,"")</f>
        <v>0</v>
      </c>
      <c r="J1067" s="39" t="str" cm="1">
        <f t="array" ref="J1067">IFERROR(INDEX(Table_dim_price_recipe[Retail Price], MATCH(1, ("Calculator"&lt;&gt;Table_dim_price_recipe[Type.display])*($L1067=Table_dim_price_recipe[Category])*($D1067=Table_dim_price_recipe[Item Description]) * (J$6=Table_dim_price_recipe[Type])*(Table_dim_price_recipe[Retail Price]&lt;&gt;0)*($C1067=Table_dim_price_recipe[Subcategory]), 0))*$B1067,"")</f>
        <v/>
      </c>
      <c r="K1067" s="39" t="str" cm="1">
        <f t="array" ref="K1067">IFERROR(INDEX(Table_dim_price_recipe[Retail Price], MATCH(1, ("Calculator"&lt;&gt;Table_dim_price_recipe[Type.display])*($L1067=Table_dim_price_recipe[Category])*($D1067=Table_dim_price_recipe[Item Description]) * (K$6=Table_dim_price_recipe[Type])*(Table_dim_price_recipe[Retail Price]&lt;&gt;0)*($C1067=Table_dim_price_recipe[Subcategory]), 0))*$B1067,"")</f>
        <v/>
      </c>
      <c r="L1067" s="39" t="str" cm="1">
        <f t="array" ref="L1067">IF($A1067&lt;&gt;"", $A1067, LOOKUP(2, 1/((A$7:INDEX(A:A, ROW()))&lt;&gt;""), A$7:INDEX(A:A, ROW())))</f>
        <v>ADDITIONAL LABOUR</v>
      </c>
    </row>
    <row r="1068" spans="1:12">
      <c r="A1068" s="263"/>
      <c r="B1068" s="263"/>
      <c r="C1068" s="263" t="s">
        <v>1226</v>
      </c>
      <c r="D1068" s="263" t="s">
        <v>1232</v>
      </c>
      <c r="E1068" s="263"/>
      <c r="F1068" s="263"/>
      <c r="G1068" s="39" t="str" cm="1">
        <f t="array" ref="G1068">IFERROR(INDEX(Table_dim_price_recipe[Retail Price], MATCH(1, ("Calculator"&lt;&gt;Table_dim_price_recipe[Type.display])*($L1068=Table_dim_price_recipe[Category])*($D1068=Table_dim_price_recipe[Item Description]) * (G$6=Table_dim_price_recipe[Type])*(Table_dim_price_recipe[Retail Price]&lt;&gt;0)*($C1068=Table_dim_price_recipe[Subcategory]), 0))*$B1068,"")</f>
        <v/>
      </c>
      <c r="H1068" s="39" t="str" cm="1">
        <f t="array" ref="H1068">IFERROR(INDEX(Table_dim_price_recipe[Retail Price], MATCH(1, ("Calculator"&lt;&gt;Table_dim_price_recipe[Type.display])*($L1068=Table_dim_price_recipe[Category])*($D1068=Table_dim_price_recipe[Item Description]) * (H$6=Table_dim_price_recipe[Type])*(Table_dim_price_recipe[Retail Price]&lt;&gt;0)*($C1068=Table_dim_price_recipe[Subcategory]), 0))*$B1068,"")</f>
        <v/>
      </c>
      <c r="I1068" s="39" t="str" cm="1">
        <f t="array" ref="I1068">IFERROR(INDEX(Table_dim_price_recipe[Retail Price], MATCH(1, ("Calculator"&lt;&gt;Table_dim_price_recipe[Type.display])*($L1068=Table_dim_price_recipe[Category])*($D1068=Table_dim_price_recipe[Item Description]) * (I$6=Table_dim_price_recipe[Type])*(Table_dim_price_recipe[Retail Price]&lt;&gt;0)*($C1068=Table_dim_price_recipe[Subcategory]), 0))*$B1068,"")</f>
        <v/>
      </c>
      <c r="J1068" s="39" t="str" cm="1">
        <f t="array" ref="J1068">IFERROR(INDEX(Table_dim_price_recipe[Retail Price], MATCH(1, ("Calculator"&lt;&gt;Table_dim_price_recipe[Type.display])*($L1068=Table_dim_price_recipe[Category])*($D1068=Table_dim_price_recipe[Item Description]) * (J$6=Table_dim_price_recipe[Type])*(Table_dim_price_recipe[Retail Price]&lt;&gt;0)*($C1068=Table_dim_price_recipe[Subcategory]), 0))*$B1068,"")</f>
        <v/>
      </c>
      <c r="K1068" s="39" cm="1">
        <f t="array" ref="K1068">IFERROR(INDEX(Table_dim_price_recipe[Retail Price], MATCH(1, ("Calculator"&lt;&gt;Table_dim_price_recipe[Type.display])*($L1068=Table_dim_price_recipe[Category])*($D1068=Table_dim_price_recipe[Item Description]) * (K$6=Table_dim_price_recipe[Type])*(Table_dim_price_recipe[Retail Price]&lt;&gt;0)*($C1068=Table_dim_price_recipe[Subcategory]), 0))*$B1068,"")</f>
        <v>0</v>
      </c>
      <c r="L1068" s="39" t="str" cm="1">
        <f t="array" ref="L1068">IF($A1068&lt;&gt;"", $A1068, LOOKUP(2, 1/((A$7:INDEX(A:A, ROW()))&lt;&gt;""), A$7:INDEX(A:A, ROW())))</f>
        <v>ADDITIONAL LABOUR</v>
      </c>
    </row>
    <row r="1069" spans="1:12">
      <c r="A1069" s="263"/>
      <c r="B1069" s="263"/>
      <c r="C1069" s="263" t="s">
        <v>1226</v>
      </c>
      <c r="D1069" s="263" t="s">
        <v>1233</v>
      </c>
      <c r="E1069" s="263"/>
      <c r="F1069" s="263"/>
      <c r="G1069" s="39" t="str" cm="1">
        <f t="array" ref="G1069">IFERROR(INDEX(Table_dim_price_recipe[Retail Price], MATCH(1, ("Calculator"&lt;&gt;Table_dim_price_recipe[Type.display])*($L1069=Table_dim_price_recipe[Category])*($D1069=Table_dim_price_recipe[Item Description]) * (G$6=Table_dim_price_recipe[Type])*(Table_dim_price_recipe[Retail Price]&lt;&gt;0)*($C1069=Table_dim_price_recipe[Subcategory]), 0))*$B1069,"")</f>
        <v/>
      </c>
      <c r="H1069" s="39" t="str" cm="1">
        <f t="array" ref="H1069">IFERROR(INDEX(Table_dim_price_recipe[Retail Price], MATCH(1, ("Calculator"&lt;&gt;Table_dim_price_recipe[Type.display])*($L1069=Table_dim_price_recipe[Category])*($D1069=Table_dim_price_recipe[Item Description]) * (H$6=Table_dim_price_recipe[Type])*(Table_dim_price_recipe[Retail Price]&lt;&gt;0)*($C1069=Table_dim_price_recipe[Subcategory]), 0))*$B1069,"")</f>
        <v/>
      </c>
      <c r="I1069" s="39" t="str" cm="1">
        <f t="array" ref="I1069">IFERROR(INDEX(Table_dim_price_recipe[Retail Price], MATCH(1, ("Calculator"&lt;&gt;Table_dim_price_recipe[Type.display])*($L1069=Table_dim_price_recipe[Category])*($D1069=Table_dim_price_recipe[Item Description]) * (I$6=Table_dim_price_recipe[Type])*(Table_dim_price_recipe[Retail Price]&lt;&gt;0)*($C1069=Table_dim_price_recipe[Subcategory]), 0))*$B1069,"")</f>
        <v/>
      </c>
      <c r="J1069" s="39" t="str" cm="1">
        <f t="array" ref="J1069">IFERROR(INDEX(Table_dim_price_recipe[Retail Price], MATCH(1, ("Calculator"&lt;&gt;Table_dim_price_recipe[Type.display])*($L1069=Table_dim_price_recipe[Category])*($D1069=Table_dim_price_recipe[Item Description]) * (J$6=Table_dim_price_recipe[Type])*(Table_dim_price_recipe[Retail Price]&lt;&gt;0)*($C1069=Table_dim_price_recipe[Subcategory]), 0))*$B1069,"")</f>
        <v/>
      </c>
      <c r="K1069" s="39" cm="1">
        <f t="array" ref="K1069">IFERROR(INDEX(Table_dim_price_recipe[Retail Price], MATCH(1, ("Calculator"&lt;&gt;Table_dim_price_recipe[Type.display])*($L1069=Table_dim_price_recipe[Category])*($D1069=Table_dim_price_recipe[Item Description]) * (K$6=Table_dim_price_recipe[Type])*(Table_dim_price_recipe[Retail Price]&lt;&gt;0)*($C1069=Table_dim_price_recipe[Subcategory]), 0))*$B1069,"")</f>
        <v>0</v>
      </c>
      <c r="L1069" s="39" t="str" cm="1">
        <f t="array" ref="L1069">IF($A1069&lt;&gt;"", $A1069, LOOKUP(2, 1/((A$7:INDEX(A:A, ROW()))&lt;&gt;""), A$7:INDEX(A:A, ROW())))</f>
        <v>ADDITIONAL LABOUR</v>
      </c>
    </row>
    <row r="1070" spans="1:12">
      <c r="A1070" s="263"/>
      <c r="B1070" s="263"/>
      <c r="C1070" s="263" t="s">
        <v>1226</v>
      </c>
      <c r="D1070" s="263" t="s">
        <v>1229</v>
      </c>
      <c r="E1070" s="263"/>
      <c r="F1070" s="263"/>
      <c r="G1070" s="39" t="str" cm="1">
        <f t="array" ref="G1070">IFERROR(INDEX(Table_dim_price_recipe[Retail Price], MATCH(1, ("Calculator"&lt;&gt;Table_dim_price_recipe[Type.display])*($L1070=Table_dim_price_recipe[Category])*($D1070=Table_dim_price_recipe[Item Description]) * (G$6=Table_dim_price_recipe[Type])*(Table_dim_price_recipe[Retail Price]&lt;&gt;0)*($C1070=Table_dim_price_recipe[Subcategory]), 0))*$B1070,"")</f>
        <v/>
      </c>
      <c r="H1070" s="39" t="str" cm="1">
        <f t="array" ref="H1070">IFERROR(INDEX(Table_dim_price_recipe[Retail Price], MATCH(1, ("Calculator"&lt;&gt;Table_dim_price_recipe[Type.display])*($L1070=Table_dim_price_recipe[Category])*($D1070=Table_dim_price_recipe[Item Description]) * (H$6=Table_dim_price_recipe[Type])*(Table_dim_price_recipe[Retail Price]&lt;&gt;0)*($C1070=Table_dim_price_recipe[Subcategory]), 0))*$B1070,"")</f>
        <v/>
      </c>
      <c r="I1070" s="39" t="str" cm="1">
        <f t="array" ref="I1070">IFERROR(INDEX(Table_dim_price_recipe[Retail Price], MATCH(1, ("Calculator"&lt;&gt;Table_dim_price_recipe[Type.display])*($L1070=Table_dim_price_recipe[Category])*($D1070=Table_dim_price_recipe[Item Description]) * (I$6=Table_dim_price_recipe[Type])*(Table_dim_price_recipe[Retail Price]&lt;&gt;0)*($C1070=Table_dim_price_recipe[Subcategory]), 0))*$B1070,"")</f>
        <v/>
      </c>
      <c r="J1070" s="39" t="str" cm="1">
        <f t="array" ref="J1070">IFERROR(INDEX(Table_dim_price_recipe[Retail Price], MATCH(1, ("Calculator"&lt;&gt;Table_dim_price_recipe[Type.display])*($L1070=Table_dim_price_recipe[Category])*($D1070=Table_dim_price_recipe[Item Description]) * (J$6=Table_dim_price_recipe[Type])*(Table_dim_price_recipe[Retail Price]&lt;&gt;0)*($C1070=Table_dim_price_recipe[Subcategory]), 0))*$B1070,"")</f>
        <v/>
      </c>
      <c r="K1070" s="39" cm="1">
        <f t="array" ref="K1070">IFERROR(INDEX(Table_dim_price_recipe[Retail Price], MATCH(1, ("Calculator"&lt;&gt;Table_dim_price_recipe[Type.display])*($L1070=Table_dim_price_recipe[Category])*($D1070=Table_dim_price_recipe[Item Description]) * (K$6=Table_dim_price_recipe[Type])*(Table_dim_price_recipe[Retail Price]&lt;&gt;0)*($C1070=Table_dim_price_recipe[Subcategory]), 0))*$B1070,"")</f>
        <v>0</v>
      </c>
      <c r="L1070" s="39" t="str" cm="1">
        <f t="array" ref="L1070">IF($A1070&lt;&gt;"", $A1070, LOOKUP(2, 1/((A$7:INDEX(A:A, ROW()))&lt;&gt;""), A$7:INDEX(A:A, ROW())))</f>
        <v>ADDITIONAL LABOUR</v>
      </c>
    </row>
    <row r="1071" spans="1:12">
      <c r="A1071" s="263"/>
      <c r="B1071" s="263"/>
      <c r="C1071" s="263" t="s">
        <v>1226</v>
      </c>
      <c r="D1071" s="263" t="s">
        <v>1230</v>
      </c>
      <c r="E1071" s="263"/>
      <c r="F1071" s="263"/>
      <c r="G1071" s="39" t="str" cm="1">
        <f t="array" ref="G1071">IFERROR(INDEX(Table_dim_price_recipe[Retail Price], MATCH(1, ("Calculator"&lt;&gt;Table_dim_price_recipe[Type.display])*($L1071=Table_dim_price_recipe[Category])*($D1071=Table_dim_price_recipe[Item Description]) * (G$6=Table_dim_price_recipe[Type])*(Table_dim_price_recipe[Retail Price]&lt;&gt;0)*($C1071=Table_dim_price_recipe[Subcategory]), 0))*$B1071,"")</f>
        <v/>
      </c>
      <c r="H1071" s="39" t="str" cm="1">
        <f t="array" ref="H1071">IFERROR(INDEX(Table_dim_price_recipe[Retail Price], MATCH(1, ("Calculator"&lt;&gt;Table_dim_price_recipe[Type.display])*($L1071=Table_dim_price_recipe[Category])*($D1071=Table_dim_price_recipe[Item Description]) * (H$6=Table_dim_price_recipe[Type])*(Table_dim_price_recipe[Retail Price]&lt;&gt;0)*($C1071=Table_dim_price_recipe[Subcategory]), 0))*$B1071,"")</f>
        <v/>
      </c>
      <c r="I1071" s="39" t="str" cm="1">
        <f t="array" ref="I1071">IFERROR(INDEX(Table_dim_price_recipe[Retail Price], MATCH(1, ("Calculator"&lt;&gt;Table_dim_price_recipe[Type.display])*($L1071=Table_dim_price_recipe[Category])*($D1071=Table_dim_price_recipe[Item Description]) * (I$6=Table_dim_price_recipe[Type])*(Table_dim_price_recipe[Retail Price]&lt;&gt;0)*($C1071=Table_dim_price_recipe[Subcategory]), 0))*$B1071,"")</f>
        <v/>
      </c>
      <c r="J1071" s="39" t="str" cm="1">
        <f t="array" ref="J1071">IFERROR(INDEX(Table_dim_price_recipe[Retail Price], MATCH(1, ("Calculator"&lt;&gt;Table_dim_price_recipe[Type.display])*($L1071=Table_dim_price_recipe[Category])*($D1071=Table_dim_price_recipe[Item Description]) * (J$6=Table_dim_price_recipe[Type])*(Table_dim_price_recipe[Retail Price]&lt;&gt;0)*($C1071=Table_dim_price_recipe[Subcategory]), 0))*$B1071,"")</f>
        <v/>
      </c>
      <c r="K1071" s="39" cm="1">
        <f t="array" ref="K1071">IFERROR(INDEX(Table_dim_price_recipe[Retail Price], MATCH(1, ("Calculator"&lt;&gt;Table_dim_price_recipe[Type.display])*($L1071=Table_dim_price_recipe[Category])*($D1071=Table_dim_price_recipe[Item Description]) * (K$6=Table_dim_price_recipe[Type])*(Table_dim_price_recipe[Retail Price]&lt;&gt;0)*($C1071=Table_dim_price_recipe[Subcategory]), 0))*$B1071,"")</f>
        <v>0</v>
      </c>
      <c r="L1071" s="39" t="str" cm="1">
        <f t="array" ref="L1071">IF($A1071&lt;&gt;"", $A1071, LOOKUP(2, 1/((A$7:INDEX(A:A, ROW()))&lt;&gt;""), A$7:INDEX(A:A, ROW())))</f>
        <v>ADDITIONAL LABOUR</v>
      </c>
    </row>
    <row r="1072" spans="1:12">
      <c r="A1072" s="263"/>
      <c r="B1072" s="263"/>
      <c r="C1072" s="263" t="s">
        <v>1226</v>
      </c>
      <c r="D1072" s="263" t="s">
        <v>1065</v>
      </c>
      <c r="E1072" s="263"/>
      <c r="F1072" s="263"/>
      <c r="G1072" s="39" t="str" cm="1">
        <f t="array" ref="G1072">IFERROR(INDEX(Table_dim_price_recipe[Retail Price], MATCH(1, ("Calculator"&lt;&gt;Table_dim_price_recipe[Type.display])*($L1072=Table_dim_price_recipe[Category])*($D1072=Table_dim_price_recipe[Item Description]) * (G$6=Table_dim_price_recipe[Type])*(Table_dim_price_recipe[Retail Price]&lt;&gt;0)*($C1072=Table_dim_price_recipe[Subcategory]), 0))*$B1072,"")</f>
        <v/>
      </c>
      <c r="H1072" s="39" t="str" cm="1">
        <f t="array" ref="H1072">IFERROR(INDEX(Table_dim_price_recipe[Retail Price], MATCH(1, ("Calculator"&lt;&gt;Table_dim_price_recipe[Type.display])*($L1072=Table_dim_price_recipe[Category])*($D1072=Table_dim_price_recipe[Item Description]) * (H$6=Table_dim_price_recipe[Type])*(Table_dim_price_recipe[Retail Price]&lt;&gt;0)*($C1072=Table_dim_price_recipe[Subcategory]), 0))*$B1072,"")</f>
        <v/>
      </c>
      <c r="I1072" s="39" t="str" cm="1">
        <f t="array" ref="I1072">IFERROR(INDEX(Table_dim_price_recipe[Retail Price], MATCH(1, ("Calculator"&lt;&gt;Table_dim_price_recipe[Type.display])*($L1072=Table_dim_price_recipe[Category])*($D1072=Table_dim_price_recipe[Item Description]) * (I$6=Table_dim_price_recipe[Type])*(Table_dim_price_recipe[Retail Price]&lt;&gt;0)*($C1072=Table_dim_price_recipe[Subcategory]), 0))*$B1072,"")</f>
        <v/>
      </c>
      <c r="J1072" s="39" t="str" cm="1">
        <f t="array" ref="J1072">IFERROR(INDEX(Table_dim_price_recipe[Retail Price], MATCH(1, ("Calculator"&lt;&gt;Table_dim_price_recipe[Type.display])*($L1072=Table_dim_price_recipe[Category])*($D1072=Table_dim_price_recipe[Item Description]) * (J$6=Table_dim_price_recipe[Type])*(Table_dim_price_recipe[Retail Price]&lt;&gt;0)*($C1072=Table_dim_price_recipe[Subcategory]), 0))*$B1072,"")</f>
        <v/>
      </c>
      <c r="K1072" s="39" t="str" cm="1">
        <f t="array" ref="K1072">IFERROR(INDEX(Table_dim_price_recipe[Retail Price], MATCH(1, ("Calculator"&lt;&gt;Table_dim_price_recipe[Type.display])*($L1072=Table_dim_price_recipe[Category])*($D1072=Table_dim_price_recipe[Item Description]) * (K$6=Table_dim_price_recipe[Type])*(Table_dim_price_recipe[Retail Price]&lt;&gt;0)*($C1072=Table_dim_price_recipe[Subcategory]), 0))*$B1072,"")</f>
        <v/>
      </c>
      <c r="L1072" s="39" t="str" cm="1">
        <f t="array" ref="L1072">IF($A1072&lt;&gt;"", $A1072, LOOKUP(2, 1/((A$7:INDEX(A:A, ROW()))&lt;&gt;""), A$7:INDEX(A:A, ROW())))</f>
        <v>ADDITIONAL LABOUR</v>
      </c>
    </row>
    <row r="1073" spans="1:12">
      <c r="A1073" s="263"/>
      <c r="B1073" s="263"/>
      <c r="C1073" s="263" t="s">
        <v>1226</v>
      </c>
      <c r="D1073" s="263" t="s">
        <v>1228</v>
      </c>
      <c r="E1073" s="263"/>
      <c r="F1073" s="263"/>
      <c r="G1073" s="39" t="str" cm="1">
        <f t="array" ref="G1073">IFERROR(INDEX(Table_dim_price_recipe[Retail Price], MATCH(1, ("Calculator"&lt;&gt;Table_dim_price_recipe[Type.display])*($L1073=Table_dim_price_recipe[Category])*($D1073=Table_dim_price_recipe[Item Description]) * (G$6=Table_dim_price_recipe[Type])*(Table_dim_price_recipe[Retail Price]&lt;&gt;0)*($C1073=Table_dim_price_recipe[Subcategory]), 0))*$B1073,"")</f>
        <v/>
      </c>
      <c r="H1073" s="39" t="str" cm="1">
        <f t="array" ref="H1073">IFERROR(INDEX(Table_dim_price_recipe[Retail Price], MATCH(1, ("Calculator"&lt;&gt;Table_dim_price_recipe[Type.display])*($L1073=Table_dim_price_recipe[Category])*($D1073=Table_dim_price_recipe[Item Description]) * (H$6=Table_dim_price_recipe[Type])*(Table_dim_price_recipe[Retail Price]&lt;&gt;0)*($C1073=Table_dim_price_recipe[Subcategory]), 0))*$B1073,"")</f>
        <v/>
      </c>
      <c r="I1073" s="39" t="str" cm="1">
        <f t="array" ref="I1073">IFERROR(INDEX(Table_dim_price_recipe[Retail Price], MATCH(1, ("Calculator"&lt;&gt;Table_dim_price_recipe[Type.display])*($L1073=Table_dim_price_recipe[Category])*($D1073=Table_dim_price_recipe[Item Description]) * (I$6=Table_dim_price_recipe[Type])*(Table_dim_price_recipe[Retail Price]&lt;&gt;0)*($C1073=Table_dim_price_recipe[Subcategory]), 0))*$B1073,"")</f>
        <v/>
      </c>
      <c r="J1073" s="39" t="str" cm="1">
        <f t="array" ref="J1073">IFERROR(INDEX(Table_dim_price_recipe[Retail Price], MATCH(1, ("Calculator"&lt;&gt;Table_dim_price_recipe[Type.display])*($L1073=Table_dim_price_recipe[Category])*($D1073=Table_dim_price_recipe[Item Description]) * (J$6=Table_dim_price_recipe[Type])*(Table_dim_price_recipe[Retail Price]&lt;&gt;0)*($C1073=Table_dim_price_recipe[Subcategory]), 0))*$B1073,"")</f>
        <v/>
      </c>
      <c r="K1073" s="39" cm="1">
        <f t="array" ref="K1073">IFERROR(INDEX(Table_dim_price_recipe[Retail Price], MATCH(1, ("Calculator"&lt;&gt;Table_dim_price_recipe[Type.display])*($L1073=Table_dim_price_recipe[Category])*($D1073=Table_dim_price_recipe[Item Description]) * (K$6=Table_dim_price_recipe[Type])*(Table_dim_price_recipe[Retail Price]&lt;&gt;0)*($C1073=Table_dim_price_recipe[Subcategory]), 0))*$B1073,"")</f>
        <v>0</v>
      </c>
      <c r="L1073" s="39" t="str" cm="1">
        <f t="array" ref="L1073">IF($A1073&lt;&gt;"", $A1073, LOOKUP(2, 1/((A$7:INDEX(A:A, ROW()))&lt;&gt;""), A$7:INDEX(A:A, ROW())))</f>
        <v>ADDITIONAL LABOUR</v>
      </c>
    </row>
    <row r="1074" spans="1:12">
      <c r="A1074" s="263"/>
      <c r="B1074" s="263"/>
      <c r="C1074" s="263" t="s">
        <v>1226</v>
      </c>
      <c r="D1074" s="263"/>
      <c r="E1074" s="263"/>
      <c r="F1074" s="263"/>
      <c r="G1074" s="39" t="str" cm="1">
        <f t="array" ref="G1074">IFERROR(INDEX(Table_dim_price_recipe[Retail Price], MATCH(1, ("Calculator"&lt;&gt;Table_dim_price_recipe[Type.display])*($L1074=Table_dim_price_recipe[Category])*($D1074=Table_dim_price_recipe[Item Description]) * (G$6=Table_dim_price_recipe[Type])*(Table_dim_price_recipe[Retail Price]&lt;&gt;0)*($C1074=Table_dim_price_recipe[Subcategory]), 0))*$B1074,"")</f>
        <v/>
      </c>
      <c r="H1074" s="39" t="str" cm="1">
        <f t="array" ref="H1074">IFERROR(INDEX(Table_dim_price_recipe[Retail Price], MATCH(1, ("Calculator"&lt;&gt;Table_dim_price_recipe[Type.display])*($L1074=Table_dim_price_recipe[Category])*($D1074=Table_dim_price_recipe[Item Description]) * (H$6=Table_dim_price_recipe[Type])*(Table_dim_price_recipe[Retail Price]&lt;&gt;0)*($C1074=Table_dim_price_recipe[Subcategory]), 0))*$B1074,"")</f>
        <v/>
      </c>
      <c r="I1074" s="39" t="str" cm="1">
        <f t="array" ref="I1074">IFERROR(INDEX(Table_dim_price_recipe[Retail Price], MATCH(1, ("Calculator"&lt;&gt;Table_dim_price_recipe[Type.display])*($L1074=Table_dim_price_recipe[Category])*($D1074=Table_dim_price_recipe[Item Description]) * (I$6=Table_dim_price_recipe[Type])*(Table_dim_price_recipe[Retail Price]&lt;&gt;0)*($C1074=Table_dim_price_recipe[Subcategory]), 0))*$B1074,"")</f>
        <v/>
      </c>
      <c r="J1074" s="39" t="str" cm="1">
        <f t="array" ref="J1074">IFERROR(INDEX(Table_dim_price_recipe[Retail Price], MATCH(1, ("Calculator"&lt;&gt;Table_dim_price_recipe[Type.display])*($L1074=Table_dim_price_recipe[Category])*($D1074=Table_dim_price_recipe[Item Description]) * (J$6=Table_dim_price_recipe[Type])*(Table_dim_price_recipe[Retail Price]&lt;&gt;0)*($C1074=Table_dim_price_recipe[Subcategory]), 0))*$B1074,"")</f>
        <v/>
      </c>
      <c r="K1074" s="39" t="str" cm="1">
        <f t="array" ref="K1074">IFERROR(INDEX(Table_dim_price_recipe[Retail Price], MATCH(1, ("Calculator"&lt;&gt;Table_dim_price_recipe[Type.display])*($L1074=Table_dim_price_recipe[Category])*($D1074=Table_dim_price_recipe[Item Description]) * (K$6=Table_dim_price_recipe[Type])*(Table_dim_price_recipe[Retail Price]&lt;&gt;0)*($C1074=Table_dim_price_recipe[Subcategory]), 0))*$B1074,"")</f>
        <v/>
      </c>
      <c r="L1074" s="39" t="str" cm="1">
        <f t="array" ref="L1074">IF($A1074&lt;&gt;"", $A1074, LOOKUP(2, 1/((A$7:INDEX(A:A, ROW()))&lt;&gt;""), A$7:INDEX(A:A, ROW())))</f>
        <v>ADDITIONAL LABOUR</v>
      </c>
    </row>
    <row r="1075" spans="1:12">
      <c r="A1075" s="263"/>
      <c r="B1075" s="263"/>
      <c r="C1075" s="263" t="s">
        <v>1226</v>
      </c>
      <c r="D1075" s="263"/>
      <c r="E1075" s="263"/>
      <c r="F1075" s="263"/>
      <c r="G1075" s="39" t="str" cm="1">
        <f t="array" ref="G1075">IFERROR(INDEX(Table_dim_price_recipe[Retail Price], MATCH(1, ("Calculator"&lt;&gt;Table_dim_price_recipe[Type.display])*($L1075=Table_dim_price_recipe[Category])*($D1075=Table_dim_price_recipe[Item Description]) * (G$6=Table_dim_price_recipe[Type])*(Table_dim_price_recipe[Retail Price]&lt;&gt;0)*($C1075=Table_dim_price_recipe[Subcategory]), 0))*$B1075,"")</f>
        <v/>
      </c>
      <c r="H1075" s="39" t="str" cm="1">
        <f t="array" ref="H1075">IFERROR(INDEX(Table_dim_price_recipe[Retail Price], MATCH(1, ("Calculator"&lt;&gt;Table_dim_price_recipe[Type.display])*($L1075=Table_dim_price_recipe[Category])*($D1075=Table_dim_price_recipe[Item Description]) * (H$6=Table_dim_price_recipe[Type])*(Table_dim_price_recipe[Retail Price]&lt;&gt;0)*($C1075=Table_dim_price_recipe[Subcategory]), 0))*$B1075,"")</f>
        <v/>
      </c>
      <c r="I1075" s="39" t="str" cm="1">
        <f t="array" ref="I1075">IFERROR(INDEX(Table_dim_price_recipe[Retail Price], MATCH(1, ("Calculator"&lt;&gt;Table_dim_price_recipe[Type.display])*($L1075=Table_dim_price_recipe[Category])*($D1075=Table_dim_price_recipe[Item Description]) * (I$6=Table_dim_price_recipe[Type])*(Table_dim_price_recipe[Retail Price]&lt;&gt;0)*($C1075=Table_dim_price_recipe[Subcategory]), 0))*$B1075,"")</f>
        <v/>
      </c>
      <c r="J1075" s="39" t="str" cm="1">
        <f t="array" ref="J1075">IFERROR(INDEX(Table_dim_price_recipe[Retail Price], MATCH(1, ("Calculator"&lt;&gt;Table_dim_price_recipe[Type.display])*($L1075=Table_dim_price_recipe[Category])*($D1075=Table_dim_price_recipe[Item Description]) * (J$6=Table_dim_price_recipe[Type])*(Table_dim_price_recipe[Retail Price]&lt;&gt;0)*($C1075=Table_dim_price_recipe[Subcategory]), 0))*$B1075,"")</f>
        <v/>
      </c>
      <c r="K1075" s="39" t="str" cm="1">
        <f t="array" ref="K1075">IFERROR(INDEX(Table_dim_price_recipe[Retail Price], MATCH(1, ("Calculator"&lt;&gt;Table_dim_price_recipe[Type.display])*($L1075=Table_dim_price_recipe[Category])*($D1075=Table_dim_price_recipe[Item Description]) * (K$6=Table_dim_price_recipe[Type])*(Table_dim_price_recipe[Retail Price]&lt;&gt;0)*($C1075=Table_dim_price_recipe[Subcategory]), 0))*$B1075,"")</f>
        <v/>
      </c>
      <c r="L1075" s="39" t="str" cm="1">
        <f t="array" ref="L1075">IF($A1075&lt;&gt;"", $A1075, LOOKUP(2, 1/((A$7:INDEX(A:A, ROW()))&lt;&gt;""), A$7:INDEX(A:A, ROW())))</f>
        <v>ADDITIONAL LABOUR</v>
      </c>
    </row>
    <row r="1076" spans="1:12">
      <c r="A1076" s="263"/>
      <c r="B1076" s="263"/>
      <c r="C1076" s="263" t="s">
        <v>1035</v>
      </c>
      <c r="D1076" s="263" t="s">
        <v>1036</v>
      </c>
      <c r="E1076" s="263"/>
      <c r="F1076" s="263"/>
      <c r="G1076" s="39" t="str" cm="1">
        <f t="array" ref="G1076">IFERROR(INDEX(Table_dim_price_recipe[Retail Price], MATCH(1, ("Calculator"&lt;&gt;Table_dim_price_recipe[Type.display])*($L1076=Table_dim_price_recipe[Category])*($D1076=Table_dim_price_recipe[Item Description]) * (G$6=Table_dim_price_recipe[Type])*(Table_dim_price_recipe[Retail Price]&lt;&gt;0)*($C1076=Table_dim_price_recipe[Subcategory]), 0))*$B1076,"")</f>
        <v/>
      </c>
      <c r="H1076" s="39" t="str" cm="1">
        <f t="array" ref="H1076">IFERROR(INDEX(Table_dim_price_recipe[Retail Price], MATCH(1, ("Calculator"&lt;&gt;Table_dim_price_recipe[Type.display])*($L1076=Table_dim_price_recipe[Category])*($D1076=Table_dim_price_recipe[Item Description]) * (H$6=Table_dim_price_recipe[Type])*(Table_dim_price_recipe[Retail Price]&lt;&gt;0)*($C1076=Table_dim_price_recipe[Subcategory]), 0))*$B1076,"")</f>
        <v/>
      </c>
      <c r="I1076" s="39" t="str" cm="1">
        <f t="array" ref="I1076">IFERROR(INDEX(Table_dim_price_recipe[Retail Price], MATCH(1, ("Calculator"&lt;&gt;Table_dim_price_recipe[Type.display])*($L1076=Table_dim_price_recipe[Category])*($D1076=Table_dim_price_recipe[Item Description]) * (I$6=Table_dim_price_recipe[Type])*(Table_dim_price_recipe[Retail Price]&lt;&gt;0)*($C1076=Table_dim_price_recipe[Subcategory]), 0))*$B1076,"")</f>
        <v/>
      </c>
      <c r="J1076" s="39" t="str" cm="1">
        <f t="array" ref="J1076">IFERROR(INDEX(Table_dim_price_recipe[Retail Price], MATCH(1, ("Calculator"&lt;&gt;Table_dim_price_recipe[Type.display])*($L1076=Table_dim_price_recipe[Category])*($D1076=Table_dim_price_recipe[Item Description]) * (J$6=Table_dim_price_recipe[Type])*(Table_dim_price_recipe[Retail Price]&lt;&gt;0)*($C1076=Table_dim_price_recipe[Subcategory]), 0))*$B1076,"")</f>
        <v/>
      </c>
      <c r="K1076" s="39" t="str" cm="1">
        <f t="array" ref="K1076">IFERROR(INDEX(Table_dim_price_recipe[Retail Price], MATCH(1, ("Calculator"&lt;&gt;Table_dim_price_recipe[Type.display])*($L1076=Table_dim_price_recipe[Category])*($D1076=Table_dim_price_recipe[Item Description]) * (K$6=Table_dim_price_recipe[Type])*(Table_dim_price_recipe[Retail Price]&lt;&gt;0)*($C1076=Table_dim_price_recipe[Subcategory]), 0))*$B1076,"")</f>
        <v/>
      </c>
      <c r="L1076" s="39" t="str" cm="1">
        <f t="array" ref="L1076">IF($A1076&lt;&gt;"", $A1076, LOOKUP(2, 1/((A$7:INDEX(A:A, ROW()))&lt;&gt;""), A$7:INDEX(A:A, ROW())))</f>
        <v>ADDITIONAL LABOUR</v>
      </c>
    </row>
    <row r="1077" spans="1:12">
      <c r="A1077" s="263"/>
      <c r="B1077" s="263"/>
      <c r="C1077" s="263" t="s">
        <v>1035</v>
      </c>
      <c r="D1077" s="263" t="s">
        <v>1036</v>
      </c>
      <c r="E1077" s="263"/>
      <c r="F1077" s="263"/>
      <c r="G1077" s="39" t="str" cm="1">
        <f t="array" ref="G1077">IFERROR(INDEX(Table_dim_price_recipe[Retail Price], MATCH(1, ("Calculator"&lt;&gt;Table_dim_price_recipe[Type.display])*($L1077=Table_dim_price_recipe[Category])*($D1077=Table_dim_price_recipe[Item Description]) * (G$6=Table_dim_price_recipe[Type])*(Table_dim_price_recipe[Retail Price]&lt;&gt;0)*($C1077=Table_dim_price_recipe[Subcategory]), 0))*$B1077,"")</f>
        <v/>
      </c>
      <c r="H1077" s="39" t="str" cm="1">
        <f t="array" ref="H1077">IFERROR(INDEX(Table_dim_price_recipe[Retail Price], MATCH(1, ("Calculator"&lt;&gt;Table_dim_price_recipe[Type.display])*($L1077=Table_dim_price_recipe[Category])*($D1077=Table_dim_price_recipe[Item Description]) * (H$6=Table_dim_price_recipe[Type])*(Table_dim_price_recipe[Retail Price]&lt;&gt;0)*($C1077=Table_dim_price_recipe[Subcategory]), 0))*$B1077,"")</f>
        <v/>
      </c>
      <c r="I1077" s="39" t="str" cm="1">
        <f t="array" ref="I1077">IFERROR(INDEX(Table_dim_price_recipe[Retail Price], MATCH(1, ("Calculator"&lt;&gt;Table_dim_price_recipe[Type.display])*($L1077=Table_dim_price_recipe[Category])*($D1077=Table_dim_price_recipe[Item Description]) * (I$6=Table_dim_price_recipe[Type])*(Table_dim_price_recipe[Retail Price]&lt;&gt;0)*($C1077=Table_dim_price_recipe[Subcategory]), 0))*$B1077,"")</f>
        <v/>
      </c>
      <c r="J1077" s="39" t="str" cm="1">
        <f t="array" ref="J1077">IFERROR(INDEX(Table_dim_price_recipe[Retail Price], MATCH(1, ("Calculator"&lt;&gt;Table_dim_price_recipe[Type.display])*($L1077=Table_dim_price_recipe[Category])*($D1077=Table_dim_price_recipe[Item Description]) * (J$6=Table_dim_price_recipe[Type])*(Table_dim_price_recipe[Retail Price]&lt;&gt;0)*($C1077=Table_dim_price_recipe[Subcategory]), 0))*$B1077,"")</f>
        <v/>
      </c>
      <c r="K1077" s="39" t="str" cm="1">
        <f t="array" ref="K1077">IFERROR(INDEX(Table_dim_price_recipe[Retail Price], MATCH(1, ("Calculator"&lt;&gt;Table_dim_price_recipe[Type.display])*($L1077=Table_dim_price_recipe[Category])*($D1077=Table_dim_price_recipe[Item Description]) * (K$6=Table_dim_price_recipe[Type])*(Table_dim_price_recipe[Retail Price]&lt;&gt;0)*($C1077=Table_dim_price_recipe[Subcategory]), 0))*$B1077,"")</f>
        <v/>
      </c>
      <c r="L1077" s="39" t="str" cm="1">
        <f t="array" ref="L1077">IF($A1077&lt;&gt;"", $A1077, LOOKUP(2, 1/((A$7:INDEX(A:A, ROW()))&lt;&gt;""), A$7:INDEX(A:A, ROW())))</f>
        <v>ADDITIONAL LABOUR</v>
      </c>
    </row>
    <row r="1078" spans="1:12">
      <c r="A1078" s="263"/>
      <c r="B1078" s="263"/>
      <c r="C1078" s="263" t="s">
        <v>1035</v>
      </c>
      <c r="D1078" s="263"/>
      <c r="E1078" s="263"/>
      <c r="F1078" s="263"/>
      <c r="G1078" s="39" t="str" cm="1">
        <f t="array" ref="G1078">IFERROR(INDEX(Table_dim_price_recipe[Retail Price], MATCH(1, ("Calculator"&lt;&gt;Table_dim_price_recipe[Type.display])*($L1078=Table_dim_price_recipe[Category])*($D1078=Table_dim_price_recipe[Item Description]) * (G$6=Table_dim_price_recipe[Type])*(Table_dim_price_recipe[Retail Price]&lt;&gt;0)*($C1078=Table_dim_price_recipe[Subcategory]), 0))*$B1078,"")</f>
        <v/>
      </c>
      <c r="H1078" s="39" t="str" cm="1">
        <f t="array" ref="H1078">IFERROR(INDEX(Table_dim_price_recipe[Retail Price], MATCH(1, ("Calculator"&lt;&gt;Table_dim_price_recipe[Type.display])*($L1078=Table_dim_price_recipe[Category])*($D1078=Table_dim_price_recipe[Item Description]) * (H$6=Table_dim_price_recipe[Type])*(Table_dim_price_recipe[Retail Price]&lt;&gt;0)*($C1078=Table_dim_price_recipe[Subcategory]), 0))*$B1078,"")</f>
        <v/>
      </c>
      <c r="I1078" s="39" t="str" cm="1">
        <f t="array" ref="I1078">IFERROR(INDEX(Table_dim_price_recipe[Retail Price], MATCH(1, ("Calculator"&lt;&gt;Table_dim_price_recipe[Type.display])*($L1078=Table_dim_price_recipe[Category])*($D1078=Table_dim_price_recipe[Item Description]) * (I$6=Table_dim_price_recipe[Type])*(Table_dim_price_recipe[Retail Price]&lt;&gt;0)*($C1078=Table_dim_price_recipe[Subcategory]), 0))*$B1078,"")</f>
        <v/>
      </c>
      <c r="J1078" s="39" t="str" cm="1">
        <f t="array" ref="J1078">IFERROR(INDEX(Table_dim_price_recipe[Retail Price], MATCH(1, ("Calculator"&lt;&gt;Table_dim_price_recipe[Type.display])*($L1078=Table_dim_price_recipe[Category])*($D1078=Table_dim_price_recipe[Item Description]) * (J$6=Table_dim_price_recipe[Type])*(Table_dim_price_recipe[Retail Price]&lt;&gt;0)*($C1078=Table_dim_price_recipe[Subcategory]), 0))*$B1078,"")</f>
        <v/>
      </c>
      <c r="K1078" s="39" t="str" cm="1">
        <f t="array" ref="K1078">IFERROR(INDEX(Table_dim_price_recipe[Retail Price], MATCH(1, ("Calculator"&lt;&gt;Table_dim_price_recipe[Type.display])*($L1078=Table_dim_price_recipe[Category])*($D1078=Table_dim_price_recipe[Item Description]) * (K$6=Table_dim_price_recipe[Type])*(Table_dim_price_recipe[Retail Price]&lt;&gt;0)*($C1078=Table_dim_price_recipe[Subcategory]), 0))*$B1078,"")</f>
        <v/>
      </c>
      <c r="L1078" s="39" t="str" cm="1">
        <f t="array" ref="L1078">IF($A1078&lt;&gt;"", $A1078, LOOKUP(2, 1/((A$7:INDEX(A:A, ROW()))&lt;&gt;""), A$7:INDEX(A:A, ROW())))</f>
        <v>ADDITIONAL LABOUR</v>
      </c>
    </row>
    <row r="1079" spans="1:12">
      <c r="A1079" s="263"/>
      <c r="B1079" s="263"/>
      <c r="C1079" s="263" t="s">
        <v>1035</v>
      </c>
      <c r="D1079" s="263"/>
      <c r="E1079" s="263"/>
      <c r="F1079" s="263"/>
      <c r="G1079" s="39" t="str" cm="1">
        <f t="array" ref="G1079">IFERROR(INDEX(Table_dim_price_recipe[Retail Price], MATCH(1, ("Calculator"&lt;&gt;Table_dim_price_recipe[Type.display])*($L1079=Table_dim_price_recipe[Category])*($D1079=Table_dim_price_recipe[Item Description]) * (G$6=Table_dim_price_recipe[Type])*(Table_dim_price_recipe[Retail Price]&lt;&gt;0)*($C1079=Table_dim_price_recipe[Subcategory]), 0))*$B1079,"")</f>
        <v/>
      </c>
      <c r="H1079" s="39" t="str" cm="1">
        <f t="array" ref="H1079">IFERROR(INDEX(Table_dim_price_recipe[Retail Price], MATCH(1, ("Calculator"&lt;&gt;Table_dim_price_recipe[Type.display])*($L1079=Table_dim_price_recipe[Category])*($D1079=Table_dim_price_recipe[Item Description]) * (H$6=Table_dim_price_recipe[Type])*(Table_dim_price_recipe[Retail Price]&lt;&gt;0)*($C1079=Table_dim_price_recipe[Subcategory]), 0))*$B1079,"")</f>
        <v/>
      </c>
      <c r="I1079" s="39" t="str" cm="1">
        <f t="array" ref="I1079">IFERROR(INDEX(Table_dim_price_recipe[Retail Price], MATCH(1, ("Calculator"&lt;&gt;Table_dim_price_recipe[Type.display])*($L1079=Table_dim_price_recipe[Category])*($D1079=Table_dim_price_recipe[Item Description]) * (I$6=Table_dim_price_recipe[Type])*(Table_dim_price_recipe[Retail Price]&lt;&gt;0)*($C1079=Table_dim_price_recipe[Subcategory]), 0))*$B1079,"")</f>
        <v/>
      </c>
      <c r="J1079" s="39" t="str" cm="1">
        <f t="array" ref="J1079">IFERROR(INDEX(Table_dim_price_recipe[Retail Price], MATCH(1, ("Calculator"&lt;&gt;Table_dim_price_recipe[Type.display])*($L1079=Table_dim_price_recipe[Category])*($D1079=Table_dim_price_recipe[Item Description]) * (J$6=Table_dim_price_recipe[Type])*(Table_dim_price_recipe[Retail Price]&lt;&gt;0)*($C1079=Table_dim_price_recipe[Subcategory]), 0))*$B1079,"")</f>
        <v/>
      </c>
      <c r="K1079" s="39" t="str" cm="1">
        <f t="array" ref="K1079">IFERROR(INDEX(Table_dim_price_recipe[Retail Price], MATCH(1, ("Calculator"&lt;&gt;Table_dim_price_recipe[Type.display])*($L1079=Table_dim_price_recipe[Category])*($D1079=Table_dim_price_recipe[Item Description]) * (K$6=Table_dim_price_recipe[Type])*(Table_dim_price_recipe[Retail Price]&lt;&gt;0)*($C1079=Table_dim_price_recipe[Subcategory]), 0))*$B1079,"")</f>
        <v/>
      </c>
      <c r="L1079" s="39" t="str" cm="1">
        <f t="array" ref="L1079">IF($A1079&lt;&gt;"", $A1079, LOOKUP(2, 1/((A$7:INDEX(A:A, ROW()))&lt;&gt;""), A$7:INDEX(A:A, ROW())))</f>
        <v>ADDITIONAL LABOUR</v>
      </c>
    </row>
    <row r="1080" spans="1:12">
      <c r="A1080" s="263"/>
      <c r="B1080" s="263"/>
      <c r="C1080" s="263" t="s">
        <v>880</v>
      </c>
      <c r="D1080" s="263" t="s">
        <v>883</v>
      </c>
      <c r="E1080" s="263"/>
      <c r="F1080" s="263"/>
      <c r="G1080" s="39" t="str" cm="1">
        <f t="array" ref="G1080">IFERROR(INDEX(Table_dim_price_recipe[Retail Price], MATCH(1, ("Calculator"&lt;&gt;Table_dim_price_recipe[Type.display])*($L1080=Table_dim_price_recipe[Category])*($D1080=Table_dim_price_recipe[Item Description]) * (G$6=Table_dim_price_recipe[Type])*(Table_dim_price_recipe[Retail Price]&lt;&gt;0)*($C1080=Table_dim_price_recipe[Subcategory]), 0))*$B1080,"")</f>
        <v/>
      </c>
      <c r="H1080" s="39" t="str" cm="1">
        <f t="array" ref="H1080">IFERROR(INDEX(Table_dim_price_recipe[Retail Price], MATCH(1, ("Calculator"&lt;&gt;Table_dim_price_recipe[Type.display])*($L1080=Table_dim_price_recipe[Category])*($D1080=Table_dim_price_recipe[Item Description]) * (H$6=Table_dim_price_recipe[Type])*(Table_dim_price_recipe[Retail Price]&lt;&gt;0)*($C1080=Table_dim_price_recipe[Subcategory]), 0))*$B1080,"")</f>
        <v/>
      </c>
      <c r="I1080" s="39" cm="1">
        <f t="array" ref="I1080">IFERROR(INDEX(Table_dim_price_recipe[Retail Price], MATCH(1, ("Calculator"&lt;&gt;Table_dim_price_recipe[Type.display])*($L1080=Table_dim_price_recipe[Category])*($D1080=Table_dim_price_recipe[Item Description]) * (I$6=Table_dim_price_recipe[Type])*(Table_dim_price_recipe[Retail Price]&lt;&gt;0)*($C1080=Table_dim_price_recipe[Subcategory]), 0))*$B1080,"")</f>
        <v>0</v>
      </c>
      <c r="J1080" s="39" t="str" cm="1">
        <f t="array" ref="J1080">IFERROR(INDEX(Table_dim_price_recipe[Retail Price], MATCH(1, ("Calculator"&lt;&gt;Table_dim_price_recipe[Type.display])*($L1080=Table_dim_price_recipe[Category])*($D1080=Table_dim_price_recipe[Item Description]) * (J$6=Table_dim_price_recipe[Type])*(Table_dim_price_recipe[Retail Price]&lt;&gt;0)*($C1080=Table_dim_price_recipe[Subcategory]), 0))*$B1080,"")</f>
        <v/>
      </c>
      <c r="K1080" s="39" t="str" cm="1">
        <f t="array" ref="K1080">IFERROR(INDEX(Table_dim_price_recipe[Retail Price], MATCH(1, ("Calculator"&lt;&gt;Table_dim_price_recipe[Type.display])*($L1080=Table_dim_price_recipe[Category])*($D1080=Table_dim_price_recipe[Item Description]) * (K$6=Table_dim_price_recipe[Type])*(Table_dim_price_recipe[Retail Price]&lt;&gt;0)*($C1080=Table_dim_price_recipe[Subcategory]), 0))*$B1080,"")</f>
        <v/>
      </c>
      <c r="L1080" s="39" t="str" cm="1">
        <f t="array" ref="L1080">IF($A1080&lt;&gt;"", $A1080, LOOKUP(2, 1/((A$7:INDEX(A:A, ROW()))&lt;&gt;""), A$7:INDEX(A:A, ROW())))</f>
        <v>ADDITIONAL LABOUR</v>
      </c>
    </row>
    <row r="1081" spans="1:12">
      <c r="A1081" s="263"/>
      <c r="B1081" s="263"/>
      <c r="C1081" s="263" t="s">
        <v>880</v>
      </c>
      <c r="D1081" s="263" t="s">
        <v>881</v>
      </c>
      <c r="E1081" s="263"/>
      <c r="F1081" s="263"/>
      <c r="G1081" s="39" t="str" cm="1">
        <f t="array" ref="G1081">IFERROR(INDEX(Table_dim_price_recipe[Retail Price], MATCH(1, ("Calculator"&lt;&gt;Table_dim_price_recipe[Type.display])*($L1081=Table_dim_price_recipe[Category])*($D1081=Table_dim_price_recipe[Item Description]) * (G$6=Table_dim_price_recipe[Type])*(Table_dim_price_recipe[Retail Price]&lt;&gt;0)*($C1081=Table_dim_price_recipe[Subcategory]), 0))*$B1081,"")</f>
        <v/>
      </c>
      <c r="H1081" s="39" t="str" cm="1">
        <f t="array" ref="H1081">IFERROR(INDEX(Table_dim_price_recipe[Retail Price], MATCH(1, ("Calculator"&lt;&gt;Table_dim_price_recipe[Type.display])*($L1081=Table_dim_price_recipe[Category])*($D1081=Table_dim_price_recipe[Item Description]) * (H$6=Table_dim_price_recipe[Type])*(Table_dim_price_recipe[Retail Price]&lt;&gt;0)*($C1081=Table_dim_price_recipe[Subcategory]), 0))*$B1081,"")</f>
        <v/>
      </c>
      <c r="I1081" s="39" cm="1">
        <f t="array" ref="I1081">IFERROR(INDEX(Table_dim_price_recipe[Retail Price], MATCH(1, ("Calculator"&lt;&gt;Table_dim_price_recipe[Type.display])*($L1081=Table_dim_price_recipe[Category])*($D1081=Table_dim_price_recipe[Item Description]) * (I$6=Table_dim_price_recipe[Type])*(Table_dim_price_recipe[Retail Price]&lt;&gt;0)*($C1081=Table_dim_price_recipe[Subcategory]), 0))*$B1081,"")</f>
        <v>0</v>
      </c>
      <c r="J1081" s="39" t="str" cm="1">
        <f t="array" ref="J1081">IFERROR(INDEX(Table_dim_price_recipe[Retail Price], MATCH(1, ("Calculator"&lt;&gt;Table_dim_price_recipe[Type.display])*($L1081=Table_dim_price_recipe[Category])*($D1081=Table_dim_price_recipe[Item Description]) * (J$6=Table_dim_price_recipe[Type])*(Table_dim_price_recipe[Retail Price]&lt;&gt;0)*($C1081=Table_dim_price_recipe[Subcategory]), 0))*$B1081,"")</f>
        <v/>
      </c>
      <c r="K1081" s="39" t="str" cm="1">
        <f t="array" ref="K1081">IFERROR(INDEX(Table_dim_price_recipe[Retail Price], MATCH(1, ("Calculator"&lt;&gt;Table_dim_price_recipe[Type.display])*($L1081=Table_dim_price_recipe[Category])*($D1081=Table_dim_price_recipe[Item Description]) * (K$6=Table_dim_price_recipe[Type])*(Table_dim_price_recipe[Retail Price]&lt;&gt;0)*($C1081=Table_dim_price_recipe[Subcategory]), 0))*$B1081,"")</f>
        <v/>
      </c>
      <c r="L1081" s="39" t="str" cm="1">
        <f t="array" ref="L1081">IF($A1081&lt;&gt;"", $A1081, LOOKUP(2, 1/((A$7:INDEX(A:A, ROW()))&lt;&gt;""), A$7:INDEX(A:A, ROW())))</f>
        <v>ADDITIONAL LABOUR</v>
      </c>
    </row>
    <row r="1082" spans="1:12">
      <c r="A1082" s="263"/>
      <c r="B1082" s="263"/>
      <c r="C1082" s="263" t="s">
        <v>880</v>
      </c>
      <c r="D1082" s="263" t="s">
        <v>882</v>
      </c>
      <c r="E1082" s="263"/>
      <c r="F1082" s="263"/>
      <c r="G1082" s="39" t="str" cm="1">
        <f t="array" ref="G1082">IFERROR(INDEX(Table_dim_price_recipe[Retail Price], MATCH(1, ("Calculator"&lt;&gt;Table_dim_price_recipe[Type.display])*($L1082=Table_dim_price_recipe[Category])*($D1082=Table_dim_price_recipe[Item Description]) * (G$6=Table_dim_price_recipe[Type])*(Table_dim_price_recipe[Retail Price]&lt;&gt;0)*($C1082=Table_dim_price_recipe[Subcategory]), 0))*$B1082,"")</f>
        <v/>
      </c>
      <c r="H1082" s="39" t="str" cm="1">
        <f t="array" ref="H1082">IFERROR(INDEX(Table_dim_price_recipe[Retail Price], MATCH(1, ("Calculator"&lt;&gt;Table_dim_price_recipe[Type.display])*($L1082=Table_dim_price_recipe[Category])*($D1082=Table_dim_price_recipe[Item Description]) * (H$6=Table_dim_price_recipe[Type])*(Table_dim_price_recipe[Retail Price]&lt;&gt;0)*($C1082=Table_dim_price_recipe[Subcategory]), 0))*$B1082,"")</f>
        <v/>
      </c>
      <c r="I1082" s="39" cm="1">
        <f t="array" ref="I1082">IFERROR(INDEX(Table_dim_price_recipe[Retail Price], MATCH(1, ("Calculator"&lt;&gt;Table_dim_price_recipe[Type.display])*($L1082=Table_dim_price_recipe[Category])*($D1082=Table_dim_price_recipe[Item Description]) * (I$6=Table_dim_price_recipe[Type])*(Table_dim_price_recipe[Retail Price]&lt;&gt;0)*($C1082=Table_dim_price_recipe[Subcategory]), 0))*$B1082,"")</f>
        <v>0</v>
      </c>
      <c r="J1082" s="39" t="str" cm="1">
        <f t="array" ref="J1082">IFERROR(INDEX(Table_dim_price_recipe[Retail Price], MATCH(1, ("Calculator"&lt;&gt;Table_dim_price_recipe[Type.display])*($L1082=Table_dim_price_recipe[Category])*($D1082=Table_dim_price_recipe[Item Description]) * (J$6=Table_dim_price_recipe[Type])*(Table_dim_price_recipe[Retail Price]&lt;&gt;0)*($C1082=Table_dim_price_recipe[Subcategory]), 0))*$B1082,"")</f>
        <v/>
      </c>
      <c r="K1082" s="39" t="str" cm="1">
        <f t="array" ref="K1082">IFERROR(INDEX(Table_dim_price_recipe[Retail Price], MATCH(1, ("Calculator"&lt;&gt;Table_dim_price_recipe[Type.display])*($L1082=Table_dim_price_recipe[Category])*($D1082=Table_dim_price_recipe[Item Description]) * (K$6=Table_dim_price_recipe[Type])*(Table_dim_price_recipe[Retail Price]&lt;&gt;0)*($C1082=Table_dim_price_recipe[Subcategory]), 0))*$B1082,"")</f>
        <v/>
      </c>
      <c r="L1082" s="39" t="str" cm="1">
        <f t="array" ref="L1082">IF($A1082&lt;&gt;"", $A1082, LOOKUP(2, 1/((A$7:INDEX(A:A, ROW()))&lt;&gt;""), A$7:INDEX(A:A, ROW())))</f>
        <v>ADDITIONAL LABOUR</v>
      </c>
    </row>
    <row r="1083" spans="1:12">
      <c r="A1083" s="263"/>
      <c r="B1083" s="263"/>
      <c r="C1083" s="263" t="s">
        <v>880</v>
      </c>
      <c r="D1083" s="263"/>
      <c r="E1083" s="263"/>
      <c r="F1083" s="263"/>
      <c r="G1083" s="39" t="str" cm="1">
        <f t="array" ref="G1083">IFERROR(INDEX(Table_dim_price_recipe[Retail Price], MATCH(1, ("Calculator"&lt;&gt;Table_dim_price_recipe[Type.display])*($L1083=Table_dim_price_recipe[Category])*($D1083=Table_dim_price_recipe[Item Description]) * (G$6=Table_dim_price_recipe[Type])*(Table_dim_price_recipe[Retail Price]&lt;&gt;0)*($C1083=Table_dim_price_recipe[Subcategory]), 0))*$B1083,"")</f>
        <v/>
      </c>
      <c r="H1083" s="39" t="str" cm="1">
        <f t="array" ref="H1083">IFERROR(INDEX(Table_dim_price_recipe[Retail Price], MATCH(1, ("Calculator"&lt;&gt;Table_dim_price_recipe[Type.display])*($L1083=Table_dim_price_recipe[Category])*($D1083=Table_dim_price_recipe[Item Description]) * (H$6=Table_dim_price_recipe[Type])*(Table_dim_price_recipe[Retail Price]&lt;&gt;0)*($C1083=Table_dim_price_recipe[Subcategory]), 0))*$B1083,"")</f>
        <v/>
      </c>
      <c r="I1083" s="39" t="str" cm="1">
        <f t="array" ref="I1083">IFERROR(INDEX(Table_dim_price_recipe[Retail Price], MATCH(1, ("Calculator"&lt;&gt;Table_dim_price_recipe[Type.display])*($L1083=Table_dim_price_recipe[Category])*($D1083=Table_dim_price_recipe[Item Description]) * (I$6=Table_dim_price_recipe[Type])*(Table_dim_price_recipe[Retail Price]&lt;&gt;0)*($C1083=Table_dim_price_recipe[Subcategory]), 0))*$B1083,"")</f>
        <v/>
      </c>
      <c r="J1083" s="39" t="str" cm="1">
        <f t="array" ref="J1083">IFERROR(INDEX(Table_dim_price_recipe[Retail Price], MATCH(1, ("Calculator"&lt;&gt;Table_dim_price_recipe[Type.display])*($L1083=Table_dim_price_recipe[Category])*($D1083=Table_dim_price_recipe[Item Description]) * (J$6=Table_dim_price_recipe[Type])*(Table_dim_price_recipe[Retail Price]&lt;&gt;0)*($C1083=Table_dim_price_recipe[Subcategory]), 0))*$B1083,"")</f>
        <v/>
      </c>
      <c r="K1083" s="39" t="str" cm="1">
        <f t="array" ref="K1083">IFERROR(INDEX(Table_dim_price_recipe[Retail Price], MATCH(1, ("Calculator"&lt;&gt;Table_dim_price_recipe[Type.display])*($L1083=Table_dim_price_recipe[Category])*($D1083=Table_dim_price_recipe[Item Description]) * (K$6=Table_dim_price_recipe[Type])*(Table_dim_price_recipe[Retail Price]&lt;&gt;0)*($C1083=Table_dim_price_recipe[Subcategory]), 0))*$B1083,"")</f>
        <v/>
      </c>
      <c r="L1083" s="39" t="str" cm="1">
        <f t="array" ref="L1083">IF($A1083&lt;&gt;"", $A1083, LOOKUP(2, 1/((A$7:INDEX(A:A, ROW()))&lt;&gt;""), A$7:INDEX(A:A, ROW())))</f>
        <v>ADDITIONAL LABOUR</v>
      </c>
    </row>
    <row r="1084" spans="1:12">
      <c r="A1084" s="263"/>
      <c r="B1084" s="263"/>
      <c r="C1084" s="263" t="s">
        <v>880</v>
      </c>
      <c r="D1084" s="263"/>
      <c r="E1084" s="263"/>
      <c r="F1084" s="263"/>
      <c r="G1084" s="39" t="str" cm="1">
        <f t="array" ref="G1084">IFERROR(INDEX(Table_dim_price_recipe[Retail Price], MATCH(1, ("Calculator"&lt;&gt;Table_dim_price_recipe[Type.display])*($L1084=Table_dim_price_recipe[Category])*($D1084=Table_dim_price_recipe[Item Description]) * (G$6=Table_dim_price_recipe[Type])*(Table_dim_price_recipe[Retail Price]&lt;&gt;0)*($C1084=Table_dim_price_recipe[Subcategory]), 0))*$B1084,"")</f>
        <v/>
      </c>
      <c r="H1084" s="39" t="str" cm="1">
        <f t="array" ref="H1084">IFERROR(INDEX(Table_dim_price_recipe[Retail Price], MATCH(1, ("Calculator"&lt;&gt;Table_dim_price_recipe[Type.display])*($L1084=Table_dim_price_recipe[Category])*($D1084=Table_dim_price_recipe[Item Description]) * (H$6=Table_dim_price_recipe[Type])*(Table_dim_price_recipe[Retail Price]&lt;&gt;0)*($C1084=Table_dim_price_recipe[Subcategory]), 0))*$B1084,"")</f>
        <v/>
      </c>
      <c r="I1084" s="39" t="str" cm="1">
        <f t="array" ref="I1084">IFERROR(INDEX(Table_dim_price_recipe[Retail Price], MATCH(1, ("Calculator"&lt;&gt;Table_dim_price_recipe[Type.display])*($L1084=Table_dim_price_recipe[Category])*($D1084=Table_dim_price_recipe[Item Description]) * (I$6=Table_dim_price_recipe[Type])*(Table_dim_price_recipe[Retail Price]&lt;&gt;0)*($C1084=Table_dim_price_recipe[Subcategory]), 0))*$B1084,"")</f>
        <v/>
      </c>
      <c r="J1084" s="39" t="str" cm="1">
        <f t="array" ref="J1084">IFERROR(INDEX(Table_dim_price_recipe[Retail Price], MATCH(1, ("Calculator"&lt;&gt;Table_dim_price_recipe[Type.display])*($L1084=Table_dim_price_recipe[Category])*($D1084=Table_dim_price_recipe[Item Description]) * (J$6=Table_dim_price_recipe[Type])*(Table_dim_price_recipe[Retail Price]&lt;&gt;0)*($C1084=Table_dim_price_recipe[Subcategory]), 0))*$B1084,"")</f>
        <v/>
      </c>
      <c r="K1084" s="39" t="str" cm="1">
        <f t="array" ref="K1084">IFERROR(INDEX(Table_dim_price_recipe[Retail Price], MATCH(1, ("Calculator"&lt;&gt;Table_dim_price_recipe[Type.display])*($L1084=Table_dim_price_recipe[Category])*($D1084=Table_dim_price_recipe[Item Description]) * (K$6=Table_dim_price_recipe[Type])*(Table_dim_price_recipe[Retail Price]&lt;&gt;0)*($C1084=Table_dim_price_recipe[Subcategory]), 0))*$B1084,"")</f>
        <v/>
      </c>
      <c r="L1084" s="39" t="str" cm="1">
        <f t="array" ref="L1084">IF($A1084&lt;&gt;"", $A1084, LOOKUP(2, 1/((A$7:INDEX(A:A, ROW()))&lt;&gt;""), A$7:INDEX(A:A, ROW())))</f>
        <v>ADDITIONAL LABOUR</v>
      </c>
    </row>
    <row r="1085" spans="1:12">
      <c r="A1085" s="263"/>
      <c r="B1085" s="263"/>
      <c r="C1085" s="263" t="s">
        <v>1041</v>
      </c>
      <c r="D1085" s="263" t="s">
        <v>1042</v>
      </c>
      <c r="E1085" s="263"/>
      <c r="F1085" s="263"/>
      <c r="G1085" s="39" t="str" cm="1">
        <f t="array" ref="G1085">IFERROR(INDEX(Table_dim_price_recipe[Retail Price], MATCH(1, ("Calculator"&lt;&gt;Table_dim_price_recipe[Type.display])*($L1085=Table_dim_price_recipe[Category])*($D1085=Table_dim_price_recipe[Item Description]) * (G$6=Table_dim_price_recipe[Type])*(Table_dim_price_recipe[Retail Price]&lt;&gt;0)*($C1085=Table_dim_price_recipe[Subcategory]), 0))*$B1085,"")</f>
        <v/>
      </c>
      <c r="H1085" s="39" t="str" cm="1">
        <f t="array" ref="H1085">IFERROR(INDEX(Table_dim_price_recipe[Retail Price], MATCH(1, ("Calculator"&lt;&gt;Table_dim_price_recipe[Type.display])*($L1085=Table_dim_price_recipe[Category])*($D1085=Table_dim_price_recipe[Item Description]) * (H$6=Table_dim_price_recipe[Type])*(Table_dim_price_recipe[Retail Price]&lt;&gt;0)*($C1085=Table_dim_price_recipe[Subcategory]), 0))*$B1085,"")</f>
        <v/>
      </c>
      <c r="I1085" s="39" t="str" cm="1">
        <f t="array" ref="I1085">IFERROR(INDEX(Table_dim_price_recipe[Retail Price], MATCH(1, ("Calculator"&lt;&gt;Table_dim_price_recipe[Type.display])*($L1085=Table_dim_price_recipe[Category])*($D1085=Table_dim_price_recipe[Item Description]) * (I$6=Table_dim_price_recipe[Type])*(Table_dim_price_recipe[Retail Price]&lt;&gt;0)*($C1085=Table_dim_price_recipe[Subcategory]), 0))*$B1085,"")</f>
        <v/>
      </c>
      <c r="J1085" s="39" t="str" cm="1">
        <f t="array" ref="J1085">IFERROR(INDEX(Table_dim_price_recipe[Retail Price], MATCH(1, ("Calculator"&lt;&gt;Table_dim_price_recipe[Type.display])*($L1085=Table_dim_price_recipe[Category])*($D1085=Table_dim_price_recipe[Item Description]) * (J$6=Table_dim_price_recipe[Type])*(Table_dim_price_recipe[Retail Price]&lt;&gt;0)*($C1085=Table_dim_price_recipe[Subcategory]), 0))*$B1085,"")</f>
        <v/>
      </c>
      <c r="K1085" s="39" cm="1">
        <f t="array" ref="K1085">IFERROR(INDEX(Table_dim_price_recipe[Retail Price], MATCH(1, ("Calculator"&lt;&gt;Table_dim_price_recipe[Type.display])*($L1085=Table_dim_price_recipe[Category])*($D1085=Table_dim_price_recipe[Item Description]) * (K$6=Table_dim_price_recipe[Type])*(Table_dim_price_recipe[Retail Price]&lt;&gt;0)*($C1085=Table_dim_price_recipe[Subcategory]), 0))*$B1085,"")</f>
        <v>0</v>
      </c>
      <c r="L1085" s="39" t="str" cm="1">
        <f t="array" ref="L1085">IF($A1085&lt;&gt;"", $A1085, LOOKUP(2, 1/((A$7:INDEX(A:A, ROW()))&lt;&gt;""), A$7:INDEX(A:A, ROW())))</f>
        <v>ADDITIONAL LABOUR</v>
      </c>
    </row>
    <row r="1086" spans="1:12">
      <c r="A1086" s="263"/>
      <c r="B1086" s="263"/>
      <c r="C1086" s="263" t="s">
        <v>1041</v>
      </c>
      <c r="D1086" s="263" t="s">
        <v>1043</v>
      </c>
      <c r="E1086" s="263"/>
      <c r="F1086" s="263"/>
      <c r="G1086" s="39" t="str" cm="1">
        <f t="array" ref="G1086">IFERROR(INDEX(Table_dim_price_recipe[Retail Price], MATCH(1, ("Calculator"&lt;&gt;Table_dim_price_recipe[Type.display])*($L1086=Table_dim_price_recipe[Category])*($D1086=Table_dim_price_recipe[Item Description]) * (G$6=Table_dim_price_recipe[Type])*(Table_dim_price_recipe[Retail Price]&lt;&gt;0)*($C1086=Table_dim_price_recipe[Subcategory]), 0))*$B1086,"")</f>
        <v/>
      </c>
      <c r="H1086" s="39" t="str" cm="1">
        <f t="array" ref="H1086">IFERROR(INDEX(Table_dim_price_recipe[Retail Price], MATCH(1, ("Calculator"&lt;&gt;Table_dim_price_recipe[Type.display])*($L1086=Table_dim_price_recipe[Category])*($D1086=Table_dim_price_recipe[Item Description]) * (H$6=Table_dim_price_recipe[Type])*(Table_dim_price_recipe[Retail Price]&lt;&gt;0)*($C1086=Table_dim_price_recipe[Subcategory]), 0))*$B1086,"")</f>
        <v/>
      </c>
      <c r="I1086" s="39" t="str" cm="1">
        <f t="array" ref="I1086">IFERROR(INDEX(Table_dim_price_recipe[Retail Price], MATCH(1, ("Calculator"&lt;&gt;Table_dim_price_recipe[Type.display])*($L1086=Table_dim_price_recipe[Category])*($D1086=Table_dim_price_recipe[Item Description]) * (I$6=Table_dim_price_recipe[Type])*(Table_dim_price_recipe[Retail Price]&lt;&gt;0)*($C1086=Table_dim_price_recipe[Subcategory]), 0))*$B1086,"")</f>
        <v/>
      </c>
      <c r="J1086" s="39" t="str" cm="1">
        <f t="array" ref="J1086">IFERROR(INDEX(Table_dim_price_recipe[Retail Price], MATCH(1, ("Calculator"&lt;&gt;Table_dim_price_recipe[Type.display])*($L1086=Table_dim_price_recipe[Category])*($D1086=Table_dim_price_recipe[Item Description]) * (J$6=Table_dim_price_recipe[Type])*(Table_dim_price_recipe[Retail Price]&lt;&gt;0)*($C1086=Table_dim_price_recipe[Subcategory]), 0))*$B1086,"")</f>
        <v/>
      </c>
      <c r="K1086" s="39" cm="1">
        <f t="array" ref="K1086">IFERROR(INDEX(Table_dim_price_recipe[Retail Price], MATCH(1, ("Calculator"&lt;&gt;Table_dim_price_recipe[Type.display])*($L1086=Table_dim_price_recipe[Category])*($D1086=Table_dim_price_recipe[Item Description]) * (K$6=Table_dim_price_recipe[Type])*(Table_dim_price_recipe[Retail Price]&lt;&gt;0)*($C1086=Table_dim_price_recipe[Subcategory]), 0))*$B1086,"")</f>
        <v>0</v>
      </c>
      <c r="L1086" s="39" t="str" cm="1">
        <f t="array" ref="L1086">IF($A1086&lt;&gt;"", $A1086, LOOKUP(2, 1/((A$7:INDEX(A:A, ROW()))&lt;&gt;""), A$7:INDEX(A:A, ROW())))</f>
        <v>ADDITIONAL LABOUR</v>
      </c>
    </row>
    <row r="1087" spans="1:12">
      <c r="A1087" s="263"/>
      <c r="B1087" s="263"/>
      <c r="C1087" s="263" t="s">
        <v>1041</v>
      </c>
      <c r="D1087" s="263"/>
      <c r="E1087" s="263"/>
      <c r="F1087" s="263"/>
      <c r="G1087" s="39" t="str" cm="1">
        <f t="array" ref="G1087">IFERROR(INDEX(Table_dim_price_recipe[Retail Price], MATCH(1, ("Calculator"&lt;&gt;Table_dim_price_recipe[Type.display])*($L1087=Table_dim_price_recipe[Category])*($D1087=Table_dim_price_recipe[Item Description]) * (G$6=Table_dim_price_recipe[Type])*(Table_dim_price_recipe[Retail Price]&lt;&gt;0)*($C1087=Table_dim_price_recipe[Subcategory]), 0))*$B1087,"")</f>
        <v/>
      </c>
      <c r="H1087" s="39" t="str" cm="1">
        <f t="array" ref="H1087">IFERROR(INDEX(Table_dim_price_recipe[Retail Price], MATCH(1, ("Calculator"&lt;&gt;Table_dim_price_recipe[Type.display])*($L1087=Table_dim_price_recipe[Category])*($D1087=Table_dim_price_recipe[Item Description]) * (H$6=Table_dim_price_recipe[Type])*(Table_dim_price_recipe[Retail Price]&lt;&gt;0)*($C1087=Table_dim_price_recipe[Subcategory]), 0))*$B1087,"")</f>
        <v/>
      </c>
      <c r="I1087" s="39" t="str" cm="1">
        <f t="array" ref="I1087">IFERROR(INDEX(Table_dim_price_recipe[Retail Price], MATCH(1, ("Calculator"&lt;&gt;Table_dim_price_recipe[Type.display])*($L1087=Table_dim_price_recipe[Category])*($D1087=Table_dim_price_recipe[Item Description]) * (I$6=Table_dim_price_recipe[Type])*(Table_dim_price_recipe[Retail Price]&lt;&gt;0)*($C1087=Table_dim_price_recipe[Subcategory]), 0))*$B1087,"")</f>
        <v/>
      </c>
      <c r="J1087" s="39" t="str" cm="1">
        <f t="array" ref="J1087">IFERROR(INDEX(Table_dim_price_recipe[Retail Price], MATCH(1, ("Calculator"&lt;&gt;Table_dim_price_recipe[Type.display])*($L1087=Table_dim_price_recipe[Category])*($D1087=Table_dim_price_recipe[Item Description]) * (J$6=Table_dim_price_recipe[Type])*(Table_dim_price_recipe[Retail Price]&lt;&gt;0)*($C1087=Table_dim_price_recipe[Subcategory]), 0))*$B1087,"")</f>
        <v/>
      </c>
      <c r="K1087" s="39" t="str" cm="1">
        <f t="array" ref="K1087">IFERROR(INDEX(Table_dim_price_recipe[Retail Price], MATCH(1, ("Calculator"&lt;&gt;Table_dim_price_recipe[Type.display])*($L1087=Table_dim_price_recipe[Category])*($D1087=Table_dim_price_recipe[Item Description]) * (K$6=Table_dim_price_recipe[Type])*(Table_dim_price_recipe[Retail Price]&lt;&gt;0)*($C1087=Table_dim_price_recipe[Subcategory]), 0))*$B1087,"")</f>
        <v/>
      </c>
      <c r="L1087" s="39" t="str" cm="1">
        <f t="array" ref="L1087">IF($A1087&lt;&gt;"", $A1087, LOOKUP(2, 1/((A$7:INDEX(A:A, ROW()))&lt;&gt;""), A$7:INDEX(A:A, ROW())))</f>
        <v>ADDITIONAL LABOUR</v>
      </c>
    </row>
    <row r="1088" spans="1:12">
      <c r="A1088" s="263"/>
      <c r="B1088" s="263"/>
      <c r="C1088" s="263" t="s">
        <v>1041</v>
      </c>
      <c r="D1088" s="263"/>
      <c r="E1088" s="263"/>
      <c r="F1088" s="263"/>
      <c r="G1088" s="39" t="str" cm="1">
        <f t="array" ref="G1088">IFERROR(INDEX(Table_dim_price_recipe[Retail Price], MATCH(1, ("Calculator"&lt;&gt;Table_dim_price_recipe[Type.display])*($L1088=Table_dim_price_recipe[Category])*($D1088=Table_dim_price_recipe[Item Description]) * (G$6=Table_dim_price_recipe[Type])*(Table_dim_price_recipe[Retail Price]&lt;&gt;0)*($C1088=Table_dim_price_recipe[Subcategory]), 0))*$B1088,"")</f>
        <v/>
      </c>
      <c r="H1088" s="39" t="str" cm="1">
        <f t="array" ref="H1088">IFERROR(INDEX(Table_dim_price_recipe[Retail Price], MATCH(1, ("Calculator"&lt;&gt;Table_dim_price_recipe[Type.display])*($L1088=Table_dim_price_recipe[Category])*($D1088=Table_dim_price_recipe[Item Description]) * (H$6=Table_dim_price_recipe[Type])*(Table_dim_price_recipe[Retail Price]&lt;&gt;0)*($C1088=Table_dim_price_recipe[Subcategory]), 0))*$B1088,"")</f>
        <v/>
      </c>
      <c r="I1088" s="39" t="str" cm="1">
        <f t="array" ref="I1088">IFERROR(INDEX(Table_dim_price_recipe[Retail Price], MATCH(1, ("Calculator"&lt;&gt;Table_dim_price_recipe[Type.display])*($L1088=Table_dim_price_recipe[Category])*($D1088=Table_dim_price_recipe[Item Description]) * (I$6=Table_dim_price_recipe[Type])*(Table_dim_price_recipe[Retail Price]&lt;&gt;0)*($C1088=Table_dim_price_recipe[Subcategory]), 0))*$B1088,"")</f>
        <v/>
      </c>
      <c r="J1088" s="39" t="str" cm="1">
        <f t="array" ref="J1088">IFERROR(INDEX(Table_dim_price_recipe[Retail Price], MATCH(1, ("Calculator"&lt;&gt;Table_dim_price_recipe[Type.display])*($L1088=Table_dim_price_recipe[Category])*($D1088=Table_dim_price_recipe[Item Description]) * (J$6=Table_dim_price_recipe[Type])*(Table_dim_price_recipe[Retail Price]&lt;&gt;0)*($C1088=Table_dim_price_recipe[Subcategory]), 0))*$B1088,"")</f>
        <v/>
      </c>
      <c r="K1088" s="39" t="str" cm="1">
        <f t="array" ref="K1088">IFERROR(INDEX(Table_dim_price_recipe[Retail Price], MATCH(1, ("Calculator"&lt;&gt;Table_dim_price_recipe[Type.display])*($L1088=Table_dim_price_recipe[Category])*($D1088=Table_dim_price_recipe[Item Description]) * (K$6=Table_dim_price_recipe[Type])*(Table_dim_price_recipe[Retail Price]&lt;&gt;0)*($C1088=Table_dim_price_recipe[Subcategory]), 0))*$B1088,"")</f>
        <v/>
      </c>
      <c r="L1088" s="39" t="str" cm="1">
        <f t="array" ref="L1088">IF($A1088&lt;&gt;"", $A1088, LOOKUP(2, 1/((A$7:INDEX(A:A, ROW()))&lt;&gt;""), A$7:INDEX(A:A, ROW())))</f>
        <v>ADDITIONAL LABOUR</v>
      </c>
    </row>
    <row r="1089" spans="1:12">
      <c r="A1089" s="260" t="s">
        <v>109</v>
      </c>
      <c r="B1089" s="261"/>
      <c r="C1089" s="261"/>
      <c r="D1089" s="261"/>
      <c r="E1089" s="261"/>
      <c r="F1089" s="261"/>
      <c r="G1089" s="262" t="str" cm="1">
        <f t="array" ref="G1089">IFERROR(INDEX(Table_dim_price_recipe[Retail Price], MATCH(1, ("Calculator"&lt;&gt;Table_dim_price_recipe[Type.display])*($L1089=Table_dim_price_recipe[Category])*($D1089=Table_dim_price_recipe[Item Description]) * (G$6=Table_dim_price_recipe[Type])*(Table_dim_price_recipe[Retail Price]&lt;&gt;0)*($C1089=Table_dim_price_recipe[Subcategory]), 0))*$B1089,"")</f>
        <v/>
      </c>
      <c r="H1089" s="262" t="str" cm="1">
        <f t="array" ref="H1089">IFERROR(INDEX(Table_dim_price_recipe[Retail Price], MATCH(1, ("Calculator"&lt;&gt;Table_dim_price_recipe[Type.display])*($L1089=Table_dim_price_recipe[Category])*($D1089=Table_dim_price_recipe[Item Description]) * (H$6=Table_dim_price_recipe[Type])*(Table_dim_price_recipe[Retail Price]&lt;&gt;0)*($C1089=Table_dim_price_recipe[Subcategory]), 0))*$B1089,"")</f>
        <v/>
      </c>
      <c r="I1089" s="262" t="str" cm="1">
        <f t="array" ref="I1089">IFERROR(INDEX(Table_dim_price_recipe[Retail Price], MATCH(1, ("Calculator"&lt;&gt;Table_dim_price_recipe[Type.display])*($L1089=Table_dim_price_recipe[Category])*($D1089=Table_dim_price_recipe[Item Description]) * (I$6=Table_dim_price_recipe[Type])*(Table_dim_price_recipe[Retail Price]&lt;&gt;0)*($C1089=Table_dim_price_recipe[Subcategory]), 0))*$B1089,"")</f>
        <v/>
      </c>
      <c r="J1089" s="262" t="str" cm="1">
        <f t="array" ref="J1089">IFERROR(INDEX(Table_dim_price_recipe[Retail Price], MATCH(1, ("Calculator"&lt;&gt;Table_dim_price_recipe[Type.display])*($L1089=Table_dim_price_recipe[Category])*($D1089=Table_dim_price_recipe[Item Description]) * (J$6=Table_dim_price_recipe[Type])*(Table_dim_price_recipe[Retail Price]&lt;&gt;0)*($C1089=Table_dim_price_recipe[Subcategory]), 0))*$B1089,"")</f>
        <v/>
      </c>
      <c r="K1089" s="262" t="str" cm="1">
        <f t="array" ref="K1089">IFERROR(INDEX(Table_dim_price_recipe[Retail Price], MATCH(1, ("Calculator"&lt;&gt;Table_dim_price_recipe[Type.display])*($L1089=Table_dim_price_recipe[Category])*($D1089=Table_dim_price_recipe[Item Description]) * (K$6=Table_dim_price_recipe[Type])*(Table_dim_price_recipe[Retail Price]&lt;&gt;0)*($C1089=Table_dim_price_recipe[Subcategory]), 0))*$B1089,"")</f>
        <v/>
      </c>
      <c r="L1089" s="262" t="str" cm="1">
        <f t="array" ref="L1089">IF($A1089&lt;&gt;"", $A1089, LOOKUP(2, 1/((A$7:INDEX(A:A, ROW()))&lt;&gt;""), A$7:INDEX(A:A, ROW())))</f>
        <v>SAFETY EQUIPMENT</v>
      </c>
    </row>
    <row r="1090" spans="1:12">
      <c r="A1090" s="263"/>
      <c r="B1090" s="263"/>
      <c r="C1090" s="263" t="s">
        <v>709</v>
      </c>
      <c r="D1090" s="263" t="s">
        <v>710</v>
      </c>
      <c r="E1090" s="263"/>
      <c r="F1090" s="263"/>
      <c r="G1090" s="39" cm="1">
        <f t="array" ref="G1090">IFERROR(INDEX(Table_dim_price_recipe[Retail Price], MATCH(1, ("Calculator"&lt;&gt;Table_dim_price_recipe[Type.display])*($L1090=Table_dim_price_recipe[Category])*($D1090=Table_dim_price_recipe[Item Description]) * (G$6=Table_dim_price_recipe[Type])*(Table_dim_price_recipe[Retail Price]&lt;&gt;0)*($C1090=Table_dim_price_recipe[Subcategory]), 0))*$B1090,"")</f>
        <v>0</v>
      </c>
      <c r="H1090" s="39" t="str" cm="1">
        <f t="array" ref="H1090">IFERROR(INDEX(Table_dim_price_recipe[Retail Price], MATCH(1, ("Calculator"&lt;&gt;Table_dim_price_recipe[Type.display])*($L1090=Table_dim_price_recipe[Category])*($D1090=Table_dim_price_recipe[Item Description]) * (H$6=Table_dim_price_recipe[Type])*(Table_dim_price_recipe[Retail Price]&lt;&gt;0)*($C1090=Table_dim_price_recipe[Subcategory]), 0))*$B1090,"")</f>
        <v/>
      </c>
      <c r="I1090" s="39" t="str" cm="1">
        <f t="array" ref="I1090">IFERROR(INDEX(Table_dim_price_recipe[Retail Price], MATCH(1, ("Calculator"&lt;&gt;Table_dim_price_recipe[Type.display])*($L1090=Table_dim_price_recipe[Category])*($D1090=Table_dim_price_recipe[Item Description]) * (I$6=Table_dim_price_recipe[Type])*(Table_dim_price_recipe[Retail Price]&lt;&gt;0)*($C1090=Table_dim_price_recipe[Subcategory]), 0))*$B1090,"")</f>
        <v/>
      </c>
      <c r="J1090" s="39" t="str" cm="1">
        <f t="array" ref="J1090">IFERROR(INDEX(Table_dim_price_recipe[Retail Price], MATCH(1, ("Calculator"&lt;&gt;Table_dim_price_recipe[Type.display])*($L1090=Table_dim_price_recipe[Category])*($D1090=Table_dim_price_recipe[Item Description]) * (J$6=Table_dim_price_recipe[Type])*(Table_dim_price_recipe[Retail Price]&lt;&gt;0)*($C1090=Table_dim_price_recipe[Subcategory]), 0))*$B1090,"")</f>
        <v/>
      </c>
      <c r="K1090" s="39" t="str" cm="1">
        <f t="array" ref="K1090">IFERROR(INDEX(Table_dim_price_recipe[Retail Price], MATCH(1, ("Calculator"&lt;&gt;Table_dim_price_recipe[Type.display])*($L1090=Table_dim_price_recipe[Category])*($D1090=Table_dim_price_recipe[Item Description]) * (K$6=Table_dim_price_recipe[Type])*(Table_dim_price_recipe[Retail Price]&lt;&gt;0)*($C1090=Table_dim_price_recipe[Subcategory]), 0))*$B1090,"")</f>
        <v/>
      </c>
      <c r="L1090" s="39" t="str" cm="1">
        <f t="array" ref="L1090">IF($A1090&lt;&gt;"", $A1090, LOOKUP(2, 1/((A$7:INDEX(A:A, ROW()))&lt;&gt;""), A$7:INDEX(A:A, ROW())))</f>
        <v>SAFETY EQUIPMENT</v>
      </c>
    </row>
    <row r="1091" spans="1:12">
      <c r="A1091" s="263"/>
      <c r="B1091" s="263"/>
      <c r="C1091" s="263" t="s">
        <v>709</v>
      </c>
      <c r="D1091" s="263" t="s">
        <v>712</v>
      </c>
      <c r="E1091" s="263"/>
      <c r="F1091" s="263"/>
      <c r="G1091" s="39" cm="1">
        <f t="array" ref="G1091">IFERROR(INDEX(Table_dim_price_recipe[Retail Price], MATCH(1, ("Calculator"&lt;&gt;Table_dim_price_recipe[Type.display])*($L1091=Table_dim_price_recipe[Category])*($D1091=Table_dim_price_recipe[Item Description]) * (G$6=Table_dim_price_recipe[Type])*(Table_dim_price_recipe[Retail Price]&lt;&gt;0)*($C1091=Table_dim_price_recipe[Subcategory]), 0))*$B1091,"")</f>
        <v>0</v>
      </c>
      <c r="H1091" s="39" t="str" cm="1">
        <f t="array" ref="H1091">IFERROR(INDEX(Table_dim_price_recipe[Retail Price], MATCH(1, ("Calculator"&lt;&gt;Table_dim_price_recipe[Type.display])*($L1091=Table_dim_price_recipe[Category])*($D1091=Table_dim_price_recipe[Item Description]) * (H$6=Table_dim_price_recipe[Type])*(Table_dim_price_recipe[Retail Price]&lt;&gt;0)*($C1091=Table_dim_price_recipe[Subcategory]), 0))*$B1091,"")</f>
        <v/>
      </c>
      <c r="I1091" s="39" t="str" cm="1">
        <f t="array" ref="I1091">IFERROR(INDEX(Table_dim_price_recipe[Retail Price], MATCH(1, ("Calculator"&lt;&gt;Table_dim_price_recipe[Type.display])*($L1091=Table_dim_price_recipe[Category])*($D1091=Table_dim_price_recipe[Item Description]) * (I$6=Table_dim_price_recipe[Type])*(Table_dim_price_recipe[Retail Price]&lt;&gt;0)*($C1091=Table_dim_price_recipe[Subcategory]), 0))*$B1091,"")</f>
        <v/>
      </c>
      <c r="J1091" s="39" t="str" cm="1">
        <f t="array" ref="J1091">IFERROR(INDEX(Table_dim_price_recipe[Retail Price], MATCH(1, ("Calculator"&lt;&gt;Table_dim_price_recipe[Type.display])*($L1091=Table_dim_price_recipe[Category])*($D1091=Table_dim_price_recipe[Item Description]) * (J$6=Table_dim_price_recipe[Type])*(Table_dim_price_recipe[Retail Price]&lt;&gt;0)*($C1091=Table_dim_price_recipe[Subcategory]), 0))*$B1091,"")</f>
        <v/>
      </c>
      <c r="K1091" s="39" t="str" cm="1">
        <f t="array" ref="K1091">IFERROR(INDEX(Table_dim_price_recipe[Retail Price], MATCH(1, ("Calculator"&lt;&gt;Table_dim_price_recipe[Type.display])*($L1091=Table_dim_price_recipe[Category])*($D1091=Table_dim_price_recipe[Item Description]) * (K$6=Table_dim_price_recipe[Type])*(Table_dim_price_recipe[Retail Price]&lt;&gt;0)*($C1091=Table_dim_price_recipe[Subcategory]), 0))*$B1091,"")</f>
        <v/>
      </c>
      <c r="L1091" s="39" t="str" cm="1">
        <f t="array" ref="L1091">IF($A1091&lt;&gt;"", $A1091, LOOKUP(2, 1/((A$7:INDEX(A:A, ROW()))&lt;&gt;""), A$7:INDEX(A:A, ROW())))</f>
        <v>SAFETY EQUIPMENT</v>
      </c>
    </row>
    <row r="1092" spans="1:12">
      <c r="A1092" s="263"/>
      <c r="B1092" s="263"/>
      <c r="C1092" s="263" t="s">
        <v>709</v>
      </c>
      <c r="D1092" s="263" t="s">
        <v>711</v>
      </c>
      <c r="E1092" s="263"/>
      <c r="F1092" s="263"/>
      <c r="G1092" s="39" cm="1">
        <f t="array" ref="G1092">IFERROR(INDEX(Table_dim_price_recipe[Retail Price], MATCH(1, ("Calculator"&lt;&gt;Table_dim_price_recipe[Type.display])*($L1092=Table_dim_price_recipe[Category])*($D1092=Table_dim_price_recipe[Item Description]) * (G$6=Table_dim_price_recipe[Type])*(Table_dim_price_recipe[Retail Price]&lt;&gt;0)*($C1092=Table_dim_price_recipe[Subcategory]), 0))*$B1092,"")</f>
        <v>0</v>
      </c>
      <c r="H1092" s="39" t="str" cm="1">
        <f t="array" ref="H1092">IFERROR(INDEX(Table_dim_price_recipe[Retail Price], MATCH(1, ("Calculator"&lt;&gt;Table_dim_price_recipe[Type.display])*($L1092=Table_dim_price_recipe[Category])*($D1092=Table_dim_price_recipe[Item Description]) * (H$6=Table_dim_price_recipe[Type])*(Table_dim_price_recipe[Retail Price]&lt;&gt;0)*($C1092=Table_dim_price_recipe[Subcategory]), 0))*$B1092,"")</f>
        <v/>
      </c>
      <c r="I1092" s="39" t="str" cm="1">
        <f t="array" ref="I1092">IFERROR(INDEX(Table_dim_price_recipe[Retail Price], MATCH(1, ("Calculator"&lt;&gt;Table_dim_price_recipe[Type.display])*($L1092=Table_dim_price_recipe[Category])*($D1092=Table_dim_price_recipe[Item Description]) * (I$6=Table_dim_price_recipe[Type])*(Table_dim_price_recipe[Retail Price]&lt;&gt;0)*($C1092=Table_dim_price_recipe[Subcategory]), 0))*$B1092,"")</f>
        <v/>
      </c>
      <c r="J1092" s="39" t="str" cm="1">
        <f t="array" ref="J1092">IFERROR(INDEX(Table_dim_price_recipe[Retail Price], MATCH(1, ("Calculator"&lt;&gt;Table_dim_price_recipe[Type.display])*($L1092=Table_dim_price_recipe[Category])*($D1092=Table_dim_price_recipe[Item Description]) * (J$6=Table_dim_price_recipe[Type])*(Table_dim_price_recipe[Retail Price]&lt;&gt;0)*($C1092=Table_dim_price_recipe[Subcategory]), 0))*$B1092,"")</f>
        <v/>
      </c>
      <c r="K1092" s="39" t="str" cm="1">
        <f t="array" ref="K1092">IFERROR(INDEX(Table_dim_price_recipe[Retail Price], MATCH(1, ("Calculator"&lt;&gt;Table_dim_price_recipe[Type.display])*($L1092=Table_dim_price_recipe[Category])*($D1092=Table_dim_price_recipe[Item Description]) * (K$6=Table_dim_price_recipe[Type])*(Table_dim_price_recipe[Retail Price]&lt;&gt;0)*($C1092=Table_dim_price_recipe[Subcategory]), 0))*$B1092,"")</f>
        <v/>
      </c>
      <c r="L1092" s="39" t="str" cm="1">
        <f t="array" ref="L1092">IF($A1092&lt;&gt;"", $A1092, LOOKUP(2, 1/((A$7:INDEX(A:A, ROW()))&lt;&gt;""), A$7:INDEX(A:A, ROW())))</f>
        <v>SAFETY EQUIPMENT</v>
      </c>
    </row>
    <row r="1093" spans="1:12">
      <c r="A1093" s="263"/>
      <c r="B1093" s="263"/>
      <c r="C1093" s="263" t="s">
        <v>709</v>
      </c>
      <c r="D1093" s="263"/>
      <c r="E1093" s="263"/>
      <c r="F1093" s="263"/>
      <c r="G1093" s="39" t="str" cm="1">
        <f t="array" ref="G1093">IFERROR(INDEX(Table_dim_price_recipe[Retail Price], MATCH(1, ("Calculator"&lt;&gt;Table_dim_price_recipe[Type.display])*($L1093=Table_dim_price_recipe[Category])*($D1093=Table_dim_price_recipe[Item Description]) * (G$6=Table_dim_price_recipe[Type])*(Table_dim_price_recipe[Retail Price]&lt;&gt;0)*($C1093=Table_dim_price_recipe[Subcategory]), 0))*$B1093,"")</f>
        <v/>
      </c>
      <c r="H1093" s="39" t="str" cm="1">
        <f t="array" ref="H1093">IFERROR(INDEX(Table_dim_price_recipe[Retail Price], MATCH(1, ("Calculator"&lt;&gt;Table_dim_price_recipe[Type.display])*($L1093=Table_dim_price_recipe[Category])*($D1093=Table_dim_price_recipe[Item Description]) * (H$6=Table_dim_price_recipe[Type])*(Table_dim_price_recipe[Retail Price]&lt;&gt;0)*($C1093=Table_dim_price_recipe[Subcategory]), 0))*$B1093,"")</f>
        <v/>
      </c>
      <c r="I1093" s="39" t="str" cm="1">
        <f t="array" ref="I1093">IFERROR(INDEX(Table_dim_price_recipe[Retail Price], MATCH(1, ("Calculator"&lt;&gt;Table_dim_price_recipe[Type.display])*($L1093=Table_dim_price_recipe[Category])*($D1093=Table_dim_price_recipe[Item Description]) * (I$6=Table_dim_price_recipe[Type])*(Table_dim_price_recipe[Retail Price]&lt;&gt;0)*($C1093=Table_dim_price_recipe[Subcategory]), 0))*$B1093,"")</f>
        <v/>
      </c>
      <c r="J1093" s="39" t="str" cm="1">
        <f t="array" ref="J1093">IFERROR(INDEX(Table_dim_price_recipe[Retail Price], MATCH(1, ("Calculator"&lt;&gt;Table_dim_price_recipe[Type.display])*($L1093=Table_dim_price_recipe[Category])*($D1093=Table_dim_price_recipe[Item Description]) * (J$6=Table_dim_price_recipe[Type])*(Table_dim_price_recipe[Retail Price]&lt;&gt;0)*($C1093=Table_dim_price_recipe[Subcategory]), 0))*$B1093,"")</f>
        <v/>
      </c>
      <c r="K1093" s="39" t="str" cm="1">
        <f t="array" ref="K1093">IFERROR(INDEX(Table_dim_price_recipe[Retail Price], MATCH(1, ("Calculator"&lt;&gt;Table_dim_price_recipe[Type.display])*($L1093=Table_dim_price_recipe[Category])*($D1093=Table_dim_price_recipe[Item Description]) * (K$6=Table_dim_price_recipe[Type])*(Table_dim_price_recipe[Retail Price]&lt;&gt;0)*($C1093=Table_dim_price_recipe[Subcategory]), 0))*$B1093,"")</f>
        <v/>
      </c>
      <c r="L1093" s="39" t="str" cm="1">
        <f t="array" ref="L1093">IF($A1093&lt;&gt;"", $A1093, LOOKUP(2, 1/((A$7:INDEX(A:A, ROW()))&lt;&gt;""), A$7:INDEX(A:A, ROW())))</f>
        <v>SAFETY EQUIPMENT</v>
      </c>
    </row>
    <row r="1094" spans="1:12">
      <c r="A1094" s="263"/>
      <c r="B1094" s="263"/>
      <c r="C1094" s="263" t="s">
        <v>709</v>
      </c>
      <c r="D1094" s="263"/>
      <c r="E1094" s="263"/>
      <c r="F1094" s="263"/>
      <c r="G1094" s="39" t="str" cm="1">
        <f t="array" ref="G1094">IFERROR(INDEX(Table_dim_price_recipe[Retail Price], MATCH(1, ("Calculator"&lt;&gt;Table_dim_price_recipe[Type.display])*($L1094=Table_dim_price_recipe[Category])*($D1094=Table_dim_price_recipe[Item Description]) * (G$6=Table_dim_price_recipe[Type])*(Table_dim_price_recipe[Retail Price]&lt;&gt;0)*($C1094=Table_dim_price_recipe[Subcategory]), 0))*$B1094,"")</f>
        <v/>
      </c>
      <c r="H1094" s="39" t="str" cm="1">
        <f t="array" ref="H1094">IFERROR(INDEX(Table_dim_price_recipe[Retail Price], MATCH(1, ("Calculator"&lt;&gt;Table_dim_price_recipe[Type.display])*($L1094=Table_dim_price_recipe[Category])*($D1094=Table_dim_price_recipe[Item Description]) * (H$6=Table_dim_price_recipe[Type])*(Table_dim_price_recipe[Retail Price]&lt;&gt;0)*($C1094=Table_dim_price_recipe[Subcategory]), 0))*$B1094,"")</f>
        <v/>
      </c>
      <c r="I1094" s="39" t="str" cm="1">
        <f t="array" ref="I1094">IFERROR(INDEX(Table_dim_price_recipe[Retail Price], MATCH(1, ("Calculator"&lt;&gt;Table_dim_price_recipe[Type.display])*($L1094=Table_dim_price_recipe[Category])*($D1094=Table_dim_price_recipe[Item Description]) * (I$6=Table_dim_price_recipe[Type])*(Table_dim_price_recipe[Retail Price]&lt;&gt;0)*($C1094=Table_dim_price_recipe[Subcategory]), 0))*$B1094,"")</f>
        <v/>
      </c>
      <c r="J1094" s="39" t="str" cm="1">
        <f t="array" ref="J1094">IFERROR(INDEX(Table_dim_price_recipe[Retail Price], MATCH(1, ("Calculator"&lt;&gt;Table_dim_price_recipe[Type.display])*($L1094=Table_dim_price_recipe[Category])*($D1094=Table_dim_price_recipe[Item Description]) * (J$6=Table_dim_price_recipe[Type])*(Table_dim_price_recipe[Retail Price]&lt;&gt;0)*($C1094=Table_dim_price_recipe[Subcategory]), 0))*$B1094,"")</f>
        <v/>
      </c>
      <c r="K1094" s="39" t="str" cm="1">
        <f t="array" ref="K1094">IFERROR(INDEX(Table_dim_price_recipe[Retail Price], MATCH(1, ("Calculator"&lt;&gt;Table_dim_price_recipe[Type.display])*($L1094=Table_dim_price_recipe[Category])*($D1094=Table_dim_price_recipe[Item Description]) * (K$6=Table_dim_price_recipe[Type])*(Table_dim_price_recipe[Retail Price]&lt;&gt;0)*($C1094=Table_dim_price_recipe[Subcategory]), 0))*$B1094,"")</f>
        <v/>
      </c>
      <c r="L1094" s="39" t="str" cm="1">
        <f t="array" ref="L1094">IF($A1094&lt;&gt;"", $A1094, LOOKUP(2, 1/((A$7:INDEX(A:A, ROW()))&lt;&gt;""), A$7:INDEX(A:A, ROW())))</f>
        <v>SAFETY EQUIPMENT</v>
      </c>
    </row>
    <row r="1095" spans="1:12">
      <c r="A1095" s="260" t="s">
        <v>1109</v>
      </c>
      <c r="B1095" s="261"/>
      <c r="C1095" s="261"/>
      <c r="D1095" s="261"/>
      <c r="E1095" s="261"/>
      <c r="F1095" s="261"/>
      <c r="G1095" s="262" t="str" cm="1">
        <f t="array" ref="G1095">IFERROR(INDEX(Table_dim_price_recipe[Retail Price], MATCH(1, ("Calculator"&lt;&gt;Table_dim_price_recipe[Type.display])*($L1095=Table_dim_price_recipe[Category])*($D1095=Table_dim_price_recipe[Item Description]) * (G$6=Table_dim_price_recipe[Type])*(Table_dim_price_recipe[Retail Price]&lt;&gt;0)*($C1095=Table_dim_price_recipe[Subcategory]), 0))*$B1095,"")</f>
        <v/>
      </c>
      <c r="H1095" s="262" t="str" cm="1">
        <f t="array" ref="H1095">IFERROR(INDEX(Table_dim_price_recipe[Retail Price], MATCH(1, ("Calculator"&lt;&gt;Table_dim_price_recipe[Type.display])*($L1095=Table_dim_price_recipe[Category])*($D1095=Table_dim_price_recipe[Item Description]) * (H$6=Table_dim_price_recipe[Type])*(Table_dim_price_recipe[Retail Price]&lt;&gt;0)*($C1095=Table_dim_price_recipe[Subcategory]), 0))*$B1095,"")</f>
        <v/>
      </c>
      <c r="I1095" s="262" t="str" cm="1">
        <f t="array" ref="I1095">IFERROR(INDEX(Table_dim_price_recipe[Retail Price], MATCH(1, ("Calculator"&lt;&gt;Table_dim_price_recipe[Type.display])*($L1095=Table_dim_price_recipe[Category])*($D1095=Table_dim_price_recipe[Item Description]) * (I$6=Table_dim_price_recipe[Type])*(Table_dim_price_recipe[Retail Price]&lt;&gt;0)*($C1095=Table_dim_price_recipe[Subcategory]), 0))*$B1095,"")</f>
        <v/>
      </c>
      <c r="J1095" s="262" t="str" cm="1">
        <f t="array" ref="J1095">IFERROR(INDEX(Table_dim_price_recipe[Retail Price], MATCH(1, ("Calculator"&lt;&gt;Table_dim_price_recipe[Type.display])*($L1095=Table_dim_price_recipe[Category])*($D1095=Table_dim_price_recipe[Item Description]) * (J$6=Table_dim_price_recipe[Type])*(Table_dim_price_recipe[Retail Price]&lt;&gt;0)*($C1095=Table_dim_price_recipe[Subcategory]), 0))*$B1095,"")</f>
        <v/>
      </c>
      <c r="K1095" s="262" t="str" cm="1">
        <f t="array" ref="K1095">IFERROR(INDEX(Table_dim_price_recipe[Retail Price], MATCH(1, ("Calculator"&lt;&gt;Table_dim_price_recipe[Type.display])*($L1095=Table_dim_price_recipe[Category])*($D1095=Table_dim_price_recipe[Item Description]) * (K$6=Table_dim_price_recipe[Type])*(Table_dim_price_recipe[Retail Price]&lt;&gt;0)*($C1095=Table_dim_price_recipe[Subcategory]), 0))*$B1095,"")</f>
        <v/>
      </c>
      <c r="L1095" s="262" t="str" cm="1">
        <f t="array" ref="L1095">IF($A1095&lt;&gt;"", $A1095, LOOKUP(2, 1/((A$7:INDEX(A:A, ROW()))&lt;&gt;""), A$7:INDEX(A:A, ROW())))</f>
        <v>PROFFESIONAL ADVISORS</v>
      </c>
    </row>
    <row r="1096" spans="1:12">
      <c r="A1096" s="263"/>
      <c r="B1096" s="263"/>
      <c r="C1096" s="263" t="s">
        <v>200</v>
      </c>
      <c r="D1096" s="263" t="s">
        <v>1294</v>
      </c>
      <c r="E1096" s="263"/>
      <c r="F1096" s="263"/>
      <c r="G1096" s="39" cm="1">
        <f t="array" ref="G1096">IFERROR(INDEX(Table_dim_price_recipe[Retail Price], MATCH(1, ("Calculator"&lt;&gt;Table_dim_price_recipe[Type.display])*($L1096=Table_dim_price_recipe[Category])*($D1096=Table_dim_price_recipe[Item Description]) * (G$6=Table_dim_price_recipe[Type])*(Table_dim_price_recipe[Retail Price]&lt;&gt;0)*($C1096=Table_dim_price_recipe[Subcategory]), 0))*$B1096,"")</f>
        <v>0</v>
      </c>
      <c r="H1096" s="39" t="str" cm="1">
        <f t="array" ref="H1096">IFERROR(INDEX(Table_dim_price_recipe[Retail Price], MATCH(1, ("Calculator"&lt;&gt;Table_dim_price_recipe[Type.display])*($L1096=Table_dim_price_recipe[Category])*($D1096=Table_dim_price_recipe[Item Description]) * (H$6=Table_dim_price_recipe[Type])*(Table_dim_price_recipe[Retail Price]&lt;&gt;0)*($C1096=Table_dim_price_recipe[Subcategory]), 0))*$B1096,"")</f>
        <v/>
      </c>
      <c r="I1096" s="39" t="str" cm="1">
        <f t="array" ref="I1096">IFERROR(INDEX(Table_dim_price_recipe[Retail Price], MATCH(1, ("Calculator"&lt;&gt;Table_dim_price_recipe[Type.display])*($L1096=Table_dim_price_recipe[Category])*($D1096=Table_dim_price_recipe[Item Description]) * (I$6=Table_dim_price_recipe[Type])*(Table_dim_price_recipe[Retail Price]&lt;&gt;0)*($C1096=Table_dim_price_recipe[Subcategory]), 0))*$B1096,"")</f>
        <v/>
      </c>
      <c r="J1096" s="39" t="str" cm="1">
        <f t="array" ref="J1096">IFERROR(INDEX(Table_dim_price_recipe[Retail Price], MATCH(1, ("Calculator"&lt;&gt;Table_dim_price_recipe[Type.display])*($L1096=Table_dim_price_recipe[Category])*($D1096=Table_dim_price_recipe[Item Description]) * (J$6=Table_dim_price_recipe[Type])*(Table_dim_price_recipe[Retail Price]&lt;&gt;0)*($C1096=Table_dim_price_recipe[Subcategory]), 0))*$B1096,"")</f>
        <v/>
      </c>
      <c r="K1096" s="39" t="str" cm="1">
        <f t="array" ref="K1096">IFERROR(INDEX(Table_dim_price_recipe[Retail Price], MATCH(1, ("Calculator"&lt;&gt;Table_dim_price_recipe[Type.display])*($L1096=Table_dim_price_recipe[Category])*($D1096=Table_dim_price_recipe[Item Description]) * (K$6=Table_dim_price_recipe[Type])*(Table_dim_price_recipe[Retail Price]&lt;&gt;0)*($C1096=Table_dim_price_recipe[Subcategory]), 0))*$B1096,"")</f>
        <v/>
      </c>
      <c r="L1096" s="39" t="str" cm="1">
        <f t="array" ref="L1096">IF($A1096&lt;&gt;"", $A1096, LOOKUP(2, 1/((A$7:INDEX(A:A, ROW()))&lt;&gt;""), A$7:INDEX(A:A, ROW())))</f>
        <v>PROFFESIONAL ADVISORS</v>
      </c>
    </row>
    <row r="1097" spans="1:12">
      <c r="A1097" s="263"/>
      <c r="B1097" s="263"/>
      <c r="C1097" s="263" t="s">
        <v>200</v>
      </c>
      <c r="D1097" s="263" t="s">
        <v>201</v>
      </c>
      <c r="E1097" s="263"/>
      <c r="F1097" s="263"/>
      <c r="G1097" s="39" cm="1">
        <f t="array" ref="G1097">IFERROR(INDEX(Table_dim_price_recipe[Retail Price], MATCH(1, ("Calculator"&lt;&gt;Table_dim_price_recipe[Type.display])*($L1097=Table_dim_price_recipe[Category])*($D1097=Table_dim_price_recipe[Item Description]) * (G$6=Table_dim_price_recipe[Type])*(Table_dim_price_recipe[Retail Price]&lt;&gt;0)*($C1097=Table_dim_price_recipe[Subcategory]), 0))*$B1097,"")</f>
        <v>0</v>
      </c>
      <c r="H1097" s="39" t="str" cm="1">
        <f t="array" ref="H1097">IFERROR(INDEX(Table_dim_price_recipe[Retail Price], MATCH(1, ("Calculator"&lt;&gt;Table_dim_price_recipe[Type.display])*($L1097=Table_dim_price_recipe[Category])*($D1097=Table_dim_price_recipe[Item Description]) * (H$6=Table_dim_price_recipe[Type])*(Table_dim_price_recipe[Retail Price]&lt;&gt;0)*($C1097=Table_dim_price_recipe[Subcategory]), 0))*$B1097,"")</f>
        <v/>
      </c>
      <c r="I1097" s="39" t="str" cm="1">
        <f t="array" ref="I1097">IFERROR(INDEX(Table_dim_price_recipe[Retail Price], MATCH(1, ("Calculator"&lt;&gt;Table_dim_price_recipe[Type.display])*($L1097=Table_dim_price_recipe[Category])*($D1097=Table_dim_price_recipe[Item Description]) * (I$6=Table_dim_price_recipe[Type])*(Table_dim_price_recipe[Retail Price]&lt;&gt;0)*($C1097=Table_dim_price_recipe[Subcategory]), 0))*$B1097,"")</f>
        <v/>
      </c>
      <c r="J1097" s="39" t="str" cm="1">
        <f t="array" ref="J1097">IFERROR(INDEX(Table_dim_price_recipe[Retail Price], MATCH(1, ("Calculator"&lt;&gt;Table_dim_price_recipe[Type.display])*($L1097=Table_dim_price_recipe[Category])*($D1097=Table_dim_price_recipe[Item Description]) * (J$6=Table_dim_price_recipe[Type])*(Table_dim_price_recipe[Retail Price]&lt;&gt;0)*($C1097=Table_dim_price_recipe[Subcategory]), 0))*$B1097,"")</f>
        <v/>
      </c>
      <c r="K1097" s="39" t="str" cm="1">
        <f t="array" ref="K1097">IFERROR(INDEX(Table_dim_price_recipe[Retail Price], MATCH(1, ("Calculator"&lt;&gt;Table_dim_price_recipe[Type.display])*($L1097=Table_dim_price_recipe[Category])*($D1097=Table_dim_price_recipe[Item Description]) * (K$6=Table_dim_price_recipe[Type])*(Table_dim_price_recipe[Retail Price]&lt;&gt;0)*($C1097=Table_dim_price_recipe[Subcategory]), 0))*$B1097,"")</f>
        <v/>
      </c>
      <c r="L1097" s="39" t="str" cm="1">
        <f t="array" ref="L1097">IF($A1097&lt;&gt;"", $A1097, LOOKUP(2, 1/((A$7:INDEX(A:A, ROW()))&lt;&gt;""), A$7:INDEX(A:A, ROW())))</f>
        <v>PROFFESIONAL ADVISORS</v>
      </c>
    </row>
    <row r="1098" spans="1:12">
      <c r="A1098" s="263"/>
      <c r="B1098" s="263"/>
      <c r="C1098" s="263" t="s">
        <v>200</v>
      </c>
      <c r="D1098" s="263"/>
      <c r="E1098" s="263"/>
      <c r="F1098" s="263"/>
      <c r="G1098" s="39" t="str" cm="1">
        <f t="array" ref="G1098">IFERROR(INDEX(Table_dim_price_recipe[Retail Price], MATCH(1, ("Calculator"&lt;&gt;Table_dim_price_recipe[Type.display])*($L1098=Table_dim_price_recipe[Category])*($D1098=Table_dim_price_recipe[Item Description]) * (G$6=Table_dim_price_recipe[Type])*(Table_dim_price_recipe[Retail Price]&lt;&gt;0)*($C1098=Table_dim_price_recipe[Subcategory]), 0))*$B1098,"")</f>
        <v/>
      </c>
      <c r="H1098" s="39" t="str" cm="1">
        <f t="array" ref="H1098">IFERROR(INDEX(Table_dim_price_recipe[Retail Price], MATCH(1, ("Calculator"&lt;&gt;Table_dim_price_recipe[Type.display])*($L1098=Table_dim_price_recipe[Category])*($D1098=Table_dim_price_recipe[Item Description]) * (H$6=Table_dim_price_recipe[Type])*(Table_dim_price_recipe[Retail Price]&lt;&gt;0)*($C1098=Table_dim_price_recipe[Subcategory]), 0))*$B1098,"")</f>
        <v/>
      </c>
      <c r="I1098" s="39" t="str" cm="1">
        <f t="array" ref="I1098">IFERROR(INDEX(Table_dim_price_recipe[Retail Price], MATCH(1, ("Calculator"&lt;&gt;Table_dim_price_recipe[Type.display])*($L1098=Table_dim_price_recipe[Category])*($D1098=Table_dim_price_recipe[Item Description]) * (I$6=Table_dim_price_recipe[Type])*(Table_dim_price_recipe[Retail Price]&lt;&gt;0)*($C1098=Table_dim_price_recipe[Subcategory]), 0))*$B1098,"")</f>
        <v/>
      </c>
      <c r="J1098" s="39" t="str" cm="1">
        <f t="array" ref="J1098">IFERROR(INDEX(Table_dim_price_recipe[Retail Price], MATCH(1, ("Calculator"&lt;&gt;Table_dim_price_recipe[Type.display])*($L1098=Table_dim_price_recipe[Category])*($D1098=Table_dim_price_recipe[Item Description]) * (J$6=Table_dim_price_recipe[Type])*(Table_dim_price_recipe[Retail Price]&lt;&gt;0)*($C1098=Table_dim_price_recipe[Subcategory]), 0))*$B1098,"")</f>
        <v/>
      </c>
      <c r="K1098" s="39" t="str" cm="1">
        <f t="array" ref="K1098">IFERROR(INDEX(Table_dim_price_recipe[Retail Price], MATCH(1, ("Calculator"&lt;&gt;Table_dim_price_recipe[Type.display])*($L1098=Table_dim_price_recipe[Category])*($D1098=Table_dim_price_recipe[Item Description]) * (K$6=Table_dim_price_recipe[Type])*(Table_dim_price_recipe[Retail Price]&lt;&gt;0)*($C1098=Table_dim_price_recipe[Subcategory]), 0))*$B1098,"")</f>
        <v/>
      </c>
      <c r="L1098" s="39" t="str" cm="1">
        <f t="array" ref="L1098">IF($A1098&lt;&gt;"", $A1098, LOOKUP(2, 1/((A$7:INDEX(A:A, ROW()))&lt;&gt;""), A$7:INDEX(A:A, ROW())))</f>
        <v>PROFFESIONAL ADVISORS</v>
      </c>
    </row>
    <row r="1099" spans="1:12">
      <c r="A1099" s="263"/>
      <c r="B1099" s="263"/>
      <c r="C1099" s="263" t="s">
        <v>200</v>
      </c>
      <c r="D1099" s="263"/>
      <c r="E1099" s="263"/>
      <c r="F1099" s="263"/>
      <c r="G1099" s="39" t="str" cm="1">
        <f t="array" ref="G1099">IFERROR(INDEX(Table_dim_price_recipe[Retail Price], MATCH(1, ("Calculator"&lt;&gt;Table_dim_price_recipe[Type.display])*($L1099=Table_dim_price_recipe[Category])*($D1099=Table_dim_price_recipe[Item Description]) * (G$6=Table_dim_price_recipe[Type])*(Table_dim_price_recipe[Retail Price]&lt;&gt;0)*($C1099=Table_dim_price_recipe[Subcategory]), 0))*$B1099,"")</f>
        <v/>
      </c>
      <c r="H1099" s="39" t="str" cm="1">
        <f t="array" ref="H1099">IFERROR(INDEX(Table_dim_price_recipe[Retail Price], MATCH(1, ("Calculator"&lt;&gt;Table_dim_price_recipe[Type.display])*($L1099=Table_dim_price_recipe[Category])*($D1099=Table_dim_price_recipe[Item Description]) * (H$6=Table_dim_price_recipe[Type])*(Table_dim_price_recipe[Retail Price]&lt;&gt;0)*($C1099=Table_dim_price_recipe[Subcategory]), 0))*$B1099,"")</f>
        <v/>
      </c>
      <c r="I1099" s="39" t="str" cm="1">
        <f t="array" ref="I1099">IFERROR(INDEX(Table_dim_price_recipe[Retail Price], MATCH(1, ("Calculator"&lt;&gt;Table_dim_price_recipe[Type.display])*($L1099=Table_dim_price_recipe[Category])*($D1099=Table_dim_price_recipe[Item Description]) * (I$6=Table_dim_price_recipe[Type])*(Table_dim_price_recipe[Retail Price]&lt;&gt;0)*($C1099=Table_dim_price_recipe[Subcategory]), 0))*$B1099,"")</f>
        <v/>
      </c>
      <c r="J1099" s="39" t="str" cm="1">
        <f t="array" ref="J1099">IFERROR(INDEX(Table_dim_price_recipe[Retail Price], MATCH(1, ("Calculator"&lt;&gt;Table_dim_price_recipe[Type.display])*($L1099=Table_dim_price_recipe[Category])*($D1099=Table_dim_price_recipe[Item Description]) * (J$6=Table_dim_price_recipe[Type])*(Table_dim_price_recipe[Retail Price]&lt;&gt;0)*($C1099=Table_dim_price_recipe[Subcategory]), 0))*$B1099,"")</f>
        <v/>
      </c>
      <c r="K1099" s="39" t="str" cm="1">
        <f t="array" ref="K1099">IFERROR(INDEX(Table_dim_price_recipe[Retail Price], MATCH(1, ("Calculator"&lt;&gt;Table_dim_price_recipe[Type.display])*($L1099=Table_dim_price_recipe[Category])*($D1099=Table_dim_price_recipe[Item Description]) * (K$6=Table_dim_price_recipe[Type])*(Table_dim_price_recipe[Retail Price]&lt;&gt;0)*($C1099=Table_dim_price_recipe[Subcategory]), 0))*$B1099,"")</f>
        <v/>
      </c>
      <c r="L1099" s="39" t="str" cm="1">
        <f t="array" ref="L1099">IF($A1099&lt;&gt;"", $A1099, LOOKUP(2, 1/((A$7:INDEX(A:A, ROW()))&lt;&gt;""), A$7:INDEX(A:A, ROW())))</f>
        <v>PROFFESIONAL ADVISORS</v>
      </c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</sheetData>
  <sheetProtection selectLockedCells="1"/>
  <mergeCells count="2">
    <mergeCell ref="A1:D2"/>
    <mergeCell ref="D3:D4"/>
  </mergeCells>
  <phoneticPr fontId="30" type="noConversion"/>
  <dataValidations count="5">
    <dataValidation type="list" allowBlank="1" showInputMessage="1" showErrorMessage="1" sqref="B315" xr:uid="{36E48884-1F1C-4462-B4D3-2EBF2E484520}">
      <formula1>$O$5:$O$19</formula1>
    </dataValidation>
    <dataValidation type="list" allowBlank="1" showInputMessage="1" showErrorMessage="1" sqref="B248:B250 B238:B241 B182" xr:uid="{F7FD0571-737E-4C2B-95CB-02F37F575767}">
      <formula1>#REF!</formula1>
    </dataValidation>
    <dataValidation type="list" allowBlank="1" showInputMessage="1" showErrorMessage="1" sqref="B440" xr:uid="{8EDD100D-8C63-4BB2-B9A4-849D04D12380}">
      <formula1>$P$440:$P$445</formula1>
    </dataValidation>
    <dataValidation type="list" allowBlank="1" showInputMessage="1" showErrorMessage="1" sqref="B452 B441" xr:uid="{8F1F4067-F6B7-4713-8A47-489FEF98F5B7}">
      <formula1>$O$436:$O$452</formula1>
    </dataValidation>
    <dataValidation type="list" allowBlank="1" showInputMessage="1" showErrorMessage="1" sqref="B451" xr:uid="{5A4FCBAE-B395-4775-A692-F643BAFEA2E3}">
      <formula1>$P$440:$P$442</formula1>
    </dataValidation>
  </dataValidations>
  <pageMargins left="0" right="0" top="0.98425196850393704" bottom="0.98425196850393704" header="0.51181102362204722" footer="0.51181102362204722"/>
  <pageSetup paperSize="9" scale="95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bBGC1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49" r:id="rId4" name="CbBGC1"/>
      </mc:Fallback>
    </mc:AlternateContent>
    <mc:AlternateContent xmlns:mc="http://schemas.openxmlformats.org/markup-compatibility/2006">
      <mc:Choice Requires="x14">
        <control shapeId="2050" r:id="rId6" name="CbBGC2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50" r:id="rId6" name="CbBGC2"/>
      </mc:Fallback>
    </mc:AlternateContent>
    <mc:AlternateContent xmlns:mc="http://schemas.openxmlformats.org/markup-compatibility/2006">
      <mc:Choice Requires="x14">
        <control shapeId="2051" r:id="rId7" name="CbBGC3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51" r:id="rId7" name="CbBGC3"/>
      </mc:Fallback>
    </mc:AlternateContent>
    <mc:AlternateContent xmlns:mc="http://schemas.openxmlformats.org/markup-compatibility/2006">
      <mc:Choice Requires="x14">
        <control shapeId="2052" r:id="rId8" name="CbBGC4">
          <controlPr defaultSize="0" autoLine="0" r:id="rId5">
            <anchor moveWithCells="1">
              <from>
                <xdr:col>44</xdr:col>
                <xdr:colOff>0</xdr:colOff>
                <xdr:row>604</xdr:row>
                <xdr:rowOff>114300</xdr:rowOff>
              </from>
              <to>
                <xdr:col>49</xdr:col>
                <xdr:colOff>647700</xdr:colOff>
                <xdr:row>605</xdr:row>
                <xdr:rowOff>123825</xdr:rowOff>
              </to>
            </anchor>
          </controlPr>
        </control>
      </mc:Choice>
      <mc:Fallback>
        <control shapeId="2052" r:id="rId8" name="CbBGC4"/>
      </mc:Fallback>
    </mc:AlternateContent>
    <mc:AlternateContent xmlns:mc="http://schemas.openxmlformats.org/markup-compatibility/2006">
      <mc:Choice Requires="x14">
        <control shapeId="2053" r:id="rId9" name="CbBGC5">
          <controlPr defaultSize="0" autoLine="0" r:id="rId5">
            <anchor moveWithCells="1">
              <from>
                <xdr:col>44</xdr:col>
                <xdr:colOff>0</xdr:colOff>
                <xdr:row>622</xdr:row>
                <xdr:rowOff>19050</xdr:rowOff>
              </from>
              <to>
                <xdr:col>49</xdr:col>
                <xdr:colOff>647700</xdr:colOff>
                <xdr:row>623</xdr:row>
                <xdr:rowOff>28575</xdr:rowOff>
              </to>
            </anchor>
          </controlPr>
        </control>
      </mc:Choice>
      <mc:Fallback>
        <control shapeId="2053" r:id="rId9" name="CbBGC5"/>
      </mc:Fallback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C325C79-2131-4D1D-8DDF-A8FBC60FC1C7}">
          <x14:formula1>
            <xm:f>prices!$F$250:$F$263</xm:f>
          </x14:formula1>
          <xm:sqref>E494:E507</xm:sqref>
        </x14:dataValidation>
        <x14:dataValidation type="list" allowBlank="1" showInputMessage="1" showErrorMessage="1" xr:uid="{5075FE15-A7A0-4BEC-9F2F-4D10AD41406C}">
          <x14:formula1>
            <xm:f>prices!$F$322:$F$324</xm:f>
          </x14:formula1>
          <xm:sqref>E563:E566</xm:sqref>
        </x14:dataValidation>
        <x14:dataValidation type="list" allowBlank="1" showInputMessage="1" showErrorMessage="1" xr:uid="{BF16A687-3FA4-40C7-9BE6-3E34BE8F50D1}">
          <x14:formula1>
            <xm:f>prices!$F$328:$F$338</xm:f>
          </x14:formula1>
          <xm:sqref>E582:E585</xm:sqref>
        </x14:dataValidation>
        <x14:dataValidation type="list" allowBlank="1" showInputMessage="1" showErrorMessage="1" xr:uid="{2F47F8CE-B2ED-4291-8819-C3D6811EDBA5}">
          <x14:formula1>
            <xm:f>prices!$F$372:$F$424</xm:f>
          </x14:formula1>
          <xm:sqref>E588:E593</xm:sqref>
        </x14:dataValidation>
        <x14:dataValidation type="list" allowBlank="1" showInputMessage="1" showErrorMessage="1" xr:uid="{A1896B66-CBCA-43EC-9719-52BC4F9AC212}">
          <x14:formula1>
            <xm:f>prices!$F$1096:$F$1097</xm:f>
          </x14:formula1>
          <xm:sqref>E547:E558</xm:sqref>
        </x14:dataValidation>
        <x14:dataValidation type="list" allowBlank="1" showInputMessage="1" showErrorMessage="1" xr:uid="{D15B8E67-C2E7-4100-B84D-DED6168F9C25}">
          <x14:formula1>
            <xm:f>prices!$F$164:$F$190</xm:f>
          </x14:formula1>
          <xm:sqref>E73:E76</xm:sqref>
        </x14:dataValidation>
        <x14:dataValidation type="list" allowBlank="1" showInputMessage="1" showErrorMessage="1" xr:uid="{AA834C8B-CACE-4066-9D88-BEDD1C3CC301}">
          <x14:formula1>
            <xm:f>prices!$F$347:$F$359</xm:f>
          </x14:formula1>
          <xm:sqref>E568:E569</xm:sqref>
        </x14:dataValidation>
        <x14:dataValidation type="list" allowBlank="1" showInputMessage="1" showErrorMessage="1" xr:uid="{A7875427-5570-4B55-A309-A39C91591BED}">
          <x14:formula1>
            <xm:f>prices!$F$325:$F$327</xm:f>
          </x14:formula1>
          <xm:sqref>E576:E578</xm:sqref>
        </x14:dataValidation>
        <x14:dataValidation type="list" allowBlank="1" showInputMessage="1" showErrorMessage="1" xr:uid="{CA5B40DF-80EB-4A51-BA92-61369FBD34BF}">
          <x14:formula1>
            <xm:f>prices!$F$361:$F$370</xm:f>
          </x14:formula1>
          <xm:sqref>E570:E573</xm:sqref>
        </x14:dataValidation>
        <x14:dataValidation type="list" allowBlank="1" showInputMessage="1" showErrorMessage="1" xr:uid="{B27FBC0A-E70D-4C54-95BA-7FEB6ACC3718}">
          <x14:formula1>
            <xm:f>OFFSET(dropdown_1!$A$2,,,MATCH("*", dropdown_1!$A$2:$A$296, -1),)</xm:f>
          </x14:formula1>
          <xm:sqref>A7:A1099</xm:sqref>
        </x14:dataValidation>
        <x14:dataValidation type="list" allowBlank="1" showInputMessage="1" showErrorMessage="1" xr:uid="{44DE1C42-DF92-416F-AD80-E9E27F1DA26B}">
          <x14:formula1>
            <xm:f>prices!$G$119:$G$125</xm:f>
          </x14:formula1>
          <xm:sqref>E78:E80</xm:sqref>
        </x14:dataValidation>
        <x14:dataValidation type="list" allowBlank="1" showInputMessage="1" showErrorMessage="1" xr:uid="{FDBD0F2B-7EE9-4100-8998-154D4EA508BE}">
          <x14:formula1>
            <xm:f>OFFSET(dropdown_1!$B$1,MATCH($L8,dropdown_1!$A$2:$A$296,0),,1,COUNTIF(OFFSET(dropdown_1!$C$1,MATCH($L8,dropdown_1!$A$2:$A$296,0),,1,200),"?**")+1)</xm:f>
          </x14:formula1>
          <xm:sqref>C8:C1099</xm:sqref>
        </x14:dataValidation>
        <x14:dataValidation type="list" allowBlank="1" showInputMessage="1" showErrorMessage="1" xr:uid="{168D4251-EDF5-458A-8B77-ED3130944A26}">
          <x14:formula1>
            <xm:f>OFFSET(dropdown_2!$B$1,MATCH($C8,dropdown_2!$A$2:$A$305,0),,1,COUNTIF(OFFSET(dropdown_2!$B$1,MATCH($C8,dropdown_2!$A$2:$A$305,0),,1,200),"?**")+1)</xm:f>
          </x14:formula1>
          <xm:sqref>D8:D1099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C97B-BCCF-455A-A066-D9D8EAC5437C}">
  <sheetPr codeName="Sheet20">
    <tabColor theme="4"/>
  </sheetPr>
  <dimension ref="A1:K89"/>
  <sheetViews>
    <sheetView topLeftCell="A33" workbookViewId="0">
      <selection activeCell="G12" sqref="G12"/>
    </sheetView>
  </sheetViews>
  <sheetFormatPr defaultRowHeight="15"/>
  <cols>
    <col min="1" max="1" width="13.42578125" bestFit="1" customWidth="1"/>
    <col min="2" max="2" width="18" bestFit="1" customWidth="1"/>
    <col min="3" max="3" width="15.5703125" bestFit="1" customWidth="1"/>
    <col min="4" max="4" width="15.42578125" bestFit="1" customWidth="1"/>
    <col min="5" max="5" width="15" bestFit="1" customWidth="1"/>
    <col min="6" max="6" width="20" bestFit="1" customWidth="1"/>
    <col min="7" max="7" width="40.42578125" bestFit="1" customWidth="1"/>
    <col min="8" max="8" width="66.5703125" bestFit="1" customWidth="1"/>
    <col min="9" max="9" width="13.28515625" bestFit="1" customWidth="1"/>
  </cols>
  <sheetData>
    <row r="1" spans="1:11" ht="15.75" thickBot="1"/>
    <row r="2" spans="1:11">
      <c r="A2" s="276" t="s">
        <v>1396</v>
      </c>
      <c r="B2" s="265"/>
      <c r="C2" s="265"/>
      <c r="D2" s="265"/>
      <c r="E2" s="265"/>
      <c r="F2" s="266"/>
      <c r="H2" s="255" t="s">
        <v>1397</v>
      </c>
    </row>
    <row r="3" spans="1:11">
      <c r="A3" s="267"/>
      <c r="B3" t="s">
        <v>110</v>
      </c>
      <c r="C3" t="s">
        <v>1242</v>
      </c>
      <c r="D3" t="s">
        <v>3</v>
      </c>
      <c r="E3" t="s">
        <v>1356</v>
      </c>
      <c r="F3" s="268"/>
      <c r="H3" t="s">
        <v>1107</v>
      </c>
      <c r="I3" t="s">
        <v>4</v>
      </c>
      <c r="J3" t="s">
        <v>110</v>
      </c>
      <c r="K3" t="s">
        <v>1242</v>
      </c>
    </row>
    <row r="4" spans="1:11">
      <c r="A4" s="267"/>
      <c r="B4" t="s">
        <v>1206</v>
      </c>
      <c r="C4">
        <v>41.472000000000001</v>
      </c>
      <c r="D4">
        <v>1</v>
      </c>
      <c r="E4" s="269">
        <v>41.472000000000001</v>
      </c>
      <c r="F4" s="268"/>
      <c r="H4" t="s">
        <v>11</v>
      </c>
      <c r="I4" t="s">
        <v>235</v>
      </c>
      <c r="J4" t="s">
        <v>236</v>
      </c>
      <c r="K4">
        <v>832</v>
      </c>
    </row>
    <row r="5" spans="1:11">
      <c r="A5" s="267"/>
      <c r="B5" t="s">
        <v>1220</v>
      </c>
      <c r="C5">
        <v>73.727999999999994</v>
      </c>
      <c r="D5">
        <v>1</v>
      </c>
      <c r="E5" s="269">
        <v>73.727999999999994</v>
      </c>
      <c r="F5" s="268"/>
      <c r="H5" t="s">
        <v>11</v>
      </c>
      <c r="I5" t="s">
        <v>233</v>
      </c>
      <c r="J5" t="s">
        <v>14</v>
      </c>
      <c r="K5">
        <v>640</v>
      </c>
    </row>
    <row r="6" spans="1:11">
      <c r="A6" s="267"/>
      <c r="B6" t="s">
        <v>1207</v>
      </c>
      <c r="C6">
        <v>40.704000000000001</v>
      </c>
      <c r="D6">
        <v>3</v>
      </c>
      <c r="E6" s="269">
        <v>122.11199999999999</v>
      </c>
      <c r="F6" s="268"/>
      <c r="H6" t="s">
        <v>11</v>
      </c>
      <c r="I6" t="s">
        <v>241</v>
      </c>
      <c r="J6" t="s">
        <v>1314</v>
      </c>
      <c r="K6">
        <v>560</v>
      </c>
    </row>
    <row r="7" spans="1:11">
      <c r="A7" s="267"/>
      <c r="B7" t="s">
        <v>1208</v>
      </c>
      <c r="C7">
        <v>48.896000000000001</v>
      </c>
      <c r="D7">
        <v>1</v>
      </c>
      <c r="E7" s="269">
        <v>48.896000000000001</v>
      </c>
      <c r="F7" s="268"/>
      <c r="H7" t="s">
        <v>23</v>
      </c>
      <c r="I7" t="s">
        <v>258</v>
      </c>
      <c r="J7" t="s">
        <v>259</v>
      </c>
      <c r="K7">
        <v>640</v>
      </c>
    </row>
    <row r="8" spans="1:11">
      <c r="A8" s="267"/>
      <c r="B8" t="s">
        <v>1209</v>
      </c>
      <c r="C8">
        <v>60.927999999999997</v>
      </c>
      <c r="D8">
        <v>1</v>
      </c>
      <c r="E8" s="269">
        <v>60.927999999999997</v>
      </c>
      <c r="F8" s="268"/>
      <c r="H8" t="s">
        <v>69</v>
      </c>
      <c r="I8" t="s">
        <v>367</v>
      </c>
      <c r="J8" t="s">
        <v>1313</v>
      </c>
      <c r="K8">
        <v>4000</v>
      </c>
    </row>
    <row r="9" spans="1:11">
      <c r="A9" s="267"/>
      <c r="B9" t="s">
        <v>1217</v>
      </c>
      <c r="C9">
        <v>73.215999999999994</v>
      </c>
      <c r="D9">
        <v>2</v>
      </c>
      <c r="E9" s="269">
        <v>146.43199999999999</v>
      </c>
      <c r="F9" s="268"/>
      <c r="H9" t="s">
        <v>58</v>
      </c>
      <c r="I9" t="s">
        <v>622</v>
      </c>
      <c r="J9" t="s">
        <v>1317</v>
      </c>
    </row>
    <row r="10" spans="1:11">
      <c r="A10" s="267"/>
      <c r="B10" t="s">
        <v>1210</v>
      </c>
      <c r="C10">
        <v>81.408000000000001</v>
      </c>
      <c r="D10">
        <v>1</v>
      </c>
      <c r="E10" s="269">
        <v>81.408000000000001</v>
      </c>
      <c r="F10" s="268"/>
      <c r="H10" t="s">
        <v>23</v>
      </c>
      <c r="I10" t="s">
        <v>1352</v>
      </c>
      <c r="J10" t="s">
        <v>693</v>
      </c>
      <c r="K10">
        <v>128</v>
      </c>
    </row>
    <row r="11" spans="1:11">
      <c r="A11" s="267"/>
      <c r="B11" t="s">
        <v>78</v>
      </c>
      <c r="E11" s="269">
        <f>SUBTOTAL(109,Table_soil_cal[Soil.Total_price])</f>
        <v>574.976</v>
      </c>
      <c r="F11" s="268"/>
      <c r="H11" t="s">
        <v>99</v>
      </c>
      <c r="I11" t="s">
        <v>754</v>
      </c>
      <c r="J11" t="s">
        <v>1316</v>
      </c>
      <c r="K11">
        <v>2400</v>
      </c>
    </row>
    <row r="12" spans="1:11">
      <c r="A12" s="267"/>
      <c r="D12" s="269"/>
      <c r="E12" s="269"/>
      <c r="F12" s="268"/>
      <c r="H12" t="s">
        <v>98</v>
      </c>
      <c r="I12" t="s">
        <v>10</v>
      </c>
      <c r="J12" t="s">
        <v>1315</v>
      </c>
      <c r="K12">
        <v>44</v>
      </c>
    </row>
    <row r="13" spans="1:11">
      <c r="A13" s="267"/>
      <c r="F13" s="268"/>
      <c r="H13" t="s">
        <v>105</v>
      </c>
      <c r="I13" t="s">
        <v>1354</v>
      </c>
      <c r="J13" t="s">
        <v>818</v>
      </c>
      <c r="K13">
        <v>0</v>
      </c>
    </row>
    <row r="14" spans="1:11">
      <c r="A14" s="267"/>
      <c r="B14" t="s">
        <v>110</v>
      </c>
      <c r="C14" t="s">
        <v>1242</v>
      </c>
      <c r="D14" t="s">
        <v>3</v>
      </c>
      <c r="E14" t="s">
        <v>1358</v>
      </c>
      <c r="F14" s="268"/>
      <c r="H14" t="s">
        <v>105</v>
      </c>
      <c r="I14" t="s">
        <v>1353</v>
      </c>
      <c r="J14" t="s">
        <v>896</v>
      </c>
      <c r="K14">
        <v>384</v>
      </c>
    </row>
    <row r="15" spans="1:11">
      <c r="A15" s="267"/>
      <c r="B15" t="s">
        <v>1206</v>
      </c>
      <c r="C15">
        <v>77.760000000000005</v>
      </c>
      <c r="D15">
        <v>1</v>
      </c>
      <c r="E15" s="269">
        <v>77.760000000000005</v>
      </c>
      <c r="F15" s="268"/>
      <c r="H15" t="s">
        <v>105</v>
      </c>
      <c r="I15" t="s">
        <v>890</v>
      </c>
      <c r="J15" t="s">
        <v>897</v>
      </c>
      <c r="K15">
        <v>416</v>
      </c>
    </row>
    <row r="16" spans="1:11">
      <c r="A16" s="267"/>
      <c r="B16" t="s">
        <v>1220</v>
      </c>
      <c r="C16">
        <v>138.24</v>
      </c>
      <c r="D16">
        <v>1</v>
      </c>
      <c r="E16" s="269">
        <v>138.24</v>
      </c>
      <c r="F16" s="268"/>
      <c r="H16" t="s">
        <v>105</v>
      </c>
      <c r="I16" t="s">
        <v>1226</v>
      </c>
      <c r="J16" t="s">
        <v>1351</v>
      </c>
      <c r="K16">
        <v>192</v>
      </c>
    </row>
    <row r="17" spans="1:11">
      <c r="A17" s="267"/>
      <c r="B17" t="s">
        <v>1207</v>
      </c>
      <c r="C17">
        <v>76.319999999999993</v>
      </c>
      <c r="D17">
        <v>3</v>
      </c>
      <c r="E17" s="269">
        <v>228.96</v>
      </c>
      <c r="F17" s="268"/>
      <c r="H17" t="s">
        <v>105</v>
      </c>
      <c r="I17" t="s">
        <v>1355</v>
      </c>
      <c r="J17" t="s">
        <v>1350</v>
      </c>
      <c r="K17">
        <v>744.72</v>
      </c>
    </row>
    <row r="18" spans="1:11">
      <c r="A18" s="267"/>
      <c r="B18" t="s">
        <v>1208</v>
      </c>
      <c r="C18">
        <v>91.68</v>
      </c>
      <c r="D18">
        <v>1</v>
      </c>
      <c r="E18" s="269">
        <v>91.68</v>
      </c>
      <c r="F18" s="268"/>
      <c r="H18" t="s">
        <v>11</v>
      </c>
      <c r="I18" t="s">
        <v>1303</v>
      </c>
      <c r="J18" t="s">
        <v>1318</v>
      </c>
      <c r="K18">
        <v>480</v>
      </c>
    </row>
    <row r="19" spans="1:11">
      <c r="A19" s="267"/>
      <c r="B19" t="s">
        <v>1209</v>
      </c>
      <c r="C19">
        <v>114.24</v>
      </c>
      <c r="D19">
        <v>1</v>
      </c>
      <c r="E19" s="269">
        <v>114.24</v>
      </c>
      <c r="F19" s="268"/>
    </row>
    <row r="20" spans="1:11">
      <c r="A20" s="267"/>
      <c r="B20" t="s">
        <v>1217</v>
      </c>
      <c r="C20">
        <v>137.28</v>
      </c>
      <c r="D20">
        <v>2</v>
      </c>
      <c r="E20" s="269">
        <v>274.56</v>
      </c>
      <c r="F20" s="268"/>
    </row>
    <row r="21" spans="1:11">
      <c r="A21" s="267"/>
      <c r="B21" t="s">
        <v>1210</v>
      </c>
      <c r="C21">
        <v>152.63999999999999</v>
      </c>
      <c r="D21">
        <v>1</v>
      </c>
      <c r="E21" s="269">
        <v>152.63999999999999</v>
      </c>
      <c r="F21" s="268"/>
    </row>
    <row r="22" spans="1:11">
      <c r="A22" s="267"/>
      <c r="B22" t="s">
        <v>78</v>
      </c>
      <c r="E22" s="269">
        <f>MAX(SUBTOTAL(109,Table_concrete_cal[Concrete.Total_price]),INDEX(Table_dim_minimum_hire[Retail Price],MATCH("Concrete Calculator",Table_dim_minimum_hire[Subcategory],0)))</f>
        <v>1078.08</v>
      </c>
      <c r="F22" s="270"/>
    </row>
    <row r="23" spans="1:11">
      <c r="A23" s="267"/>
      <c r="F23" s="268"/>
    </row>
    <row r="24" spans="1:11">
      <c r="A24" s="267"/>
      <c r="F24" s="268"/>
    </row>
    <row r="25" spans="1:11">
      <c r="A25" s="267"/>
      <c r="B25" t="s">
        <v>1246</v>
      </c>
      <c r="C25" t="s">
        <v>3</v>
      </c>
      <c r="D25" t="s">
        <v>1247</v>
      </c>
      <c r="E25" t="s">
        <v>1360</v>
      </c>
      <c r="F25" s="268"/>
    </row>
    <row r="26" spans="1:11">
      <c r="A26" s="267"/>
      <c r="B26" t="s">
        <v>1394</v>
      </c>
      <c r="C26">
        <v>1</v>
      </c>
      <c r="D26" s="269">
        <v>640</v>
      </c>
      <c r="E26" s="269">
        <v>640</v>
      </c>
      <c r="F26" s="268"/>
    </row>
    <row r="27" spans="1:11">
      <c r="A27" s="267"/>
      <c r="B27" t="s">
        <v>78</v>
      </c>
      <c r="D27" s="269"/>
      <c r="E27" s="269">
        <f>SUBTOTAL(109,Table_mini_dingo[Mini dingo cost.Total_price])</f>
        <v>640</v>
      </c>
      <c r="F27" s="268"/>
    </row>
    <row r="28" spans="1:11">
      <c r="A28" s="267"/>
      <c r="F28" s="268"/>
    </row>
    <row r="29" spans="1:11">
      <c r="A29" s="267"/>
      <c r="F29" s="268"/>
    </row>
    <row r="30" spans="1:11">
      <c r="A30" s="267"/>
      <c r="F30" s="268"/>
    </row>
    <row r="31" spans="1:11">
      <c r="A31" s="267"/>
      <c r="B31" t="s">
        <v>5</v>
      </c>
      <c r="C31" t="s">
        <v>1244</v>
      </c>
      <c r="D31" t="s">
        <v>1245</v>
      </c>
      <c r="E31" t="s">
        <v>1312</v>
      </c>
      <c r="F31" s="268"/>
    </row>
    <row r="32" spans="1:11">
      <c r="A32" s="267"/>
      <c r="B32" t="s">
        <v>1357</v>
      </c>
      <c r="C32">
        <v>4.492</v>
      </c>
      <c r="D32" t="s">
        <v>1225</v>
      </c>
      <c r="E32" s="271">
        <f>IFERROR(INDEX(dim_price[Retail Price],MATCH(Table_hire_bin[[#This Row],[Hire bin]],dim_price[Item Description],0))+INDEX(dim_price[Retail Price],MATCH("bin permit", dim_price[Item Description],0)),0)</f>
        <v>1440</v>
      </c>
      <c r="F32" s="268"/>
    </row>
    <row r="33" spans="1:6">
      <c r="A33" s="267"/>
      <c r="B33" t="s">
        <v>78</v>
      </c>
      <c r="E33" s="269">
        <f>SUBTOTAL(109,Table_hire_bin[Total.Hire bin])</f>
        <v>1440</v>
      </c>
      <c r="F33" s="268"/>
    </row>
    <row r="34" spans="1:6">
      <c r="A34" s="267"/>
      <c r="F34" s="268"/>
    </row>
    <row r="35" spans="1:6">
      <c r="A35" s="267"/>
      <c r="F35" s="268"/>
    </row>
    <row r="36" spans="1:6">
      <c r="A36" s="267"/>
      <c r="F36" s="268"/>
    </row>
    <row r="37" spans="1:6">
      <c r="A37" s="267"/>
      <c r="B37" t="s">
        <v>5</v>
      </c>
      <c r="C37" t="s">
        <v>3</v>
      </c>
      <c r="D37" t="s">
        <v>1311</v>
      </c>
      <c r="E37" t="s">
        <v>1359</v>
      </c>
      <c r="F37" s="268"/>
    </row>
    <row r="38" spans="1:6">
      <c r="A38" s="267"/>
      <c r="B38" t="s">
        <v>1189</v>
      </c>
      <c r="C38">
        <v>1</v>
      </c>
      <c r="D38" s="269"/>
      <c r="E38" s="269">
        <v>0</v>
      </c>
      <c r="F38" s="268"/>
    </row>
    <row r="39" spans="1:6">
      <c r="A39" s="267"/>
      <c r="B39" t="s">
        <v>1199</v>
      </c>
      <c r="C39">
        <v>1</v>
      </c>
      <c r="D39" s="269">
        <v>44</v>
      </c>
      <c r="E39" s="269">
        <v>44</v>
      </c>
      <c r="F39" s="268"/>
    </row>
    <row r="40" spans="1:6">
      <c r="A40" s="267"/>
      <c r="B40" t="s">
        <v>119</v>
      </c>
      <c r="C40">
        <v>1</v>
      </c>
      <c r="D40" s="269">
        <v>22</v>
      </c>
      <c r="E40" s="269">
        <v>22</v>
      </c>
      <c r="F40" s="268"/>
    </row>
    <row r="41" spans="1:6">
      <c r="A41" s="267"/>
      <c r="B41" t="s">
        <v>1198</v>
      </c>
      <c r="C41">
        <v>1</v>
      </c>
      <c r="D41" s="269"/>
      <c r="E41" s="269">
        <v>0</v>
      </c>
      <c r="F41" s="268"/>
    </row>
    <row r="42" spans="1:6">
      <c r="A42" s="267"/>
      <c r="B42" t="s">
        <v>123</v>
      </c>
      <c r="C42">
        <v>2</v>
      </c>
      <c r="D42" s="269">
        <v>64.533299999999997</v>
      </c>
      <c r="E42" s="269">
        <v>129.06659999999999</v>
      </c>
      <c r="F42" s="268"/>
    </row>
    <row r="43" spans="1:6">
      <c r="A43" s="267"/>
      <c r="B43" t="s">
        <v>1186</v>
      </c>
      <c r="C43">
        <v>1</v>
      </c>
      <c r="D43" s="269">
        <v>1.4666999999999999</v>
      </c>
      <c r="E43" s="269">
        <v>1.4666999999999999</v>
      </c>
      <c r="F43" s="268"/>
    </row>
    <row r="44" spans="1:6">
      <c r="A44" s="267"/>
      <c r="B44" t="s">
        <v>1187</v>
      </c>
      <c r="C44">
        <v>1</v>
      </c>
      <c r="D44" s="269"/>
      <c r="E44" s="269">
        <v>0</v>
      </c>
      <c r="F44" s="268"/>
    </row>
    <row r="45" spans="1:6">
      <c r="A45" s="267"/>
      <c r="B45" t="s">
        <v>1190</v>
      </c>
      <c r="C45">
        <v>1</v>
      </c>
      <c r="D45" s="269">
        <v>13.2</v>
      </c>
      <c r="E45" s="269">
        <v>13.2</v>
      </c>
      <c r="F45" s="268"/>
    </row>
    <row r="46" spans="1:6">
      <c r="A46" s="267"/>
      <c r="B46" t="s">
        <v>122</v>
      </c>
      <c r="C46">
        <v>4</v>
      </c>
      <c r="D46" s="269">
        <v>138.80000000000001</v>
      </c>
      <c r="E46" s="269">
        <v>555.20000000000005</v>
      </c>
      <c r="F46" s="268"/>
    </row>
    <row r="47" spans="1:6">
      <c r="A47" s="267"/>
      <c r="B47" t="s">
        <v>1197</v>
      </c>
      <c r="C47">
        <v>1</v>
      </c>
      <c r="D47" s="269">
        <v>34.32</v>
      </c>
      <c r="E47" s="269">
        <v>34.32</v>
      </c>
      <c r="F47" s="268"/>
    </row>
    <row r="48" spans="1:6">
      <c r="A48" s="267"/>
      <c r="B48" t="s">
        <v>1182</v>
      </c>
      <c r="C48">
        <v>1</v>
      </c>
      <c r="D48" s="269"/>
      <c r="E48" s="269">
        <v>0</v>
      </c>
      <c r="F48" s="268"/>
    </row>
    <row r="49" spans="1:6">
      <c r="A49" s="267"/>
      <c r="B49" t="s">
        <v>120</v>
      </c>
      <c r="C49">
        <v>5</v>
      </c>
      <c r="D49" s="269">
        <v>4.4000000000000004</v>
      </c>
      <c r="E49" s="269">
        <v>22</v>
      </c>
      <c r="F49" s="268"/>
    </row>
    <row r="50" spans="1:6">
      <c r="A50" s="267"/>
      <c r="B50" t="s">
        <v>1184</v>
      </c>
      <c r="C50">
        <v>1</v>
      </c>
      <c r="D50" s="269"/>
      <c r="E50" s="269">
        <v>0</v>
      </c>
      <c r="F50" s="268"/>
    </row>
    <row r="51" spans="1:6">
      <c r="A51" s="267"/>
      <c r="B51" t="s">
        <v>1185</v>
      </c>
      <c r="C51">
        <v>1</v>
      </c>
      <c r="D51" s="269"/>
      <c r="E51" s="269">
        <v>0</v>
      </c>
      <c r="F51" s="268"/>
    </row>
    <row r="52" spans="1:6">
      <c r="A52" s="267"/>
      <c r="B52" t="s">
        <v>1194</v>
      </c>
      <c r="C52">
        <v>1</v>
      </c>
      <c r="D52" s="269">
        <v>176</v>
      </c>
      <c r="E52" s="269">
        <v>176</v>
      </c>
      <c r="F52" s="268"/>
    </row>
    <row r="53" spans="1:6">
      <c r="A53" s="267"/>
      <c r="B53" t="s">
        <v>1196</v>
      </c>
      <c r="C53">
        <v>1</v>
      </c>
      <c r="D53" s="269">
        <v>39.996000000000002</v>
      </c>
      <c r="E53" s="269">
        <v>39.996000000000002</v>
      </c>
      <c r="F53" s="268"/>
    </row>
    <row r="54" spans="1:6">
      <c r="A54" s="267"/>
      <c r="B54" t="s">
        <v>1195</v>
      </c>
      <c r="C54">
        <v>1</v>
      </c>
      <c r="D54" s="269">
        <v>176</v>
      </c>
      <c r="E54" s="269">
        <v>176</v>
      </c>
      <c r="F54" s="268"/>
    </row>
    <row r="55" spans="1:6">
      <c r="A55" s="267"/>
      <c r="B55" t="s">
        <v>121</v>
      </c>
      <c r="C55">
        <v>1</v>
      </c>
      <c r="D55" s="269"/>
      <c r="E55" s="269">
        <v>0</v>
      </c>
      <c r="F55" s="268"/>
    </row>
    <row r="56" spans="1:6">
      <c r="A56" s="267"/>
      <c r="B56" t="s">
        <v>1183</v>
      </c>
      <c r="C56">
        <v>1</v>
      </c>
      <c r="D56" s="269"/>
      <c r="E56" s="269">
        <v>0</v>
      </c>
      <c r="F56" s="268"/>
    </row>
    <row r="57" spans="1:6">
      <c r="A57" s="267"/>
      <c r="B57" t="s">
        <v>1188</v>
      </c>
      <c r="C57">
        <v>1</v>
      </c>
      <c r="D57" s="269"/>
      <c r="E57" s="269">
        <v>0</v>
      </c>
      <c r="F57" s="268"/>
    </row>
    <row r="58" spans="1:6">
      <c r="A58" s="267"/>
      <c r="B58" t="s">
        <v>1192</v>
      </c>
      <c r="C58">
        <v>1</v>
      </c>
      <c r="D58" s="269">
        <v>13.2</v>
      </c>
      <c r="E58" s="269">
        <v>13.2</v>
      </c>
      <c r="F58" s="268"/>
    </row>
    <row r="59" spans="1:6">
      <c r="A59" s="267"/>
      <c r="B59" t="s">
        <v>1193</v>
      </c>
      <c r="C59">
        <v>1</v>
      </c>
      <c r="D59" s="269">
        <v>176</v>
      </c>
      <c r="E59" s="269">
        <v>176</v>
      </c>
      <c r="F59" s="268"/>
    </row>
    <row r="60" spans="1:6">
      <c r="A60" s="267"/>
      <c r="B60" t="s">
        <v>1191</v>
      </c>
      <c r="C60">
        <v>1</v>
      </c>
      <c r="D60" s="269">
        <v>29.333300000000001</v>
      </c>
      <c r="E60" s="269">
        <v>29.333300000000001</v>
      </c>
      <c r="F60" s="268"/>
    </row>
    <row r="61" spans="1:6">
      <c r="A61" s="267"/>
      <c r="D61" s="269"/>
      <c r="E61" s="269">
        <v>0</v>
      </c>
      <c r="F61" s="268"/>
    </row>
    <row r="62" spans="1:6">
      <c r="A62" s="267"/>
      <c r="B62" t="s">
        <v>78</v>
      </c>
      <c r="C62">
        <f>SUBTOTAL(109,Table_paint_cal[Qty])</f>
        <v>31</v>
      </c>
      <c r="D62" s="269"/>
      <c r="E62" s="269">
        <f>IF(SUBTOTAL(109,Table_paint_cal[Qty])&gt;0,MAX(SUBTOTAL(109,Table_paint_cal[Paint.Total_price]),INDEX(Table_dim_minimum_hire[Retail Price],MATCH("Painting Minimum Hire",Table_dim_minimum_hire[Item Description],0))),0)</f>
        <v>1431.7826000000002</v>
      </c>
      <c r="F62" s="268"/>
    </row>
    <row r="63" spans="1:6">
      <c r="A63" s="267"/>
      <c r="F63" s="268"/>
    </row>
    <row r="64" spans="1:6">
      <c r="A64" s="267"/>
      <c r="F64" s="268"/>
    </row>
    <row r="65" spans="1:6">
      <c r="A65" s="267"/>
      <c r="F65" s="268"/>
    </row>
    <row r="66" spans="1:6">
      <c r="A66" s="267"/>
      <c r="C66" s="269"/>
      <c r="D66" s="269"/>
      <c r="F66" s="268"/>
    </row>
    <row r="67" spans="1:6">
      <c r="A67" s="267"/>
      <c r="D67" s="269"/>
      <c r="F67" s="268"/>
    </row>
    <row r="68" spans="1:6">
      <c r="A68" s="267"/>
      <c r="F68" s="268"/>
    </row>
    <row r="69" spans="1:6">
      <c r="A69" s="267"/>
      <c r="F69" s="268"/>
    </row>
    <row r="70" spans="1:6">
      <c r="A70" s="267"/>
      <c r="F70" s="268"/>
    </row>
    <row r="71" spans="1:6">
      <c r="A71" s="267"/>
      <c r="C71" s="269"/>
      <c r="D71" s="269"/>
      <c r="F71" s="268"/>
    </row>
    <row r="72" spans="1:6">
      <c r="A72" s="267"/>
      <c r="C72" s="269"/>
      <c r="D72" s="269"/>
      <c r="F72" s="268"/>
    </row>
    <row r="73" spans="1:6">
      <c r="A73" s="267"/>
      <c r="C73" s="269"/>
      <c r="D73" s="269"/>
      <c r="F73" s="268"/>
    </row>
    <row r="74" spans="1:6" ht="15.75" thickBot="1">
      <c r="A74" s="272"/>
      <c r="B74" s="273"/>
      <c r="C74" s="274"/>
      <c r="D74" s="274"/>
      <c r="E74" s="273"/>
      <c r="F74" s="275"/>
    </row>
    <row r="78" spans="1:6">
      <c r="B78" s="247"/>
    </row>
    <row r="79" spans="1:6">
      <c r="B79" s="247"/>
    </row>
    <row r="83" spans="2:2">
      <c r="B83" s="247"/>
    </row>
    <row r="84" spans="2:2">
      <c r="B84" s="247"/>
    </row>
    <row r="88" spans="2:2">
      <c r="B88" s="247"/>
    </row>
    <row r="89" spans="2:2">
      <c r="B89" s="247"/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4AA23-1A49-4C0B-AE22-B79EC021C164}">
  <sheetPr codeName="Sheet8">
    <tabColor indexed="11"/>
  </sheetPr>
  <dimension ref="A1:Y1137"/>
  <sheetViews>
    <sheetView showZeros="0" zoomScale="85" zoomScaleNormal="85" workbookViewId="0">
      <selection activeCell="D28" sqref="D28"/>
    </sheetView>
  </sheetViews>
  <sheetFormatPr defaultColWidth="9.140625" defaultRowHeight="12.75"/>
  <cols>
    <col min="1" max="1" width="9.140625" style="14" customWidth="1"/>
    <col min="2" max="2" width="14.7109375" style="14" customWidth="1"/>
    <col min="3" max="3" width="61.7109375" style="14" bestFit="1" customWidth="1"/>
    <col min="4" max="4" width="73.28515625" style="14" bestFit="1" customWidth="1"/>
    <col min="5" max="5" width="25.28515625" style="14" customWidth="1"/>
    <col min="6" max="6" width="67.85546875" style="14" bestFit="1" customWidth="1"/>
    <col min="7" max="7" width="62.7109375" style="14" customWidth="1"/>
    <col min="8" max="8" width="9.7109375" style="14" bestFit="1" customWidth="1"/>
    <col min="9" max="9" width="15.140625" style="14" bestFit="1" customWidth="1"/>
    <col min="10" max="10" width="10.42578125" style="14" bestFit="1" customWidth="1"/>
    <col min="11" max="12" width="12.140625" style="14" customWidth="1"/>
    <col min="13" max="13" width="12.7109375" style="14" customWidth="1"/>
    <col min="14" max="14" width="10.28515625" style="14" customWidth="1"/>
    <col min="15" max="15" width="9.7109375" style="14" bestFit="1" customWidth="1"/>
    <col min="16" max="16" width="21.140625" style="14" bestFit="1" customWidth="1"/>
    <col min="17" max="17" width="4.7109375" style="14" customWidth="1"/>
    <col min="18" max="18" width="9.140625" style="14"/>
    <col min="19" max="19" width="12.85546875" style="34" customWidth="1"/>
    <col min="20" max="16384" width="9.140625" style="14"/>
  </cols>
  <sheetData>
    <row r="1" spans="1:25" ht="13.5" thickBot="1"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54"/>
      <c r="S1" s="55"/>
      <c r="T1" s="16"/>
      <c r="U1" s="16"/>
      <c r="V1" s="16"/>
      <c r="W1" s="16"/>
      <c r="X1" s="16"/>
      <c r="Y1" s="16"/>
    </row>
    <row r="2" spans="1:25" ht="24" thickTop="1">
      <c r="C2" s="214" t="s">
        <v>157</v>
      </c>
      <c r="D2" s="215"/>
      <c r="E2" s="215"/>
      <c r="F2" s="215"/>
      <c r="G2" s="215"/>
      <c r="H2" s="215"/>
      <c r="I2" s="215"/>
      <c r="J2" s="215"/>
      <c r="K2" s="215"/>
      <c r="L2" s="215"/>
      <c r="M2" s="216"/>
      <c r="Q2" s="2"/>
      <c r="R2" s="56"/>
      <c r="S2" s="55"/>
      <c r="T2" s="16"/>
      <c r="U2" s="16"/>
      <c r="V2" s="16"/>
      <c r="W2" s="16"/>
      <c r="X2" s="16"/>
      <c r="Y2" s="16"/>
    </row>
    <row r="3" spans="1:25" ht="12" customHeight="1" thickBot="1">
      <c r="C3" s="217"/>
      <c r="D3" s="218"/>
      <c r="E3" s="218"/>
      <c r="F3" s="218"/>
      <c r="G3" s="218"/>
      <c r="H3" s="218"/>
      <c r="I3" s="218"/>
      <c r="J3" s="218"/>
      <c r="K3" s="218"/>
      <c r="L3" s="218"/>
      <c r="M3" s="219"/>
      <c r="Q3" s="2"/>
      <c r="R3" s="56"/>
      <c r="S3" s="55"/>
      <c r="T3" s="16"/>
      <c r="U3" s="16"/>
      <c r="V3" s="16"/>
      <c r="W3" s="16"/>
      <c r="X3" s="16"/>
      <c r="Y3" s="16"/>
    </row>
    <row r="4" spans="1:25" ht="14.25" thickTop="1" thickBot="1">
      <c r="C4" s="2"/>
      <c r="D4" s="2"/>
      <c r="E4" s="2"/>
      <c r="F4" s="2"/>
      <c r="G4" s="2"/>
      <c r="H4" s="2"/>
      <c r="I4" s="2"/>
      <c r="J4" s="2"/>
      <c r="K4" s="2"/>
      <c r="L4" s="2"/>
      <c r="M4" s="2"/>
      <c r="Q4" s="2"/>
    </row>
    <row r="5" spans="1:25">
      <c r="C5" s="220" t="s">
        <v>152</v>
      </c>
      <c r="D5" s="221" t="s">
        <v>153</v>
      </c>
      <c r="E5" s="222"/>
      <c r="F5" s="223"/>
      <c r="I5" s="2"/>
      <c r="J5" s="21"/>
      <c r="K5" s="21"/>
      <c r="L5" s="21"/>
      <c r="M5" s="21"/>
      <c r="Q5" s="2"/>
    </row>
    <row r="6" spans="1:25" ht="13.5" thickBot="1">
      <c r="C6" s="224" t="s">
        <v>117</v>
      </c>
      <c r="D6" s="225">
        <f>0.6*1</f>
        <v>0.6</v>
      </c>
      <c r="E6" s="226"/>
      <c r="F6" s="227"/>
      <c r="I6" s="2"/>
      <c r="J6" s="21"/>
      <c r="K6" s="21"/>
      <c r="L6" s="21"/>
      <c r="M6" s="57" t="s">
        <v>158</v>
      </c>
      <c r="Q6" s="2"/>
    </row>
    <row r="7" spans="1:25">
      <c r="L7" s="2"/>
      <c r="M7" s="21"/>
      <c r="N7" s="21"/>
      <c r="O7" s="21"/>
      <c r="P7" s="21"/>
      <c r="Q7" s="2"/>
    </row>
    <row r="8" spans="1:25">
      <c r="F8" s="47"/>
      <c r="G8" s="33"/>
      <c r="H8" s="10"/>
      <c r="I8" s="10"/>
      <c r="J8" s="48"/>
      <c r="K8" s="11"/>
      <c r="L8" s="2"/>
      <c r="M8" s="21"/>
      <c r="N8" s="21"/>
      <c r="O8" s="21"/>
      <c r="P8" s="21"/>
      <c r="Q8" s="2"/>
      <c r="R8" s="56"/>
      <c r="S8" s="58"/>
    </row>
    <row r="9" spans="1:25" s="12" customFormat="1">
      <c r="A9" s="59" t="s">
        <v>1300</v>
      </c>
      <c r="B9" s="59" t="s">
        <v>1293</v>
      </c>
      <c r="C9" s="59" t="s">
        <v>1107</v>
      </c>
      <c r="D9" s="59" t="s">
        <v>4</v>
      </c>
      <c r="E9" s="59" t="s">
        <v>159</v>
      </c>
      <c r="F9" s="59" t="s">
        <v>110</v>
      </c>
      <c r="G9" s="59" t="s">
        <v>1304</v>
      </c>
      <c r="H9" s="230" t="s">
        <v>154</v>
      </c>
      <c r="I9" s="230" t="s">
        <v>1243</v>
      </c>
      <c r="J9" s="230" t="s">
        <v>0</v>
      </c>
      <c r="K9" s="230" t="s">
        <v>1242</v>
      </c>
      <c r="L9" s="249" t="s">
        <v>1366</v>
      </c>
      <c r="M9" s="30"/>
      <c r="N9" s="30"/>
      <c r="O9" s="60"/>
      <c r="P9" s="30"/>
      <c r="Q9" s="53"/>
      <c r="R9" s="61"/>
      <c r="S9" s="62"/>
    </row>
    <row r="10" spans="1:25">
      <c r="A10" s="14">
        <v>1</v>
      </c>
      <c r="B10" s="14" t="s">
        <v>1349</v>
      </c>
      <c r="C10" s="14" t="s">
        <v>108</v>
      </c>
      <c r="D10" s="14" t="s">
        <v>12</v>
      </c>
      <c r="E10" s="14" t="s">
        <v>7</v>
      </c>
      <c r="F10" s="21" t="s">
        <v>160</v>
      </c>
      <c r="G10" s="21"/>
      <c r="H10" s="27">
        <v>950</v>
      </c>
      <c r="I10" s="231"/>
      <c r="J10" s="27">
        <f>H10*$D$6</f>
        <v>570</v>
      </c>
      <c r="K10" s="27">
        <f t="shared" ref="K10:K37" si="0">H10+J10</f>
        <v>1520</v>
      </c>
      <c r="L10" s="63"/>
      <c r="M10" s="21"/>
      <c r="N10" s="27"/>
      <c r="O10" s="64"/>
      <c r="P10" s="64"/>
      <c r="Q10" s="2"/>
      <c r="R10" s="56"/>
      <c r="S10" s="58"/>
    </row>
    <row r="11" spans="1:25">
      <c r="A11" s="14">
        <v>2</v>
      </c>
      <c r="B11" s="14" t="s">
        <v>1349</v>
      </c>
      <c r="C11" s="14" t="s">
        <v>108</v>
      </c>
      <c r="D11" s="14" t="s">
        <v>12</v>
      </c>
      <c r="E11" s="14" t="s">
        <v>7</v>
      </c>
      <c r="F11" s="21" t="s">
        <v>161</v>
      </c>
      <c r="G11" s="21"/>
      <c r="H11" s="27">
        <v>1000</v>
      </c>
      <c r="I11" s="231"/>
      <c r="J11" s="27">
        <f t="shared" ref="J11:J73" si="1">H11*$D$6</f>
        <v>600</v>
      </c>
      <c r="K11" s="27">
        <f t="shared" si="0"/>
        <v>1600</v>
      </c>
      <c r="L11" s="63"/>
      <c r="M11" s="21"/>
      <c r="N11" s="27"/>
      <c r="O11" s="64"/>
      <c r="P11" s="64"/>
      <c r="Q11" s="2"/>
      <c r="R11" s="56"/>
      <c r="S11" s="58"/>
    </row>
    <row r="12" spans="1:25">
      <c r="A12" s="14">
        <v>3</v>
      </c>
      <c r="B12" s="14" t="s">
        <v>1349</v>
      </c>
      <c r="C12" s="14" t="s">
        <v>108</v>
      </c>
      <c r="D12" s="14" t="s">
        <v>12</v>
      </c>
      <c r="E12" s="14" t="s">
        <v>7</v>
      </c>
      <c r="F12" s="21" t="s">
        <v>162</v>
      </c>
      <c r="G12" s="21"/>
      <c r="H12" s="27">
        <v>1000</v>
      </c>
      <c r="I12" s="231"/>
      <c r="J12" s="27">
        <f t="shared" si="1"/>
        <v>600</v>
      </c>
      <c r="K12" s="27">
        <f t="shared" si="0"/>
        <v>1600</v>
      </c>
      <c r="L12" s="63"/>
      <c r="M12" s="21"/>
      <c r="N12" s="27"/>
      <c r="O12" s="64"/>
      <c r="P12" s="64"/>
      <c r="Q12" s="2"/>
      <c r="R12" s="56"/>
      <c r="S12" s="58"/>
    </row>
    <row r="13" spans="1:25">
      <c r="A13" s="14">
        <v>4</v>
      </c>
      <c r="B13" s="14" t="s">
        <v>1349</v>
      </c>
      <c r="C13" s="14" t="s">
        <v>108</v>
      </c>
      <c r="D13" s="14" t="s">
        <v>12</v>
      </c>
      <c r="E13" s="14" t="s">
        <v>7</v>
      </c>
      <c r="F13" s="21" t="s">
        <v>163</v>
      </c>
      <c r="G13" s="21"/>
      <c r="H13" s="27">
        <v>1000</v>
      </c>
      <c r="I13" s="231"/>
      <c r="J13" s="27">
        <f t="shared" si="1"/>
        <v>600</v>
      </c>
      <c r="K13" s="27">
        <f t="shared" si="0"/>
        <v>1600</v>
      </c>
      <c r="L13" s="63"/>
      <c r="M13" s="21"/>
      <c r="N13" s="27"/>
      <c r="O13" s="64"/>
      <c r="P13" s="64"/>
      <c r="Q13" s="2"/>
      <c r="R13" s="56"/>
      <c r="S13" s="58"/>
    </row>
    <row r="14" spans="1:25">
      <c r="A14" s="14">
        <v>5</v>
      </c>
      <c r="B14" s="14" t="s">
        <v>1349</v>
      </c>
      <c r="C14" s="14" t="s">
        <v>108</v>
      </c>
      <c r="D14" s="14" t="s">
        <v>12</v>
      </c>
      <c r="E14" s="14" t="s">
        <v>7</v>
      </c>
      <c r="F14" s="21" t="s">
        <v>164</v>
      </c>
      <c r="G14" s="21"/>
      <c r="H14" s="27">
        <v>1150</v>
      </c>
      <c r="I14" s="231"/>
      <c r="J14" s="27">
        <f t="shared" si="1"/>
        <v>690</v>
      </c>
      <c r="K14" s="27">
        <f t="shared" si="0"/>
        <v>1840</v>
      </c>
      <c r="L14" s="63"/>
      <c r="M14" s="21"/>
      <c r="N14" s="27"/>
      <c r="O14" s="64"/>
      <c r="P14" s="64"/>
      <c r="Q14" s="2"/>
      <c r="R14" s="56"/>
      <c r="S14" s="58"/>
    </row>
    <row r="15" spans="1:25">
      <c r="A15" s="14">
        <v>6</v>
      </c>
      <c r="B15" s="14" t="s">
        <v>1349</v>
      </c>
      <c r="C15" s="14" t="s">
        <v>108</v>
      </c>
      <c r="D15" s="14" t="s">
        <v>12</v>
      </c>
      <c r="E15" s="14" t="s">
        <v>7</v>
      </c>
      <c r="F15" s="21" t="s">
        <v>165</v>
      </c>
      <c r="G15" s="21"/>
      <c r="H15" s="27">
        <v>1150</v>
      </c>
      <c r="I15" s="231"/>
      <c r="J15" s="27">
        <f t="shared" si="1"/>
        <v>690</v>
      </c>
      <c r="K15" s="27">
        <f t="shared" si="0"/>
        <v>1840</v>
      </c>
      <c r="L15" s="63"/>
      <c r="M15" s="21"/>
      <c r="N15" s="27"/>
      <c r="O15" s="64"/>
      <c r="P15" s="64"/>
      <c r="Q15" s="2"/>
      <c r="R15" s="56"/>
      <c r="S15" s="58"/>
    </row>
    <row r="16" spans="1:25">
      <c r="A16" s="14">
        <v>7</v>
      </c>
      <c r="B16" s="14" t="s">
        <v>1349</v>
      </c>
      <c r="C16" s="14" t="s">
        <v>108</v>
      </c>
      <c r="D16" s="14" t="s">
        <v>12</v>
      </c>
      <c r="E16" s="14" t="s">
        <v>7</v>
      </c>
      <c r="F16" s="21" t="s">
        <v>166</v>
      </c>
      <c r="G16" s="21"/>
      <c r="H16" s="27">
        <v>1150</v>
      </c>
      <c r="I16" s="231"/>
      <c r="J16" s="27">
        <f t="shared" si="1"/>
        <v>690</v>
      </c>
      <c r="K16" s="27">
        <f t="shared" si="0"/>
        <v>1840</v>
      </c>
      <c r="L16" s="63"/>
      <c r="M16" s="21"/>
      <c r="N16" s="27"/>
      <c r="O16" s="64"/>
      <c r="P16" s="64"/>
      <c r="Q16" s="2"/>
      <c r="R16" s="56"/>
      <c r="S16" s="58"/>
    </row>
    <row r="17" spans="1:19">
      <c r="A17" s="14">
        <v>8</v>
      </c>
      <c r="B17" s="14" t="s">
        <v>1349</v>
      </c>
      <c r="C17" s="14" t="s">
        <v>108</v>
      </c>
      <c r="D17" s="14" t="s">
        <v>12</v>
      </c>
      <c r="E17" s="14" t="s">
        <v>7</v>
      </c>
      <c r="F17" s="21" t="s">
        <v>167</v>
      </c>
      <c r="G17" s="21"/>
      <c r="H17" s="27">
        <v>1150</v>
      </c>
      <c r="I17" s="231"/>
      <c r="J17" s="27">
        <f t="shared" si="1"/>
        <v>690</v>
      </c>
      <c r="K17" s="27">
        <f t="shared" si="0"/>
        <v>1840</v>
      </c>
      <c r="L17" s="63"/>
      <c r="M17" s="21"/>
      <c r="N17" s="27"/>
      <c r="O17" s="64"/>
      <c r="P17" s="64"/>
      <c r="Q17" s="2"/>
      <c r="R17" s="56"/>
      <c r="S17" s="58"/>
    </row>
    <row r="18" spans="1:19">
      <c r="A18" s="14">
        <v>9</v>
      </c>
      <c r="B18" s="14" t="s">
        <v>1349</v>
      </c>
      <c r="C18" s="14" t="s">
        <v>108</v>
      </c>
      <c r="D18" s="14" t="s">
        <v>12</v>
      </c>
      <c r="E18" s="14" t="s">
        <v>7</v>
      </c>
      <c r="F18" s="21" t="s">
        <v>168</v>
      </c>
      <c r="G18" s="21"/>
      <c r="H18" s="27">
        <v>1200</v>
      </c>
      <c r="I18" s="231"/>
      <c r="J18" s="27">
        <f t="shared" si="1"/>
        <v>720</v>
      </c>
      <c r="K18" s="27">
        <f t="shared" si="0"/>
        <v>1920</v>
      </c>
      <c r="L18" s="63"/>
      <c r="M18" s="21"/>
      <c r="N18" s="27"/>
      <c r="O18" s="64"/>
      <c r="P18" s="64"/>
      <c r="Q18" s="2"/>
      <c r="R18" s="56"/>
      <c r="S18" s="58"/>
    </row>
    <row r="19" spans="1:19">
      <c r="A19" s="14">
        <v>10</v>
      </c>
      <c r="B19" s="14" t="s">
        <v>1349</v>
      </c>
      <c r="C19" s="14" t="s">
        <v>108</v>
      </c>
      <c r="D19" s="14" t="s">
        <v>12</v>
      </c>
      <c r="E19" s="14" t="s">
        <v>7</v>
      </c>
      <c r="F19" s="21" t="s">
        <v>169</v>
      </c>
      <c r="G19" s="21"/>
      <c r="H19" s="27">
        <v>1300</v>
      </c>
      <c r="I19" s="231"/>
      <c r="J19" s="27">
        <f t="shared" si="1"/>
        <v>780</v>
      </c>
      <c r="K19" s="27">
        <f t="shared" si="0"/>
        <v>2080</v>
      </c>
      <c r="L19" s="63"/>
      <c r="M19" s="21"/>
      <c r="N19" s="27"/>
      <c r="O19" s="64"/>
      <c r="P19" s="64"/>
      <c r="Q19" s="2"/>
      <c r="R19" s="56"/>
      <c r="S19" s="58"/>
    </row>
    <row r="20" spans="1:19">
      <c r="A20" s="14">
        <v>11</v>
      </c>
      <c r="B20" s="14" t="s">
        <v>1349</v>
      </c>
      <c r="C20" s="14" t="s">
        <v>108</v>
      </c>
      <c r="D20" s="14" t="s">
        <v>12</v>
      </c>
      <c r="E20" s="14" t="s">
        <v>7</v>
      </c>
      <c r="F20" s="21" t="s">
        <v>170</v>
      </c>
      <c r="G20" s="21"/>
      <c r="H20" s="27">
        <v>1550</v>
      </c>
      <c r="I20" s="231"/>
      <c r="J20" s="27">
        <f t="shared" si="1"/>
        <v>930</v>
      </c>
      <c r="K20" s="27">
        <f t="shared" si="0"/>
        <v>2480</v>
      </c>
      <c r="L20" s="63"/>
      <c r="M20" s="21"/>
      <c r="N20" s="27"/>
      <c r="O20" s="64"/>
      <c r="P20" s="64"/>
      <c r="Q20" s="2"/>
      <c r="R20" s="56"/>
      <c r="S20" s="58"/>
    </row>
    <row r="21" spans="1:19">
      <c r="A21" s="14">
        <v>12</v>
      </c>
      <c r="B21" s="14" t="s">
        <v>1349</v>
      </c>
      <c r="C21" s="14" t="s">
        <v>108</v>
      </c>
      <c r="D21" s="14" t="s">
        <v>12</v>
      </c>
      <c r="E21" s="14" t="s">
        <v>7</v>
      </c>
      <c r="F21" s="21" t="s">
        <v>171</v>
      </c>
      <c r="G21" s="21"/>
      <c r="H21" s="27">
        <v>1550</v>
      </c>
      <c r="I21" s="231"/>
      <c r="J21" s="27">
        <f t="shared" si="1"/>
        <v>930</v>
      </c>
      <c r="K21" s="27">
        <f t="shared" si="0"/>
        <v>2480</v>
      </c>
      <c r="L21" s="63"/>
      <c r="M21" s="21"/>
      <c r="N21" s="27"/>
      <c r="O21" s="64"/>
      <c r="P21" s="64"/>
      <c r="Q21" s="2"/>
      <c r="R21" s="56"/>
      <c r="S21" s="58"/>
    </row>
    <row r="22" spans="1:19">
      <c r="A22" s="14">
        <v>13</v>
      </c>
      <c r="B22" s="14" t="s">
        <v>1349</v>
      </c>
      <c r="C22" s="14" t="s">
        <v>108</v>
      </c>
      <c r="D22" s="14" t="s">
        <v>12</v>
      </c>
      <c r="E22" s="14" t="s">
        <v>7</v>
      </c>
      <c r="F22" s="21" t="s">
        <v>172</v>
      </c>
      <c r="G22" s="21"/>
      <c r="H22" s="27">
        <v>1750</v>
      </c>
      <c r="I22" s="231"/>
      <c r="J22" s="27">
        <f t="shared" si="1"/>
        <v>1050</v>
      </c>
      <c r="K22" s="27">
        <f t="shared" si="0"/>
        <v>2800</v>
      </c>
      <c r="L22" s="63"/>
      <c r="M22" s="21"/>
      <c r="N22" s="27"/>
      <c r="O22" s="64"/>
      <c r="P22" s="64"/>
      <c r="Q22" s="2"/>
      <c r="R22" s="56"/>
      <c r="S22" s="58"/>
    </row>
    <row r="23" spans="1:19">
      <c r="A23" s="14">
        <v>14</v>
      </c>
      <c r="B23" s="14" t="s">
        <v>1349</v>
      </c>
      <c r="C23" s="14" t="s">
        <v>108</v>
      </c>
      <c r="D23" s="14" t="s">
        <v>12</v>
      </c>
      <c r="E23" s="14" t="s">
        <v>7</v>
      </c>
      <c r="F23" s="21" t="s">
        <v>173</v>
      </c>
      <c r="G23" s="21"/>
      <c r="H23" s="27">
        <v>1750</v>
      </c>
      <c r="I23" s="231"/>
      <c r="J23" s="27">
        <f t="shared" si="1"/>
        <v>1050</v>
      </c>
      <c r="K23" s="27">
        <f t="shared" si="0"/>
        <v>2800</v>
      </c>
      <c r="L23" s="63"/>
      <c r="M23" s="21"/>
      <c r="N23" s="27"/>
      <c r="O23" s="64"/>
      <c r="P23" s="64"/>
      <c r="Q23" s="2"/>
      <c r="R23" s="56"/>
      <c r="S23" s="58"/>
    </row>
    <row r="24" spans="1:19">
      <c r="A24" s="14">
        <v>15</v>
      </c>
      <c r="B24" s="14" t="s">
        <v>1349</v>
      </c>
      <c r="C24" s="14" t="s">
        <v>108</v>
      </c>
      <c r="D24" s="14" t="s">
        <v>12</v>
      </c>
      <c r="E24" s="14" t="s">
        <v>7</v>
      </c>
      <c r="F24" s="21" t="s">
        <v>174</v>
      </c>
      <c r="G24" s="21"/>
      <c r="H24" s="27">
        <v>1950</v>
      </c>
      <c r="I24" s="231"/>
      <c r="J24" s="27">
        <f t="shared" si="1"/>
        <v>1170</v>
      </c>
      <c r="K24" s="27">
        <f t="shared" si="0"/>
        <v>3120</v>
      </c>
      <c r="L24" s="63"/>
      <c r="M24" s="21"/>
      <c r="N24" s="27"/>
      <c r="O24" s="64"/>
      <c r="P24" s="64"/>
      <c r="Q24" s="2"/>
      <c r="R24" s="56"/>
      <c r="S24" s="58"/>
    </row>
    <row r="25" spans="1:19">
      <c r="A25" s="14">
        <v>16</v>
      </c>
      <c r="B25" s="14" t="s">
        <v>1349</v>
      </c>
      <c r="C25" s="14" t="s">
        <v>108</v>
      </c>
      <c r="D25" s="14" t="s">
        <v>12</v>
      </c>
      <c r="E25" s="14" t="s">
        <v>7</v>
      </c>
      <c r="F25" s="21" t="s">
        <v>175</v>
      </c>
      <c r="G25" s="21"/>
      <c r="H25" s="27">
        <v>1950</v>
      </c>
      <c r="I25" s="231"/>
      <c r="J25" s="27">
        <f t="shared" si="1"/>
        <v>1170</v>
      </c>
      <c r="K25" s="27">
        <f t="shared" si="0"/>
        <v>3120</v>
      </c>
      <c r="L25" s="63"/>
      <c r="M25" s="21"/>
      <c r="N25" s="27"/>
      <c r="O25" s="64"/>
      <c r="P25" s="64"/>
      <c r="Q25" s="2"/>
      <c r="R25" s="56"/>
      <c r="S25" s="58"/>
    </row>
    <row r="26" spans="1:19">
      <c r="A26" s="14">
        <v>17</v>
      </c>
      <c r="B26" s="14" t="s">
        <v>1349</v>
      </c>
      <c r="C26" s="14" t="s">
        <v>108</v>
      </c>
      <c r="D26" s="14" t="s">
        <v>12</v>
      </c>
      <c r="E26" s="14" t="s">
        <v>7</v>
      </c>
      <c r="F26" s="21" t="s">
        <v>176</v>
      </c>
      <c r="G26" s="21"/>
      <c r="H26" s="27">
        <v>2150</v>
      </c>
      <c r="I26" s="231"/>
      <c r="J26" s="27">
        <f t="shared" si="1"/>
        <v>1290</v>
      </c>
      <c r="K26" s="27">
        <f t="shared" si="0"/>
        <v>3440</v>
      </c>
      <c r="L26" s="63"/>
      <c r="M26" s="21"/>
      <c r="N26" s="27"/>
      <c r="O26" s="64"/>
      <c r="P26" s="64"/>
      <c r="Q26" s="2"/>
      <c r="R26" s="56"/>
      <c r="S26" s="58"/>
    </row>
    <row r="27" spans="1:19">
      <c r="A27" s="14">
        <v>18</v>
      </c>
      <c r="B27" s="14" t="s">
        <v>1349</v>
      </c>
      <c r="C27" s="14" t="s">
        <v>108</v>
      </c>
      <c r="D27" s="14" t="s">
        <v>12</v>
      </c>
      <c r="E27" s="14" t="s">
        <v>7</v>
      </c>
      <c r="F27" s="21" t="s">
        <v>177</v>
      </c>
      <c r="G27" s="21"/>
      <c r="H27" s="27">
        <v>2150</v>
      </c>
      <c r="I27" s="231"/>
      <c r="J27" s="27">
        <f t="shared" si="1"/>
        <v>1290</v>
      </c>
      <c r="K27" s="27">
        <f t="shared" si="0"/>
        <v>3440</v>
      </c>
      <c r="L27" s="63"/>
      <c r="M27" s="21"/>
      <c r="N27" s="27"/>
      <c r="O27" s="64"/>
      <c r="P27" s="64"/>
      <c r="Q27" s="2"/>
      <c r="R27" s="56"/>
      <c r="S27" s="58"/>
    </row>
    <row r="28" spans="1:19">
      <c r="A28" s="14">
        <v>19</v>
      </c>
      <c r="B28" s="14" t="s">
        <v>1349</v>
      </c>
      <c r="C28" s="14" t="s">
        <v>108</v>
      </c>
      <c r="D28" s="14" t="s">
        <v>12</v>
      </c>
      <c r="E28" s="14" t="s">
        <v>7</v>
      </c>
      <c r="F28" s="21" t="s">
        <v>178</v>
      </c>
      <c r="G28" s="21"/>
      <c r="H28" s="27">
        <v>2350</v>
      </c>
      <c r="I28" s="231"/>
      <c r="J28" s="27">
        <f t="shared" si="1"/>
        <v>1410</v>
      </c>
      <c r="K28" s="27">
        <f t="shared" si="0"/>
        <v>3760</v>
      </c>
      <c r="L28" s="2"/>
      <c r="M28" s="21"/>
      <c r="N28" s="27"/>
      <c r="O28" s="64"/>
      <c r="P28" s="64"/>
      <c r="Q28" s="2"/>
      <c r="R28" s="56"/>
      <c r="S28" s="58"/>
    </row>
    <row r="29" spans="1:19">
      <c r="A29" s="14">
        <v>20</v>
      </c>
      <c r="B29" s="14" t="s">
        <v>1349</v>
      </c>
      <c r="C29" s="14" t="s">
        <v>108</v>
      </c>
      <c r="D29" s="14" t="s">
        <v>12</v>
      </c>
      <c r="E29" s="14" t="s">
        <v>7</v>
      </c>
      <c r="F29" s="21" t="s">
        <v>179</v>
      </c>
      <c r="G29" s="21"/>
      <c r="H29" s="27">
        <v>2350</v>
      </c>
      <c r="I29" s="231"/>
      <c r="J29" s="27">
        <f t="shared" si="1"/>
        <v>1410</v>
      </c>
      <c r="K29" s="27">
        <f t="shared" si="0"/>
        <v>3760</v>
      </c>
      <c r="L29" s="2"/>
      <c r="M29" s="21"/>
      <c r="N29" s="27"/>
      <c r="O29" s="64"/>
      <c r="P29" s="64"/>
      <c r="Q29" s="2"/>
      <c r="R29" s="56"/>
      <c r="S29" s="58"/>
    </row>
    <row r="30" spans="1:19">
      <c r="A30" s="14">
        <v>21</v>
      </c>
      <c r="B30" s="14" t="s">
        <v>1349</v>
      </c>
      <c r="C30" s="14" t="s">
        <v>108</v>
      </c>
      <c r="D30" s="14" t="s">
        <v>12</v>
      </c>
      <c r="E30" s="14" t="s">
        <v>7</v>
      </c>
      <c r="F30" s="21" t="s">
        <v>180</v>
      </c>
      <c r="G30" s="21"/>
      <c r="H30" s="27">
        <v>2550</v>
      </c>
      <c r="I30" s="231"/>
      <c r="J30" s="27">
        <f t="shared" si="1"/>
        <v>1530</v>
      </c>
      <c r="K30" s="27">
        <f t="shared" si="0"/>
        <v>4080</v>
      </c>
      <c r="L30" s="2"/>
      <c r="M30" s="21"/>
      <c r="N30" s="27"/>
      <c r="O30" s="64"/>
      <c r="P30" s="64"/>
      <c r="Q30" s="2"/>
      <c r="R30" s="56"/>
      <c r="S30" s="58"/>
    </row>
    <row r="31" spans="1:19">
      <c r="A31" s="14">
        <v>22</v>
      </c>
      <c r="B31" s="14" t="s">
        <v>1349</v>
      </c>
      <c r="C31" s="14" t="s">
        <v>108</v>
      </c>
      <c r="D31" s="14" t="s">
        <v>12</v>
      </c>
      <c r="E31" s="14" t="s">
        <v>7</v>
      </c>
      <c r="F31" s="21" t="s">
        <v>181</v>
      </c>
      <c r="G31" s="21"/>
      <c r="H31" s="27">
        <v>2550</v>
      </c>
      <c r="I31" s="231"/>
      <c r="J31" s="27">
        <f t="shared" si="1"/>
        <v>1530</v>
      </c>
      <c r="K31" s="27">
        <f t="shared" si="0"/>
        <v>4080</v>
      </c>
      <c r="L31" s="2"/>
      <c r="M31" s="21"/>
      <c r="N31" s="27"/>
      <c r="O31" s="64"/>
      <c r="P31" s="64"/>
      <c r="Q31" s="2"/>
      <c r="R31" s="56"/>
      <c r="S31" s="58"/>
    </row>
    <row r="32" spans="1:19">
      <c r="A32" s="14">
        <v>23</v>
      </c>
      <c r="B32" s="14" t="s">
        <v>1349</v>
      </c>
      <c r="C32" s="14" t="s">
        <v>108</v>
      </c>
      <c r="D32" s="14" t="s">
        <v>12</v>
      </c>
      <c r="E32" s="14" t="s">
        <v>7</v>
      </c>
      <c r="F32" s="21" t="s">
        <v>182</v>
      </c>
      <c r="G32" s="21"/>
      <c r="H32" s="27">
        <v>2750</v>
      </c>
      <c r="I32" s="231"/>
      <c r="J32" s="27">
        <f t="shared" si="1"/>
        <v>1650</v>
      </c>
      <c r="K32" s="27">
        <f t="shared" si="0"/>
        <v>4400</v>
      </c>
      <c r="L32" s="2"/>
      <c r="M32" s="21"/>
      <c r="N32" s="27"/>
      <c r="O32" s="64"/>
      <c r="P32" s="64"/>
      <c r="Q32" s="2"/>
      <c r="R32" s="56"/>
      <c r="S32" s="58"/>
    </row>
    <row r="33" spans="1:19">
      <c r="A33" s="14">
        <v>24</v>
      </c>
      <c r="B33" s="14" t="s">
        <v>1349</v>
      </c>
      <c r="C33" s="14" t="s">
        <v>108</v>
      </c>
      <c r="D33" s="14" t="s">
        <v>12</v>
      </c>
      <c r="E33" s="14" t="s">
        <v>7</v>
      </c>
      <c r="F33" s="21" t="s">
        <v>183</v>
      </c>
      <c r="G33" s="21"/>
      <c r="H33" s="27">
        <v>2750</v>
      </c>
      <c r="I33" s="231"/>
      <c r="J33" s="27">
        <f t="shared" si="1"/>
        <v>1650</v>
      </c>
      <c r="K33" s="27">
        <f t="shared" si="0"/>
        <v>4400</v>
      </c>
      <c r="L33" s="63"/>
      <c r="M33" s="21"/>
      <c r="N33" s="27"/>
      <c r="O33" s="64"/>
      <c r="P33" s="64"/>
      <c r="Q33" s="2"/>
      <c r="R33" s="56"/>
      <c r="S33" s="58"/>
    </row>
    <row r="34" spans="1:19">
      <c r="A34" s="14">
        <v>25</v>
      </c>
      <c r="B34" s="14" t="s">
        <v>1349</v>
      </c>
      <c r="C34" s="14" t="s">
        <v>108</v>
      </c>
      <c r="D34" s="14" t="s">
        <v>12</v>
      </c>
      <c r="E34" s="14" t="s">
        <v>7</v>
      </c>
      <c r="F34" s="21" t="s">
        <v>184</v>
      </c>
      <c r="G34" s="21"/>
      <c r="H34" s="27">
        <v>2950</v>
      </c>
      <c r="I34" s="231"/>
      <c r="J34" s="27">
        <f t="shared" si="1"/>
        <v>1770</v>
      </c>
      <c r="K34" s="27">
        <f t="shared" si="0"/>
        <v>4720</v>
      </c>
      <c r="L34" s="63"/>
      <c r="M34" s="21"/>
      <c r="N34" s="27"/>
      <c r="O34" s="64"/>
      <c r="P34" s="64"/>
      <c r="Q34" s="2"/>
      <c r="R34" s="56"/>
      <c r="S34" s="58"/>
    </row>
    <row r="35" spans="1:19">
      <c r="A35" s="14">
        <v>26</v>
      </c>
      <c r="B35" s="14" t="s">
        <v>1349</v>
      </c>
      <c r="C35" s="14" t="s">
        <v>108</v>
      </c>
      <c r="D35" s="14" t="s">
        <v>12</v>
      </c>
      <c r="E35" s="14" t="s">
        <v>7</v>
      </c>
      <c r="F35" s="21" t="s">
        <v>185</v>
      </c>
      <c r="G35" s="21"/>
      <c r="H35" s="27">
        <v>2950</v>
      </c>
      <c r="I35" s="231"/>
      <c r="J35" s="27">
        <f t="shared" si="1"/>
        <v>1770</v>
      </c>
      <c r="K35" s="27">
        <f t="shared" si="0"/>
        <v>4720</v>
      </c>
      <c r="L35" s="63"/>
      <c r="M35" s="21"/>
      <c r="N35" s="27"/>
      <c r="O35" s="64"/>
      <c r="P35" s="64"/>
      <c r="Q35" s="2"/>
      <c r="R35" s="56"/>
      <c r="S35" s="58"/>
    </row>
    <row r="36" spans="1:19">
      <c r="A36" s="14">
        <v>27</v>
      </c>
      <c r="B36" s="14" t="s">
        <v>1349</v>
      </c>
      <c r="C36" s="14" t="s">
        <v>108</v>
      </c>
      <c r="D36" s="14" t="s">
        <v>12</v>
      </c>
      <c r="E36" s="14" t="s">
        <v>7</v>
      </c>
      <c r="F36" s="21" t="s">
        <v>186</v>
      </c>
      <c r="G36" s="21"/>
      <c r="H36" s="27">
        <v>3100</v>
      </c>
      <c r="I36" s="231"/>
      <c r="J36" s="27">
        <f t="shared" si="1"/>
        <v>1860</v>
      </c>
      <c r="K36" s="27">
        <f t="shared" si="0"/>
        <v>4960</v>
      </c>
      <c r="L36" s="63"/>
      <c r="M36" s="21"/>
      <c r="N36" s="27"/>
      <c r="O36" s="64"/>
      <c r="P36" s="64"/>
      <c r="Q36" s="2"/>
      <c r="R36" s="56"/>
      <c r="S36" s="58"/>
    </row>
    <row r="37" spans="1:19">
      <c r="A37" s="14">
        <v>28</v>
      </c>
      <c r="B37" s="14" t="s">
        <v>1349</v>
      </c>
      <c r="C37" s="14" t="s">
        <v>108</v>
      </c>
      <c r="D37" s="14" t="s">
        <v>12</v>
      </c>
      <c r="E37" s="14" t="s">
        <v>7</v>
      </c>
      <c r="F37" s="21" t="s">
        <v>187</v>
      </c>
      <c r="G37" s="21"/>
      <c r="H37" s="27">
        <v>3100</v>
      </c>
      <c r="I37" s="231"/>
      <c r="J37" s="27">
        <f t="shared" si="1"/>
        <v>1860</v>
      </c>
      <c r="K37" s="27">
        <f t="shared" si="0"/>
        <v>4960</v>
      </c>
      <c r="L37" s="63"/>
      <c r="M37" s="21"/>
      <c r="N37" s="27"/>
      <c r="O37" s="64"/>
      <c r="P37" s="64"/>
      <c r="Q37" s="2"/>
      <c r="R37" s="56"/>
      <c r="S37" s="58"/>
    </row>
    <row r="38" spans="1:19">
      <c r="A38" s="14">
        <v>29</v>
      </c>
      <c r="B38" s="14" t="s">
        <v>1349</v>
      </c>
      <c r="C38" s="14" t="s">
        <v>108</v>
      </c>
      <c r="D38" s="14" t="s">
        <v>188</v>
      </c>
      <c r="E38" s="14" t="s">
        <v>7</v>
      </c>
      <c r="F38" s="21" t="s">
        <v>189</v>
      </c>
      <c r="G38" s="21"/>
      <c r="H38" s="27">
        <v>0</v>
      </c>
      <c r="I38" s="231"/>
      <c r="J38" s="27">
        <f t="shared" si="1"/>
        <v>0</v>
      </c>
      <c r="K38" s="27"/>
      <c r="L38" s="63"/>
      <c r="M38" s="21"/>
      <c r="N38" s="27"/>
      <c r="O38" s="64"/>
      <c r="P38" s="64"/>
      <c r="Q38" s="2"/>
      <c r="R38" s="56"/>
      <c r="S38" s="58"/>
    </row>
    <row r="39" spans="1:19">
      <c r="A39" s="14">
        <v>30</v>
      </c>
      <c r="B39" s="14" t="s">
        <v>1349</v>
      </c>
      <c r="C39" s="14" t="s">
        <v>108</v>
      </c>
      <c r="D39" s="14" t="s">
        <v>188</v>
      </c>
      <c r="E39" s="14" t="s">
        <v>7</v>
      </c>
      <c r="F39" s="21" t="s">
        <v>190</v>
      </c>
      <c r="G39" s="21"/>
      <c r="H39" s="27">
        <v>1276.73</v>
      </c>
      <c r="I39" s="231"/>
      <c r="J39" s="27">
        <f t="shared" si="1"/>
        <v>766.03800000000001</v>
      </c>
      <c r="K39" s="27">
        <f t="shared" ref="K39:K44" si="2">H39+J39</f>
        <v>2042.768</v>
      </c>
      <c r="L39" s="63"/>
      <c r="M39" s="27"/>
      <c r="N39" s="27"/>
      <c r="O39" s="64"/>
      <c r="P39" s="64"/>
      <c r="Q39" s="2"/>
      <c r="R39" s="56"/>
      <c r="S39" s="58"/>
    </row>
    <row r="40" spans="1:19">
      <c r="A40" s="14">
        <v>31</v>
      </c>
      <c r="B40" s="14" t="s">
        <v>1349</v>
      </c>
      <c r="C40" s="14" t="s">
        <v>108</v>
      </c>
      <c r="D40" s="14" t="s">
        <v>188</v>
      </c>
      <c r="E40" s="14" t="s">
        <v>7</v>
      </c>
      <c r="F40" s="21" t="s">
        <v>191</v>
      </c>
      <c r="G40" s="21"/>
      <c r="H40" s="27">
        <v>1432.06</v>
      </c>
      <c r="I40" s="231"/>
      <c r="J40" s="27">
        <f t="shared" si="1"/>
        <v>859.23599999999999</v>
      </c>
      <c r="K40" s="27">
        <f t="shared" si="2"/>
        <v>2291.2959999999998</v>
      </c>
      <c r="L40" s="63"/>
      <c r="M40" s="27"/>
      <c r="N40" s="27"/>
      <c r="O40" s="64"/>
      <c r="P40" s="64"/>
      <c r="Q40" s="2"/>
      <c r="R40" s="56"/>
      <c r="S40" s="58"/>
    </row>
    <row r="41" spans="1:19">
      <c r="A41" s="14">
        <v>32</v>
      </c>
      <c r="B41" s="14" t="s">
        <v>1349</v>
      </c>
      <c r="C41" s="14" t="s">
        <v>108</v>
      </c>
      <c r="D41" s="14" t="s">
        <v>188</v>
      </c>
      <c r="E41" s="14" t="s">
        <v>7</v>
      </c>
      <c r="F41" s="21" t="s">
        <v>192</v>
      </c>
      <c r="G41" s="21"/>
      <c r="H41" s="27">
        <v>1652.77</v>
      </c>
      <c r="I41" s="231"/>
      <c r="J41" s="27">
        <f t="shared" si="1"/>
        <v>991.66199999999992</v>
      </c>
      <c r="K41" s="27">
        <f t="shared" si="2"/>
        <v>2644.4319999999998</v>
      </c>
      <c r="L41" s="63"/>
      <c r="M41" s="27"/>
      <c r="N41" s="27"/>
      <c r="O41" s="64"/>
      <c r="P41" s="64"/>
      <c r="Q41" s="2"/>
      <c r="R41" s="56"/>
      <c r="S41" s="58"/>
    </row>
    <row r="42" spans="1:19">
      <c r="A42" s="14">
        <v>33</v>
      </c>
      <c r="B42" s="14" t="s">
        <v>1349</v>
      </c>
      <c r="C42" s="14" t="s">
        <v>108</v>
      </c>
      <c r="D42" s="14" t="s">
        <v>188</v>
      </c>
      <c r="E42" s="14" t="s">
        <v>7</v>
      </c>
      <c r="F42" s="21" t="s">
        <v>193</v>
      </c>
      <c r="G42" s="21"/>
      <c r="H42" s="27">
        <v>1996.11</v>
      </c>
      <c r="I42" s="231"/>
      <c r="J42" s="27">
        <f t="shared" si="1"/>
        <v>1197.6659999999999</v>
      </c>
      <c r="K42" s="27">
        <f t="shared" si="2"/>
        <v>3193.7759999999998</v>
      </c>
      <c r="L42" s="63"/>
      <c r="M42" s="27"/>
      <c r="N42" s="27"/>
      <c r="O42" s="64"/>
      <c r="P42" s="64"/>
      <c r="Q42" s="2"/>
      <c r="R42" s="56"/>
      <c r="S42" s="58"/>
    </row>
    <row r="43" spans="1:19">
      <c r="A43" s="14">
        <v>34</v>
      </c>
      <c r="B43" s="14" t="s">
        <v>1349</v>
      </c>
      <c r="C43" s="14" t="s">
        <v>108</v>
      </c>
      <c r="D43" s="14" t="s">
        <v>188</v>
      </c>
      <c r="E43" s="14" t="s">
        <v>7</v>
      </c>
      <c r="F43" s="21" t="s">
        <v>194</v>
      </c>
      <c r="G43" s="21"/>
      <c r="H43" s="27">
        <v>2445.6999999999998</v>
      </c>
      <c r="I43" s="231"/>
      <c r="J43" s="27">
        <f t="shared" si="1"/>
        <v>1467.4199999999998</v>
      </c>
      <c r="K43" s="27">
        <f t="shared" si="2"/>
        <v>3913.12</v>
      </c>
      <c r="L43" s="63"/>
      <c r="M43" s="27"/>
      <c r="N43" s="27"/>
      <c r="O43" s="64"/>
      <c r="P43" s="64"/>
      <c r="Q43" s="2"/>
      <c r="R43" s="56"/>
      <c r="S43" s="58"/>
    </row>
    <row r="44" spans="1:19">
      <c r="A44" s="14">
        <v>35</v>
      </c>
      <c r="B44" s="14" t="s">
        <v>1349</v>
      </c>
      <c r="C44" s="14" t="s">
        <v>108</v>
      </c>
      <c r="D44" s="14" t="s">
        <v>188</v>
      </c>
      <c r="E44" s="14" t="s">
        <v>7</v>
      </c>
      <c r="F44" s="21" t="s">
        <v>195</v>
      </c>
      <c r="G44" s="21"/>
      <c r="H44" s="27">
        <v>2821.73</v>
      </c>
      <c r="I44" s="231"/>
      <c r="J44" s="27">
        <f t="shared" si="1"/>
        <v>1693.038</v>
      </c>
      <c r="K44" s="27">
        <f t="shared" si="2"/>
        <v>4514.768</v>
      </c>
      <c r="L44" s="63"/>
      <c r="M44" s="27"/>
      <c r="N44" s="27"/>
      <c r="O44" s="64"/>
      <c r="P44" s="64"/>
      <c r="Q44" s="2"/>
      <c r="R44" s="56"/>
      <c r="S44" s="58"/>
    </row>
    <row r="45" spans="1:19">
      <c r="A45" s="14">
        <v>36</v>
      </c>
      <c r="B45" s="14" t="s">
        <v>1349</v>
      </c>
      <c r="C45" s="14" t="s">
        <v>108</v>
      </c>
      <c r="D45" s="14" t="s">
        <v>79</v>
      </c>
      <c r="E45" s="14" t="s">
        <v>7</v>
      </c>
      <c r="F45" s="21" t="s">
        <v>196</v>
      </c>
      <c r="G45" s="21"/>
      <c r="H45" s="27">
        <f>50.7+23.6+10</f>
        <v>84.300000000000011</v>
      </c>
      <c r="I45" s="231"/>
      <c r="J45" s="27">
        <f t="shared" si="1"/>
        <v>50.580000000000005</v>
      </c>
      <c r="K45" s="27">
        <f>H45+I45+J45</f>
        <v>134.88000000000002</v>
      </c>
      <c r="L45" s="63"/>
      <c r="M45" s="21"/>
      <c r="N45" s="27"/>
      <c r="O45" s="64"/>
      <c r="P45" s="64"/>
      <c r="Q45" s="2"/>
      <c r="R45" s="56"/>
      <c r="S45" s="58"/>
    </row>
    <row r="46" spans="1:19">
      <c r="A46" s="14">
        <v>37</v>
      </c>
      <c r="B46" s="14" t="s">
        <v>1349</v>
      </c>
      <c r="C46" s="14" t="s">
        <v>108</v>
      </c>
      <c r="D46" s="14" t="s">
        <v>79</v>
      </c>
      <c r="E46" s="14" t="s">
        <v>7</v>
      </c>
      <c r="F46" s="21" t="s">
        <v>197</v>
      </c>
      <c r="G46" s="21"/>
      <c r="H46" s="27">
        <f>130.9+148.75</f>
        <v>279.64999999999998</v>
      </c>
      <c r="I46" s="231"/>
      <c r="J46" s="27">
        <f t="shared" si="1"/>
        <v>167.79</v>
      </c>
      <c r="K46" s="27">
        <f>H46+I46+J46</f>
        <v>447.43999999999994</v>
      </c>
      <c r="L46" s="2"/>
      <c r="M46" s="21"/>
      <c r="N46" s="27"/>
      <c r="O46" s="64"/>
      <c r="P46" s="64"/>
      <c r="Q46" s="2"/>
      <c r="R46" s="56"/>
      <c r="S46" s="58"/>
    </row>
    <row r="47" spans="1:19">
      <c r="A47" s="14">
        <v>38</v>
      </c>
      <c r="B47" s="14" t="s">
        <v>1349</v>
      </c>
      <c r="C47" s="14" t="s">
        <v>108</v>
      </c>
      <c r="D47" s="14" t="s">
        <v>79</v>
      </c>
      <c r="E47" s="14" t="s">
        <v>7</v>
      </c>
      <c r="F47" s="21" t="s">
        <v>198</v>
      </c>
      <c r="G47" s="21"/>
      <c r="H47" s="237">
        <v>1.2800000000000001E-3</v>
      </c>
      <c r="I47" s="231"/>
      <c r="J47" s="27">
        <f t="shared" si="1"/>
        <v>7.6800000000000002E-4</v>
      </c>
      <c r="K47" s="27"/>
      <c r="M47" s="27"/>
      <c r="N47" s="27"/>
      <c r="O47" s="64"/>
      <c r="P47" s="64"/>
      <c r="Q47" s="2"/>
      <c r="R47" s="56"/>
      <c r="S47" s="58"/>
    </row>
    <row r="48" spans="1:19">
      <c r="A48" s="14">
        <v>39</v>
      </c>
      <c r="B48" s="14" t="s">
        <v>1349</v>
      </c>
      <c r="C48" s="14" t="s">
        <v>108</v>
      </c>
      <c r="D48" s="14" t="s">
        <v>79</v>
      </c>
      <c r="E48" s="14" t="s">
        <v>7</v>
      </c>
      <c r="F48" s="21" t="s">
        <v>199</v>
      </c>
      <c r="G48" s="21"/>
      <c r="H48" s="27" t="e">
        <f>Quotation!#REF!*prices!H47</f>
        <v>#REF!</v>
      </c>
      <c r="I48" s="231"/>
      <c r="J48" s="27" t="e">
        <f t="shared" si="1"/>
        <v>#REF!</v>
      </c>
      <c r="K48" s="27" t="e">
        <f>H48+J48</f>
        <v>#REF!</v>
      </c>
      <c r="L48" s="63"/>
      <c r="M48" s="27"/>
      <c r="N48" s="27"/>
      <c r="O48" s="64"/>
      <c r="P48" s="64"/>
      <c r="Q48" s="2"/>
      <c r="R48" s="56"/>
      <c r="S48" s="58"/>
    </row>
    <row r="49" spans="1:19">
      <c r="A49" s="14">
        <v>40</v>
      </c>
      <c r="B49" s="14" t="s">
        <v>1295</v>
      </c>
      <c r="C49" s="14" t="s">
        <v>1109</v>
      </c>
      <c r="D49" s="14" t="s">
        <v>200</v>
      </c>
      <c r="E49" s="14" t="s">
        <v>7</v>
      </c>
      <c r="F49" s="21" t="s">
        <v>201</v>
      </c>
      <c r="G49" s="21"/>
      <c r="H49" s="27">
        <v>500</v>
      </c>
      <c r="I49" s="231"/>
      <c r="J49" s="27">
        <f t="shared" si="1"/>
        <v>300</v>
      </c>
      <c r="K49" s="27">
        <f>H49+J49</f>
        <v>800</v>
      </c>
      <c r="L49" s="63"/>
      <c r="M49" s="27"/>
      <c r="N49" s="27"/>
      <c r="O49" s="64"/>
      <c r="P49" s="64"/>
      <c r="Q49" s="2"/>
      <c r="R49" s="56"/>
      <c r="S49" s="58"/>
    </row>
    <row r="50" spans="1:19">
      <c r="A50" s="14">
        <v>41</v>
      </c>
      <c r="B50" s="14" t="s">
        <v>1295</v>
      </c>
      <c r="C50" s="14" t="s">
        <v>1109</v>
      </c>
      <c r="D50" s="14" t="s">
        <v>200</v>
      </c>
      <c r="E50" s="14" t="s">
        <v>7</v>
      </c>
      <c r="F50" s="21" t="s">
        <v>1294</v>
      </c>
      <c r="H50" s="245">
        <v>400</v>
      </c>
      <c r="I50" s="245"/>
      <c r="J50" s="27">
        <f t="shared" si="1"/>
        <v>240</v>
      </c>
      <c r="K50" s="246">
        <f>H50+J50</f>
        <v>640</v>
      </c>
      <c r="L50" s="63"/>
      <c r="M50" s="27"/>
      <c r="N50" s="27"/>
      <c r="O50" s="64"/>
      <c r="P50" s="64"/>
      <c r="Q50" s="2"/>
      <c r="R50" s="56"/>
      <c r="S50" s="58"/>
    </row>
    <row r="51" spans="1:19">
      <c r="A51" s="14">
        <v>42</v>
      </c>
      <c r="B51" s="14" t="s">
        <v>1295</v>
      </c>
      <c r="C51" s="14" t="s">
        <v>11</v>
      </c>
      <c r="D51" s="14" t="s">
        <v>13</v>
      </c>
      <c r="E51" s="14" t="s">
        <v>7</v>
      </c>
      <c r="F51" s="21" t="s">
        <v>202</v>
      </c>
      <c r="G51" s="21"/>
      <c r="H51" s="27">
        <v>9.1</v>
      </c>
      <c r="I51" s="231"/>
      <c r="J51" s="27">
        <f t="shared" si="1"/>
        <v>5.46</v>
      </c>
      <c r="K51" s="27">
        <f t="shared" ref="K51:K82" si="3">H51+I51+J51</f>
        <v>14.559999999999999</v>
      </c>
      <c r="M51" s="21"/>
      <c r="N51" s="64" t="s">
        <v>203</v>
      </c>
      <c r="O51" s="64"/>
      <c r="P51" s="64"/>
      <c r="Q51" s="2"/>
    </row>
    <row r="52" spans="1:19">
      <c r="A52" s="14">
        <v>43</v>
      </c>
      <c r="B52" s="14" t="s">
        <v>1295</v>
      </c>
      <c r="C52" s="14" t="s">
        <v>11</v>
      </c>
      <c r="D52" s="14" t="s">
        <v>13</v>
      </c>
      <c r="E52" s="14" t="s">
        <v>7</v>
      </c>
      <c r="F52" s="21" t="s">
        <v>204</v>
      </c>
      <c r="G52" s="21"/>
      <c r="H52" s="27">
        <v>300</v>
      </c>
      <c r="I52" s="231"/>
      <c r="J52" s="27">
        <f t="shared" si="1"/>
        <v>180</v>
      </c>
      <c r="K52" s="27">
        <f t="shared" si="3"/>
        <v>480</v>
      </c>
      <c r="L52" s="63"/>
      <c r="M52" s="21"/>
      <c r="N52" s="64"/>
      <c r="O52" s="64"/>
      <c r="P52" s="64"/>
      <c r="Q52" s="2"/>
    </row>
    <row r="53" spans="1:19">
      <c r="A53" s="14">
        <v>44</v>
      </c>
      <c r="B53" s="14" t="s">
        <v>1295</v>
      </c>
      <c r="C53" s="14" t="s">
        <v>11</v>
      </c>
      <c r="D53" s="14" t="s">
        <v>13</v>
      </c>
      <c r="E53" s="14" t="s">
        <v>7</v>
      </c>
      <c r="F53" s="21" t="s">
        <v>1319</v>
      </c>
      <c r="G53" s="21"/>
      <c r="H53" s="27">
        <v>300</v>
      </c>
      <c r="I53" s="231"/>
      <c r="J53" s="27">
        <f t="shared" si="1"/>
        <v>180</v>
      </c>
      <c r="K53" s="27">
        <f t="shared" si="3"/>
        <v>480</v>
      </c>
      <c r="L53" s="65"/>
      <c r="M53" s="21"/>
      <c r="N53" s="64"/>
      <c r="O53" s="64"/>
      <c r="P53" s="64"/>
      <c r="Q53" s="2"/>
    </row>
    <row r="54" spans="1:19">
      <c r="A54" s="14">
        <v>45</v>
      </c>
      <c r="B54" s="14" t="s">
        <v>1295</v>
      </c>
      <c r="C54" s="14" t="s">
        <v>11</v>
      </c>
      <c r="D54" s="14" t="s">
        <v>16</v>
      </c>
      <c r="E54" s="14" t="s">
        <v>7</v>
      </c>
      <c r="F54" s="21" t="s">
        <v>205</v>
      </c>
      <c r="G54" s="21"/>
      <c r="H54" s="27">
        <v>15.2</v>
      </c>
      <c r="I54" s="231"/>
      <c r="J54" s="27">
        <f t="shared" si="1"/>
        <v>9.1199999999999992</v>
      </c>
      <c r="K54" s="27">
        <f t="shared" si="3"/>
        <v>24.32</v>
      </c>
      <c r="L54" s="63"/>
      <c r="M54" s="21"/>
      <c r="N54" s="64"/>
      <c r="O54" s="64"/>
      <c r="P54" s="64"/>
      <c r="Q54" s="2"/>
    </row>
    <row r="55" spans="1:19">
      <c r="A55" s="14">
        <v>46</v>
      </c>
      <c r="B55" s="14" t="s">
        <v>1295</v>
      </c>
      <c r="C55" s="14" t="s">
        <v>11</v>
      </c>
      <c r="D55" s="14" t="s">
        <v>16</v>
      </c>
      <c r="E55" s="14" t="s">
        <v>7</v>
      </c>
      <c r="F55" s="21" t="s">
        <v>20</v>
      </c>
      <c r="G55" s="21"/>
      <c r="H55" s="27">
        <v>40</v>
      </c>
      <c r="I55" s="231"/>
      <c r="J55" s="27">
        <f t="shared" si="1"/>
        <v>24</v>
      </c>
      <c r="K55" s="27">
        <f t="shared" si="3"/>
        <v>64</v>
      </c>
      <c r="L55" s="63"/>
      <c r="M55" s="21"/>
      <c r="N55" s="64"/>
      <c r="O55" s="64"/>
      <c r="P55" s="64"/>
      <c r="Q55" s="2"/>
    </row>
    <row r="56" spans="1:19">
      <c r="A56" s="14">
        <v>47</v>
      </c>
      <c r="B56" s="14" t="s">
        <v>1295</v>
      </c>
      <c r="C56" s="14" t="s">
        <v>11</v>
      </c>
      <c r="D56" s="14" t="s">
        <v>16</v>
      </c>
      <c r="E56" s="14" t="s">
        <v>7</v>
      </c>
      <c r="F56" s="21" t="s">
        <v>206</v>
      </c>
      <c r="G56" s="21"/>
      <c r="H56" s="27">
        <v>16.649999999999999</v>
      </c>
      <c r="I56" s="231"/>
      <c r="J56" s="27">
        <f t="shared" si="1"/>
        <v>9.9899999999999984</v>
      </c>
      <c r="K56" s="27">
        <f t="shared" si="3"/>
        <v>26.639999999999997</v>
      </c>
      <c r="L56" s="2"/>
      <c r="M56" s="21"/>
      <c r="N56" s="64"/>
      <c r="O56" s="64"/>
      <c r="P56" s="64"/>
      <c r="Q56" s="2"/>
    </row>
    <row r="57" spans="1:19">
      <c r="A57" s="14">
        <v>48</v>
      </c>
      <c r="B57" s="14" t="s">
        <v>1295</v>
      </c>
      <c r="C57" s="14" t="s">
        <v>11</v>
      </c>
      <c r="D57" s="14" t="s">
        <v>16</v>
      </c>
      <c r="E57" s="14" t="s">
        <v>7</v>
      </c>
      <c r="F57" s="21" t="s">
        <v>19</v>
      </c>
      <c r="G57" s="21"/>
      <c r="H57" s="27">
        <v>17.899999999999999</v>
      </c>
      <c r="I57" s="231"/>
      <c r="J57" s="27">
        <f t="shared" si="1"/>
        <v>10.739999999999998</v>
      </c>
      <c r="K57" s="27">
        <f t="shared" si="3"/>
        <v>28.639999999999997</v>
      </c>
      <c r="L57" s="2"/>
      <c r="M57" s="21"/>
      <c r="N57" s="64"/>
      <c r="O57" s="64"/>
      <c r="P57" s="64"/>
      <c r="Q57" s="2"/>
    </row>
    <row r="58" spans="1:19">
      <c r="A58" s="14">
        <v>49</v>
      </c>
      <c r="B58" s="14" t="s">
        <v>1295</v>
      </c>
      <c r="C58" s="14" t="s">
        <v>11</v>
      </c>
      <c r="D58" s="14" t="s">
        <v>16</v>
      </c>
      <c r="E58" s="14" t="s">
        <v>7</v>
      </c>
      <c r="F58" s="21" t="s">
        <v>21</v>
      </c>
      <c r="G58" s="21"/>
      <c r="H58" s="27">
        <v>100</v>
      </c>
      <c r="I58" s="231"/>
      <c r="J58" s="27">
        <f t="shared" si="1"/>
        <v>60</v>
      </c>
      <c r="K58" s="27">
        <f t="shared" si="3"/>
        <v>160</v>
      </c>
      <c r="L58" s="2"/>
      <c r="M58" s="27"/>
      <c r="N58" s="64"/>
      <c r="O58" s="64"/>
      <c r="P58" s="64"/>
      <c r="Q58" s="2"/>
    </row>
    <row r="59" spans="1:19">
      <c r="A59" s="14">
        <v>50</v>
      </c>
      <c r="B59" s="14" t="s">
        <v>1295</v>
      </c>
      <c r="C59" s="14" t="s">
        <v>11</v>
      </c>
      <c r="D59" s="14" t="s">
        <v>207</v>
      </c>
      <c r="E59" s="14" t="s">
        <v>7</v>
      </c>
      <c r="F59" s="21" t="s">
        <v>208</v>
      </c>
      <c r="G59" s="21"/>
      <c r="H59" s="27">
        <v>400</v>
      </c>
      <c r="I59" s="231"/>
      <c r="J59" s="27">
        <f t="shared" si="1"/>
        <v>240</v>
      </c>
      <c r="K59" s="27">
        <f t="shared" si="3"/>
        <v>640</v>
      </c>
      <c r="L59" s="2"/>
      <c r="M59" s="21"/>
      <c r="N59" s="64"/>
      <c r="O59" s="64"/>
      <c r="P59" s="64"/>
      <c r="Q59" s="2"/>
    </row>
    <row r="60" spans="1:19">
      <c r="A60" s="14">
        <v>51</v>
      </c>
      <c r="B60" s="14" t="s">
        <v>1295</v>
      </c>
      <c r="C60" s="14" t="s">
        <v>11</v>
      </c>
      <c r="D60" s="14" t="s">
        <v>207</v>
      </c>
      <c r="E60" s="14" t="s">
        <v>7</v>
      </c>
      <c r="F60" s="21" t="s">
        <v>209</v>
      </c>
      <c r="G60" s="21"/>
      <c r="H60" s="27">
        <v>140</v>
      </c>
      <c r="I60" s="231"/>
      <c r="J60" s="27">
        <f t="shared" si="1"/>
        <v>84</v>
      </c>
      <c r="K60" s="27">
        <f t="shared" si="3"/>
        <v>224</v>
      </c>
      <c r="L60" s="2"/>
      <c r="M60" s="21"/>
      <c r="N60" s="64"/>
      <c r="O60" s="64"/>
      <c r="P60" s="64"/>
      <c r="Q60" s="2"/>
    </row>
    <row r="61" spans="1:19">
      <c r="A61" s="14">
        <v>52</v>
      </c>
      <c r="B61" s="14" t="s">
        <v>1295</v>
      </c>
      <c r="C61" s="14" t="s">
        <v>11</v>
      </c>
      <c r="D61" s="14" t="s">
        <v>207</v>
      </c>
      <c r="E61" s="14" t="s">
        <v>7</v>
      </c>
      <c r="F61" s="21" t="s">
        <v>210</v>
      </c>
      <c r="G61" s="21"/>
      <c r="H61" s="27">
        <v>6</v>
      </c>
      <c r="I61" s="231"/>
      <c r="J61" s="27">
        <f t="shared" si="1"/>
        <v>3.5999999999999996</v>
      </c>
      <c r="K61" s="27">
        <f t="shared" si="3"/>
        <v>9.6</v>
      </c>
      <c r="L61" s="2"/>
      <c r="M61" s="21"/>
      <c r="N61" s="64"/>
      <c r="O61" s="64"/>
      <c r="P61" s="64"/>
      <c r="Q61" s="2"/>
    </row>
    <row r="62" spans="1:19">
      <c r="A62" s="14">
        <v>53</v>
      </c>
      <c r="B62" s="14" t="s">
        <v>1295</v>
      </c>
      <c r="C62" s="14" t="s">
        <v>11</v>
      </c>
      <c r="D62" s="14" t="s">
        <v>207</v>
      </c>
      <c r="E62" s="14" t="s">
        <v>7</v>
      </c>
      <c r="F62" s="21" t="s">
        <v>211</v>
      </c>
      <c r="G62" s="21"/>
      <c r="H62" s="27">
        <v>70</v>
      </c>
      <c r="I62" s="231"/>
      <c r="J62" s="27">
        <f t="shared" si="1"/>
        <v>42</v>
      </c>
      <c r="K62" s="27">
        <f t="shared" si="3"/>
        <v>112</v>
      </c>
      <c r="L62" s="2"/>
      <c r="M62" s="21"/>
      <c r="N62" s="64"/>
      <c r="O62" s="64"/>
      <c r="P62" s="64"/>
      <c r="Q62" s="2"/>
    </row>
    <row r="63" spans="1:19">
      <c r="A63" s="14">
        <v>54</v>
      </c>
      <c r="B63" s="14" t="s">
        <v>1295</v>
      </c>
      <c r="C63" s="14" t="s">
        <v>11</v>
      </c>
      <c r="D63" s="14" t="s">
        <v>207</v>
      </c>
      <c r="E63" s="14" t="s">
        <v>7</v>
      </c>
      <c r="F63" s="21" t="s">
        <v>212</v>
      </c>
      <c r="G63" s="21"/>
      <c r="H63" s="27">
        <v>298</v>
      </c>
      <c r="I63" s="231"/>
      <c r="J63" s="27">
        <f t="shared" si="1"/>
        <v>178.79999999999998</v>
      </c>
      <c r="K63" s="27">
        <f t="shared" si="3"/>
        <v>476.79999999999995</v>
      </c>
      <c r="L63" s="2"/>
      <c r="M63" s="21"/>
      <c r="N63" s="64"/>
      <c r="O63" s="64"/>
      <c r="P63" s="64"/>
      <c r="Q63" s="2"/>
    </row>
    <row r="64" spans="1:19">
      <c r="A64" s="14">
        <v>55</v>
      </c>
      <c r="B64" s="14" t="s">
        <v>1295</v>
      </c>
      <c r="C64" s="14" t="s">
        <v>11</v>
      </c>
      <c r="D64" s="14" t="s">
        <v>207</v>
      </c>
      <c r="E64" s="14" t="s">
        <v>7</v>
      </c>
      <c r="F64" s="21" t="s">
        <v>213</v>
      </c>
      <c r="G64" s="21"/>
      <c r="H64" s="27">
        <v>16.89</v>
      </c>
      <c r="I64" s="231"/>
      <c r="J64" s="27">
        <f t="shared" si="1"/>
        <v>10.134</v>
      </c>
      <c r="K64" s="27">
        <f t="shared" si="3"/>
        <v>27.024000000000001</v>
      </c>
      <c r="L64" s="2"/>
      <c r="M64" s="21"/>
      <c r="N64" s="64"/>
      <c r="O64" s="64"/>
      <c r="P64" s="64"/>
      <c r="Q64" s="2"/>
    </row>
    <row r="65" spans="1:17">
      <c r="A65" s="14">
        <v>56</v>
      </c>
      <c r="B65" s="14" t="s">
        <v>1295</v>
      </c>
      <c r="C65" s="14" t="s">
        <v>11</v>
      </c>
      <c r="D65" s="14" t="s">
        <v>207</v>
      </c>
      <c r="E65" s="14" t="s">
        <v>7</v>
      </c>
      <c r="F65" s="21" t="s">
        <v>214</v>
      </c>
      <c r="G65" s="21"/>
      <c r="H65" s="27">
        <v>23.9</v>
      </c>
      <c r="I65" s="231"/>
      <c r="J65" s="27">
        <f t="shared" si="1"/>
        <v>14.339999999999998</v>
      </c>
      <c r="K65" s="27">
        <f t="shared" si="3"/>
        <v>38.239999999999995</v>
      </c>
      <c r="L65" s="2"/>
      <c r="M65" s="21"/>
      <c r="N65" s="64"/>
      <c r="O65" s="64"/>
      <c r="P65" s="64"/>
      <c r="Q65" s="2"/>
    </row>
    <row r="66" spans="1:17">
      <c r="A66" s="14">
        <v>57</v>
      </c>
      <c r="B66" s="14" t="s">
        <v>1295</v>
      </c>
      <c r="C66" s="14" t="s">
        <v>11</v>
      </c>
      <c r="D66" s="14" t="s">
        <v>207</v>
      </c>
      <c r="E66" s="14" t="s">
        <v>7</v>
      </c>
      <c r="F66" s="21" t="s">
        <v>215</v>
      </c>
      <c r="G66" s="21"/>
      <c r="H66" s="27">
        <v>30.34</v>
      </c>
      <c r="I66" s="231"/>
      <c r="J66" s="27">
        <f t="shared" si="1"/>
        <v>18.204000000000001</v>
      </c>
      <c r="K66" s="27">
        <f t="shared" si="3"/>
        <v>48.543999999999997</v>
      </c>
      <c r="L66" s="2"/>
      <c r="M66" s="21"/>
      <c r="N66" s="64"/>
      <c r="O66" s="64"/>
      <c r="P66" s="64"/>
      <c r="Q66" s="2"/>
    </row>
    <row r="67" spans="1:17">
      <c r="A67" s="14">
        <v>58</v>
      </c>
      <c r="B67" s="14" t="s">
        <v>1295</v>
      </c>
      <c r="C67" s="14" t="s">
        <v>11</v>
      </c>
      <c r="D67" s="14" t="s">
        <v>207</v>
      </c>
      <c r="E67" s="14" t="s">
        <v>7</v>
      </c>
      <c r="F67" s="21" t="s">
        <v>216</v>
      </c>
      <c r="G67" s="21"/>
      <c r="H67" s="27">
        <v>10.199999999999999</v>
      </c>
      <c r="I67" s="231"/>
      <c r="J67" s="27">
        <f t="shared" si="1"/>
        <v>6.1199999999999992</v>
      </c>
      <c r="K67" s="27">
        <f t="shared" si="3"/>
        <v>16.32</v>
      </c>
      <c r="L67" s="2"/>
      <c r="M67" s="21"/>
      <c r="N67" s="64"/>
      <c r="O67" s="64"/>
      <c r="P67" s="64"/>
      <c r="Q67" s="2"/>
    </row>
    <row r="68" spans="1:17">
      <c r="A68" s="14">
        <v>59</v>
      </c>
      <c r="B68" s="14" t="s">
        <v>1295</v>
      </c>
      <c r="C68" s="14" t="s">
        <v>11</v>
      </c>
      <c r="D68" s="14" t="s">
        <v>207</v>
      </c>
      <c r="E68" s="14" t="s">
        <v>7</v>
      </c>
      <c r="F68" s="21" t="s">
        <v>217</v>
      </c>
      <c r="G68" s="21"/>
      <c r="H68" s="27">
        <v>74.78</v>
      </c>
      <c r="I68" s="231"/>
      <c r="J68" s="27">
        <f t="shared" si="1"/>
        <v>44.868000000000002</v>
      </c>
      <c r="K68" s="27">
        <f t="shared" si="3"/>
        <v>119.648</v>
      </c>
      <c r="L68" s="2"/>
      <c r="M68" s="21"/>
      <c r="N68" s="64"/>
      <c r="O68" s="64"/>
      <c r="P68" s="64"/>
      <c r="Q68" s="2"/>
    </row>
    <row r="69" spans="1:17">
      <c r="A69" s="14">
        <v>60</v>
      </c>
      <c r="B69" s="14" t="s">
        <v>1295</v>
      </c>
      <c r="C69" s="14" t="s">
        <v>11</v>
      </c>
      <c r="D69" s="14" t="s">
        <v>207</v>
      </c>
      <c r="E69" s="14" t="s">
        <v>7</v>
      </c>
      <c r="F69" s="21" t="s">
        <v>218</v>
      </c>
      <c r="G69" s="21"/>
      <c r="H69" s="27">
        <v>83.38</v>
      </c>
      <c r="I69" s="231"/>
      <c r="J69" s="27">
        <f t="shared" si="1"/>
        <v>50.027999999999999</v>
      </c>
      <c r="K69" s="27">
        <f t="shared" si="3"/>
        <v>133.40799999999999</v>
      </c>
      <c r="L69" s="2"/>
      <c r="M69" s="21"/>
      <c r="N69" s="64"/>
      <c r="O69" s="64"/>
      <c r="P69" s="64"/>
      <c r="Q69" s="2"/>
    </row>
    <row r="70" spans="1:17">
      <c r="A70" s="14">
        <v>61</v>
      </c>
      <c r="B70" s="14" t="s">
        <v>1295</v>
      </c>
      <c r="C70" s="14" t="s">
        <v>11</v>
      </c>
      <c r="D70" s="14" t="s">
        <v>207</v>
      </c>
      <c r="E70" s="14" t="s">
        <v>7</v>
      </c>
      <c r="F70" s="21" t="s">
        <v>219</v>
      </c>
      <c r="G70" s="21"/>
      <c r="H70" s="27">
        <v>113.36</v>
      </c>
      <c r="I70" s="231"/>
      <c r="J70" s="27">
        <f t="shared" si="1"/>
        <v>68.015999999999991</v>
      </c>
      <c r="K70" s="27">
        <f t="shared" si="3"/>
        <v>181.37599999999998</v>
      </c>
      <c r="L70" s="2"/>
      <c r="M70" s="21"/>
      <c r="N70" s="64"/>
      <c r="O70" s="64"/>
      <c r="P70" s="64"/>
      <c r="Q70" s="2"/>
    </row>
    <row r="71" spans="1:17">
      <c r="A71" s="14">
        <v>62</v>
      </c>
      <c r="B71" s="14" t="s">
        <v>1295</v>
      </c>
      <c r="C71" s="14" t="s">
        <v>11</v>
      </c>
      <c r="D71" s="14" t="s">
        <v>207</v>
      </c>
      <c r="E71" s="14" t="s">
        <v>7</v>
      </c>
      <c r="F71" s="21" t="s">
        <v>220</v>
      </c>
      <c r="G71" s="21"/>
      <c r="H71" s="27">
        <v>145.21</v>
      </c>
      <c r="I71" s="231"/>
      <c r="J71" s="27">
        <f t="shared" si="1"/>
        <v>87.126000000000005</v>
      </c>
      <c r="K71" s="27">
        <f t="shared" si="3"/>
        <v>232.33600000000001</v>
      </c>
      <c r="L71" s="2"/>
      <c r="M71" s="21"/>
      <c r="N71" s="64"/>
      <c r="O71" s="64"/>
      <c r="P71" s="64"/>
      <c r="Q71" s="2"/>
    </row>
    <row r="72" spans="1:17">
      <c r="A72" s="14">
        <v>63</v>
      </c>
      <c r="B72" s="14" t="s">
        <v>1295</v>
      </c>
      <c r="C72" s="14" t="s">
        <v>11</v>
      </c>
      <c r="D72" s="14" t="s">
        <v>207</v>
      </c>
      <c r="E72" s="14" t="s">
        <v>7</v>
      </c>
      <c r="F72" s="21" t="s">
        <v>221</v>
      </c>
      <c r="G72" s="21"/>
      <c r="H72" s="27">
        <v>90</v>
      </c>
      <c r="I72" s="231"/>
      <c r="J72" s="27">
        <f t="shared" si="1"/>
        <v>54</v>
      </c>
      <c r="K72" s="27">
        <f t="shared" si="3"/>
        <v>144</v>
      </c>
      <c r="L72" s="2"/>
      <c r="M72" s="21"/>
      <c r="N72" s="64"/>
      <c r="O72" s="64"/>
      <c r="P72" s="64"/>
      <c r="Q72" s="2"/>
    </row>
    <row r="73" spans="1:17">
      <c r="A73" s="14">
        <v>64</v>
      </c>
      <c r="B73" s="14" t="s">
        <v>1295</v>
      </c>
      <c r="C73" s="14" t="s">
        <v>11</v>
      </c>
      <c r="D73" s="14" t="s">
        <v>207</v>
      </c>
      <c r="E73" s="14" t="s">
        <v>7</v>
      </c>
      <c r="F73" s="21" t="s">
        <v>222</v>
      </c>
      <c r="G73" s="21"/>
      <c r="H73" s="27">
        <v>93.4</v>
      </c>
      <c r="I73" s="231"/>
      <c r="J73" s="27">
        <f t="shared" si="1"/>
        <v>56.04</v>
      </c>
      <c r="K73" s="27">
        <f t="shared" si="3"/>
        <v>149.44</v>
      </c>
      <c r="L73" s="2"/>
      <c r="M73" s="21"/>
      <c r="N73" s="64"/>
      <c r="O73" s="64"/>
      <c r="P73" s="64"/>
      <c r="Q73" s="2"/>
    </row>
    <row r="74" spans="1:17">
      <c r="A74" s="14">
        <v>65</v>
      </c>
      <c r="B74" s="14" t="s">
        <v>1295</v>
      </c>
      <c r="C74" s="14" t="s">
        <v>11</v>
      </c>
      <c r="D74" s="14" t="s">
        <v>207</v>
      </c>
      <c r="E74" s="14" t="s">
        <v>7</v>
      </c>
      <c r="F74" s="21" t="s">
        <v>223</v>
      </c>
      <c r="G74" s="21"/>
      <c r="H74" s="27">
        <v>80</v>
      </c>
      <c r="I74" s="231"/>
      <c r="J74" s="27">
        <f t="shared" ref="J74:J135" si="4">H74*$D$6</f>
        <v>48</v>
      </c>
      <c r="K74" s="27">
        <f t="shared" si="3"/>
        <v>128</v>
      </c>
      <c r="L74" s="2"/>
      <c r="M74" s="21"/>
      <c r="N74" s="64"/>
      <c r="O74" s="64"/>
      <c r="P74" s="64"/>
      <c r="Q74" s="2"/>
    </row>
    <row r="75" spans="1:17">
      <c r="A75" s="14">
        <v>66</v>
      </c>
      <c r="B75" s="14" t="s">
        <v>1295</v>
      </c>
      <c r="C75" s="14" t="s">
        <v>11</v>
      </c>
      <c r="D75" s="14" t="s">
        <v>207</v>
      </c>
      <c r="E75" s="14" t="s">
        <v>7</v>
      </c>
      <c r="F75" s="21" t="s">
        <v>224</v>
      </c>
      <c r="G75" s="21"/>
      <c r="H75" s="27">
        <v>50</v>
      </c>
      <c r="I75" s="231"/>
      <c r="J75" s="27">
        <f t="shared" si="4"/>
        <v>30</v>
      </c>
      <c r="K75" s="27">
        <f t="shared" si="3"/>
        <v>80</v>
      </c>
      <c r="L75" s="2"/>
      <c r="M75" s="21"/>
      <c r="N75" s="64"/>
      <c r="O75" s="64"/>
      <c r="P75" s="64"/>
      <c r="Q75" s="2"/>
    </row>
    <row r="76" spans="1:17">
      <c r="A76" s="14">
        <v>67</v>
      </c>
      <c r="B76" s="14" t="s">
        <v>1295</v>
      </c>
      <c r="C76" s="14" t="s">
        <v>11</v>
      </c>
      <c r="D76" s="14" t="s">
        <v>225</v>
      </c>
      <c r="E76" s="14" t="s">
        <v>7</v>
      </c>
      <c r="F76" s="21" t="s">
        <v>226</v>
      </c>
      <c r="G76" s="21"/>
      <c r="H76" s="27">
        <v>1500</v>
      </c>
      <c r="I76" s="231"/>
      <c r="J76" s="27">
        <f t="shared" si="4"/>
        <v>900</v>
      </c>
      <c r="K76" s="27">
        <f t="shared" si="3"/>
        <v>2400</v>
      </c>
      <c r="L76" s="2"/>
      <c r="M76" s="21"/>
      <c r="N76" s="64"/>
      <c r="O76" s="64"/>
      <c r="P76" s="64"/>
      <c r="Q76" s="2"/>
    </row>
    <row r="77" spans="1:17">
      <c r="A77" s="14">
        <v>68</v>
      </c>
      <c r="B77" s="14" t="s">
        <v>1295</v>
      </c>
      <c r="C77" s="14" t="s">
        <v>11</v>
      </c>
      <c r="D77" s="14" t="s">
        <v>225</v>
      </c>
      <c r="E77" s="14" t="s">
        <v>7</v>
      </c>
      <c r="F77" s="21" t="s">
        <v>227</v>
      </c>
      <c r="G77" s="21"/>
      <c r="H77" s="27">
        <v>55</v>
      </c>
      <c r="I77" s="231"/>
      <c r="J77" s="27">
        <f t="shared" si="4"/>
        <v>33</v>
      </c>
      <c r="K77" s="27">
        <f t="shared" si="3"/>
        <v>88</v>
      </c>
      <c r="L77" s="2"/>
      <c r="M77" s="21"/>
      <c r="N77" s="64"/>
      <c r="O77" s="64"/>
      <c r="P77" s="64"/>
      <c r="Q77" s="2"/>
    </row>
    <row r="78" spans="1:17">
      <c r="A78" s="14">
        <v>69</v>
      </c>
      <c r="B78" s="14" t="s">
        <v>1295</v>
      </c>
      <c r="C78" s="14" t="s">
        <v>11</v>
      </c>
      <c r="D78" s="14" t="s">
        <v>225</v>
      </c>
      <c r="E78" s="14" t="s">
        <v>7</v>
      </c>
      <c r="F78" s="21" t="s">
        <v>228</v>
      </c>
      <c r="G78" s="21"/>
      <c r="H78" s="27">
        <v>65</v>
      </c>
      <c r="I78" s="231"/>
      <c r="J78" s="27">
        <f t="shared" si="4"/>
        <v>39</v>
      </c>
      <c r="K78" s="27">
        <f t="shared" si="3"/>
        <v>104</v>
      </c>
      <c r="L78" s="2"/>
      <c r="M78" s="21"/>
      <c r="N78" s="64"/>
      <c r="O78" s="64"/>
      <c r="P78" s="64"/>
      <c r="Q78" s="2"/>
    </row>
    <row r="79" spans="1:17">
      <c r="A79" s="14">
        <v>70</v>
      </c>
      <c r="B79" s="14" t="s">
        <v>1295</v>
      </c>
      <c r="C79" s="14" t="s">
        <v>11</v>
      </c>
      <c r="D79" s="14" t="s">
        <v>225</v>
      </c>
      <c r="E79" s="14" t="s">
        <v>7</v>
      </c>
      <c r="F79" s="21" t="s">
        <v>229</v>
      </c>
      <c r="G79" s="21"/>
      <c r="H79" s="27">
        <v>75</v>
      </c>
      <c r="I79" s="231"/>
      <c r="J79" s="27">
        <f t="shared" si="4"/>
        <v>45</v>
      </c>
      <c r="K79" s="27">
        <f t="shared" si="3"/>
        <v>120</v>
      </c>
      <c r="L79" s="2"/>
      <c r="M79" s="21"/>
      <c r="N79" s="64"/>
      <c r="O79" s="64"/>
      <c r="P79" s="64"/>
      <c r="Q79" s="2"/>
    </row>
    <row r="80" spans="1:17">
      <c r="A80" s="14">
        <v>71</v>
      </c>
      <c r="B80" s="14" t="s">
        <v>1295</v>
      </c>
      <c r="C80" s="14" t="s">
        <v>11</v>
      </c>
      <c r="D80" s="14" t="s">
        <v>225</v>
      </c>
      <c r="E80" s="14" t="s">
        <v>7</v>
      </c>
      <c r="F80" s="21" t="s">
        <v>230</v>
      </c>
      <c r="G80" s="21"/>
      <c r="H80" s="27">
        <v>80</v>
      </c>
      <c r="I80" s="231"/>
      <c r="J80" s="27">
        <f t="shared" si="4"/>
        <v>48</v>
      </c>
      <c r="K80" s="27">
        <f t="shared" si="3"/>
        <v>128</v>
      </c>
      <c r="L80" s="2"/>
      <c r="M80" s="21"/>
      <c r="N80" s="64"/>
      <c r="O80" s="64"/>
      <c r="P80" s="64"/>
      <c r="Q80" s="2"/>
    </row>
    <row r="81" spans="1:17">
      <c r="A81" s="14">
        <v>72</v>
      </c>
      <c r="B81" s="14" t="s">
        <v>1295</v>
      </c>
      <c r="C81" s="14" t="s">
        <v>11</v>
      </c>
      <c r="D81" s="14" t="s">
        <v>225</v>
      </c>
      <c r="E81" s="14" t="s">
        <v>7</v>
      </c>
      <c r="F81" s="21" t="s">
        <v>231</v>
      </c>
      <c r="G81" s="21"/>
      <c r="H81" s="27">
        <v>85</v>
      </c>
      <c r="I81" s="231"/>
      <c r="J81" s="27">
        <f t="shared" si="4"/>
        <v>51</v>
      </c>
      <c r="K81" s="27">
        <f t="shared" si="3"/>
        <v>136</v>
      </c>
      <c r="L81" s="2"/>
      <c r="M81" s="21"/>
      <c r="N81" s="64"/>
      <c r="O81" s="64"/>
      <c r="P81" s="64"/>
      <c r="Q81" s="2"/>
    </row>
    <row r="82" spans="1:17">
      <c r="A82" s="14">
        <v>73</v>
      </c>
      <c r="B82" s="14" t="s">
        <v>1295</v>
      </c>
      <c r="C82" s="14" t="s">
        <v>11</v>
      </c>
      <c r="D82" s="14" t="s">
        <v>225</v>
      </c>
      <c r="E82" s="14" t="s">
        <v>7</v>
      </c>
      <c r="F82" s="21" t="s">
        <v>232</v>
      </c>
      <c r="G82" s="21"/>
      <c r="H82" s="27">
        <v>100</v>
      </c>
      <c r="I82" s="231"/>
      <c r="J82" s="27">
        <f t="shared" si="4"/>
        <v>60</v>
      </c>
      <c r="K82" s="27">
        <f t="shared" si="3"/>
        <v>160</v>
      </c>
      <c r="L82" s="2"/>
      <c r="M82" s="21"/>
      <c r="N82" s="64"/>
      <c r="O82" s="64"/>
      <c r="P82" s="64"/>
      <c r="Q82" s="2"/>
    </row>
    <row r="83" spans="1:17">
      <c r="A83" s="14">
        <v>74</v>
      </c>
      <c r="B83" s="14" t="s">
        <v>1295</v>
      </c>
      <c r="C83" s="14" t="s">
        <v>11</v>
      </c>
      <c r="D83" s="14" t="s">
        <v>233</v>
      </c>
      <c r="E83" s="14" t="s">
        <v>7</v>
      </c>
      <c r="F83" s="21" t="s">
        <v>234</v>
      </c>
      <c r="G83" s="21"/>
      <c r="H83" s="27">
        <v>1000</v>
      </c>
      <c r="I83" s="231"/>
      <c r="J83" s="27">
        <f t="shared" si="4"/>
        <v>600</v>
      </c>
      <c r="K83" s="27">
        <f t="shared" ref="K83:K107" si="5">H83+I83+J83</f>
        <v>1600</v>
      </c>
      <c r="L83" s="2"/>
      <c r="M83" s="21"/>
      <c r="N83" s="64"/>
      <c r="O83" s="64"/>
      <c r="P83" s="64"/>
      <c r="Q83" s="2"/>
    </row>
    <row r="84" spans="1:17">
      <c r="A84" s="14">
        <v>75</v>
      </c>
      <c r="B84" s="14" t="s">
        <v>1349</v>
      </c>
      <c r="C84" s="14" t="s">
        <v>11</v>
      </c>
      <c r="D84" s="14" t="s">
        <v>235</v>
      </c>
      <c r="E84" s="14" t="s">
        <v>7</v>
      </c>
      <c r="F84" s="21" t="s">
        <v>236</v>
      </c>
      <c r="G84" s="21"/>
      <c r="H84" s="27">
        <v>520</v>
      </c>
      <c r="I84" s="231"/>
      <c r="J84" s="27">
        <f t="shared" si="4"/>
        <v>312</v>
      </c>
      <c r="K84" s="27">
        <f t="shared" si="5"/>
        <v>832</v>
      </c>
      <c r="L84" s="2"/>
      <c r="M84" s="21"/>
      <c r="N84" s="64"/>
      <c r="O84" s="64"/>
      <c r="P84" s="64"/>
      <c r="Q84" s="2"/>
    </row>
    <row r="85" spans="1:17">
      <c r="A85" s="14">
        <v>76</v>
      </c>
      <c r="B85" s="14" t="s">
        <v>1295</v>
      </c>
      <c r="C85" s="14" t="s">
        <v>11</v>
      </c>
      <c r="D85" s="14" t="s">
        <v>235</v>
      </c>
      <c r="E85" s="14" t="s">
        <v>7</v>
      </c>
      <c r="F85" s="21" t="s">
        <v>237</v>
      </c>
      <c r="G85" s="21"/>
      <c r="H85" s="27">
        <v>365</v>
      </c>
      <c r="I85" s="231"/>
      <c r="J85" s="27">
        <f t="shared" si="4"/>
        <v>219</v>
      </c>
      <c r="K85" s="27">
        <f t="shared" si="5"/>
        <v>584</v>
      </c>
      <c r="L85" s="2"/>
      <c r="M85" s="21"/>
      <c r="N85" s="64"/>
      <c r="O85" s="64"/>
      <c r="P85" s="64"/>
      <c r="Q85" s="2"/>
    </row>
    <row r="86" spans="1:17">
      <c r="A86" s="14">
        <v>77</v>
      </c>
      <c r="B86" s="14" t="s">
        <v>1295</v>
      </c>
      <c r="C86" s="14" t="s">
        <v>11</v>
      </c>
      <c r="D86" s="14" t="s">
        <v>235</v>
      </c>
      <c r="E86" s="14" t="s">
        <v>7</v>
      </c>
      <c r="F86" s="21" t="s">
        <v>238</v>
      </c>
      <c r="G86" s="21"/>
      <c r="H86" s="27">
        <v>50</v>
      </c>
      <c r="I86" s="231"/>
      <c r="J86" s="27">
        <f t="shared" si="4"/>
        <v>30</v>
      </c>
      <c r="K86" s="27">
        <f t="shared" si="5"/>
        <v>80</v>
      </c>
      <c r="L86" s="2"/>
      <c r="M86" s="21"/>
      <c r="N86" s="64"/>
      <c r="O86" s="64"/>
      <c r="P86" s="64"/>
      <c r="Q86" s="2"/>
    </row>
    <row r="87" spans="1:17">
      <c r="A87" s="14">
        <v>78</v>
      </c>
      <c r="B87" s="14" t="s">
        <v>1295</v>
      </c>
      <c r="C87" s="14" t="s">
        <v>11</v>
      </c>
      <c r="D87" s="14" t="s">
        <v>235</v>
      </c>
      <c r="E87" s="14" t="s">
        <v>7</v>
      </c>
      <c r="F87" s="21" t="s">
        <v>239</v>
      </c>
      <c r="G87" s="21"/>
      <c r="H87" s="27">
        <v>96</v>
      </c>
      <c r="I87" s="231"/>
      <c r="J87" s="27">
        <f t="shared" si="4"/>
        <v>57.599999999999994</v>
      </c>
      <c r="K87" s="27">
        <f t="shared" si="5"/>
        <v>153.6</v>
      </c>
      <c r="L87" s="2"/>
      <c r="M87" s="21"/>
      <c r="N87" s="64"/>
      <c r="O87" s="64"/>
      <c r="P87" s="64"/>
      <c r="Q87" s="2"/>
    </row>
    <row r="88" spans="1:17">
      <c r="A88" s="14">
        <v>79</v>
      </c>
      <c r="B88" s="14" t="s">
        <v>1295</v>
      </c>
      <c r="C88" s="14" t="s">
        <v>11</v>
      </c>
      <c r="D88" s="14" t="s">
        <v>235</v>
      </c>
      <c r="E88" s="14" t="s">
        <v>7</v>
      </c>
      <c r="F88" s="21" t="s">
        <v>240</v>
      </c>
      <c r="G88" s="21"/>
      <c r="H88" s="27">
        <v>50</v>
      </c>
      <c r="I88" s="231"/>
      <c r="J88" s="27">
        <f t="shared" si="4"/>
        <v>30</v>
      </c>
      <c r="K88" s="27">
        <f t="shared" si="5"/>
        <v>80</v>
      </c>
      <c r="L88" s="2"/>
      <c r="M88" s="21"/>
      <c r="N88" s="64"/>
      <c r="O88" s="64"/>
      <c r="P88" s="64"/>
      <c r="Q88" s="2"/>
    </row>
    <row r="89" spans="1:17">
      <c r="A89" s="14">
        <v>80</v>
      </c>
      <c r="B89" s="14" t="s">
        <v>1349</v>
      </c>
      <c r="C89" s="14" t="s">
        <v>11</v>
      </c>
      <c r="D89" s="14" t="s">
        <v>233</v>
      </c>
      <c r="E89" s="14" t="s">
        <v>7</v>
      </c>
      <c r="F89" s="21" t="s">
        <v>14</v>
      </c>
      <c r="G89" s="21"/>
      <c r="H89" s="27">
        <v>400</v>
      </c>
      <c r="I89" s="231"/>
      <c r="J89" s="27">
        <f t="shared" si="4"/>
        <v>240</v>
      </c>
      <c r="K89" s="27">
        <f t="shared" si="5"/>
        <v>640</v>
      </c>
      <c r="L89" s="63"/>
      <c r="M89" s="21"/>
      <c r="N89" s="64"/>
      <c r="O89" s="64"/>
      <c r="P89" s="64"/>
      <c r="Q89" s="2"/>
    </row>
    <row r="90" spans="1:17">
      <c r="A90" s="14">
        <v>81</v>
      </c>
      <c r="B90" s="14" t="s">
        <v>1295</v>
      </c>
      <c r="C90" s="14" t="s">
        <v>11</v>
      </c>
      <c r="D90" s="14" t="s">
        <v>233</v>
      </c>
      <c r="E90" s="14" t="s">
        <v>7</v>
      </c>
      <c r="F90" s="21"/>
      <c r="G90" s="21"/>
      <c r="H90" s="27"/>
      <c r="I90" s="231"/>
      <c r="J90" s="27">
        <f t="shared" si="4"/>
        <v>0</v>
      </c>
      <c r="K90" s="27">
        <f t="shared" si="5"/>
        <v>0</v>
      </c>
      <c r="L90" s="2"/>
      <c r="M90" s="21"/>
      <c r="N90" s="64"/>
      <c r="O90" s="64"/>
      <c r="P90" s="64"/>
      <c r="Q90" s="2"/>
    </row>
    <row r="91" spans="1:17">
      <c r="A91" s="14">
        <v>82</v>
      </c>
      <c r="B91" s="14" t="s">
        <v>1349</v>
      </c>
      <c r="C91" s="14" t="s">
        <v>11</v>
      </c>
      <c r="D91" s="14" t="s">
        <v>241</v>
      </c>
      <c r="E91" s="14" t="s">
        <v>7</v>
      </c>
      <c r="F91" s="21" t="s">
        <v>150</v>
      </c>
      <c r="G91" s="21"/>
      <c r="H91" s="27">
        <v>6.6</v>
      </c>
      <c r="I91" s="231"/>
      <c r="J91" s="27">
        <f t="shared" si="4"/>
        <v>3.9599999999999995</v>
      </c>
      <c r="K91" s="27">
        <f t="shared" si="5"/>
        <v>10.559999999999999</v>
      </c>
      <c r="L91" s="2"/>
      <c r="M91" s="21"/>
      <c r="N91" s="64"/>
      <c r="O91" s="64"/>
      <c r="P91" s="64"/>
      <c r="Q91" s="2"/>
    </row>
    <row r="92" spans="1:17">
      <c r="A92" s="14">
        <v>83</v>
      </c>
      <c r="B92" s="14" t="s">
        <v>1349</v>
      </c>
      <c r="C92" s="14" t="s">
        <v>11</v>
      </c>
      <c r="D92" s="14" t="s">
        <v>241</v>
      </c>
      <c r="E92" s="14" t="s">
        <v>7</v>
      </c>
      <c r="F92" s="21" t="s">
        <v>242</v>
      </c>
      <c r="G92" s="21"/>
      <c r="H92" s="27">
        <v>15.5</v>
      </c>
      <c r="I92" s="231"/>
      <c r="J92" s="27">
        <f t="shared" si="4"/>
        <v>9.2999999999999989</v>
      </c>
      <c r="K92" s="27">
        <f t="shared" si="5"/>
        <v>24.799999999999997</v>
      </c>
      <c r="L92" s="2"/>
      <c r="M92" s="21"/>
      <c r="N92" s="64"/>
      <c r="O92" s="64"/>
      <c r="P92" s="64"/>
      <c r="Q92" s="2"/>
    </row>
    <row r="93" spans="1:17">
      <c r="A93" s="14">
        <v>84</v>
      </c>
      <c r="B93" s="14" t="s">
        <v>1349</v>
      </c>
      <c r="C93" s="14" t="s">
        <v>11</v>
      </c>
      <c r="D93" s="14" t="s">
        <v>241</v>
      </c>
      <c r="E93" s="14" t="s">
        <v>7</v>
      </c>
      <c r="F93" s="21" t="s">
        <v>151</v>
      </c>
      <c r="G93" s="21"/>
      <c r="H93" s="27">
        <v>15</v>
      </c>
      <c r="I93" s="231"/>
      <c r="J93" s="27">
        <f t="shared" si="4"/>
        <v>9</v>
      </c>
      <c r="K93" s="27">
        <f t="shared" si="5"/>
        <v>24</v>
      </c>
      <c r="L93" s="2"/>
      <c r="M93" s="21"/>
      <c r="N93" s="64"/>
      <c r="O93" s="64"/>
      <c r="P93" s="64"/>
      <c r="Q93" s="2"/>
    </row>
    <row r="94" spans="1:17">
      <c r="A94" s="14">
        <v>85</v>
      </c>
      <c r="B94" s="14" t="s">
        <v>1349</v>
      </c>
      <c r="C94" s="14" t="s">
        <v>11</v>
      </c>
      <c r="D94" s="14" t="s">
        <v>241</v>
      </c>
      <c r="E94" s="14" t="s">
        <v>7</v>
      </c>
      <c r="F94" s="21" t="s">
        <v>1314</v>
      </c>
      <c r="G94" s="21"/>
      <c r="H94" s="27">
        <v>350</v>
      </c>
      <c r="I94" s="231"/>
      <c r="J94" s="27">
        <f t="shared" si="4"/>
        <v>210</v>
      </c>
      <c r="K94" s="27">
        <f t="shared" si="5"/>
        <v>560</v>
      </c>
      <c r="L94" s="2"/>
      <c r="M94" s="21"/>
      <c r="N94" s="64"/>
      <c r="O94" s="64"/>
      <c r="P94" s="64"/>
      <c r="Q94" s="2"/>
    </row>
    <row r="95" spans="1:17">
      <c r="A95" s="14">
        <v>86</v>
      </c>
      <c r="B95" s="14" t="s">
        <v>1295</v>
      </c>
      <c r="C95" s="14" t="s">
        <v>11</v>
      </c>
      <c r="D95" s="14" t="s">
        <v>241</v>
      </c>
      <c r="E95" s="14" t="s">
        <v>7</v>
      </c>
      <c r="H95" s="27"/>
      <c r="I95" s="231"/>
      <c r="J95" s="27">
        <f t="shared" si="4"/>
        <v>0</v>
      </c>
      <c r="K95" s="27">
        <f t="shared" si="5"/>
        <v>0</v>
      </c>
      <c r="L95" s="2"/>
      <c r="M95" s="21"/>
      <c r="N95" s="64"/>
      <c r="O95" s="64"/>
      <c r="P95" s="64"/>
      <c r="Q95" s="2"/>
    </row>
    <row r="96" spans="1:17">
      <c r="A96" s="14">
        <v>87</v>
      </c>
      <c r="B96" s="14" t="s">
        <v>1295</v>
      </c>
      <c r="C96" s="14" t="s">
        <v>23</v>
      </c>
      <c r="D96" s="14" t="s">
        <v>243</v>
      </c>
      <c r="E96" s="14" t="s">
        <v>7</v>
      </c>
      <c r="F96" s="21" t="s">
        <v>244</v>
      </c>
      <c r="G96" s="21"/>
      <c r="H96" s="27">
        <v>16.32</v>
      </c>
      <c r="I96" s="231"/>
      <c r="J96" s="27">
        <f t="shared" si="4"/>
        <v>9.7919999999999998</v>
      </c>
      <c r="K96" s="27">
        <f t="shared" si="5"/>
        <v>26.112000000000002</v>
      </c>
      <c r="L96" s="2"/>
      <c r="M96" s="27" t="e">
        <f>H96*#REF!</f>
        <v>#REF!</v>
      </c>
      <c r="N96" s="64"/>
      <c r="O96" s="64"/>
      <c r="P96" s="64"/>
      <c r="Q96" s="2"/>
    </row>
    <row r="97" spans="1:17">
      <c r="A97" s="14">
        <v>88</v>
      </c>
      <c r="B97" s="14" t="s">
        <v>1295</v>
      </c>
      <c r="C97" s="14" t="s">
        <v>23</v>
      </c>
      <c r="D97" s="14" t="s">
        <v>243</v>
      </c>
      <c r="E97" s="14" t="s">
        <v>7</v>
      </c>
      <c r="F97" s="21" t="s">
        <v>245</v>
      </c>
      <c r="G97" s="21"/>
      <c r="H97" s="27">
        <v>25.36</v>
      </c>
      <c r="I97" s="231"/>
      <c r="J97" s="27">
        <f t="shared" si="4"/>
        <v>15.215999999999999</v>
      </c>
      <c r="K97" s="27">
        <f t="shared" si="5"/>
        <v>40.576000000000001</v>
      </c>
      <c r="L97" s="2"/>
      <c r="M97" s="27" t="e">
        <f>H97*#REF!</f>
        <v>#REF!</v>
      </c>
      <c r="N97" s="64"/>
      <c r="O97" s="64"/>
      <c r="P97" s="64"/>
      <c r="Q97" s="2"/>
    </row>
    <row r="98" spans="1:17">
      <c r="A98" s="14">
        <v>89</v>
      </c>
      <c r="B98" s="14" t="s">
        <v>1295</v>
      </c>
      <c r="C98" s="14" t="s">
        <v>23</v>
      </c>
      <c r="D98" s="14" t="s">
        <v>243</v>
      </c>
      <c r="E98" s="14" t="s">
        <v>7</v>
      </c>
      <c r="F98" s="21" t="s">
        <v>246</v>
      </c>
      <c r="G98" s="21"/>
      <c r="H98" s="27">
        <v>18.09</v>
      </c>
      <c r="I98" s="231"/>
      <c r="J98" s="27">
        <f t="shared" si="4"/>
        <v>10.853999999999999</v>
      </c>
      <c r="K98" s="27">
        <f t="shared" si="5"/>
        <v>28.943999999999999</v>
      </c>
      <c r="L98" s="2"/>
      <c r="M98" s="27" t="e">
        <f>H98*#REF!</f>
        <v>#REF!</v>
      </c>
      <c r="N98" s="64"/>
      <c r="O98" s="64"/>
      <c r="P98" s="64"/>
      <c r="Q98" s="2"/>
    </row>
    <row r="99" spans="1:17">
      <c r="A99" s="14">
        <v>90</v>
      </c>
      <c r="B99" s="14" t="s">
        <v>1295</v>
      </c>
      <c r="C99" s="14" t="s">
        <v>23</v>
      </c>
      <c r="D99" s="14" t="s">
        <v>243</v>
      </c>
      <c r="E99" s="14" t="s">
        <v>7</v>
      </c>
      <c r="F99" s="21" t="s">
        <v>247</v>
      </c>
      <c r="G99" s="21"/>
      <c r="H99" s="27">
        <v>30.63</v>
      </c>
      <c r="I99" s="231"/>
      <c r="J99" s="27">
        <f t="shared" si="4"/>
        <v>18.378</v>
      </c>
      <c r="K99" s="27">
        <f t="shared" si="5"/>
        <v>49.007999999999996</v>
      </c>
      <c r="L99" s="2"/>
      <c r="M99" s="27" t="e">
        <f>H99*#REF!</f>
        <v>#REF!</v>
      </c>
      <c r="N99" s="64"/>
      <c r="O99" s="64"/>
      <c r="P99" s="64"/>
      <c r="Q99" s="2"/>
    </row>
    <row r="100" spans="1:17">
      <c r="A100" s="14">
        <v>91</v>
      </c>
      <c r="B100" s="14" t="s">
        <v>1295</v>
      </c>
      <c r="C100" s="14" t="s">
        <v>23</v>
      </c>
      <c r="D100" s="14" t="s">
        <v>243</v>
      </c>
      <c r="E100" s="14" t="s">
        <v>7</v>
      </c>
      <c r="F100" s="21" t="s">
        <v>248</v>
      </c>
      <c r="G100" s="21"/>
      <c r="H100" s="27">
        <v>54.09</v>
      </c>
      <c r="I100" s="231"/>
      <c r="J100" s="27">
        <f t="shared" si="4"/>
        <v>32.454000000000001</v>
      </c>
      <c r="K100" s="27">
        <f t="shared" si="5"/>
        <v>86.544000000000011</v>
      </c>
      <c r="L100" s="2"/>
      <c r="M100" s="27" t="e">
        <f>H100*#REF!</f>
        <v>#REF!</v>
      </c>
      <c r="N100" s="64"/>
      <c r="O100" s="64"/>
      <c r="P100" s="64"/>
      <c r="Q100" s="2"/>
    </row>
    <row r="101" spans="1:17">
      <c r="A101" s="14">
        <v>92</v>
      </c>
      <c r="B101" s="14" t="s">
        <v>1295</v>
      </c>
      <c r="C101" s="14" t="s">
        <v>23</v>
      </c>
      <c r="D101" s="14" t="s">
        <v>243</v>
      </c>
      <c r="E101" s="14" t="s">
        <v>7</v>
      </c>
      <c r="F101" s="21" t="s">
        <v>249</v>
      </c>
      <c r="G101" s="21"/>
      <c r="H101" s="27">
        <v>0</v>
      </c>
      <c r="I101" s="231"/>
      <c r="J101" s="27">
        <f t="shared" si="4"/>
        <v>0</v>
      </c>
      <c r="K101" s="27">
        <f t="shared" si="5"/>
        <v>0</v>
      </c>
      <c r="L101" s="2"/>
      <c r="M101" s="27" t="e">
        <f>H101*#REF!</f>
        <v>#REF!</v>
      </c>
      <c r="N101" s="66"/>
      <c r="O101" s="64"/>
      <c r="P101" s="64"/>
      <c r="Q101" s="2"/>
    </row>
    <row r="102" spans="1:17">
      <c r="A102" s="14">
        <v>93</v>
      </c>
      <c r="B102" s="14" t="s">
        <v>1295</v>
      </c>
      <c r="C102" s="14" t="s">
        <v>23</v>
      </c>
      <c r="D102" s="14" t="s">
        <v>243</v>
      </c>
      <c r="E102" s="14" t="s">
        <v>7</v>
      </c>
      <c r="F102" s="21" t="s">
        <v>250</v>
      </c>
      <c r="G102" s="21"/>
      <c r="H102" s="27">
        <f>22.28+2.23</f>
        <v>24.51</v>
      </c>
      <c r="I102" s="231"/>
      <c r="J102" s="27">
        <f t="shared" si="4"/>
        <v>14.706</v>
      </c>
      <c r="K102" s="27">
        <f t="shared" si="5"/>
        <v>39.216000000000001</v>
      </c>
      <c r="L102" s="2"/>
      <c r="M102" s="27" t="e">
        <f>H102*#REF!</f>
        <v>#REF!</v>
      </c>
      <c r="N102" s="64"/>
      <c r="O102" s="64"/>
      <c r="P102" s="64"/>
      <c r="Q102" s="2"/>
    </row>
    <row r="103" spans="1:17">
      <c r="A103" s="14">
        <v>94</v>
      </c>
      <c r="B103" s="14" t="s">
        <v>1295</v>
      </c>
      <c r="C103" s="14" t="s">
        <v>23</v>
      </c>
      <c r="D103" s="14" t="s">
        <v>243</v>
      </c>
      <c r="E103" s="14" t="s">
        <v>7</v>
      </c>
      <c r="F103" s="21" t="s">
        <v>251</v>
      </c>
      <c r="G103" s="21"/>
      <c r="H103" s="27">
        <f>67.72+6.77</f>
        <v>74.489999999999995</v>
      </c>
      <c r="I103" s="231"/>
      <c r="J103" s="27">
        <f t="shared" si="4"/>
        <v>44.693999999999996</v>
      </c>
      <c r="K103" s="27">
        <f t="shared" si="5"/>
        <v>119.184</v>
      </c>
      <c r="L103" s="2"/>
      <c r="M103" s="27" t="e">
        <f>H103*#REF!</f>
        <v>#REF!</v>
      </c>
      <c r="N103" s="64"/>
      <c r="O103" s="64"/>
      <c r="P103" s="64"/>
      <c r="Q103" s="2"/>
    </row>
    <row r="104" spans="1:17">
      <c r="A104" s="14">
        <v>95</v>
      </c>
      <c r="B104" s="14" t="s">
        <v>1295</v>
      </c>
      <c r="C104" s="14" t="s">
        <v>23</v>
      </c>
      <c r="D104" s="14" t="s">
        <v>243</v>
      </c>
      <c r="E104" s="14" t="s">
        <v>7</v>
      </c>
      <c r="F104" s="21" t="s">
        <v>252</v>
      </c>
      <c r="G104" s="21"/>
      <c r="H104" s="27"/>
      <c r="I104" s="231"/>
      <c r="J104" s="27">
        <f t="shared" si="4"/>
        <v>0</v>
      </c>
      <c r="K104" s="27">
        <f t="shared" si="5"/>
        <v>0</v>
      </c>
      <c r="L104" s="2"/>
      <c r="M104" s="27" t="e">
        <f>H104*#REF!</f>
        <v>#REF!</v>
      </c>
      <c r="N104" s="64"/>
      <c r="O104" s="64"/>
      <c r="P104" s="64"/>
      <c r="Q104" s="2"/>
    </row>
    <row r="105" spans="1:17">
      <c r="A105" s="14">
        <v>96</v>
      </c>
      <c r="B105" s="14" t="s">
        <v>1295</v>
      </c>
      <c r="C105" s="14" t="s">
        <v>23</v>
      </c>
      <c r="D105" s="14" t="s">
        <v>243</v>
      </c>
      <c r="E105" s="14" t="s">
        <v>7</v>
      </c>
      <c r="F105" s="21" t="s">
        <v>253</v>
      </c>
      <c r="G105" s="21"/>
      <c r="H105" s="27"/>
      <c r="I105" s="231"/>
      <c r="J105" s="27">
        <f t="shared" si="4"/>
        <v>0</v>
      </c>
      <c r="K105" s="27">
        <f t="shared" si="5"/>
        <v>0</v>
      </c>
      <c r="L105" s="2"/>
      <c r="M105" s="27" t="e">
        <f>H105*#REF!</f>
        <v>#REF!</v>
      </c>
      <c r="N105" s="64"/>
      <c r="O105" s="64"/>
      <c r="P105" s="64"/>
      <c r="Q105" s="2"/>
    </row>
    <row r="106" spans="1:17">
      <c r="A106" s="14">
        <v>97</v>
      </c>
      <c r="B106" s="14" t="s">
        <v>1295</v>
      </c>
      <c r="C106" s="14" t="s">
        <v>23</v>
      </c>
      <c r="D106" s="14" t="s">
        <v>243</v>
      </c>
      <c r="E106" s="14" t="s">
        <v>7</v>
      </c>
      <c r="F106" s="21" t="s">
        <v>254</v>
      </c>
      <c r="G106" s="21"/>
      <c r="H106" s="27"/>
      <c r="I106" s="231"/>
      <c r="J106" s="27">
        <f t="shared" si="4"/>
        <v>0</v>
      </c>
      <c r="K106" s="27">
        <f t="shared" si="5"/>
        <v>0</v>
      </c>
      <c r="L106" s="2"/>
      <c r="M106" s="27" t="e">
        <f>H106*#REF!</f>
        <v>#REF!</v>
      </c>
      <c r="N106" s="64"/>
      <c r="O106" s="64"/>
      <c r="P106" s="64"/>
      <c r="Q106" s="2"/>
    </row>
    <row r="107" spans="1:17">
      <c r="A107" s="14">
        <v>98</v>
      </c>
      <c r="B107" s="14" t="s">
        <v>1295</v>
      </c>
      <c r="C107" s="14" t="s">
        <v>23</v>
      </c>
      <c r="D107" s="14" t="s">
        <v>243</v>
      </c>
      <c r="E107" s="14" t="s">
        <v>7</v>
      </c>
      <c r="F107" s="21" t="s">
        <v>250</v>
      </c>
      <c r="G107" s="21"/>
      <c r="H107" s="27">
        <f>90+9</f>
        <v>99</v>
      </c>
      <c r="I107" s="231"/>
      <c r="J107" s="27">
        <f t="shared" si="4"/>
        <v>59.4</v>
      </c>
      <c r="K107" s="27">
        <f t="shared" si="5"/>
        <v>158.4</v>
      </c>
      <c r="L107" s="2"/>
      <c r="M107" s="27" t="e">
        <f>H107*#REF!</f>
        <v>#REF!</v>
      </c>
      <c r="N107" s="64"/>
      <c r="O107" s="64"/>
      <c r="P107" s="64"/>
      <c r="Q107" s="2"/>
    </row>
    <row r="108" spans="1:17">
      <c r="A108" s="14">
        <v>99</v>
      </c>
      <c r="B108" s="14" t="s">
        <v>1295</v>
      </c>
      <c r="C108" s="14" t="s">
        <v>25</v>
      </c>
      <c r="D108" s="14" t="s">
        <v>1108</v>
      </c>
      <c r="E108" s="14" t="s">
        <v>7</v>
      </c>
      <c r="F108" s="21" t="s">
        <v>255</v>
      </c>
      <c r="G108" s="21"/>
      <c r="H108" s="27">
        <v>143.18</v>
      </c>
      <c r="I108" s="231"/>
      <c r="J108" s="27">
        <f t="shared" si="4"/>
        <v>85.908000000000001</v>
      </c>
      <c r="K108" s="27">
        <f>H108+I108</f>
        <v>143.18</v>
      </c>
      <c r="L108" s="2"/>
      <c r="M108" s="2"/>
      <c r="N108" s="64"/>
      <c r="O108" s="64"/>
      <c r="P108" s="64"/>
      <c r="Q108" s="2"/>
    </row>
    <row r="109" spans="1:17">
      <c r="A109" s="14">
        <v>100</v>
      </c>
      <c r="B109" s="14" t="s">
        <v>1295</v>
      </c>
      <c r="C109" s="14" t="s">
        <v>25</v>
      </c>
      <c r="D109" s="14" t="s">
        <v>1108</v>
      </c>
      <c r="E109" s="14" t="s">
        <v>7</v>
      </c>
      <c r="F109" s="21" t="s">
        <v>256</v>
      </c>
      <c r="G109" s="21"/>
      <c r="H109" s="27">
        <v>177.27</v>
      </c>
      <c r="I109" s="231"/>
      <c r="J109" s="27">
        <f t="shared" si="4"/>
        <v>106.36200000000001</v>
      </c>
      <c r="K109" s="27">
        <f>H109+I109</f>
        <v>177.27</v>
      </c>
      <c r="L109" s="2"/>
      <c r="M109" s="2"/>
      <c r="N109" s="64"/>
      <c r="O109" s="64"/>
      <c r="P109" s="64"/>
      <c r="Q109" s="2"/>
    </row>
    <row r="110" spans="1:17">
      <c r="A110" s="14">
        <v>101</v>
      </c>
      <c r="B110" s="14" t="s">
        <v>1295</v>
      </c>
      <c r="C110" s="14" t="s">
        <v>25</v>
      </c>
      <c r="D110" s="14" t="s">
        <v>1108</v>
      </c>
      <c r="E110" s="14" t="s">
        <v>7</v>
      </c>
      <c r="F110" s="21" t="s">
        <v>257</v>
      </c>
      <c r="G110" s="21"/>
      <c r="H110" s="27">
        <v>40.909999999999997</v>
      </c>
      <c r="I110" s="231"/>
      <c r="J110" s="27">
        <f t="shared" si="4"/>
        <v>24.545999999999996</v>
      </c>
      <c r="K110" s="27">
        <f>H110+I110</f>
        <v>40.909999999999997</v>
      </c>
      <c r="L110" s="2"/>
      <c r="M110" s="2"/>
      <c r="N110" s="64"/>
      <c r="O110" s="64"/>
      <c r="P110" s="64"/>
      <c r="Q110" s="2"/>
    </row>
    <row r="111" spans="1:17">
      <c r="A111" s="14">
        <v>102</v>
      </c>
      <c r="B111" s="14" t="s">
        <v>1349</v>
      </c>
      <c r="C111" s="14" t="s">
        <v>23</v>
      </c>
      <c r="D111" s="14" t="s">
        <v>258</v>
      </c>
      <c r="E111" s="14" t="s">
        <v>7</v>
      </c>
      <c r="F111" s="21" t="s">
        <v>259</v>
      </c>
      <c r="G111" s="21"/>
      <c r="H111" s="27">
        <v>400</v>
      </c>
      <c r="I111" s="231"/>
      <c r="J111" s="27">
        <f t="shared" si="4"/>
        <v>240</v>
      </c>
      <c r="K111" s="27">
        <f t="shared" ref="K111:K118" si="6">H111+I111+J111</f>
        <v>640</v>
      </c>
      <c r="L111" s="2"/>
      <c r="M111" s="2"/>
      <c r="N111" s="64"/>
      <c r="O111" s="64"/>
      <c r="P111" s="64"/>
      <c r="Q111" s="2"/>
    </row>
    <row r="112" spans="1:17">
      <c r="A112" s="14">
        <v>103</v>
      </c>
      <c r="B112" s="14" t="s">
        <v>1295</v>
      </c>
      <c r="C112" s="14" t="s">
        <v>23</v>
      </c>
      <c r="D112" s="14" t="s">
        <v>258</v>
      </c>
      <c r="E112" s="14" t="s">
        <v>7</v>
      </c>
      <c r="F112" s="21" t="s">
        <v>260</v>
      </c>
      <c r="G112" s="21"/>
      <c r="H112" s="27">
        <v>40</v>
      </c>
      <c r="I112" s="231"/>
      <c r="J112" s="27">
        <f t="shared" si="4"/>
        <v>24</v>
      </c>
      <c r="K112" s="27">
        <f t="shared" si="6"/>
        <v>64</v>
      </c>
      <c r="L112" s="2"/>
      <c r="M112" s="2"/>
      <c r="N112" s="64"/>
      <c r="O112" s="64"/>
      <c r="P112" s="64"/>
      <c r="Q112" s="2"/>
    </row>
    <row r="113" spans="1:17">
      <c r="A113" s="14">
        <v>104</v>
      </c>
      <c r="B113" s="14" t="s">
        <v>1295</v>
      </c>
      <c r="C113" s="14" t="s">
        <v>23</v>
      </c>
      <c r="D113" s="14" t="s">
        <v>258</v>
      </c>
      <c r="E113" s="14" t="s">
        <v>7</v>
      </c>
      <c r="F113" s="21" t="s">
        <v>261</v>
      </c>
      <c r="G113" s="21"/>
      <c r="H113" s="27">
        <v>1</v>
      </c>
      <c r="I113" s="231"/>
      <c r="J113" s="27">
        <f t="shared" si="4"/>
        <v>0.6</v>
      </c>
      <c r="K113" s="27">
        <f t="shared" si="6"/>
        <v>1.6</v>
      </c>
      <c r="L113" s="2"/>
      <c r="M113" s="2"/>
      <c r="N113" s="64"/>
      <c r="O113" s="64"/>
      <c r="P113" s="64"/>
      <c r="Q113" s="2"/>
    </row>
    <row r="114" spans="1:17">
      <c r="A114" s="14">
        <v>105</v>
      </c>
      <c r="B114" s="14" t="s">
        <v>1295</v>
      </c>
      <c r="C114" s="14" t="s">
        <v>23</v>
      </c>
      <c r="D114" s="14" t="s">
        <v>258</v>
      </c>
      <c r="E114" s="14" t="s">
        <v>7</v>
      </c>
      <c r="F114" s="21" t="s">
        <v>262</v>
      </c>
      <c r="G114" s="21"/>
      <c r="H114" s="27">
        <v>1</v>
      </c>
      <c r="I114" s="231"/>
      <c r="J114" s="27">
        <f t="shared" si="4"/>
        <v>0.6</v>
      </c>
      <c r="K114" s="27">
        <f t="shared" si="6"/>
        <v>1.6</v>
      </c>
      <c r="L114" s="2"/>
      <c r="M114" s="2"/>
      <c r="N114" s="64"/>
      <c r="O114" s="64"/>
      <c r="P114" s="64"/>
      <c r="Q114" s="2"/>
    </row>
    <row r="115" spans="1:17">
      <c r="A115" s="14">
        <v>106</v>
      </c>
      <c r="B115" s="14" t="s">
        <v>1295</v>
      </c>
      <c r="C115" s="14" t="s">
        <v>23</v>
      </c>
      <c r="D115" s="14" t="s">
        <v>258</v>
      </c>
      <c r="E115" s="14" t="s">
        <v>7</v>
      </c>
      <c r="F115" s="21" t="s">
        <v>223</v>
      </c>
      <c r="G115" s="21"/>
      <c r="H115" s="27">
        <v>45.5</v>
      </c>
      <c r="I115" s="231"/>
      <c r="J115" s="27">
        <f t="shared" si="4"/>
        <v>27.3</v>
      </c>
      <c r="K115" s="27">
        <f t="shared" si="6"/>
        <v>72.8</v>
      </c>
      <c r="L115" s="2"/>
      <c r="M115" s="2"/>
      <c r="N115" s="64"/>
      <c r="O115" s="64"/>
      <c r="P115" s="64"/>
      <c r="Q115" s="2"/>
    </row>
    <row r="116" spans="1:17">
      <c r="A116" s="14">
        <v>107</v>
      </c>
      <c r="B116" s="14" t="s">
        <v>1295</v>
      </c>
      <c r="C116" s="14" t="s">
        <v>23</v>
      </c>
      <c r="D116" s="14" t="s">
        <v>258</v>
      </c>
      <c r="E116" s="14" t="s">
        <v>7</v>
      </c>
      <c r="F116" s="21" t="s">
        <v>85</v>
      </c>
      <c r="G116" s="21"/>
      <c r="H116" s="27">
        <v>80</v>
      </c>
      <c r="I116" s="231"/>
      <c r="J116" s="27">
        <f t="shared" si="4"/>
        <v>48</v>
      </c>
      <c r="K116" s="27">
        <f t="shared" si="6"/>
        <v>128</v>
      </c>
      <c r="L116" s="2"/>
      <c r="M116" s="2"/>
      <c r="N116" s="64"/>
      <c r="O116" s="64"/>
      <c r="P116" s="64"/>
      <c r="Q116" s="2"/>
    </row>
    <row r="117" spans="1:17">
      <c r="A117" s="14">
        <v>108</v>
      </c>
      <c r="B117" s="14" t="s">
        <v>1295</v>
      </c>
      <c r="C117" s="14" t="s">
        <v>23</v>
      </c>
      <c r="D117" s="14" t="s">
        <v>258</v>
      </c>
      <c r="E117" s="14" t="s">
        <v>7</v>
      </c>
      <c r="F117" s="21" t="s">
        <v>224</v>
      </c>
      <c r="G117" s="21"/>
      <c r="H117" s="27">
        <v>45</v>
      </c>
      <c r="I117" s="231"/>
      <c r="J117" s="27">
        <f t="shared" si="4"/>
        <v>27</v>
      </c>
      <c r="K117" s="27">
        <f t="shared" si="6"/>
        <v>72</v>
      </c>
      <c r="L117" s="2"/>
      <c r="M117" s="2"/>
      <c r="N117" s="64"/>
      <c r="O117" s="64"/>
      <c r="P117" s="64"/>
      <c r="Q117" s="2"/>
    </row>
    <row r="118" spans="1:17">
      <c r="A118" s="14">
        <v>109</v>
      </c>
      <c r="B118" s="14" t="s">
        <v>1295</v>
      </c>
      <c r="C118" s="14" t="s">
        <v>23</v>
      </c>
      <c r="D118" s="14" t="s">
        <v>258</v>
      </c>
      <c r="E118" s="14" t="s">
        <v>7</v>
      </c>
      <c r="F118" s="21" t="s">
        <v>263</v>
      </c>
      <c r="G118" s="21"/>
      <c r="H118" s="27">
        <v>25</v>
      </c>
      <c r="I118" s="231"/>
      <c r="J118" s="27">
        <f t="shared" si="4"/>
        <v>15</v>
      </c>
      <c r="K118" s="27">
        <f t="shared" si="6"/>
        <v>40</v>
      </c>
      <c r="L118" s="2"/>
      <c r="M118" s="2"/>
      <c r="N118" s="64"/>
      <c r="O118" s="64"/>
      <c r="P118" s="64"/>
      <c r="Q118" s="2"/>
    </row>
    <row r="119" spans="1:17">
      <c r="A119" s="14">
        <v>110</v>
      </c>
      <c r="B119" s="14" t="s">
        <v>1295</v>
      </c>
      <c r="C119" s="14" t="s">
        <v>34</v>
      </c>
      <c r="D119" s="14" t="s">
        <v>264</v>
      </c>
      <c r="E119" s="14" t="s">
        <v>7</v>
      </c>
      <c r="F119" s="14" t="s">
        <v>264</v>
      </c>
      <c r="G119" s="21" t="s">
        <v>265</v>
      </c>
      <c r="H119" s="21"/>
      <c r="I119" s="231"/>
      <c r="J119" s="27">
        <f t="shared" si="4"/>
        <v>0</v>
      </c>
      <c r="K119" s="21"/>
      <c r="M119" s="21"/>
      <c r="N119" s="64"/>
      <c r="O119" s="64"/>
      <c r="P119" s="64"/>
      <c r="Q119" s="2"/>
    </row>
    <row r="120" spans="1:17">
      <c r="A120" s="14">
        <v>112</v>
      </c>
      <c r="B120" s="14" t="s">
        <v>1295</v>
      </c>
      <c r="C120" s="14" t="s">
        <v>34</v>
      </c>
      <c r="D120" s="14" t="s">
        <v>264</v>
      </c>
      <c r="E120" s="14" t="s">
        <v>7</v>
      </c>
      <c r="F120" s="14" t="s">
        <v>1181</v>
      </c>
      <c r="G120" s="30" t="s">
        <v>266</v>
      </c>
      <c r="H120" s="27">
        <v>47.66</v>
      </c>
      <c r="I120" s="231"/>
      <c r="J120" s="27">
        <f t="shared" si="4"/>
        <v>28.595999999999997</v>
      </c>
      <c r="K120" s="27">
        <f t="shared" ref="K120:K125" si="7">H120+I120+J120</f>
        <v>76.256</v>
      </c>
      <c r="L120" s="2"/>
      <c r="M120" s="21"/>
      <c r="N120" s="64"/>
      <c r="O120" s="64"/>
      <c r="P120" s="64"/>
      <c r="Q120" s="2"/>
    </row>
    <row r="121" spans="1:17">
      <c r="A121" s="14">
        <v>113</v>
      </c>
      <c r="B121" s="14" t="s">
        <v>1295</v>
      </c>
      <c r="C121" s="14" t="s">
        <v>34</v>
      </c>
      <c r="D121" s="14" t="s">
        <v>264</v>
      </c>
      <c r="E121" s="14" t="s">
        <v>7</v>
      </c>
      <c r="F121" s="14" t="s">
        <v>1298</v>
      </c>
      <c r="G121" s="30" t="s">
        <v>267</v>
      </c>
      <c r="H121" s="27">
        <v>86</v>
      </c>
      <c r="I121" s="231"/>
      <c r="J121" s="27">
        <f t="shared" si="4"/>
        <v>51.6</v>
      </c>
      <c r="K121" s="27">
        <f t="shared" si="7"/>
        <v>137.6</v>
      </c>
      <c r="L121" s="2"/>
      <c r="M121" s="21"/>
      <c r="N121" s="64"/>
      <c r="O121" s="64"/>
      <c r="P121" s="64"/>
      <c r="Q121" s="2"/>
    </row>
    <row r="122" spans="1:17">
      <c r="A122" s="14">
        <v>114</v>
      </c>
      <c r="B122" s="14" t="s">
        <v>1295</v>
      </c>
      <c r="C122" s="14" t="s">
        <v>34</v>
      </c>
      <c r="D122" s="14" t="s">
        <v>264</v>
      </c>
      <c r="E122" s="14" t="s">
        <v>7</v>
      </c>
      <c r="F122" s="14" t="s">
        <v>1297</v>
      </c>
      <c r="G122" s="30" t="s">
        <v>268</v>
      </c>
      <c r="H122" s="27">
        <v>63.2</v>
      </c>
      <c r="I122" s="231"/>
      <c r="J122" s="27">
        <f t="shared" si="4"/>
        <v>37.92</v>
      </c>
      <c r="K122" s="27">
        <f t="shared" si="7"/>
        <v>101.12</v>
      </c>
      <c r="L122" s="2"/>
      <c r="M122" s="21"/>
      <c r="N122" s="64"/>
      <c r="O122" s="64"/>
      <c r="P122" s="64"/>
      <c r="Q122" s="2"/>
    </row>
    <row r="123" spans="1:17">
      <c r="A123" s="14">
        <v>115</v>
      </c>
      <c r="B123" s="14" t="s">
        <v>1295</v>
      </c>
      <c r="C123" s="14" t="s">
        <v>34</v>
      </c>
      <c r="D123" s="14" t="s">
        <v>264</v>
      </c>
      <c r="E123" s="14" t="s">
        <v>7</v>
      </c>
      <c r="F123" s="14" t="s">
        <v>1296</v>
      </c>
      <c r="G123" s="30" t="s">
        <v>269</v>
      </c>
      <c r="H123" s="27">
        <v>97</v>
      </c>
      <c r="I123" s="231"/>
      <c r="J123" s="27">
        <f t="shared" si="4"/>
        <v>58.199999999999996</v>
      </c>
      <c r="K123" s="27">
        <f t="shared" si="7"/>
        <v>155.19999999999999</v>
      </c>
      <c r="L123" s="2"/>
      <c r="M123" s="21"/>
      <c r="N123" s="64"/>
      <c r="O123" s="64"/>
      <c r="P123" s="64"/>
      <c r="Q123" s="2"/>
    </row>
    <row r="124" spans="1:17">
      <c r="A124" s="14">
        <v>116</v>
      </c>
      <c r="B124" s="14" t="s">
        <v>1295</v>
      </c>
      <c r="C124" s="14" t="s">
        <v>34</v>
      </c>
      <c r="D124" s="14" t="s">
        <v>264</v>
      </c>
      <c r="E124" s="14" t="s">
        <v>7</v>
      </c>
      <c r="F124" s="14" t="s">
        <v>1299</v>
      </c>
      <c r="G124" s="30" t="s">
        <v>270</v>
      </c>
      <c r="H124" s="27">
        <v>109</v>
      </c>
      <c r="I124" s="231"/>
      <c r="J124" s="27">
        <f t="shared" si="4"/>
        <v>65.399999999999991</v>
      </c>
      <c r="K124" s="27">
        <f t="shared" si="7"/>
        <v>174.39999999999998</v>
      </c>
      <c r="L124" s="2"/>
      <c r="M124" s="21"/>
      <c r="N124" s="64"/>
      <c r="O124" s="64"/>
      <c r="P124" s="64"/>
      <c r="Q124" s="2"/>
    </row>
    <row r="125" spans="1:17">
      <c r="A125" s="14">
        <v>117</v>
      </c>
      <c r="B125" s="14" t="s">
        <v>1295</v>
      </c>
      <c r="C125" s="14" t="s">
        <v>34</v>
      </c>
      <c r="D125" s="14" t="s">
        <v>264</v>
      </c>
      <c r="E125" s="14" t="s">
        <v>7</v>
      </c>
      <c r="F125" s="14" t="s">
        <v>271</v>
      </c>
      <c r="G125" s="30" t="s">
        <v>271</v>
      </c>
      <c r="H125" s="27">
        <v>46</v>
      </c>
      <c r="I125" s="231"/>
      <c r="J125" s="27">
        <f t="shared" si="4"/>
        <v>27.599999999999998</v>
      </c>
      <c r="K125" s="27">
        <f t="shared" si="7"/>
        <v>73.599999999999994</v>
      </c>
      <c r="L125" s="2"/>
      <c r="M125" s="21"/>
      <c r="N125" s="64"/>
      <c r="O125" s="64"/>
      <c r="P125" s="64"/>
      <c r="Q125" s="2"/>
    </row>
    <row r="126" spans="1:17">
      <c r="A126" s="14">
        <v>119</v>
      </c>
      <c r="B126" s="14" t="s">
        <v>1295</v>
      </c>
      <c r="C126" s="14" t="s">
        <v>34</v>
      </c>
      <c r="D126" s="14" t="s">
        <v>272</v>
      </c>
      <c r="E126" s="14" t="s">
        <v>7</v>
      </c>
      <c r="F126" s="14" t="s">
        <v>156</v>
      </c>
      <c r="G126" s="21" t="s">
        <v>156</v>
      </c>
      <c r="H126" s="27">
        <v>2.9</v>
      </c>
      <c r="I126" s="231"/>
      <c r="J126" s="27">
        <f t="shared" si="4"/>
        <v>1.74</v>
      </c>
      <c r="K126" s="27">
        <f t="shared" ref="K126:K150" si="8">H126+I126+J126</f>
        <v>4.6399999999999997</v>
      </c>
      <c r="L126" s="2"/>
      <c r="M126" s="21"/>
      <c r="N126" s="64"/>
      <c r="O126" s="64"/>
      <c r="P126" s="64"/>
      <c r="Q126" s="2"/>
    </row>
    <row r="127" spans="1:17">
      <c r="A127" s="14">
        <v>120</v>
      </c>
      <c r="B127" s="14" t="s">
        <v>1295</v>
      </c>
      <c r="C127" s="14" t="s">
        <v>34</v>
      </c>
      <c r="D127" s="14" t="s">
        <v>272</v>
      </c>
      <c r="E127" s="14" t="s">
        <v>7</v>
      </c>
      <c r="F127" s="14" t="s">
        <v>273</v>
      </c>
      <c r="G127" s="21" t="s">
        <v>273</v>
      </c>
      <c r="H127" s="27">
        <v>35.700000000000003</v>
      </c>
      <c r="I127" s="231"/>
      <c r="J127" s="27">
        <f t="shared" si="4"/>
        <v>21.42</v>
      </c>
      <c r="K127" s="27">
        <f t="shared" si="8"/>
        <v>57.120000000000005</v>
      </c>
      <c r="L127" s="2"/>
      <c r="M127" s="27" t="e">
        <f>H127*#REF!</f>
        <v>#REF!</v>
      </c>
      <c r="N127" s="64"/>
      <c r="O127" s="64"/>
      <c r="P127" s="64"/>
      <c r="Q127" s="2"/>
    </row>
    <row r="128" spans="1:17">
      <c r="A128" s="14">
        <v>121</v>
      </c>
      <c r="B128" s="14" t="s">
        <v>1295</v>
      </c>
      <c r="C128" s="14" t="s">
        <v>34</v>
      </c>
      <c r="D128" s="14" t="s">
        <v>272</v>
      </c>
      <c r="E128" s="14" t="s">
        <v>7</v>
      </c>
      <c r="F128" s="14" t="s">
        <v>274</v>
      </c>
      <c r="G128" s="21" t="s">
        <v>274</v>
      </c>
      <c r="H128" s="27">
        <v>18</v>
      </c>
      <c r="I128" s="231"/>
      <c r="J128" s="27">
        <f t="shared" si="4"/>
        <v>10.799999999999999</v>
      </c>
      <c r="K128" s="27">
        <f t="shared" si="8"/>
        <v>28.799999999999997</v>
      </c>
      <c r="L128" s="2"/>
      <c r="M128" s="27"/>
      <c r="N128" s="64"/>
      <c r="O128" s="27"/>
      <c r="P128" s="64"/>
      <c r="Q128" s="2"/>
    </row>
    <row r="129" spans="1:17">
      <c r="A129" s="14">
        <v>122</v>
      </c>
      <c r="B129" s="14" t="s">
        <v>1295</v>
      </c>
      <c r="C129" s="14" t="s">
        <v>34</v>
      </c>
      <c r="D129" s="14" t="s">
        <v>272</v>
      </c>
      <c r="E129" s="14" t="s">
        <v>7</v>
      </c>
      <c r="F129" s="14" t="s">
        <v>275</v>
      </c>
      <c r="G129" s="21" t="s">
        <v>275</v>
      </c>
      <c r="H129" s="27">
        <v>12.4</v>
      </c>
      <c r="I129" s="231"/>
      <c r="J129" s="27">
        <f t="shared" si="4"/>
        <v>7.4399999999999995</v>
      </c>
      <c r="K129" s="27">
        <f t="shared" si="8"/>
        <v>19.84</v>
      </c>
      <c r="L129" s="2"/>
      <c r="M129" s="27"/>
      <c r="N129" s="64"/>
      <c r="O129" s="27"/>
      <c r="P129" s="64"/>
      <c r="Q129" s="2"/>
    </row>
    <row r="130" spans="1:17">
      <c r="A130" s="14">
        <v>123</v>
      </c>
      <c r="B130" s="14" t="s">
        <v>1295</v>
      </c>
      <c r="C130" s="14" t="s">
        <v>34</v>
      </c>
      <c r="D130" s="14" t="s">
        <v>272</v>
      </c>
      <c r="E130" s="14" t="s">
        <v>7</v>
      </c>
      <c r="F130" s="14" t="s">
        <v>276</v>
      </c>
      <c r="G130" s="21" t="s">
        <v>276</v>
      </c>
      <c r="H130" s="27">
        <v>6.23</v>
      </c>
      <c r="I130" s="231"/>
      <c r="J130" s="27">
        <f t="shared" si="4"/>
        <v>3.738</v>
      </c>
      <c r="K130" s="27">
        <f t="shared" si="8"/>
        <v>9.968</v>
      </c>
      <c r="L130" s="2"/>
      <c r="M130" s="27"/>
      <c r="N130" s="64"/>
      <c r="O130" s="27"/>
      <c r="P130" s="64"/>
      <c r="Q130" s="2"/>
    </row>
    <row r="131" spans="1:17">
      <c r="A131" s="14">
        <v>124</v>
      </c>
      <c r="B131" s="14" t="s">
        <v>1295</v>
      </c>
      <c r="C131" s="14" t="s">
        <v>34</v>
      </c>
      <c r="D131" s="14" t="s">
        <v>272</v>
      </c>
      <c r="E131" s="14" t="s">
        <v>7</v>
      </c>
      <c r="F131" s="14" t="s">
        <v>277</v>
      </c>
      <c r="G131" s="21" t="s">
        <v>277</v>
      </c>
      <c r="H131" s="27">
        <v>4.82</v>
      </c>
      <c r="I131" s="231"/>
      <c r="J131" s="27">
        <f t="shared" si="4"/>
        <v>2.8919999999999999</v>
      </c>
      <c r="K131" s="27">
        <f t="shared" si="8"/>
        <v>7.7119999999999997</v>
      </c>
      <c r="L131" s="2"/>
      <c r="M131" s="27"/>
      <c r="N131" s="64"/>
      <c r="O131" s="27"/>
      <c r="P131" s="64"/>
      <c r="Q131" s="2"/>
    </row>
    <row r="132" spans="1:17">
      <c r="A132" s="14">
        <v>125</v>
      </c>
      <c r="B132" s="14" t="s">
        <v>1295</v>
      </c>
      <c r="C132" s="14" t="s">
        <v>34</v>
      </c>
      <c r="D132" s="14" t="s">
        <v>272</v>
      </c>
      <c r="E132" s="14" t="s">
        <v>7</v>
      </c>
      <c r="F132" s="14" t="s">
        <v>278</v>
      </c>
      <c r="G132" s="21" t="s">
        <v>278</v>
      </c>
      <c r="H132" s="27">
        <v>9</v>
      </c>
      <c r="I132" s="231"/>
      <c r="J132" s="27">
        <f t="shared" si="4"/>
        <v>5.3999999999999995</v>
      </c>
      <c r="K132" s="27">
        <f t="shared" si="8"/>
        <v>14.399999999999999</v>
      </c>
      <c r="L132" s="2"/>
      <c r="M132" s="27"/>
      <c r="N132" s="64"/>
      <c r="O132" s="27"/>
      <c r="P132" s="64"/>
      <c r="Q132" s="2"/>
    </row>
    <row r="133" spans="1:17">
      <c r="A133" s="14">
        <v>126</v>
      </c>
      <c r="B133" s="14" t="s">
        <v>1295</v>
      </c>
      <c r="C133" s="14" t="s">
        <v>34</v>
      </c>
      <c r="D133" s="14" t="s">
        <v>272</v>
      </c>
      <c r="E133" s="14" t="s">
        <v>7</v>
      </c>
      <c r="F133" s="14" t="s">
        <v>279</v>
      </c>
      <c r="G133" s="21" t="s">
        <v>279</v>
      </c>
      <c r="H133" s="27">
        <f>3.2+0.32</f>
        <v>3.52</v>
      </c>
      <c r="I133" s="231"/>
      <c r="J133" s="27">
        <f t="shared" si="4"/>
        <v>2.1120000000000001</v>
      </c>
      <c r="K133" s="27">
        <f t="shared" si="8"/>
        <v>5.6319999999999997</v>
      </c>
      <c r="L133" s="2"/>
      <c r="M133" s="27"/>
      <c r="N133" s="64"/>
      <c r="O133" s="27"/>
      <c r="P133" s="64"/>
      <c r="Q133" s="2"/>
    </row>
    <row r="134" spans="1:17">
      <c r="A134" s="14">
        <v>127</v>
      </c>
      <c r="B134" s="14" t="s">
        <v>1295</v>
      </c>
      <c r="C134" s="14" t="s">
        <v>34</v>
      </c>
      <c r="D134" s="14" t="s">
        <v>272</v>
      </c>
      <c r="E134" s="14" t="s">
        <v>7</v>
      </c>
      <c r="F134" s="14" t="s">
        <v>280</v>
      </c>
      <c r="G134" s="21" t="s">
        <v>280</v>
      </c>
      <c r="H134" s="27">
        <v>9.32</v>
      </c>
      <c r="I134" s="231"/>
      <c r="J134" s="27">
        <f t="shared" si="4"/>
        <v>5.5919999999999996</v>
      </c>
      <c r="K134" s="27">
        <f t="shared" si="8"/>
        <v>14.911999999999999</v>
      </c>
      <c r="L134" s="2"/>
      <c r="M134" s="27"/>
      <c r="N134" s="64"/>
      <c r="O134" s="27"/>
      <c r="P134" s="64"/>
    </row>
    <row r="135" spans="1:17">
      <c r="A135" s="14">
        <v>128</v>
      </c>
      <c r="B135" s="14" t="s">
        <v>1295</v>
      </c>
      <c r="C135" s="14" t="s">
        <v>34</v>
      </c>
      <c r="D135" s="14" t="s">
        <v>272</v>
      </c>
      <c r="E135" s="14" t="s">
        <v>7</v>
      </c>
      <c r="F135" s="14" t="s">
        <v>281</v>
      </c>
      <c r="G135" s="21" t="s">
        <v>281</v>
      </c>
      <c r="H135" s="27">
        <v>3.82</v>
      </c>
      <c r="I135" s="231"/>
      <c r="J135" s="27">
        <f t="shared" si="4"/>
        <v>2.2919999999999998</v>
      </c>
      <c r="K135" s="27">
        <f t="shared" si="8"/>
        <v>6.1120000000000001</v>
      </c>
      <c r="L135" s="2"/>
      <c r="M135" s="27"/>
      <c r="N135" s="64"/>
      <c r="O135" s="27"/>
      <c r="P135" s="64"/>
    </row>
    <row r="136" spans="1:17">
      <c r="A136" s="14">
        <v>129</v>
      </c>
      <c r="B136" s="14" t="s">
        <v>1295</v>
      </c>
      <c r="C136" s="14" t="s">
        <v>34</v>
      </c>
      <c r="D136" s="14" t="s">
        <v>282</v>
      </c>
      <c r="E136" s="14" t="s">
        <v>7</v>
      </c>
      <c r="F136" s="14" t="s">
        <v>273</v>
      </c>
      <c r="G136" s="21" t="s">
        <v>273</v>
      </c>
      <c r="H136" s="27">
        <v>29.56</v>
      </c>
      <c r="I136" s="231"/>
      <c r="J136" s="27">
        <f t="shared" ref="J136:J199" si="9">H136*$D$6</f>
        <v>17.735999999999997</v>
      </c>
      <c r="K136" s="27">
        <f t="shared" si="8"/>
        <v>47.295999999999992</v>
      </c>
      <c r="L136" s="2"/>
      <c r="M136" s="27" t="e">
        <f>H136*#REF!</f>
        <v>#REF!</v>
      </c>
      <c r="N136" s="64"/>
      <c r="O136" s="64" t="e">
        <f>H136+M136</f>
        <v>#REF!</v>
      </c>
      <c r="P136" s="64"/>
      <c r="Q136" s="2"/>
    </row>
    <row r="137" spans="1:17">
      <c r="A137" s="14">
        <v>130</v>
      </c>
      <c r="B137" s="14" t="s">
        <v>1295</v>
      </c>
      <c r="C137" s="14" t="s">
        <v>34</v>
      </c>
      <c r="D137" s="14" t="s">
        <v>282</v>
      </c>
      <c r="E137" s="14" t="s">
        <v>7</v>
      </c>
      <c r="F137" s="14" t="s">
        <v>283</v>
      </c>
      <c r="G137" s="21" t="s">
        <v>283</v>
      </c>
      <c r="H137" s="27">
        <v>22.79</v>
      </c>
      <c r="I137" s="231"/>
      <c r="J137" s="27">
        <f t="shared" si="9"/>
        <v>13.673999999999999</v>
      </c>
      <c r="K137" s="27">
        <f t="shared" si="8"/>
        <v>36.463999999999999</v>
      </c>
      <c r="L137" s="2"/>
      <c r="M137" s="27" t="e">
        <f>H137*#REF!</f>
        <v>#REF!</v>
      </c>
      <c r="N137" s="64"/>
      <c r="O137" s="64" t="e">
        <f t="shared" ref="O137:O158" si="10">H137+M137</f>
        <v>#REF!</v>
      </c>
      <c r="P137" s="64"/>
      <c r="Q137" s="2"/>
    </row>
    <row r="138" spans="1:17">
      <c r="A138" s="14">
        <v>131</v>
      </c>
      <c r="B138" s="14" t="s">
        <v>1295</v>
      </c>
      <c r="C138" s="14" t="s">
        <v>34</v>
      </c>
      <c r="D138" s="14" t="s">
        <v>282</v>
      </c>
      <c r="E138" s="14" t="s">
        <v>7</v>
      </c>
      <c r="F138" s="14" t="s">
        <v>274</v>
      </c>
      <c r="G138" s="21" t="s">
        <v>274</v>
      </c>
      <c r="H138" s="27">
        <v>15.4</v>
      </c>
      <c r="I138" s="231"/>
      <c r="J138" s="27">
        <f t="shared" si="9"/>
        <v>9.24</v>
      </c>
      <c r="K138" s="27">
        <f t="shared" si="8"/>
        <v>24.64</v>
      </c>
      <c r="L138" s="63"/>
      <c r="M138" s="27" t="e">
        <f>H138*#REF!</f>
        <v>#REF!</v>
      </c>
      <c r="N138" s="64"/>
      <c r="O138" s="64" t="e">
        <f t="shared" si="10"/>
        <v>#REF!</v>
      </c>
      <c r="P138" s="64"/>
      <c r="Q138" s="2"/>
    </row>
    <row r="139" spans="1:17">
      <c r="A139" s="14">
        <v>132</v>
      </c>
      <c r="B139" s="14" t="s">
        <v>1295</v>
      </c>
      <c r="C139" s="14" t="s">
        <v>34</v>
      </c>
      <c r="D139" s="14" t="s">
        <v>282</v>
      </c>
      <c r="E139" s="14" t="s">
        <v>7</v>
      </c>
      <c r="F139" s="14" t="s">
        <v>275</v>
      </c>
      <c r="G139" s="21" t="s">
        <v>275</v>
      </c>
      <c r="H139" s="27">
        <v>11.62</v>
      </c>
      <c r="I139" s="231"/>
      <c r="J139" s="27">
        <f t="shared" si="9"/>
        <v>6.9719999999999995</v>
      </c>
      <c r="K139" s="27">
        <f t="shared" si="8"/>
        <v>18.591999999999999</v>
      </c>
      <c r="L139" s="63"/>
      <c r="M139" s="27" t="e">
        <f>H139*#REF!</f>
        <v>#REF!</v>
      </c>
      <c r="N139" s="64"/>
      <c r="O139" s="64" t="e">
        <f t="shared" si="10"/>
        <v>#REF!</v>
      </c>
      <c r="P139" s="64"/>
      <c r="Q139" s="2"/>
    </row>
    <row r="140" spans="1:17">
      <c r="A140" s="14">
        <v>133</v>
      </c>
      <c r="B140" s="14" t="s">
        <v>1295</v>
      </c>
      <c r="C140" s="14" t="s">
        <v>34</v>
      </c>
      <c r="D140" s="14" t="s">
        <v>282</v>
      </c>
      <c r="E140" s="14" t="s">
        <v>7</v>
      </c>
      <c r="F140" s="14" t="s">
        <v>280</v>
      </c>
      <c r="G140" s="21" t="s">
        <v>280</v>
      </c>
      <c r="H140" s="27">
        <v>8.82</v>
      </c>
      <c r="I140" s="231"/>
      <c r="J140" s="27">
        <f t="shared" si="9"/>
        <v>5.2919999999999998</v>
      </c>
      <c r="K140" s="27">
        <f t="shared" si="8"/>
        <v>14.112</v>
      </c>
      <c r="L140" s="2"/>
      <c r="M140" s="27" t="e">
        <f>H140*#REF!</f>
        <v>#REF!</v>
      </c>
      <c r="N140" s="64"/>
      <c r="O140" s="64" t="e">
        <f t="shared" si="10"/>
        <v>#REF!</v>
      </c>
      <c r="P140" s="64"/>
      <c r="Q140" s="2"/>
    </row>
    <row r="141" spans="1:17">
      <c r="A141" s="14">
        <v>134</v>
      </c>
      <c r="B141" s="14" t="s">
        <v>1295</v>
      </c>
      <c r="C141" s="14" t="s">
        <v>34</v>
      </c>
      <c r="D141" s="14" t="s">
        <v>282</v>
      </c>
      <c r="E141" s="14" t="s">
        <v>7</v>
      </c>
      <c r="F141" s="14" t="s">
        <v>284</v>
      </c>
      <c r="G141" s="21" t="s">
        <v>284</v>
      </c>
      <c r="H141" s="27">
        <v>8.39</v>
      </c>
      <c r="I141" s="231"/>
      <c r="J141" s="27">
        <f t="shared" si="9"/>
        <v>5.0339999999999998</v>
      </c>
      <c r="K141" s="27">
        <f t="shared" si="8"/>
        <v>13.423999999999999</v>
      </c>
      <c r="L141" s="2"/>
      <c r="M141" s="27" t="e">
        <f>H141*#REF!</f>
        <v>#REF!</v>
      </c>
      <c r="N141" s="64"/>
      <c r="O141" s="64" t="e">
        <f t="shared" si="10"/>
        <v>#REF!</v>
      </c>
      <c r="P141" s="64"/>
      <c r="Q141" s="2"/>
    </row>
    <row r="142" spans="1:17">
      <c r="A142" s="14">
        <v>135</v>
      </c>
      <c r="B142" s="14" t="s">
        <v>1295</v>
      </c>
      <c r="C142" s="14" t="s">
        <v>34</v>
      </c>
      <c r="D142" s="14" t="s">
        <v>282</v>
      </c>
      <c r="E142" s="14" t="s">
        <v>7</v>
      </c>
      <c r="F142" s="14" t="s">
        <v>276</v>
      </c>
      <c r="G142" s="21" t="s">
        <v>276</v>
      </c>
      <c r="H142" s="27">
        <v>6.84</v>
      </c>
      <c r="I142" s="231"/>
      <c r="J142" s="27">
        <f t="shared" si="9"/>
        <v>4.1040000000000001</v>
      </c>
      <c r="K142" s="27">
        <f t="shared" si="8"/>
        <v>10.943999999999999</v>
      </c>
      <c r="L142" s="2"/>
      <c r="M142" s="27" t="e">
        <f>H142*#REF!</f>
        <v>#REF!</v>
      </c>
      <c r="N142" s="64"/>
      <c r="O142" s="64" t="e">
        <f t="shared" si="10"/>
        <v>#REF!</v>
      </c>
      <c r="P142" s="64"/>
      <c r="Q142" s="2"/>
    </row>
    <row r="143" spans="1:17">
      <c r="A143" s="14">
        <v>136</v>
      </c>
      <c r="B143" s="14" t="s">
        <v>1295</v>
      </c>
      <c r="C143" s="14" t="s">
        <v>34</v>
      </c>
      <c r="D143" s="14" t="s">
        <v>282</v>
      </c>
      <c r="E143" s="14" t="s">
        <v>7</v>
      </c>
      <c r="F143" s="14" t="s">
        <v>285</v>
      </c>
      <c r="G143" s="21" t="s">
        <v>285</v>
      </c>
      <c r="H143" s="27">
        <v>7.11</v>
      </c>
      <c r="I143" s="231"/>
      <c r="J143" s="27">
        <f t="shared" si="9"/>
        <v>4.266</v>
      </c>
      <c r="K143" s="27">
        <f t="shared" si="8"/>
        <v>11.376000000000001</v>
      </c>
      <c r="L143" s="2"/>
      <c r="M143" s="27" t="e">
        <f>H143*#REF!</f>
        <v>#REF!</v>
      </c>
      <c r="N143" s="64"/>
      <c r="O143" s="64" t="e">
        <f t="shared" si="10"/>
        <v>#REF!</v>
      </c>
      <c r="P143" s="64"/>
      <c r="Q143" s="2"/>
    </row>
    <row r="144" spans="1:17">
      <c r="A144" s="14">
        <v>137</v>
      </c>
      <c r="B144" s="14" t="s">
        <v>1295</v>
      </c>
      <c r="C144" s="14" t="s">
        <v>34</v>
      </c>
      <c r="D144" s="14" t="s">
        <v>282</v>
      </c>
      <c r="E144" s="14" t="s">
        <v>7</v>
      </c>
      <c r="F144" s="14" t="s">
        <v>277</v>
      </c>
      <c r="G144" s="21" t="s">
        <v>277</v>
      </c>
      <c r="H144" s="27">
        <v>4.6399999999999997</v>
      </c>
      <c r="I144" s="231"/>
      <c r="J144" s="27">
        <f t="shared" si="9"/>
        <v>2.7839999999999998</v>
      </c>
      <c r="K144" s="27">
        <f t="shared" si="8"/>
        <v>7.4239999999999995</v>
      </c>
      <c r="L144" s="2"/>
      <c r="M144" s="27" t="e">
        <f>H144*#REF!</f>
        <v>#REF!</v>
      </c>
      <c r="N144" s="64"/>
      <c r="O144" s="64" t="e">
        <f t="shared" si="10"/>
        <v>#REF!</v>
      </c>
      <c r="P144" s="64"/>
      <c r="Q144" s="2"/>
    </row>
    <row r="145" spans="1:18">
      <c r="A145" s="14">
        <v>138</v>
      </c>
      <c r="B145" s="14" t="s">
        <v>1295</v>
      </c>
      <c r="C145" s="14" t="s">
        <v>34</v>
      </c>
      <c r="D145" s="14" t="s">
        <v>282</v>
      </c>
      <c r="E145" s="14" t="s">
        <v>7</v>
      </c>
      <c r="F145" s="14" t="s">
        <v>286</v>
      </c>
      <c r="G145" s="21" t="s">
        <v>286</v>
      </c>
      <c r="H145" s="27">
        <v>7.23</v>
      </c>
      <c r="I145" s="231"/>
      <c r="J145" s="27">
        <f t="shared" si="9"/>
        <v>4.3380000000000001</v>
      </c>
      <c r="K145" s="27">
        <f t="shared" si="8"/>
        <v>11.568000000000001</v>
      </c>
      <c r="L145" s="2"/>
      <c r="M145" s="27" t="e">
        <f>H145*#REF!</f>
        <v>#REF!</v>
      </c>
      <c r="N145" s="64"/>
      <c r="O145" s="64" t="e">
        <f t="shared" si="10"/>
        <v>#REF!</v>
      </c>
      <c r="P145" s="64"/>
      <c r="Q145" s="2"/>
    </row>
    <row r="146" spans="1:18">
      <c r="A146" s="14">
        <v>139</v>
      </c>
      <c r="B146" s="14" t="s">
        <v>1295</v>
      </c>
      <c r="C146" s="14" t="s">
        <v>34</v>
      </c>
      <c r="D146" s="14" t="s">
        <v>282</v>
      </c>
      <c r="E146" s="14" t="s">
        <v>7</v>
      </c>
      <c r="F146" s="14" t="s">
        <v>287</v>
      </c>
      <c r="G146" s="21" t="s">
        <v>287</v>
      </c>
      <c r="H146" s="27">
        <v>3.92</v>
      </c>
      <c r="I146" s="231"/>
      <c r="J146" s="27">
        <f t="shared" si="9"/>
        <v>2.3519999999999999</v>
      </c>
      <c r="K146" s="27">
        <f t="shared" si="8"/>
        <v>6.2720000000000002</v>
      </c>
      <c r="L146" s="2"/>
      <c r="M146" s="27" t="e">
        <f>H146*#REF!</f>
        <v>#REF!</v>
      </c>
      <c r="N146" s="64"/>
      <c r="O146" s="64" t="e">
        <f t="shared" si="10"/>
        <v>#REF!</v>
      </c>
      <c r="P146" s="64"/>
      <c r="Q146" s="2"/>
    </row>
    <row r="147" spans="1:18">
      <c r="A147" s="14">
        <v>140</v>
      </c>
      <c r="B147" s="14" t="s">
        <v>1295</v>
      </c>
      <c r="C147" s="14" t="s">
        <v>34</v>
      </c>
      <c r="D147" s="14" t="s">
        <v>282</v>
      </c>
      <c r="E147" s="14" t="s">
        <v>7</v>
      </c>
      <c r="G147" s="21"/>
      <c r="H147" s="27"/>
      <c r="I147" s="231"/>
      <c r="J147" s="27">
        <f t="shared" si="9"/>
        <v>0</v>
      </c>
      <c r="K147" s="27">
        <f t="shared" si="8"/>
        <v>0</v>
      </c>
      <c r="L147" s="2"/>
      <c r="M147" s="27" t="e">
        <f>H147*#REF!</f>
        <v>#REF!</v>
      </c>
      <c r="N147" s="64"/>
      <c r="O147" s="64" t="e">
        <f t="shared" si="10"/>
        <v>#REF!</v>
      </c>
      <c r="P147" s="64"/>
      <c r="Q147" s="2"/>
    </row>
    <row r="148" spans="1:18">
      <c r="A148" s="14">
        <v>141</v>
      </c>
      <c r="B148" s="14" t="s">
        <v>1295</v>
      </c>
      <c r="C148" s="14" t="s">
        <v>34</v>
      </c>
      <c r="D148" s="14" t="s">
        <v>282</v>
      </c>
      <c r="E148" s="14" t="s">
        <v>7</v>
      </c>
      <c r="G148" s="21"/>
      <c r="H148" s="27"/>
      <c r="I148" s="231"/>
      <c r="J148" s="27">
        <f t="shared" si="9"/>
        <v>0</v>
      </c>
      <c r="K148" s="27">
        <f t="shared" si="8"/>
        <v>0</v>
      </c>
      <c r="L148" s="2"/>
      <c r="M148" s="27" t="e">
        <f>H148*#REF!</f>
        <v>#REF!</v>
      </c>
      <c r="N148" s="64"/>
      <c r="O148" s="64" t="e">
        <f t="shared" si="10"/>
        <v>#REF!</v>
      </c>
      <c r="P148" s="64"/>
      <c r="Q148" s="2"/>
    </row>
    <row r="149" spans="1:18">
      <c r="A149" s="14">
        <v>142</v>
      </c>
      <c r="B149" s="14" t="s">
        <v>1295</v>
      </c>
      <c r="C149" s="14" t="s">
        <v>34</v>
      </c>
      <c r="D149" s="14" t="s">
        <v>282</v>
      </c>
      <c r="E149" s="14" t="s">
        <v>7</v>
      </c>
      <c r="F149" s="14" t="s">
        <v>281</v>
      </c>
      <c r="G149" s="21" t="s">
        <v>281</v>
      </c>
      <c r="H149" s="27">
        <v>3.98</v>
      </c>
      <c r="I149" s="231"/>
      <c r="J149" s="27">
        <f t="shared" si="9"/>
        <v>2.3879999999999999</v>
      </c>
      <c r="K149" s="27">
        <f t="shared" si="8"/>
        <v>6.3680000000000003</v>
      </c>
      <c r="L149" s="63"/>
      <c r="M149" s="27" t="e">
        <f>H149*#REF!</f>
        <v>#REF!</v>
      </c>
      <c r="N149" s="64"/>
      <c r="O149" s="64" t="e">
        <f t="shared" si="10"/>
        <v>#REF!</v>
      </c>
      <c r="P149" s="64"/>
      <c r="Q149" s="2"/>
    </row>
    <row r="150" spans="1:18">
      <c r="A150" s="14">
        <v>143</v>
      </c>
      <c r="B150" s="14" t="s">
        <v>1295</v>
      </c>
      <c r="C150" s="14" t="s">
        <v>34</v>
      </c>
      <c r="D150" s="14" t="s">
        <v>282</v>
      </c>
      <c r="E150" s="14" t="s">
        <v>7</v>
      </c>
      <c r="G150" s="21"/>
      <c r="H150" s="27"/>
      <c r="I150" s="231"/>
      <c r="J150" s="27">
        <f t="shared" si="9"/>
        <v>0</v>
      </c>
      <c r="K150" s="27">
        <f t="shared" si="8"/>
        <v>0</v>
      </c>
      <c r="L150" s="2"/>
      <c r="M150" s="27" t="e">
        <f>H150*#REF!</f>
        <v>#REF!</v>
      </c>
      <c r="N150" s="64"/>
      <c r="O150" s="64" t="e">
        <f t="shared" si="10"/>
        <v>#REF!</v>
      </c>
      <c r="P150" s="64"/>
      <c r="Q150" s="2"/>
    </row>
    <row r="151" spans="1:18">
      <c r="A151" s="14">
        <v>144</v>
      </c>
      <c r="B151" s="14" t="s">
        <v>1295</v>
      </c>
      <c r="C151" s="14" t="s">
        <v>288</v>
      </c>
      <c r="D151" s="14" t="s">
        <v>18</v>
      </c>
      <c r="E151" s="14" t="s">
        <v>7</v>
      </c>
      <c r="H151" s="27"/>
      <c r="I151" s="231"/>
      <c r="J151" s="27">
        <f t="shared" si="9"/>
        <v>0</v>
      </c>
      <c r="K151" s="27"/>
      <c r="L151" s="2"/>
      <c r="M151" s="27" t="e">
        <f>H151*#REF!</f>
        <v>#REF!</v>
      </c>
      <c r="N151" s="64"/>
      <c r="O151" s="64" t="e">
        <f t="shared" si="10"/>
        <v>#REF!</v>
      </c>
      <c r="P151" s="64"/>
      <c r="Q151" s="2"/>
    </row>
    <row r="152" spans="1:18">
      <c r="A152" s="14">
        <v>145</v>
      </c>
      <c r="B152" s="14" t="s">
        <v>1295</v>
      </c>
      <c r="C152" s="14" t="s">
        <v>288</v>
      </c>
      <c r="D152" s="14" t="s">
        <v>18</v>
      </c>
      <c r="E152" s="14" t="s">
        <v>7</v>
      </c>
      <c r="H152" s="27"/>
      <c r="I152" s="231"/>
      <c r="J152" s="27">
        <f t="shared" si="9"/>
        <v>0</v>
      </c>
      <c r="K152" s="27"/>
      <c r="L152" s="2"/>
      <c r="M152" s="27" t="e">
        <f>H152*#REF!</f>
        <v>#REF!</v>
      </c>
      <c r="N152" s="64"/>
      <c r="O152" s="64" t="e">
        <f t="shared" si="10"/>
        <v>#REF!</v>
      </c>
      <c r="P152" s="64"/>
      <c r="Q152" s="2"/>
    </row>
    <row r="153" spans="1:18">
      <c r="A153" s="14">
        <v>146</v>
      </c>
      <c r="B153" s="14" t="s">
        <v>1295</v>
      </c>
      <c r="C153" s="14" t="s">
        <v>288</v>
      </c>
      <c r="D153" s="14" t="s">
        <v>18</v>
      </c>
      <c r="E153" s="14" t="s">
        <v>7</v>
      </c>
      <c r="F153" s="21" t="s">
        <v>31</v>
      </c>
      <c r="H153" s="27">
        <v>23.37</v>
      </c>
      <c r="I153" s="231"/>
      <c r="J153" s="27">
        <f t="shared" si="9"/>
        <v>14.022</v>
      </c>
      <c r="K153" s="27">
        <f>H153+I153+J153</f>
        <v>37.392000000000003</v>
      </c>
      <c r="L153" s="67"/>
      <c r="M153" s="27" t="e">
        <f>H153*#REF!</f>
        <v>#REF!</v>
      </c>
      <c r="N153" s="64"/>
      <c r="O153" s="64" t="e">
        <f t="shared" si="10"/>
        <v>#REF!</v>
      </c>
      <c r="P153" s="64"/>
      <c r="Q153" s="2"/>
    </row>
    <row r="154" spans="1:18">
      <c r="A154" s="14">
        <v>147</v>
      </c>
      <c r="B154" s="14" t="s">
        <v>1295</v>
      </c>
      <c r="C154" s="14" t="s">
        <v>288</v>
      </c>
      <c r="D154" s="14" t="s">
        <v>18</v>
      </c>
      <c r="E154" s="14" t="s">
        <v>7</v>
      </c>
      <c r="F154" s="21" t="s">
        <v>30</v>
      </c>
      <c r="H154" s="27">
        <v>16.96</v>
      </c>
      <c r="I154" s="231"/>
      <c r="J154" s="27">
        <f t="shared" si="9"/>
        <v>10.176</v>
      </c>
      <c r="K154" s="27">
        <f>H154+I154+J154</f>
        <v>27.136000000000003</v>
      </c>
      <c r="L154" s="2"/>
      <c r="M154" s="27" t="e">
        <f>H154*#REF!</f>
        <v>#REF!</v>
      </c>
      <c r="N154" s="64"/>
      <c r="O154" s="64" t="e">
        <f t="shared" si="10"/>
        <v>#REF!</v>
      </c>
      <c r="P154" s="64"/>
      <c r="Q154" s="2"/>
    </row>
    <row r="155" spans="1:18">
      <c r="A155" s="14">
        <v>148</v>
      </c>
      <c r="B155" s="14" t="s">
        <v>1295</v>
      </c>
      <c r="C155" s="14" t="s">
        <v>288</v>
      </c>
      <c r="D155" s="14" t="s">
        <v>18</v>
      </c>
      <c r="E155" s="14" t="s">
        <v>7</v>
      </c>
      <c r="F155" s="21" t="s">
        <v>289</v>
      </c>
      <c r="H155" s="27">
        <v>13.34</v>
      </c>
      <c r="I155" s="231"/>
      <c r="J155" s="27">
        <f t="shared" si="9"/>
        <v>8.0039999999999996</v>
      </c>
      <c r="K155" s="27">
        <f>H155+I155+J155</f>
        <v>21.344000000000001</v>
      </c>
      <c r="L155" s="2"/>
      <c r="M155" s="27" t="e">
        <f>H155*#REF!</f>
        <v>#REF!</v>
      </c>
      <c r="N155" s="64"/>
      <c r="O155" s="64" t="e">
        <f t="shared" si="10"/>
        <v>#REF!</v>
      </c>
      <c r="P155" s="64"/>
      <c r="Q155" s="2"/>
    </row>
    <row r="156" spans="1:18">
      <c r="A156" s="14">
        <v>149</v>
      </c>
      <c r="B156" s="14" t="s">
        <v>1295</v>
      </c>
      <c r="C156" s="14" t="s">
        <v>288</v>
      </c>
      <c r="D156" s="14" t="s">
        <v>18</v>
      </c>
      <c r="E156" s="14" t="s">
        <v>7</v>
      </c>
      <c r="F156" s="21" t="s">
        <v>290</v>
      </c>
      <c r="H156" s="27">
        <v>9.9600000000000009</v>
      </c>
      <c r="I156" s="231"/>
      <c r="J156" s="27">
        <f t="shared" si="9"/>
        <v>5.976</v>
      </c>
      <c r="K156" s="27">
        <f>H156+I156+J156</f>
        <v>15.936</v>
      </c>
      <c r="L156" s="2"/>
      <c r="M156" s="27" t="e">
        <f>H156*#REF!</f>
        <v>#REF!</v>
      </c>
      <c r="N156" s="64"/>
      <c r="O156" s="64" t="e">
        <f t="shared" si="10"/>
        <v>#REF!</v>
      </c>
      <c r="P156" s="64"/>
      <c r="Q156" s="2"/>
    </row>
    <row r="157" spans="1:18">
      <c r="A157" s="14">
        <v>150</v>
      </c>
      <c r="B157" s="14" t="s">
        <v>1295</v>
      </c>
      <c r="C157" s="14" t="s">
        <v>288</v>
      </c>
      <c r="D157" s="14" t="s">
        <v>18</v>
      </c>
      <c r="E157" s="14" t="s">
        <v>7</v>
      </c>
      <c r="F157" s="21" t="s">
        <v>291</v>
      </c>
      <c r="H157" s="27">
        <v>4.6900000000000004</v>
      </c>
      <c r="I157" s="231"/>
      <c r="J157" s="27">
        <f t="shared" si="9"/>
        <v>2.8140000000000001</v>
      </c>
      <c r="K157" s="27">
        <f>H157+I157+J157</f>
        <v>7.5040000000000004</v>
      </c>
      <c r="L157" s="63"/>
      <c r="M157" s="27" t="e">
        <f>H157*#REF!</f>
        <v>#REF!</v>
      </c>
      <c r="N157" s="64"/>
      <c r="O157" s="64" t="e">
        <f t="shared" si="10"/>
        <v>#REF!</v>
      </c>
      <c r="P157" s="64"/>
      <c r="Q157" s="2"/>
    </row>
    <row r="158" spans="1:18">
      <c r="A158" s="14">
        <v>151</v>
      </c>
      <c r="B158" s="14" t="s">
        <v>1295</v>
      </c>
      <c r="C158" s="14" t="s">
        <v>288</v>
      </c>
      <c r="D158" s="14" t="s">
        <v>18</v>
      </c>
      <c r="E158" s="14" t="s">
        <v>7</v>
      </c>
      <c r="F158" s="21"/>
      <c r="G158" s="21"/>
      <c r="H158" s="27"/>
      <c r="I158" s="231"/>
      <c r="J158" s="27">
        <f t="shared" si="9"/>
        <v>0</v>
      </c>
      <c r="K158" s="27"/>
      <c r="L158" s="2"/>
      <c r="M158" s="21"/>
      <c r="N158" s="64"/>
      <c r="O158" s="64">
        <f t="shared" si="10"/>
        <v>0</v>
      </c>
      <c r="P158" s="64"/>
      <c r="Q158" s="2"/>
    </row>
    <row r="159" spans="1:18">
      <c r="A159" s="14">
        <v>152</v>
      </c>
      <c r="B159" s="14" t="s">
        <v>1295</v>
      </c>
      <c r="C159" s="14" t="s">
        <v>288</v>
      </c>
      <c r="D159" s="14" t="s">
        <v>292</v>
      </c>
      <c r="E159" s="14" t="s">
        <v>7</v>
      </c>
      <c r="H159" s="27"/>
      <c r="I159" s="231"/>
      <c r="J159" s="27">
        <f t="shared" si="9"/>
        <v>0</v>
      </c>
      <c r="K159" s="27">
        <f>H159+I159+J159</f>
        <v>0</v>
      </c>
      <c r="L159" s="2"/>
      <c r="M159" s="21"/>
      <c r="N159" s="64"/>
      <c r="O159" s="64"/>
      <c r="P159" s="64"/>
      <c r="Q159" s="2"/>
    </row>
    <row r="160" spans="1:18">
      <c r="A160" s="14">
        <v>153</v>
      </c>
      <c r="B160" s="14" t="s">
        <v>1295</v>
      </c>
      <c r="C160" s="14" t="s">
        <v>288</v>
      </c>
      <c r="D160" s="14" t="s">
        <v>292</v>
      </c>
      <c r="E160" s="14" t="s">
        <v>7</v>
      </c>
      <c r="F160" s="21" t="s">
        <v>293</v>
      </c>
      <c r="G160" s="21"/>
      <c r="H160" s="27">
        <v>65</v>
      </c>
      <c r="I160" s="231"/>
      <c r="J160" s="27">
        <f t="shared" si="9"/>
        <v>39</v>
      </c>
      <c r="K160" s="27">
        <f>H160+I160+J160</f>
        <v>104</v>
      </c>
      <c r="L160" s="7"/>
      <c r="M160" s="21"/>
      <c r="N160" s="64"/>
      <c r="O160" s="64"/>
      <c r="P160" s="64"/>
      <c r="Q160" s="2"/>
      <c r="R160" s="68"/>
    </row>
    <row r="161" spans="1:17">
      <c r="A161" s="14">
        <v>154</v>
      </c>
      <c r="B161" s="14" t="s">
        <v>1295</v>
      </c>
      <c r="C161" s="14" t="s">
        <v>288</v>
      </c>
      <c r="D161" s="14" t="s">
        <v>292</v>
      </c>
      <c r="E161" s="14" t="s">
        <v>7</v>
      </c>
      <c r="F161" s="21" t="s">
        <v>62</v>
      </c>
      <c r="G161" s="21"/>
      <c r="H161" s="27">
        <v>1300</v>
      </c>
      <c r="I161" s="231"/>
      <c r="J161" s="27">
        <f t="shared" si="9"/>
        <v>780</v>
      </c>
      <c r="K161" s="27">
        <f>H161+I161+J161</f>
        <v>2080</v>
      </c>
      <c r="L161" s="7"/>
      <c r="M161" s="21"/>
      <c r="N161" s="64"/>
      <c r="O161" s="64"/>
      <c r="P161" s="64"/>
      <c r="Q161" s="2"/>
    </row>
    <row r="162" spans="1:17">
      <c r="A162" s="14">
        <v>155</v>
      </c>
      <c r="B162" s="14" t="s">
        <v>1295</v>
      </c>
      <c r="C162" s="14" t="s">
        <v>288</v>
      </c>
      <c r="D162" s="14" t="s">
        <v>292</v>
      </c>
      <c r="E162" s="14" t="s">
        <v>7</v>
      </c>
      <c r="F162" s="21" t="s">
        <v>24</v>
      </c>
      <c r="G162" s="21"/>
      <c r="H162" s="27">
        <v>120</v>
      </c>
      <c r="I162" s="231"/>
      <c r="J162" s="27">
        <f t="shared" si="9"/>
        <v>72</v>
      </c>
      <c r="K162" s="27">
        <f>J162+I162+H162</f>
        <v>192</v>
      </c>
      <c r="L162" s="7"/>
      <c r="M162" s="21"/>
      <c r="N162" s="64"/>
      <c r="O162" s="64"/>
      <c r="P162" s="64"/>
      <c r="Q162" s="2"/>
    </row>
    <row r="163" spans="1:17">
      <c r="A163" s="14">
        <v>157</v>
      </c>
      <c r="B163" s="14" t="s">
        <v>1295</v>
      </c>
      <c r="C163" s="14" t="s">
        <v>26</v>
      </c>
      <c r="D163" s="14" t="s">
        <v>294</v>
      </c>
      <c r="E163" s="14" t="s">
        <v>7</v>
      </c>
      <c r="H163" s="27"/>
      <c r="I163" s="231"/>
      <c r="J163" s="27">
        <f t="shared" si="9"/>
        <v>0</v>
      </c>
      <c r="K163" s="27">
        <v>0</v>
      </c>
      <c r="L163" s="2"/>
      <c r="M163" s="21"/>
      <c r="N163" s="64"/>
      <c r="O163" s="64"/>
      <c r="P163" s="64"/>
      <c r="Q163" s="2"/>
    </row>
    <row r="164" spans="1:17">
      <c r="A164" s="14">
        <v>158</v>
      </c>
      <c r="B164" s="14" t="s">
        <v>1295</v>
      </c>
      <c r="C164" s="14" t="s">
        <v>26</v>
      </c>
      <c r="D164" s="14" t="s">
        <v>294</v>
      </c>
      <c r="E164" s="14" t="s">
        <v>7</v>
      </c>
      <c r="F164" s="30" t="s">
        <v>27</v>
      </c>
      <c r="G164" s="21" t="s">
        <v>295</v>
      </c>
      <c r="H164" s="27">
        <v>16.75</v>
      </c>
      <c r="I164" s="231"/>
      <c r="J164" s="27">
        <f t="shared" si="9"/>
        <v>10.049999999999999</v>
      </c>
      <c r="K164" s="27">
        <f t="shared" ref="K164:K174" si="11">H164+I164+J164</f>
        <v>26.799999999999997</v>
      </c>
      <c r="L164" s="2"/>
      <c r="M164" s="69"/>
      <c r="N164" s="64"/>
      <c r="O164" s="21"/>
      <c r="P164" s="64"/>
      <c r="Q164" s="2"/>
    </row>
    <row r="165" spans="1:17">
      <c r="A165" s="14">
        <v>159</v>
      </c>
      <c r="B165" s="14" t="s">
        <v>1295</v>
      </c>
      <c r="C165" s="14" t="s">
        <v>26</v>
      </c>
      <c r="D165" s="14" t="s">
        <v>294</v>
      </c>
      <c r="E165" s="14" t="s">
        <v>7</v>
      </c>
      <c r="F165" s="30" t="s">
        <v>296</v>
      </c>
      <c r="G165" s="21" t="s">
        <v>295</v>
      </c>
      <c r="H165" s="27">
        <v>21.32</v>
      </c>
      <c r="I165" s="231"/>
      <c r="J165" s="27">
        <f t="shared" si="9"/>
        <v>12.792</v>
      </c>
      <c r="K165" s="27">
        <f t="shared" si="11"/>
        <v>34.112000000000002</v>
      </c>
      <c r="L165" s="70"/>
      <c r="M165" s="27">
        <f>H165*$M$164</f>
        <v>0</v>
      </c>
      <c r="N165" s="64"/>
      <c r="O165" s="64">
        <f>H165+M165</f>
        <v>21.32</v>
      </c>
      <c r="P165" s="64"/>
      <c r="Q165" s="2"/>
    </row>
    <row r="166" spans="1:17">
      <c r="A166" s="14">
        <v>160</v>
      </c>
      <c r="B166" s="14" t="s">
        <v>1295</v>
      </c>
      <c r="C166" s="14" t="s">
        <v>26</v>
      </c>
      <c r="D166" s="14" t="s">
        <v>294</v>
      </c>
      <c r="E166" s="14" t="s">
        <v>7</v>
      </c>
      <c r="F166" s="30" t="s">
        <v>297</v>
      </c>
      <c r="G166" s="21" t="s">
        <v>295</v>
      </c>
      <c r="H166" s="27">
        <v>22.72</v>
      </c>
      <c r="I166" s="231"/>
      <c r="J166" s="27">
        <f t="shared" si="9"/>
        <v>13.632</v>
      </c>
      <c r="K166" s="27">
        <f t="shared" si="11"/>
        <v>36.351999999999997</v>
      </c>
      <c r="L166" s="2"/>
      <c r="M166" s="27">
        <f t="shared" ref="M166:M194" si="12">H166*$M$164</f>
        <v>0</v>
      </c>
      <c r="N166" s="64"/>
      <c r="O166" s="64">
        <f t="shared" ref="O166:O177" si="13">H166+M166</f>
        <v>22.72</v>
      </c>
      <c r="P166" s="64"/>
      <c r="Q166" s="2"/>
    </row>
    <row r="167" spans="1:17">
      <c r="A167" s="14">
        <v>161</v>
      </c>
      <c r="B167" s="14" t="s">
        <v>1295</v>
      </c>
      <c r="C167" s="14" t="s">
        <v>26</v>
      </c>
      <c r="D167" s="14" t="s">
        <v>294</v>
      </c>
      <c r="E167" s="14" t="s">
        <v>7</v>
      </c>
      <c r="F167" s="30" t="s">
        <v>298</v>
      </c>
      <c r="G167" s="21" t="s">
        <v>295</v>
      </c>
      <c r="H167" s="27">
        <v>28.69</v>
      </c>
      <c r="I167" s="231"/>
      <c r="J167" s="27">
        <f t="shared" si="9"/>
        <v>17.213999999999999</v>
      </c>
      <c r="K167" s="27">
        <f t="shared" si="11"/>
        <v>45.903999999999996</v>
      </c>
      <c r="L167" s="2"/>
      <c r="M167" s="27">
        <f t="shared" si="12"/>
        <v>0</v>
      </c>
      <c r="N167" s="64"/>
      <c r="O167" s="64">
        <f t="shared" si="13"/>
        <v>28.69</v>
      </c>
      <c r="P167" s="64"/>
      <c r="Q167" s="2"/>
    </row>
    <row r="168" spans="1:17">
      <c r="A168" s="14">
        <v>162</v>
      </c>
      <c r="B168" s="14" t="s">
        <v>1295</v>
      </c>
      <c r="C168" s="14" t="s">
        <v>26</v>
      </c>
      <c r="D168" s="14" t="s">
        <v>294</v>
      </c>
      <c r="E168" s="14" t="s">
        <v>7</v>
      </c>
      <c r="F168" s="30" t="s">
        <v>299</v>
      </c>
      <c r="G168" s="21" t="s">
        <v>295</v>
      </c>
      <c r="H168" s="27">
        <v>35.869999999999997</v>
      </c>
      <c r="I168" s="231"/>
      <c r="J168" s="27">
        <f t="shared" si="9"/>
        <v>21.521999999999998</v>
      </c>
      <c r="K168" s="27">
        <f t="shared" si="11"/>
        <v>57.391999999999996</v>
      </c>
      <c r="L168" s="2"/>
      <c r="M168" s="27">
        <f t="shared" si="12"/>
        <v>0</v>
      </c>
      <c r="N168" s="64"/>
      <c r="O168" s="64">
        <f t="shared" si="13"/>
        <v>35.869999999999997</v>
      </c>
      <c r="P168" s="64"/>
      <c r="Q168" s="2"/>
    </row>
    <row r="169" spans="1:17">
      <c r="A169" s="14">
        <v>163</v>
      </c>
      <c r="B169" s="14" t="s">
        <v>1295</v>
      </c>
      <c r="C169" s="14" t="s">
        <v>26</v>
      </c>
      <c r="D169" s="14" t="s">
        <v>294</v>
      </c>
      <c r="E169" s="14" t="s">
        <v>7</v>
      </c>
      <c r="F169" s="30" t="s">
        <v>300</v>
      </c>
      <c r="G169" s="21" t="s">
        <v>295</v>
      </c>
      <c r="H169" s="27">
        <v>63.9</v>
      </c>
      <c r="I169" s="231"/>
      <c r="J169" s="27">
        <f t="shared" si="9"/>
        <v>38.339999999999996</v>
      </c>
      <c r="K169" s="27">
        <f t="shared" si="11"/>
        <v>102.24</v>
      </c>
      <c r="L169" s="2"/>
      <c r="M169" s="27">
        <f t="shared" si="12"/>
        <v>0</v>
      </c>
      <c r="N169" s="64"/>
      <c r="O169" s="64">
        <f t="shared" si="13"/>
        <v>63.9</v>
      </c>
      <c r="P169" s="64"/>
      <c r="Q169" s="2"/>
    </row>
    <row r="170" spans="1:17">
      <c r="A170" s="14">
        <v>164</v>
      </c>
      <c r="B170" s="14" t="s">
        <v>1295</v>
      </c>
      <c r="C170" s="14" t="s">
        <v>26</v>
      </c>
      <c r="D170" s="14" t="s">
        <v>294</v>
      </c>
      <c r="E170" s="14" t="s">
        <v>7</v>
      </c>
      <c r="F170" s="30" t="s">
        <v>301</v>
      </c>
      <c r="G170" s="21" t="s">
        <v>295</v>
      </c>
      <c r="H170" s="27">
        <v>50.53</v>
      </c>
      <c r="I170" s="231"/>
      <c r="J170" s="27">
        <f t="shared" si="9"/>
        <v>30.317999999999998</v>
      </c>
      <c r="K170" s="27">
        <f t="shared" si="11"/>
        <v>80.847999999999999</v>
      </c>
      <c r="L170" s="2"/>
      <c r="M170" s="27">
        <f t="shared" si="12"/>
        <v>0</v>
      </c>
      <c r="N170" s="64"/>
      <c r="O170" s="64">
        <f t="shared" si="13"/>
        <v>50.53</v>
      </c>
      <c r="P170" s="64"/>
      <c r="Q170" s="2"/>
    </row>
    <row r="171" spans="1:17">
      <c r="A171" s="14">
        <v>165</v>
      </c>
      <c r="B171" s="14" t="s">
        <v>1295</v>
      </c>
      <c r="C171" s="14" t="s">
        <v>26</v>
      </c>
      <c r="D171" s="14" t="s">
        <v>294</v>
      </c>
      <c r="E171" s="14" t="s">
        <v>7</v>
      </c>
      <c r="F171" s="30" t="s">
        <v>302</v>
      </c>
      <c r="G171" s="21" t="s">
        <v>295</v>
      </c>
      <c r="H171" s="27">
        <v>65.91</v>
      </c>
      <c r="I171" s="231"/>
      <c r="J171" s="27">
        <f t="shared" si="9"/>
        <v>39.545999999999999</v>
      </c>
      <c r="K171" s="27">
        <f t="shared" si="11"/>
        <v>105.45599999999999</v>
      </c>
      <c r="L171" s="2"/>
      <c r="M171" s="27">
        <f t="shared" si="12"/>
        <v>0</v>
      </c>
      <c r="N171" s="64"/>
      <c r="O171" s="64">
        <f t="shared" si="13"/>
        <v>65.91</v>
      </c>
      <c r="P171" s="64"/>
      <c r="Q171" s="2"/>
    </row>
    <row r="172" spans="1:17">
      <c r="A172" s="14">
        <v>166</v>
      </c>
      <c r="B172" s="14" t="s">
        <v>1295</v>
      </c>
      <c r="C172" s="14" t="s">
        <v>26</v>
      </c>
      <c r="D172" s="14" t="s">
        <v>294</v>
      </c>
      <c r="E172" s="14" t="s">
        <v>7</v>
      </c>
      <c r="F172" s="30" t="s">
        <v>303</v>
      </c>
      <c r="G172" s="21" t="s">
        <v>295</v>
      </c>
      <c r="H172" s="27">
        <v>60.43</v>
      </c>
      <c r="I172" s="231"/>
      <c r="J172" s="27">
        <f t="shared" si="9"/>
        <v>36.257999999999996</v>
      </c>
      <c r="K172" s="27">
        <f t="shared" si="11"/>
        <v>96.687999999999988</v>
      </c>
      <c r="L172" s="2"/>
      <c r="M172" s="27">
        <f t="shared" si="12"/>
        <v>0</v>
      </c>
      <c r="N172" s="64"/>
      <c r="O172" s="64">
        <f t="shared" si="13"/>
        <v>60.43</v>
      </c>
      <c r="P172" s="64"/>
      <c r="Q172" s="2"/>
    </row>
    <row r="173" spans="1:17">
      <c r="A173" s="14">
        <v>167</v>
      </c>
      <c r="B173" s="14" t="s">
        <v>1295</v>
      </c>
      <c r="C173" s="14" t="s">
        <v>26</v>
      </c>
      <c r="D173" s="14" t="s">
        <v>294</v>
      </c>
      <c r="E173" s="14" t="s">
        <v>7</v>
      </c>
      <c r="F173" s="30" t="s">
        <v>304</v>
      </c>
      <c r="G173" s="21" t="s">
        <v>295</v>
      </c>
      <c r="H173" s="27">
        <v>85.21</v>
      </c>
      <c r="I173" s="231"/>
      <c r="J173" s="27">
        <f t="shared" si="9"/>
        <v>51.125999999999998</v>
      </c>
      <c r="K173" s="27">
        <f t="shared" si="11"/>
        <v>136.33599999999998</v>
      </c>
      <c r="L173" s="2"/>
      <c r="M173" s="27">
        <f t="shared" si="12"/>
        <v>0</v>
      </c>
      <c r="N173" s="64"/>
      <c r="O173" s="64">
        <f t="shared" si="13"/>
        <v>85.21</v>
      </c>
      <c r="P173" s="64"/>
      <c r="Q173" s="2"/>
    </row>
    <row r="174" spans="1:17">
      <c r="A174" s="14">
        <v>168</v>
      </c>
      <c r="B174" s="14" t="s">
        <v>1295</v>
      </c>
      <c r="C174" s="14" t="s">
        <v>26</v>
      </c>
      <c r="D174" s="14" t="s">
        <v>294</v>
      </c>
      <c r="E174" s="14" t="s">
        <v>7</v>
      </c>
      <c r="F174" s="30" t="s">
        <v>305</v>
      </c>
      <c r="G174" s="21" t="s">
        <v>295</v>
      </c>
      <c r="H174" s="27">
        <v>84.54</v>
      </c>
      <c r="I174" s="231"/>
      <c r="J174" s="27">
        <f t="shared" si="9"/>
        <v>50.724000000000004</v>
      </c>
      <c r="K174" s="27">
        <f t="shared" si="11"/>
        <v>135.26400000000001</v>
      </c>
      <c r="L174" s="2"/>
      <c r="M174" s="27">
        <f t="shared" si="12"/>
        <v>0</v>
      </c>
      <c r="N174" s="64"/>
      <c r="O174" s="64">
        <f t="shared" si="13"/>
        <v>84.54</v>
      </c>
      <c r="P174" s="64"/>
      <c r="Q174" s="2"/>
    </row>
    <row r="175" spans="1:17">
      <c r="A175" s="14">
        <v>169</v>
      </c>
      <c r="B175" s="14" t="s">
        <v>1295</v>
      </c>
      <c r="C175" s="14" t="s">
        <v>26</v>
      </c>
      <c r="D175" s="14" t="s">
        <v>294</v>
      </c>
      <c r="E175" s="14" t="s">
        <v>7</v>
      </c>
      <c r="G175" s="21"/>
      <c r="H175" s="27"/>
      <c r="I175" s="231"/>
      <c r="J175" s="27">
        <f t="shared" si="9"/>
        <v>0</v>
      </c>
      <c r="K175" s="27"/>
      <c r="L175" s="2"/>
      <c r="M175" s="27">
        <f t="shared" si="12"/>
        <v>0</v>
      </c>
      <c r="N175" s="64"/>
      <c r="O175" s="64">
        <f t="shared" si="13"/>
        <v>0</v>
      </c>
      <c r="P175" s="64"/>
      <c r="Q175" s="2"/>
    </row>
    <row r="176" spans="1:17">
      <c r="A176" s="14">
        <v>170</v>
      </c>
      <c r="B176" s="14" t="s">
        <v>1295</v>
      </c>
      <c r="C176" s="14" t="s">
        <v>26</v>
      </c>
      <c r="D176" s="14" t="s">
        <v>294</v>
      </c>
      <c r="E176" s="14" t="s">
        <v>7</v>
      </c>
      <c r="F176" s="30" t="s">
        <v>306</v>
      </c>
      <c r="G176" s="21" t="s">
        <v>295</v>
      </c>
      <c r="H176" s="27">
        <v>122.53</v>
      </c>
      <c r="I176" s="231"/>
      <c r="J176" s="27">
        <f t="shared" si="9"/>
        <v>73.518000000000001</v>
      </c>
      <c r="K176" s="27">
        <f>H176+I176+J176</f>
        <v>196.048</v>
      </c>
      <c r="L176" s="2"/>
      <c r="M176" s="27">
        <f t="shared" si="12"/>
        <v>0</v>
      </c>
      <c r="N176" s="64"/>
      <c r="O176" s="64">
        <f t="shared" si="13"/>
        <v>122.53</v>
      </c>
      <c r="P176" s="64"/>
      <c r="Q176" s="2"/>
    </row>
    <row r="177" spans="1:17">
      <c r="A177" s="14">
        <v>171</v>
      </c>
      <c r="B177" s="14" t="s">
        <v>1295</v>
      </c>
      <c r="C177" s="14" t="s">
        <v>26</v>
      </c>
      <c r="D177" s="14" t="s">
        <v>294</v>
      </c>
      <c r="E177" s="14" t="s">
        <v>7</v>
      </c>
      <c r="G177" s="21"/>
      <c r="H177" s="27"/>
      <c r="I177" s="231"/>
      <c r="J177" s="27">
        <f t="shared" si="9"/>
        <v>0</v>
      </c>
      <c r="K177" s="27"/>
      <c r="L177" s="2"/>
      <c r="M177" s="27">
        <f t="shared" si="12"/>
        <v>0</v>
      </c>
      <c r="N177" s="64"/>
      <c r="O177" s="64">
        <f t="shared" si="13"/>
        <v>0</v>
      </c>
      <c r="P177" s="64"/>
      <c r="Q177" s="2"/>
    </row>
    <row r="178" spans="1:17">
      <c r="A178" s="14">
        <v>172</v>
      </c>
      <c r="B178" s="14" t="s">
        <v>1295</v>
      </c>
      <c r="C178" s="14" t="s">
        <v>26</v>
      </c>
      <c r="D178" s="14" t="s">
        <v>294</v>
      </c>
      <c r="E178" s="14" t="s">
        <v>7</v>
      </c>
      <c r="F178" s="30" t="s">
        <v>307</v>
      </c>
      <c r="G178" s="21" t="s">
        <v>295</v>
      </c>
      <c r="H178" s="27">
        <f t="shared" ref="H178:H188" si="14">H164</f>
        <v>16.75</v>
      </c>
      <c r="I178" s="231"/>
      <c r="J178" s="27">
        <f t="shared" si="9"/>
        <v>10.049999999999999</v>
      </c>
      <c r="K178" s="27">
        <f t="shared" ref="K178:K189" si="15">H178+I178+J178</f>
        <v>26.799999999999997</v>
      </c>
      <c r="L178" s="2"/>
      <c r="M178" s="27">
        <f t="shared" si="12"/>
        <v>0</v>
      </c>
      <c r="N178" s="64"/>
      <c r="O178" s="64"/>
      <c r="P178" s="64"/>
      <c r="Q178" s="2"/>
    </row>
    <row r="179" spans="1:17">
      <c r="A179" s="14">
        <v>173</v>
      </c>
      <c r="B179" s="14" t="s">
        <v>1295</v>
      </c>
      <c r="C179" s="14" t="s">
        <v>26</v>
      </c>
      <c r="D179" s="14" t="s">
        <v>294</v>
      </c>
      <c r="E179" s="14" t="s">
        <v>7</v>
      </c>
      <c r="F179" s="30" t="s">
        <v>308</v>
      </c>
      <c r="G179" s="21" t="s">
        <v>295</v>
      </c>
      <c r="H179" s="27">
        <f t="shared" si="14"/>
        <v>21.32</v>
      </c>
      <c r="I179" s="231"/>
      <c r="J179" s="27">
        <f t="shared" si="9"/>
        <v>12.792</v>
      </c>
      <c r="K179" s="27">
        <f t="shared" si="15"/>
        <v>34.112000000000002</v>
      </c>
      <c r="L179" s="63"/>
      <c r="M179" s="27"/>
      <c r="N179" s="64"/>
      <c r="O179" s="64"/>
      <c r="P179" s="64"/>
      <c r="Q179" s="2"/>
    </row>
    <row r="180" spans="1:17">
      <c r="A180" s="14">
        <v>174</v>
      </c>
      <c r="B180" s="14" t="s">
        <v>1295</v>
      </c>
      <c r="C180" s="14" t="s">
        <v>26</v>
      </c>
      <c r="D180" s="14" t="s">
        <v>294</v>
      </c>
      <c r="E180" s="14" t="s">
        <v>7</v>
      </c>
      <c r="F180" s="30" t="s">
        <v>309</v>
      </c>
      <c r="G180" s="21" t="s">
        <v>295</v>
      </c>
      <c r="H180" s="27">
        <f t="shared" si="14"/>
        <v>22.72</v>
      </c>
      <c r="I180" s="231"/>
      <c r="J180" s="27">
        <f t="shared" si="9"/>
        <v>13.632</v>
      </c>
      <c r="K180" s="27">
        <f t="shared" si="15"/>
        <v>36.351999999999997</v>
      </c>
      <c r="L180" s="2"/>
      <c r="M180" s="27"/>
      <c r="N180" s="64"/>
      <c r="O180" s="64"/>
      <c r="P180" s="64"/>
      <c r="Q180" s="2"/>
    </row>
    <row r="181" spans="1:17">
      <c r="A181" s="14">
        <v>175</v>
      </c>
      <c r="B181" s="14" t="s">
        <v>1295</v>
      </c>
      <c r="C181" s="14" t="s">
        <v>26</v>
      </c>
      <c r="D181" s="14" t="s">
        <v>294</v>
      </c>
      <c r="E181" s="14" t="s">
        <v>7</v>
      </c>
      <c r="F181" s="30" t="s">
        <v>310</v>
      </c>
      <c r="G181" s="21" t="s">
        <v>295</v>
      </c>
      <c r="H181" s="27">
        <f t="shared" si="14"/>
        <v>28.69</v>
      </c>
      <c r="I181" s="231"/>
      <c r="J181" s="27">
        <f t="shared" si="9"/>
        <v>17.213999999999999</v>
      </c>
      <c r="K181" s="27">
        <f t="shared" si="15"/>
        <v>45.903999999999996</v>
      </c>
      <c r="L181" s="2"/>
      <c r="M181" s="27"/>
      <c r="N181" s="64"/>
      <c r="O181" s="64"/>
      <c r="P181" s="64"/>
      <c r="Q181" s="2"/>
    </row>
    <row r="182" spans="1:17">
      <c r="A182" s="14">
        <v>176</v>
      </c>
      <c r="B182" s="14" t="s">
        <v>1295</v>
      </c>
      <c r="C182" s="14" t="s">
        <v>26</v>
      </c>
      <c r="D182" s="14" t="s">
        <v>294</v>
      </c>
      <c r="E182" s="14" t="s">
        <v>7</v>
      </c>
      <c r="F182" s="30" t="s">
        <v>311</v>
      </c>
      <c r="G182" s="21" t="s">
        <v>295</v>
      </c>
      <c r="H182" s="27">
        <f t="shared" si="14"/>
        <v>35.869999999999997</v>
      </c>
      <c r="I182" s="231"/>
      <c r="J182" s="27">
        <f t="shared" si="9"/>
        <v>21.521999999999998</v>
      </c>
      <c r="K182" s="27">
        <f t="shared" si="15"/>
        <v>57.391999999999996</v>
      </c>
      <c r="L182" s="2"/>
      <c r="M182" s="27"/>
      <c r="N182" s="64"/>
      <c r="O182" s="64"/>
      <c r="P182" s="64"/>
      <c r="Q182" s="2"/>
    </row>
    <row r="183" spans="1:17">
      <c r="A183" s="14">
        <v>177</v>
      </c>
      <c r="B183" s="14" t="s">
        <v>1295</v>
      </c>
      <c r="C183" s="14" t="s">
        <v>26</v>
      </c>
      <c r="D183" s="14" t="s">
        <v>294</v>
      </c>
      <c r="E183" s="14" t="s">
        <v>7</v>
      </c>
      <c r="F183" s="30" t="s">
        <v>312</v>
      </c>
      <c r="G183" s="21" t="s">
        <v>295</v>
      </c>
      <c r="H183" s="27">
        <f t="shared" si="14"/>
        <v>63.9</v>
      </c>
      <c r="I183" s="231"/>
      <c r="J183" s="27">
        <f t="shared" si="9"/>
        <v>38.339999999999996</v>
      </c>
      <c r="K183" s="27">
        <f t="shared" si="15"/>
        <v>102.24</v>
      </c>
      <c r="L183" s="2"/>
      <c r="M183" s="27"/>
      <c r="N183" s="64"/>
      <c r="O183" s="64"/>
      <c r="P183" s="64"/>
      <c r="Q183" s="2"/>
    </row>
    <row r="184" spans="1:17">
      <c r="A184" s="14">
        <v>178</v>
      </c>
      <c r="B184" s="14" t="s">
        <v>1295</v>
      </c>
      <c r="C184" s="14" t="s">
        <v>26</v>
      </c>
      <c r="D184" s="14" t="s">
        <v>294</v>
      </c>
      <c r="E184" s="14" t="s">
        <v>7</v>
      </c>
      <c r="F184" s="30" t="s">
        <v>313</v>
      </c>
      <c r="G184" s="21" t="s">
        <v>295</v>
      </c>
      <c r="H184" s="27">
        <f t="shared" si="14"/>
        <v>50.53</v>
      </c>
      <c r="I184" s="231"/>
      <c r="J184" s="27">
        <f t="shared" si="9"/>
        <v>30.317999999999998</v>
      </c>
      <c r="K184" s="27">
        <f t="shared" si="15"/>
        <v>80.847999999999999</v>
      </c>
      <c r="L184" s="2"/>
      <c r="M184" s="27"/>
      <c r="N184" s="64"/>
      <c r="O184" s="64"/>
      <c r="P184" s="64"/>
      <c r="Q184" s="2"/>
    </row>
    <row r="185" spans="1:17">
      <c r="A185" s="14">
        <v>179</v>
      </c>
      <c r="B185" s="14" t="s">
        <v>1295</v>
      </c>
      <c r="C185" s="14" t="s">
        <v>26</v>
      </c>
      <c r="D185" s="14" t="s">
        <v>294</v>
      </c>
      <c r="E185" s="14" t="s">
        <v>7</v>
      </c>
      <c r="F185" s="30" t="s">
        <v>314</v>
      </c>
      <c r="G185" s="21" t="s">
        <v>295</v>
      </c>
      <c r="H185" s="27">
        <f t="shared" si="14"/>
        <v>65.91</v>
      </c>
      <c r="I185" s="231"/>
      <c r="J185" s="27">
        <f t="shared" si="9"/>
        <v>39.545999999999999</v>
      </c>
      <c r="K185" s="27">
        <f t="shared" si="15"/>
        <v>105.45599999999999</v>
      </c>
      <c r="L185" s="2"/>
      <c r="M185" s="27"/>
      <c r="N185" s="64"/>
      <c r="O185" s="64"/>
      <c r="P185" s="64"/>
      <c r="Q185" s="2"/>
    </row>
    <row r="186" spans="1:17">
      <c r="A186" s="14">
        <v>180</v>
      </c>
      <c r="B186" s="14" t="s">
        <v>1295</v>
      </c>
      <c r="C186" s="14" t="s">
        <v>26</v>
      </c>
      <c r="D186" s="14" t="s">
        <v>294</v>
      </c>
      <c r="E186" s="14" t="s">
        <v>7</v>
      </c>
      <c r="F186" s="30" t="s">
        <v>315</v>
      </c>
      <c r="G186" s="21" t="s">
        <v>295</v>
      </c>
      <c r="H186" s="27">
        <f t="shared" si="14"/>
        <v>60.43</v>
      </c>
      <c r="I186" s="231"/>
      <c r="J186" s="27">
        <f t="shared" si="9"/>
        <v>36.257999999999996</v>
      </c>
      <c r="K186" s="27">
        <f t="shared" si="15"/>
        <v>96.687999999999988</v>
      </c>
      <c r="L186" s="2"/>
      <c r="M186" s="27"/>
      <c r="N186" s="64"/>
      <c r="O186" s="64"/>
      <c r="P186" s="64"/>
      <c r="Q186" s="2"/>
    </row>
    <row r="187" spans="1:17">
      <c r="A187" s="14">
        <v>181</v>
      </c>
      <c r="B187" s="14" t="s">
        <v>1295</v>
      </c>
      <c r="C187" s="14" t="s">
        <v>26</v>
      </c>
      <c r="D187" s="14" t="s">
        <v>294</v>
      </c>
      <c r="E187" s="14" t="s">
        <v>7</v>
      </c>
      <c r="F187" s="30" t="s">
        <v>316</v>
      </c>
      <c r="G187" s="21" t="s">
        <v>295</v>
      </c>
      <c r="H187" s="27">
        <f t="shared" si="14"/>
        <v>85.21</v>
      </c>
      <c r="I187" s="231"/>
      <c r="J187" s="27">
        <f t="shared" si="9"/>
        <v>51.125999999999998</v>
      </c>
      <c r="K187" s="27">
        <f t="shared" si="15"/>
        <v>136.33599999999998</v>
      </c>
      <c r="L187" s="2"/>
      <c r="M187" s="27"/>
      <c r="N187" s="64"/>
      <c r="O187" s="64"/>
      <c r="P187" s="64"/>
      <c r="Q187" s="2"/>
    </row>
    <row r="188" spans="1:17">
      <c r="A188" s="14">
        <v>182</v>
      </c>
      <c r="B188" s="14" t="s">
        <v>1295</v>
      </c>
      <c r="C188" s="14" t="s">
        <v>26</v>
      </c>
      <c r="D188" s="14" t="s">
        <v>294</v>
      </c>
      <c r="E188" s="14" t="s">
        <v>7</v>
      </c>
      <c r="F188" s="30" t="s">
        <v>317</v>
      </c>
      <c r="G188" s="21" t="s">
        <v>295</v>
      </c>
      <c r="H188" s="27">
        <f t="shared" si="14"/>
        <v>84.54</v>
      </c>
      <c r="I188" s="231"/>
      <c r="J188" s="27">
        <f t="shared" si="9"/>
        <v>50.724000000000004</v>
      </c>
      <c r="K188" s="27">
        <f t="shared" si="15"/>
        <v>135.26400000000001</v>
      </c>
      <c r="L188" s="2"/>
      <c r="M188" s="27"/>
      <c r="N188" s="64"/>
      <c r="O188" s="64"/>
      <c r="P188" s="64"/>
      <c r="Q188" s="2"/>
    </row>
    <row r="189" spans="1:17">
      <c r="A189" s="14">
        <v>183</v>
      </c>
      <c r="B189" s="14" t="s">
        <v>1295</v>
      </c>
      <c r="C189" s="14" t="s">
        <v>26</v>
      </c>
      <c r="D189" s="14" t="s">
        <v>294</v>
      </c>
      <c r="E189" s="14" t="s">
        <v>7</v>
      </c>
      <c r="F189" s="30" t="s">
        <v>318</v>
      </c>
      <c r="G189" s="21" t="s">
        <v>295</v>
      </c>
      <c r="H189" s="27">
        <f>H176</f>
        <v>122.53</v>
      </c>
      <c r="I189" s="231"/>
      <c r="J189" s="27">
        <f t="shared" si="9"/>
        <v>73.518000000000001</v>
      </c>
      <c r="K189" s="27">
        <f t="shared" si="15"/>
        <v>196.048</v>
      </c>
      <c r="L189" s="2"/>
      <c r="M189" s="27"/>
      <c r="N189" s="64"/>
      <c r="O189" s="64"/>
      <c r="P189" s="64"/>
      <c r="Q189" s="2"/>
    </row>
    <row r="190" spans="1:17">
      <c r="A190" s="14">
        <v>184</v>
      </c>
      <c r="B190" s="14" t="s">
        <v>1295</v>
      </c>
      <c r="C190" s="14" t="s">
        <v>26</v>
      </c>
      <c r="E190" s="14" t="s">
        <v>7</v>
      </c>
      <c r="F190" s="21"/>
      <c r="G190" s="21"/>
      <c r="H190" s="27"/>
      <c r="I190" s="231"/>
      <c r="J190" s="27">
        <f t="shared" si="9"/>
        <v>0</v>
      </c>
      <c r="K190" s="27"/>
      <c r="L190" s="2"/>
      <c r="M190" s="27"/>
      <c r="N190" s="64"/>
      <c r="O190" s="64"/>
      <c r="P190" s="64"/>
      <c r="Q190" s="2"/>
    </row>
    <row r="191" spans="1:17">
      <c r="A191" s="14">
        <v>185</v>
      </c>
      <c r="B191" s="14" t="s">
        <v>1295</v>
      </c>
      <c r="C191" s="14" t="s">
        <v>26</v>
      </c>
      <c r="E191" s="14" t="s">
        <v>7</v>
      </c>
      <c r="F191" s="21"/>
      <c r="G191" s="21"/>
      <c r="H191" s="27"/>
      <c r="I191" s="231"/>
      <c r="J191" s="27">
        <f t="shared" si="9"/>
        <v>0</v>
      </c>
      <c r="K191" s="27"/>
      <c r="L191" s="2"/>
      <c r="M191" s="27">
        <f t="shared" si="12"/>
        <v>0</v>
      </c>
      <c r="N191" s="64"/>
      <c r="O191" s="64"/>
      <c r="P191" s="64"/>
      <c r="Q191" s="2"/>
    </row>
    <row r="192" spans="1:17">
      <c r="A192" s="14">
        <v>186</v>
      </c>
      <c r="B192" s="14" t="s">
        <v>1295</v>
      </c>
      <c r="C192" s="14" t="s">
        <v>26</v>
      </c>
      <c r="D192" s="14" t="s">
        <v>319</v>
      </c>
      <c r="E192" s="14" t="s">
        <v>7</v>
      </c>
      <c r="H192" s="27"/>
      <c r="I192" s="231"/>
      <c r="J192" s="27">
        <f t="shared" si="9"/>
        <v>0</v>
      </c>
      <c r="K192" s="27"/>
      <c r="L192" s="2"/>
      <c r="M192" s="27">
        <f t="shared" si="12"/>
        <v>0</v>
      </c>
      <c r="N192" s="64"/>
      <c r="O192" s="64"/>
      <c r="P192" s="64"/>
      <c r="Q192" s="2"/>
    </row>
    <row r="193" spans="1:18">
      <c r="A193" s="14">
        <v>187</v>
      </c>
      <c r="B193" s="14" t="s">
        <v>1295</v>
      </c>
      <c r="C193" s="14" t="s">
        <v>26</v>
      </c>
      <c r="D193" s="14" t="s">
        <v>319</v>
      </c>
      <c r="E193" s="14" t="s">
        <v>7</v>
      </c>
      <c r="F193" s="71"/>
      <c r="H193" s="27"/>
      <c r="I193" s="231"/>
      <c r="J193" s="27">
        <f t="shared" si="9"/>
        <v>0</v>
      </c>
      <c r="K193" s="27">
        <v>0</v>
      </c>
      <c r="L193" s="2"/>
      <c r="M193" s="27">
        <f t="shared" si="12"/>
        <v>0</v>
      </c>
      <c r="N193" s="64"/>
      <c r="O193" s="64"/>
      <c r="P193" s="64"/>
      <c r="Q193" s="2"/>
    </row>
    <row r="194" spans="1:18">
      <c r="A194" s="14">
        <v>188</v>
      </c>
      <c r="B194" s="14" t="s">
        <v>1295</v>
      </c>
      <c r="C194" s="14" t="s">
        <v>26</v>
      </c>
      <c r="D194" s="14" t="s">
        <v>319</v>
      </c>
      <c r="E194" s="14" t="s">
        <v>7</v>
      </c>
      <c r="F194" s="21" t="s">
        <v>320</v>
      </c>
      <c r="G194" s="21"/>
      <c r="H194" s="27">
        <f>H164</f>
        <v>16.75</v>
      </c>
      <c r="I194" s="231"/>
      <c r="J194" s="27">
        <f t="shared" si="9"/>
        <v>10.049999999999999</v>
      </c>
      <c r="K194" s="27">
        <f>H194+I194+J194</f>
        <v>26.799999999999997</v>
      </c>
      <c r="L194" s="2"/>
      <c r="M194" s="27">
        <f t="shared" si="12"/>
        <v>0</v>
      </c>
      <c r="N194" s="64"/>
      <c r="O194" s="64"/>
      <c r="P194" s="64"/>
      <c r="Q194" s="2"/>
    </row>
    <row r="195" spans="1:18">
      <c r="A195" s="14">
        <v>189</v>
      </c>
      <c r="B195" s="14" t="s">
        <v>1295</v>
      </c>
      <c r="C195" s="14" t="s">
        <v>26</v>
      </c>
      <c r="D195" s="14" t="s">
        <v>319</v>
      </c>
      <c r="E195" s="14" t="s">
        <v>7</v>
      </c>
      <c r="F195" s="21" t="s">
        <v>321</v>
      </c>
      <c r="G195" s="21"/>
      <c r="H195" s="27">
        <f>H165</f>
        <v>21.32</v>
      </c>
      <c r="I195" s="231"/>
      <c r="J195" s="27">
        <f t="shared" si="9"/>
        <v>12.792</v>
      </c>
      <c r="K195" s="27">
        <f>H195+I195+J195</f>
        <v>34.112000000000002</v>
      </c>
      <c r="L195" s="63"/>
      <c r="M195" s="27"/>
      <c r="N195" s="64"/>
      <c r="O195" s="64"/>
      <c r="P195" s="64"/>
      <c r="Q195" s="2"/>
    </row>
    <row r="196" spans="1:18">
      <c r="A196" s="14">
        <v>190</v>
      </c>
      <c r="B196" s="14" t="s">
        <v>1295</v>
      </c>
      <c r="C196" s="14" t="s">
        <v>26</v>
      </c>
      <c r="D196" s="14" t="s">
        <v>319</v>
      </c>
      <c r="E196" s="14" t="s">
        <v>7</v>
      </c>
      <c r="F196" s="21" t="s">
        <v>322</v>
      </c>
      <c r="G196" s="21"/>
      <c r="H196" s="27">
        <f>H166</f>
        <v>22.72</v>
      </c>
      <c r="I196" s="231"/>
      <c r="J196" s="27">
        <f t="shared" si="9"/>
        <v>13.632</v>
      </c>
      <c r="K196" s="27">
        <f>H196+I196+J196</f>
        <v>36.351999999999997</v>
      </c>
      <c r="L196" s="2"/>
      <c r="M196" s="27"/>
      <c r="N196" s="64"/>
      <c r="O196" s="64"/>
      <c r="P196" s="64"/>
      <c r="Q196" s="2"/>
    </row>
    <row r="197" spans="1:18">
      <c r="A197" s="14">
        <v>191</v>
      </c>
      <c r="B197" s="14" t="s">
        <v>1295</v>
      </c>
      <c r="C197" s="14" t="s">
        <v>26</v>
      </c>
      <c r="D197" s="14" t="s">
        <v>319</v>
      </c>
      <c r="E197" s="14" t="s">
        <v>7</v>
      </c>
      <c r="F197" s="21" t="s">
        <v>323</v>
      </c>
      <c r="G197" s="21"/>
      <c r="H197" s="27">
        <f>H167</f>
        <v>28.69</v>
      </c>
      <c r="I197" s="231"/>
      <c r="J197" s="27">
        <f t="shared" si="9"/>
        <v>17.213999999999999</v>
      </c>
      <c r="K197" s="27">
        <f>H197+I197+J197</f>
        <v>45.903999999999996</v>
      </c>
      <c r="L197" s="2"/>
      <c r="M197" s="27"/>
      <c r="N197" s="64"/>
      <c r="O197" s="64"/>
      <c r="P197" s="64"/>
      <c r="Q197" s="2"/>
    </row>
    <row r="198" spans="1:18">
      <c r="A198" s="14">
        <v>192</v>
      </c>
      <c r="B198" s="14" t="s">
        <v>1295</v>
      </c>
      <c r="C198" s="14" t="s">
        <v>26</v>
      </c>
      <c r="D198" s="14" t="s">
        <v>319</v>
      </c>
      <c r="E198" s="14" t="s">
        <v>7</v>
      </c>
      <c r="F198" s="21" t="s">
        <v>324</v>
      </c>
      <c r="G198" s="21"/>
      <c r="H198" s="27">
        <f>H168</f>
        <v>35.869999999999997</v>
      </c>
      <c r="I198" s="231"/>
      <c r="J198" s="27">
        <f t="shared" si="9"/>
        <v>21.521999999999998</v>
      </c>
      <c r="K198" s="27">
        <f>H198+I198+J198</f>
        <v>57.391999999999996</v>
      </c>
      <c r="L198" s="2"/>
      <c r="M198" s="27"/>
      <c r="N198" s="64"/>
      <c r="O198" s="64"/>
      <c r="P198" s="64"/>
      <c r="Q198" s="2"/>
    </row>
    <row r="199" spans="1:18">
      <c r="A199" s="14">
        <v>193</v>
      </c>
      <c r="B199" s="14" t="s">
        <v>1295</v>
      </c>
      <c r="C199" s="14" t="s">
        <v>26</v>
      </c>
      <c r="D199" s="14" t="s">
        <v>319</v>
      </c>
      <c r="E199" s="14" t="s">
        <v>7</v>
      </c>
      <c r="F199" s="21"/>
      <c r="G199" s="21"/>
      <c r="H199" s="27"/>
      <c r="I199" s="231"/>
      <c r="J199" s="27">
        <f t="shared" si="9"/>
        <v>0</v>
      </c>
      <c r="K199" s="27"/>
      <c r="L199" s="2"/>
      <c r="M199" s="27"/>
      <c r="N199" s="64"/>
      <c r="O199" s="64"/>
      <c r="P199" s="64"/>
      <c r="Q199" s="2"/>
    </row>
    <row r="200" spans="1:18">
      <c r="A200" s="14">
        <v>194</v>
      </c>
      <c r="B200" s="14" t="s">
        <v>1295</v>
      </c>
      <c r="C200" s="14" t="s">
        <v>33</v>
      </c>
      <c r="D200" s="14" t="s">
        <v>325</v>
      </c>
      <c r="E200" s="14" t="s">
        <v>7</v>
      </c>
      <c r="H200" s="27"/>
      <c r="I200" s="231"/>
      <c r="J200" s="27">
        <f t="shared" ref="J200:J263" si="16">H200*$D$6</f>
        <v>0</v>
      </c>
      <c r="K200" s="27"/>
      <c r="L200" s="2"/>
      <c r="M200" s="21"/>
      <c r="N200" s="64"/>
      <c r="O200" s="64"/>
      <c r="P200" s="64"/>
      <c r="Q200" s="2"/>
    </row>
    <row r="201" spans="1:18">
      <c r="A201" s="14">
        <v>195</v>
      </c>
      <c r="B201" s="14" t="s">
        <v>1295</v>
      </c>
      <c r="C201" s="14" t="s">
        <v>33</v>
      </c>
      <c r="D201" s="14" t="s">
        <v>325</v>
      </c>
      <c r="E201" s="14" t="s">
        <v>7</v>
      </c>
      <c r="F201" s="21"/>
      <c r="G201" s="21"/>
      <c r="H201" s="27"/>
      <c r="I201" s="231"/>
      <c r="J201" s="27">
        <f t="shared" si="16"/>
        <v>0</v>
      </c>
      <c r="K201" s="27"/>
      <c r="L201" s="2"/>
      <c r="M201" s="21"/>
      <c r="N201" s="64"/>
      <c r="O201" s="64"/>
      <c r="P201" s="64"/>
      <c r="Q201" s="2"/>
    </row>
    <row r="202" spans="1:18">
      <c r="A202" s="14">
        <v>196</v>
      </c>
      <c r="B202" s="14" t="s">
        <v>1295</v>
      </c>
      <c r="C202" s="14" t="s">
        <v>33</v>
      </c>
      <c r="D202" s="14" t="s">
        <v>326</v>
      </c>
      <c r="E202" s="14" t="s">
        <v>7</v>
      </c>
      <c r="F202" s="21" t="s">
        <v>327</v>
      </c>
      <c r="G202" s="21"/>
      <c r="H202" s="27">
        <v>16.850000000000001</v>
      </c>
      <c r="I202" s="231"/>
      <c r="J202" s="27">
        <f t="shared" si="16"/>
        <v>10.110000000000001</v>
      </c>
      <c r="K202" s="27">
        <f>H202+I202+J202</f>
        <v>26.96</v>
      </c>
      <c r="L202" s="2"/>
      <c r="M202" s="69"/>
      <c r="N202" s="64"/>
      <c r="O202" s="64"/>
      <c r="P202" s="64"/>
      <c r="Q202" s="2"/>
    </row>
    <row r="203" spans="1:18">
      <c r="A203" s="14">
        <v>197</v>
      </c>
      <c r="B203" s="14" t="s">
        <v>1295</v>
      </c>
      <c r="C203" s="14" t="s">
        <v>33</v>
      </c>
      <c r="D203" s="14" t="s">
        <v>326</v>
      </c>
      <c r="E203" s="14" t="s">
        <v>7</v>
      </c>
      <c r="F203" s="21" t="s">
        <v>328</v>
      </c>
      <c r="G203" s="21"/>
      <c r="H203" s="27">
        <v>26.34</v>
      </c>
      <c r="I203" s="231"/>
      <c r="J203" s="27">
        <f t="shared" si="16"/>
        <v>15.803999999999998</v>
      </c>
      <c r="K203" s="27">
        <f>H203+I203+J203</f>
        <v>42.143999999999998</v>
      </c>
      <c r="L203" s="63"/>
      <c r="M203" s="27">
        <f>H203*$M$202</f>
        <v>0</v>
      </c>
      <c r="N203" s="64"/>
      <c r="O203" s="64">
        <f>M203+H203</f>
        <v>26.34</v>
      </c>
      <c r="P203" s="72">
        <v>45121</v>
      </c>
      <c r="Q203" s="2"/>
      <c r="R203" s="68"/>
    </row>
    <row r="204" spans="1:18">
      <c r="A204" s="14">
        <v>198</v>
      </c>
      <c r="B204" s="14" t="s">
        <v>1295</v>
      </c>
      <c r="C204" s="14" t="s">
        <v>33</v>
      </c>
      <c r="D204" s="14" t="s">
        <v>326</v>
      </c>
      <c r="E204" s="14" t="s">
        <v>7</v>
      </c>
      <c r="F204" s="21" t="s">
        <v>329</v>
      </c>
      <c r="G204" s="21"/>
      <c r="H204" s="27">
        <f>H456+H464+H486+H487</f>
        <v>103.43</v>
      </c>
      <c r="I204" s="231"/>
      <c r="J204" s="27">
        <f t="shared" si="16"/>
        <v>62.058</v>
      </c>
      <c r="K204" s="27">
        <f>H204+I204+J204</f>
        <v>165.488</v>
      </c>
      <c r="L204" s="2"/>
      <c r="M204" s="27">
        <f t="shared" ref="M204:M230" si="17">H204*$M$202</f>
        <v>0</v>
      </c>
      <c r="N204" s="64"/>
      <c r="O204" s="64">
        <f t="shared" ref="O204:O230" si="18">M204+H204</f>
        <v>103.43</v>
      </c>
      <c r="P204" s="64"/>
      <c r="Q204" s="2"/>
    </row>
    <row r="205" spans="1:18">
      <c r="A205" s="14">
        <v>199</v>
      </c>
      <c r="B205" s="14" t="s">
        <v>1295</v>
      </c>
      <c r="C205" s="14" t="s">
        <v>33</v>
      </c>
      <c r="D205" s="14" t="s">
        <v>326</v>
      </c>
      <c r="E205" s="14" t="s">
        <v>7</v>
      </c>
      <c r="F205" s="21" t="s">
        <v>330</v>
      </c>
      <c r="G205" s="21"/>
      <c r="H205" s="27">
        <f>H457+H464+H486+H487</f>
        <v>72.98</v>
      </c>
      <c r="I205" s="231"/>
      <c r="J205" s="27">
        <f t="shared" si="16"/>
        <v>43.788000000000004</v>
      </c>
      <c r="K205" s="27">
        <f>H205+I205+J205</f>
        <v>116.768</v>
      </c>
      <c r="L205" s="2"/>
      <c r="M205" s="27"/>
      <c r="N205" s="64"/>
      <c r="O205" s="64"/>
      <c r="P205" s="64"/>
      <c r="Q205" s="2"/>
    </row>
    <row r="206" spans="1:18">
      <c r="A206" s="14">
        <v>200</v>
      </c>
      <c r="B206" s="14" t="s">
        <v>1295</v>
      </c>
      <c r="C206" s="14" t="s">
        <v>33</v>
      </c>
      <c r="D206" s="14" t="s">
        <v>326</v>
      </c>
      <c r="E206" s="14" t="s">
        <v>7</v>
      </c>
      <c r="G206" s="21"/>
      <c r="H206" s="27"/>
      <c r="I206" s="231"/>
      <c r="J206" s="27">
        <f t="shared" si="16"/>
        <v>0</v>
      </c>
      <c r="K206" s="27"/>
      <c r="L206" s="2"/>
      <c r="M206" s="27"/>
      <c r="N206" s="64"/>
      <c r="O206" s="64"/>
      <c r="P206" s="64"/>
      <c r="Q206" s="2"/>
    </row>
    <row r="207" spans="1:18">
      <c r="A207" s="14">
        <v>201</v>
      </c>
      <c r="B207" s="14" t="s">
        <v>1295</v>
      </c>
      <c r="C207" s="14" t="s">
        <v>288</v>
      </c>
      <c r="D207" s="14" t="s">
        <v>331</v>
      </c>
      <c r="E207" s="14" t="s">
        <v>7</v>
      </c>
      <c r="H207" s="27"/>
      <c r="I207" s="231"/>
      <c r="J207" s="27">
        <f t="shared" si="16"/>
        <v>0</v>
      </c>
      <c r="K207" s="27"/>
      <c r="L207" s="2"/>
      <c r="M207" s="27">
        <f t="shared" si="17"/>
        <v>0</v>
      </c>
      <c r="N207" s="64"/>
      <c r="O207" s="64">
        <f t="shared" si="18"/>
        <v>0</v>
      </c>
      <c r="P207" s="64"/>
      <c r="Q207" s="2"/>
    </row>
    <row r="208" spans="1:18">
      <c r="A208" s="14">
        <v>202</v>
      </c>
      <c r="B208" s="14" t="s">
        <v>1295</v>
      </c>
      <c r="C208" s="14" t="s">
        <v>288</v>
      </c>
      <c r="D208" s="14" t="s">
        <v>331</v>
      </c>
      <c r="E208" s="14" t="s">
        <v>7</v>
      </c>
      <c r="F208" s="21"/>
      <c r="G208" s="21"/>
      <c r="H208" s="27"/>
      <c r="I208" s="231"/>
      <c r="J208" s="27">
        <f t="shared" si="16"/>
        <v>0</v>
      </c>
      <c r="K208" s="27">
        <f t="shared" ref="K208:K216" si="19">H208+I208+J208</f>
        <v>0</v>
      </c>
      <c r="L208" s="2"/>
      <c r="M208" s="27">
        <f t="shared" si="17"/>
        <v>0</v>
      </c>
      <c r="N208" s="64"/>
      <c r="O208" s="64">
        <f t="shared" si="18"/>
        <v>0</v>
      </c>
      <c r="P208" s="64"/>
      <c r="Q208" s="2"/>
    </row>
    <row r="209" spans="1:17">
      <c r="A209" s="14">
        <v>203</v>
      </c>
      <c r="B209" s="14" t="s">
        <v>1295</v>
      </c>
      <c r="C209" s="14" t="s">
        <v>288</v>
      </c>
      <c r="D209" s="14" t="s">
        <v>331</v>
      </c>
      <c r="E209" s="14" t="s">
        <v>7</v>
      </c>
      <c r="F209" s="21" t="s">
        <v>32</v>
      </c>
      <c r="G209" s="21"/>
      <c r="H209" s="27">
        <v>58.34</v>
      </c>
      <c r="I209" s="231"/>
      <c r="J209" s="27">
        <f t="shared" si="16"/>
        <v>35.003999999999998</v>
      </c>
      <c r="K209" s="27">
        <f t="shared" si="19"/>
        <v>93.343999999999994</v>
      </c>
      <c r="L209" s="2"/>
      <c r="M209" s="27">
        <f t="shared" si="17"/>
        <v>0</v>
      </c>
      <c r="N209" s="64"/>
      <c r="O209" s="64">
        <f t="shared" si="18"/>
        <v>58.34</v>
      </c>
      <c r="P209" s="64"/>
      <c r="Q209" s="2"/>
    </row>
    <row r="210" spans="1:17">
      <c r="A210" s="14">
        <v>204</v>
      </c>
      <c r="B210" s="14" t="s">
        <v>1295</v>
      </c>
      <c r="C210" s="14" t="s">
        <v>288</v>
      </c>
      <c r="D210" s="14" t="s">
        <v>331</v>
      </c>
      <c r="E210" s="14" t="s">
        <v>7</v>
      </c>
      <c r="F210" s="21" t="s">
        <v>332</v>
      </c>
      <c r="G210" s="21"/>
      <c r="H210" s="27">
        <v>43.97</v>
      </c>
      <c r="I210" s="231"/>
      <c r="J210" s="27">
        <f t="shared" si="16"/>
        <v>26.381999999999998</v>
      </c>
      <c r="K210" s="27">
        <f t="shared" si="19"/>
        <v>70.352000000000004</v>
      </c>
      <c r="L210" s="70"/>
      <c r="M210" s="27">
        <f t="shared" si="17"/>
        <v>0</v>
      </c>
      <c r="N210" s="64"/>
      <c r="O210" s="64">
        <f t="shared" si="18"/>
        <v>43.97</v>
      </c>
      <c r="P210" s="64"/>
      <c r="Q210" s="2"/>
    </row>
    <row r="211" spans="1:17">
      <c r="A211" s="14">
        <v>205</v>
      </c>
      <c r="B211" s="14" t="s">
        <v>1295</v>
      </c>
      <c r="C211" s="14" t="s">
        <v>288</v>
      </c>
      <c r="D211" s="14" t="s">
        <v>331</v>
      </c>
      <c r="E211" s="14" t="s">
        <v>7</v>
      </c>
      <c r="F211" s="21" t="s">
        <v>333</v>
      </c>
      <c r="G211" s="21"/>
      <c r="H211" s="27">
        <v>32.119999999999997</v>
      </c>
      <c r="I211" s="231"/>
      <c r="J211" s="27">
        <f t="shared" si="16"/>
        <v>19.271999999999998</v>
      </c>
      <c r="K211" s="27">
        <f t="shared" si="19"/>
        <v>51.391999999999996</v>
      </c>
      <c r="L211" s="2"/>
      <c r="M211" s="27">
        <f t="shared" si="17"/>
        <v>0</v>
      </c>
      <c r="N211" s="64"/>
      <c r="O211" s="64">
        <f t="shared" si="18"/>
        <v>32.119999999999997</v>
      </c>
      <c r="P211" s="64"/>
      <c r="Q211" s="2"/>
    </row>
    <row r="212" spans="1:17">
      <c r="A212" s="14">
        <v>206</v>
      </c>
      <c r="B212" s="14" t="s">
        <v>1295</v>
      </c>
      <c r="C212" s="14" t="s">
        <v>288</v>
      </c>
      <c r="D212" s="14" t="s">
        <v>331</v>
      </c>
      <c r="E212" s="14" t="s">
        <v>7</v>
      </c>
      <c r="F212" s="21" t="s">
        <v>334</v>
      </c>
      <c r="G212" s="21"/>
      <c r="H212" s="27">
        <v>23.93</v>
      </c>
      <c r="I212" s="231"/>
      <c r="J212" s="27">
        <f t="shared" si="16"/>
        <v>14.357999999999999</v>
      </c>
      <c r="K212" s="27">
        <f t="shared" si="19"/>
        <v>38.287999999999997</v>
      </c>
      <c r="L212" s="2"/>
      <c r="M212" s="27">
        <f t="shared" si="17"/>
        <v>0</v>
      </c>
      <c r="N212" s="64"/>
      <c r="O212" s="64">
        <f t="shared" si="18"/>
        <v>23.93</v>
      </c>
      <c r="P212" s="64"/>
      <c r="Q212" s="2"/>
    </row>
    <row r="213" spans="1:17">
      <c r="A213" s="14">
        <v>207</v>
      </c>
      <c r="B213" s="14" t="s">
        <v>1295</v>
      </c>
      <c r="C213" s="14" t="s">
        <v>288</v>
      </c>
      <c r="D213" s="14" t="s">
        <v>331</v>
      </c>
      <c r="E213" s="14" t="s">
        <v>7</v>
      </c>
      <c r="F213" s="21" t="s">
        <v>335</v>
      </c>
      <c r="G213" s="21"/>
      <c r="H213" s="27">
        <v>14.76</v>
      </c>
      <c r="I213" s="231"/>
      <c r="J213" s="27">
        <f t="shared" si="16"/>
        <v>8.8559999999999999</v>
      </c>
      <c r="K213" s="27">
        <f t="shared" si="19"/>
        <v>23.616</v>
      </c>
      <c r="L213" s="2"/>
      <c r="M213" s="27">
        <f t="shared" si="17"/>
        <v>0</v>
      </c>
      <c r="N213" s="64"/>
      <c r="O213" s="64">
        <f t="shared" si="18"/>
        <v>14.76</v>
      </c>
      <c r="P213" s="64"/>
      <c r="Q213" s="2"/>
    </row>
    <row r="214" spans="1:17">
      <c r="A214" s="14">
        <v>208</v>
      </c>
      <c r="B214" s="14" t="s">
        <v>1295</v>
      </c>
      <c r="C214" s="14" t="s">
        <v>288</v>
      </c>
      <c r="D214" s="14" t="s">
        <v>331</v>
      </c>
      <c r="E214" s="14" t="s">
        <v>7</v>
      </c>
      <c r="F214" s="21" t="s">
        <v>336</v>
      </c>
      <c r="G214" s="21"/>
      <c r="H214" s="27">
        <v>12.27</v>
      </c>
      <c r="I214" s="231"/>
      <c r="J214" s="27">
        <f t="shared" si="16"/>
        <v>7.3619999999999992</v>
      </c>
      <c r="K214" s="27">
        <f t="shared" si="19"/>
        <v>19.631999999999998</v>
      </c>
      <c r="L214" s="2"/>
      <c r="M214" s="27">
        <f t="shared" si="17"/>
        <v>0</v>
      </c>
      <c r="N214" s="64"/>
      <c r="O214" s="64">
        <f t="shared" si="18"/>
        <v>12.27</v>
      </c>
      <c r="P214" s="64"/>
      <c r="Q214" s="2"/>
    </row>
    <row r="215" spans="1:17">
      <c r="A215" s="14">
        <v>209</v>
      </c>
      <c r="B215" s="14" t="s">
        <v>1295</v>
      </c>
      <c r="C215" s="14" t="s">
        <v>288</v>
      </c>
      <c r="D215" s="14" t="s">
        <v>331</v>
      </c>
      <c r="E215" s="14" t="s">
        <v>7</v>
      </c>
      <c r="F215" s="21" t="s">
        <v>337</v>
      </c>
      <c r="G215" s="21"/>
      <c r="H215" s="27">
        <v>11.58</v>
      </c>
      <c r="I215" s="231"/>
      <c r="J215" s="27">
        <f t="shared" si="16"/>
        <v>6.9479999999999995</v>
      </c>
      <c r="K215" s="27">
        <f t="shared" si="19"/>
        <v>18.527999999999999</v>
      </c>
      <c r="L215" s="2"/>
      <c r="M215" s="27">
        <f t="shared" si="17"/>
        <v>0</v>
      </c>
      <c r="N215" s="64"/>
      <c r="O215" s="64">
        <f t="shared" si="18"/>
        <v>11.58</v>
      </c>
      <c r="P215" s="64"/>
      <c r="Q215" s="2"/>
    </row>
    <row r="216" spans="1:17">
      <c r="A216" s="14">
        <v>210</v>
      </c>
      <c r="B216" s="14" t="s">
        <v>1295</v>
      </c>
      <c r="C216" s="14" t="s">
        <v>288</v>
      </c>
      <c r="D216" s="14" t="s">
        <v>331</v>
      </c>
      <c r="E216" s="14" t="s">
        <v>7</v>
      </c>
      <c r="F216" s="21" t="s">
        <v>338</v>
      </c>
      <c r="G216" s="21"/>
      <c r="H216" s="27">
        <v>7.23</v>
      </c>
      <c r="I216" s="231"/>
      <c r="J216" s="27">
        <f t="shared" si="16"/>
        <v>4.3380000000000001</v>
      </c>
      <c r="K216" s="27">
        <f t="shared" si="19"/>
        <v>11.568000000000001</v>
      </c>
      <c r="L216" s="2"/>
      <c r="M216" s="27">
        <f t="shared" si="17"/>
        <v>0</v>
      </c>
      <c r="N216" s="64"/>
      <c r="O216" s="64">
        <f t="shared" si="18"/>
        <v>7.23</v>
      </c>
      <c r="P216" s="64"/>
      <c r="Q216" s="2"/>
    </row>
    <row r="217" spans="1:17">
      <c r="A217" s="14">
        <v>211</v>
      </c>
      <c r="B217" s="14" t="s">
        <v>1295</v>
      </c>
      <c r="C217" s="14" t="s">
        <v>288</v>
      </c>
      <c r="D217" s="14" t="s">
        <v>331</v>
      </c>
      <c r="E217" s="14" t="s">
        <v>7</v>
      </c>
      <c r="F217" s="21"/>
      <c r="G217" s="21"/>
      <c r="H217" s="27"/>
      <c r="I217" s="231"/>
      <c r="J217" s="27">
        <f t="shared" si="16"/>
        <v>0</v>
      </c>
      <c r="K217" s="27"/>
      <c r="L217" s="2"/>
      <c r="M217" s="27">
        <f t="shared" si="17"/>
        <v>0</v>
      </c>
      <c r="N217" s="64"/>
      <c r="O217" s="64">
        <f t="shared" si="18"/>
        <v>0</v>
      </c>
      <c r="P217" s="64"/>
      <c r="Q217" s="2"/>
    </row>
    <row r="218" spans="1:17">
      <c r="A218" s="14">
        <v>212</v>
      </c>
      <c r="B218" s="14" t="s">
        <v>1295</v>
      </c>
      <c r="C218" s="14" t="s">
        <v>288</v>
      </c>
      <c r="D218" s="14" t="s">
        <v>155</v>
      </c>
      <c r="E218" s="14" t="s">
        <v>7</v>
      </c>
      <c r="H218" s="27"/>
      <c r="I218" s="231"/>
      <c r="J218" s="27">
        <f t="shared" si="16"/>
        <v>0</v>
      </c>
      <c r="K218" s="27"/>
      <c r="L218" s="2"/>
      <c r="M218" s="27">
        <f t="shared" si="17"/>
        <v>0</v>
      </c>
      <c r="N218" s="64"/>
      <c r="O218" s="64">
        <f t="shared" si="18"/>
        <v>0</v>
      </c>
      <c r="P218" s="64"/>
      <c r="Q218" s="2"/>
    </row>
    <row r="219" spans="1:17">
      <c r="A219" s="14">
        <v>213</v>
      </c>
      <c r="B219" s="14" t="s">
        <v>1295</v>
      </c>
      <c r="C219" s="14" t="s">
        <v>288</v>
      </c>
      <c r="D219" s="14" t="s">
        <v>155</v>
      </c>
      <c r="E219" s="14" t="s">
        <v>7</v>
      </c>
      <c r="F219" s="21"/>
      <c r="G219" s="21"/>
      <c r="H219" s="27"/>
      <c r="I219" s="231"/>
      <c r="J219" s="27">
        <f t="shared" si="16"/>
        <v>0</v>
      </c>
      <c r="K219" s="27"/>
      <c r="L219" s="35"/>
      <c r="M219" s="27">
        <f t="shared" si="17"/>
        <v>0</v>
      </c>
      <c r="N219" s="64"/>
      <c r="O219" s="64">
        <f t="shared" si="18"/>
        <v>0</v>
      </c>
      <c r="P219" s="64"/>
      <c r="Q219" s="2"/>
    </row>
    <row r="220" spans="1:17">
      <c r="A220" s="14">
        <v>214</v>
      </c>
      <c r="B220" s="14" t="s">
        <v>1295</v>
      </c>
      <c r="C220" s="14" t="s">
        <v>288</v>
      </c>
      <c r="D220" s="14" t="s">
        <v>155</v>
      </c>
      <c r="E220" s="14" t="s">
        <v>7</v>
      </c>
      <c r="F220" s="21" t="s">
        <v>339</v>
      </c>
      <c r="G220" s="21"/>
      <c r="H220" s="27">
        <v>10.37</v>
      </c>
      <c r="I220" s="231"/>
      <c r="J220" s="27">
        <f t="shared" si="16"/>
        <v>6.2219999999999995</v>
      </c>
      <c r="K220" s="27">
        <f>H220+I220+J220</f>
        <v>16.591999999999999</v>
      </c>
      <c r="L220" s="35"/>
      <c r="M220" s="27">
        <f t="shared" si="17"/>
        <v>0</v>
      </c>
      <c r="N220" s="64"/>
      <c r="O220" s="64">
        <f t="shared" si="18"/>
        <v>10.37</v>
      </c>
      <c r="P220" s="64"/>
      <c r="Q220" s="2"/>
    </row>
    <row r="221" spans="1:17">
      <c r="A221" s="14">
        <v>215</v>
      </c>
      <c r="B221" s="14" t="s">
        <v>1295</v>
      </c>
      <c r="C221" s="14" t="s">
        <v>288</v>
      </c>
      <c r="D221" s="14" t="s">
        <v>155</v>
      </c>
      <c r="E221" s="14" t="s">
        <v>7</v>
      </c>
      <c r="F221" s="21" t="s">
        <v>340</v>
      </c>
      <c r="G221" s="21"/>
      <c r="H221" s="27">
        <v>14.38</v>
      </c>
      <c r="I221" s="231"/>
      <c r="J221" s="27">
        <f t="shared" si="16"/>
        <v>8.6280000000000001</v>
      </c>
      <c r="K221" s="27">
        <f>H221+I221+J221</f>
        <v>23.008000000000003</v>
      </c>
      <c r="L221" s="63"/>
      <c r="M221" s="27">
        <f t="shared" si="17"/>
        <v>0</v>
      </c>
      <c r="N221" s="64"/>
      <c r="O221" s="64">
        <f t="shared" si="18"/>
        <v>14.38</v>
      </c>
      <c r="P221" s="64"/>
      <c r="Q221" s="2"/>
    </row>
    <row r="222" spans="1:17">
      <c r="A222" s="14">
        <v>216</v>
      </c>
      <c r="B222" s="14" t="s">
        <v>1295</v>
      </c>
      <c r="C222" s="14" t="s">
        <v>288</v>
      </c>
      <c r="D222" s="14" t="s">
        <v>155</v>
      </c>
      <c r="E222" s="14" t="s">
        <v>7</v>
      </c>
      <c r="F222" s="21" t="s">
        <v>341</v>
      </c>
      <c r="G222" s="21"/>
      <c r="H222" s="27">
        <v>21.5</v>
      </c>
      <c r="I222" s="231"/>
      <c r="J222" s="27">
        <f t="shared" si="16"/>
        <v>12.9</v>
      </c>
      <c r="K222" s="27">
        <f>H222+I222+J222</f>
        <v>34.4</v>
      </c>
      <c r="L222" s="2"/>
      <c r="M222" s="27">
        <f t="shared" si="17"/>
        <v>0</v>
      </c>
      <c r="N222" s="64"/>
      <c r="O222" s="64">
        <f t="shared" si="18"/>
        <v>21.5</v>
      </c>
      <c r="P222" s="64"/>
      <c r="Q222" s="2"/>
    </row>
    <row r="223" spans="1:17">
      <c r="A223" s="14">
        <v>217</v>
      </c>
      <c r="B223" s="14" t="s">
        <v>1295</v>
      </c>
      <c r="C223" s="14" t="s">
        <v>288</v>
      </c>
      <c r="D223" s="14" t="s">
        <v>155</v>
      </c>
      <c r="E223" s="14" t="s">
        <v>7</v>
      </c>
      <c r="F223" s="21" t="s">
        <v>342</v>
      </c>
      <c r="G223" s="21"/>
      <c r="H223" s="27">
        <v>29.41</v>
      </c>
      <c r="I223" s="231"/>
      <c r="J223" s="27">
        <f t="shared" si="16"/>
        <v>17.646000000000001</v>
      </c>
      <c r="K223" s="27">
        <f>H223+I223+J223</f>
        <v>47.055999999999997</v>
      </c>
      <c r="L223" s="2"/>
      <c r="M223" s="27">
        <f t="shared" si="17"/>
        <v>0</v>
      </c>
      <c r="N223" s="64"/>
      <c r="O223" s="64">
        <f t="shared" si="18"/>
        <v>29.41</v>
      </c>
      <c r="P223" s="64"/>
      <c r="Q223" s="2"/>
    </row>
    <row r="224" spans="1:17">
      <c r="A224" s="14">
        <v>218</v>
      </c>
      <c r="B224" s="14" t="s">
        <v>1295</v>
      </c>
      <c r="C224" s="14" t="s">
        <v>288</v>
      </c>
      <c r="D224" s="14" t="s">
        <v>155</v>
      </c>
      <c r="E224" s="14" t="s">
        <v>7</v>
      </c>
      <c r="F224" s="21"/>
      <c r="G224" s="21"/>
      <c r="H224" s="27"/>
      <c r="I224" s="231"/>
      <c r="J224" s="27">
        <f t="shared" si="16"/>
        <v>0</v>
      </c>
      <c r="K224" s="27"/>
      <c r="L224" s="2"/>
      <c r="M224" s="27">
        <f t="shared" si="17"/>
        <v>0</v>
      </c>
      <c r="N224" s="21"/>
      <c r="O224" s="64">
        <f t="shared" si="18"/>
        <v>0</v>
      </c>
      <c r="P224" s="21"/>
      <c r="Q224" s="2"/>
    </row>
    <row r="225" spans="1:17">
      <c r="A225" s="14">
        <v>219</v>
      </c>
      <c r="B225" s="14" t="s">
        <v>1295</v>
      </c>
      <c r="C225" s="14" t="s">
        <v>288</v>
      </c>
      <c r="D225" s="14" t="s">
        <v>343</v>
      </c>
      <c r="E225" s="14" t="s">
        <v>7</v>
      </c>
      <c r="F225" s="2"/>
      <c r="G225" s="2"/>
      <c r="H225" s="2"/>
      <c r="I225" s="243"/>
      <c r="J225" s="27">
        <f t="shared" si="16"/>
        <v>0</v>
      </c>
      <c r="K225" s="2"/>
      <c r="L225" s="2"/>
      <c r="M225" s="27">
        <f t="shared" si="17"/>
        <v>0</v>
      </c>
      <c r="N225" s="64"/>
      <c r="O225" s="64">
        <f t="shared" si="18"/>
        <v>0</v>
      </c>
      <c r="P225" s="64"/>
      <c r="Q225" s="2"/>
    </row>
    <row r="226" spans="1:17">
      <c r="A226" s="14">
        <v>220</v>
      </c>
      <c r="B226" s="14" t="s">
        <v>1295</v>
      </c>
      <c r="C226" s="14" t="s">
        <v>288</v>
      </c>
      <c r="D226" s="14" t="s">
        <v>343</v>
      </c>
      <c r="E226" s="14" t="s">
        <v>7</v>
      </c>
      <c r="F226" s="21" t="s">
        <v>344</v>
      </c>
      <c r="G226" s="21"/>
      <c r="H226" s="27">
        <v>22.95</v>
      </c>
      <c r="I226" s="231"/>
      <c r="J226" s="27">
        <f t="shared" si="16"/>
        <v>13.77</v>
      </c>
      <c r="K226" s="27">
        <f t="shared" ref="K226:K234" si="20">H226+I226+J226</f>
        <v>36.72</v>
      </c>
      <c r="L226" s="35"/>
      <c r="M226" s="27">
        <f t="shared" si="17"/>
        <v>0</v>
      </c>
      <c r="N226" s="64"/>
      <c r="O226" s="64">
        <f t="shared" si="18"/>
        <v>22.95</v>
      </c>
      <c r="P226" s="66"/>
      <c r="Q226" s="2"/>
    </row>
    <row r="227" spans="1:17">
      <c r="A227" s="14">
        <v>221</v>
      </c>
      <c r="B227" s="14" t="s">
        <v>1295</v>
      </c>
      <c r="C227" s="14" t="s">
        <v>288</v>
      </c>
      <c r="D227" s="14" t="s">
        <v>343</v>
      </c>
      <c r="E227" s="14" t="s">
        <v>7</v>
      </c>
      <c r="F227" s="21" t="s">
        <v>345</v>
      </c>
      <c r="G227" s="21"/>
      <c r="H227" s="27">
        <v>43.65</v>
      </c>
      <c r="I227" s="231"/>
      <c r="J227" s="27">
        <f t="shared" si="16"/>
        <v>26.189999999999998</v>
      </c>
      <c r="K227" s="27">
        <f t="shared" si="20"/>
        <v>69.84</v>
      </c>
      <c r="L227" s="70"/>
      <c r="M227" s="27">
        <f t="shared" si="17"/>
        <v>0</v>
      </c>
      <c r="N227" s="64"/>
      <c r="O227" s="64">
        <f t="shared" si="18"/>
        <v>43.65</v>
      </c>
      <c r="P227" s="64"/>
      <c r="Q227" s="2"/>
    </row>
    <row r="228" spans="1:17">
      <c r="A228" s="14">
        <v>222</v>
      </c>
      <c r="B228" s="14" t="s">
        <v>1295</v>
      </c>
      <c r="C228" s="14" t="s">
        <v>288</v>
      </c>
      <c r="D228" s="14" t="s">
        <v>343</v>
      </c>
      <c r="E228" s="14" t="s">
        <v>7</v>
      </c>
      <c r="F228" s="21" t="s">
        <v>346</v>
      </c>
      <c r="G228" s="21"/>
      <c r="H228" s="27">
        <f>70.08+7.01</f>
        <v>77.09</v>
      </c>
      <c r="I228" s="231"/>
      <c r="J228" s="27">
        <f t="shared" si="16"/>
        <v>46.253999999999998</v>
      </c>
      <c r="K228" s="27">
        <f t="shared" si="20"/>
        <v>123.34399999999999</v>
      </c>
      <c r="L228" s="35"/>
      <c r="M228" s="27">
        <f t="shared" si="17"/>
        <v>0</v>
      </c>
      <c r="N228" s="64"/>
      <c r="O228" s="64">
        <f t="shared" si="18"/>
        <v>77.09</v>
      </c>
      <c r="P228" s="64"/>
      <c r="Q228" s="2"/>
    </row>
    <row r="229" spans="1:17">
      <c r="A229" s="14">
        <v>223</v>
      </c>
      <c r="B229" s="14" t="s">
        <v>1295</v>
      </c>
      <c r="C229" s="14" t="s">
        <v>288</v>
      </c>
      <c r="D229" s="14" t="s">
        <v>343</v>
      </c>
      <c r="E229" s="14" t="s">
        <v>7</v>
      </c>
      <c r="F229" s="21" t="s">
        <v>347</v>
      </c>
      <c r="G229" s="21"/>
      <c r="H229" s="27">
        <f>78.27+7.83</f>
        <v>86.1</v>
      </c>
      <c r="I229" s="231"/>
      <c r="J229" s="27">
        <f t="shared" si="16"/>
        <v>51.66</v>
      </c>
      <c r="K229" s="27">
        <f t="shared" si="20"/>
        <v>137.76</v>
      </c>
      <c r="L229" s="35"/>
      <c r="M229" s="27">
        <f t="shared" si="17"/>
        <v>0</v>
      </c>
      <c r="N229" s="64"/>
      <c r="O229" s="64">
        <f t="shared" si="18"/>
        <v>86.1</v>
      </c>
      <c r="P229" s="64"/>
      <c r="Q229" s="2"/>
    </row>
    <row r="230" spans="1:17">
      <c r="A230" s="14">
        <v>224</v>
      </c>
      <c r="B230" s="14" t="s">
        <v>1295</v>
      </c>
      <c r="C230" s="14" t="s">
        <v>288</v>
      </c>
      <c r="D230" s="14" t="s">
        <v>111</v>
      </c>
      <c r="E230" s="14" t="s">
        <v>7</v>
      </c>
      <c r="F230" s="21" t="s">
        <v>348</v>
      </c>
      <c r="G230" s="21"/>
      <c r="H230" s="27">
        <v>2.73</v>
      </c>
      <c r="I230" s="231"/>
      <c r="J230" s="27">
        <f t="shared" si="16"/>
        <v>1.6379999999999999</v>
      </c>
      <c r="K230" s="27">
        <f t="shared" si="20"/>
        <v>4.3680000000000003</v>
      </c>
      <c r="L230" s="35"/>
      <c r="M230" s="27">
        <f t="shared" si="17"/>
        <v>0</v>
      </c>
      <c r="N230" s="64"/>
      <c r="O230" s="64">
        <f t="shared" si="18"/>
        <v>2.73</v>
      </c>
      <c r="P230" s="64"/>
      <c r="Q230" s="2"/>
    </row>
    <row r="231" spans="1:17">
      <c r="A231" s="14">
        <v>225</v>
      </c>
      <c r="B231" s="14" t="s">
        <v>1295</v>
      </c>
      <c r="C231" s="14" t="s">
        <v>288</v>
      </c>
      <c r="D231" s="14" t="s">
        <v>111</v>
      </c>
      <c r="E231" s="14" t="s">
        <v>7</v>
      </c>
      <c r="F231" s="21" t="s">
        <v>349</v>
      </c>
      <c r="G231" s="21"/>
      <c r="H231" s="27">
        <v>3.91</v>
      </c>
      <c r="I231" s="231"/>
      <c r="J231" s="27">
        <f t="shared" si="16"/>
        <v>2.3460000000000001</v>
      </c>
      <c r="K231" s="27">
        <f t="shared" si="20"/>
        <v>6.2560000000000002</v>
      </c>
      <c r="L231" s="63"/>
      <c r="M231" s="21"/>
      <c r="N231" s="64"/>
      <c r="O231" s="64"/>
      <c r="P231" s="64"/>
      <c r="Q231" s="2"/>
    </row>
    <row r="232" spans="1:17">
      <c r="A232" s="14">
        <v>226</v>
      </c>
      <c r="B232" s="14" t="s">
        <v>1295</v>
      </c>
      <c r="C232" s="14" t="s">
        <v>66</v>
      </c>
      <c r="D232" s="14" t="s">
        <v>114</v>
      </c>
      <c r="E232" s="14" t="s">
        <v>7</v>
      </c>
      <c r="F232" s="21" t="s">
        <v>350</v>
      </c>
      <c r="G232" s="21"/>
      <c r="H232" s="27">
        <v>4.2699999999999996</v>
      </c>
      <c r="I232" s="231"/>
      <c r="J232" s="27">
        <f t="shared" si="16"/>
        <v>2.5619999999999998</v>
      </c>
      <c r="K232" s="27">
        <f t="shared" si="20"/>
        <v>6.831999999999999</v>
      </c>
      <c r="L232" s="35"/>
      <c r="M232" s="21"/>
      <c r="N232" s="64"/>
      <c r="O232" s="64"/>
      <c r="P232" s="64"/>
      <c r="Q232" s="2"/>
    </row>
    <row r="233" spans="1:17">
      <c r="A233" s="14">
        <v>227</v>
      </c>
      <c r="B233" s="14" t="s">
        <v>1295</v>
      </c>
      <c r="C233" s="14" t="s">
        <v>66</v>
      </c>
      <c r="D233" s="14" t="s">
        <v>114</v>
      </c>
      <c r="E233" s="14" t="s">
        <v>7</v>
      </c>
      <c r="F233" s="21" t="s">
        <v>351</v>
      </c>
      <c r="G233" s="21"/>
      <c r="H233" s="27">
        <v>6.2</v>
      </c>
      <c r="I233" s="231"/>
      <c r="J233" s="27">
        <f t="shared" si="16"/>
        <v>3.7199999999999998</v>
      </c>
      <c r="K233" s="27">
        <f t="shared" si="20"/>
        <v>9.92</v>
      </c>
      <c r="L233" s="73"/>
      <c r="M233" s="21"/>
      <c r="N233" s="21"/>
      <c r="O233" s="21"/>
      <c r="P233" s="21"/>
      <c r="Q233" s="2"/>
    </row>
    <row r="234" spans="1:17">
      <c r="A234" s="14">
        <v>228</v>
      </c>
      <c r="B234" s="14" t="s">
        <v>1295</v>
      </c>
      <c r="C234" s="14" t="s">
        <v>66</v>
      </c>
      <c r="D234" s="14" t="s">
        <v>114</v>
      </c>
      <c r="E234" s="14" t="s">
        <v>7</v>
      </c>
      <c r="F234" s="21" t="s">
        <v>352</v>
      </c>
      <c r="G234" s="21"/>
      <c r="H234" s="27">
        <v>0.6</v>
      </c>
      <c r="I234" s="231"/>
      <c r="J234" s="27">
        <f t="shared" si="16"/>
        <v>0.36</v>
      </c>
      <c r="K234" s="27">
        <f t="shared" si="20"/>
        <v>0.96</v>
      </c>
      <c r="L234" s="63"/>
      <c r="M234" s="21"/>
      <c r="N234" s="21"/>
      <c r="O234" s="21"/>
      <c r="P234" s="21"/>
      <c r="Q234" s="2"/>
    </row>
    <row r="235" spans="1:17">
      <c r="A235" s="14">
        <v>229</v>
      </c>
      <c r="B235" s="14" t="s">
        <v>1295</v>
      </c>
      <c r="C235" s="14" t="s">
        <v>353</v>
      </c>
      <c r="D235" s="14" t="s">
        <v>354</v>
      </c>
      <c r="E235" s="14" t="s">
        <v>7</v>
      </c>
      <c r="H235" s="27"/>
      <c r="I235" s="231"/>
      <c r="J235" s="27">
        <f t="shared" si="16"/>
        <v>0</v>
      </c>
      <c r="K235" s="27"/>
      <c r="L235" s="35"/>
      <c r="M235" s="21"/>
      <c r="N235" s="21"/>
      <c r="O235" s="21"/>
      <c r="P235" s="21"/>
      <c r="Q235" s="2"/>
    </row>
    <row r="236" spans="1:17">
      <c r="A236" s="14">
        <v>230</v>
      </c>
      <c r="B236" s="14" t="s">
        <v>1295</v>
      </c>
      <c r="C236" s="14" t="s">
        <v>353</v>
      </c>
      <c r="D236" s="14" t="s">
        <v>354</v>
      </c>
      <c r="E236" s="14" t="s">
        <v>7</v>
      </c>
      <c r="F236" s="21"/>
      <c r="G236" s="21"/>
      <c r="H236" s="27"/>
      <c r="I236" s="231"/>
      <c r="J236" s="27">
        <f t="shared" si="16"/>
        <v>0</v>
      </c>
      <c r="K236" s="27"/>
      <c r="L236" s="2"/>
      <c r="M236" s="21"/>
      <c r="N236" s="21"/>
      <c r="O236" s="21"/>
      <c r="P236" s="21"/>
      <c r="Q236" s="2"/>
    </row>
    <row r="237" spans="1:17">
      <c r="A237" s="14">
        <v>231</v>
      </c>
      <c r="B237" s="14" t="s">
        <v>1295</v>
      </c>
      <c r="C237" s="14" t="s">
        <v>353</v>
      </c>
      <c r="D237" s="14" t="s">
        <v>354</v>
      </c>
      <c r="E237" s="14" t="s">
        <v>7</v>
      </c>
      <c r="F237" s="21" t="s">
        <v>355</v>
      </c>
      <c r="G237" s="21"/>
      <c r="H237" s="27">
        <v>0</v>
      </c>
      <c r="I237" s="231"/>
      <c r="J237" s="27">
        <f t="shared" si="16"/>
        <v>0</v>
      </c>
      <c r="K237" s="27">
        <f t="shared" ref="K237:K248" si="21">H237+I237+J237</f>
        <v>0</v>
      </c>
      <c r="L237" s="2"/>
      <c r="M237" s="21"/>
      <c r="N237" s="21"/>
      <c r="O237" s="21"/>
      <c r="P237" s="21"/>
      <c r="Q237" s="2"/>
    </row>
    <row r="238" spans="1:17">
      <c r="A238" s="14">
        <v>232</v>
      </c>
      <c r="B238" s="14" t="s">
        <v>1295</v>
      </c>
      <c r="C238" s="14" t="s">
        <v>353</v>
      </c>
      <c r="D238" s="14" t="s">
        <v>354</v>
      </c>
      <c r="E238" s="14" t="s">
        <v>7</v>
      </c>
      <c r="F238" s="21" t="s">
        <v>356</v>
      </c>
      <c r="G238" s="21"/>
      <c r="H238" s="27">
        <v>0</v>
      </c>
      <c r="I238" s="231"/>
      <c r="J238" s="27">
        <f t="shared" si="16"/>
        <v>0</v>
      </c>
      <c r="K238" s="27">
        <f t="shared" si="21"/>
        <v>0</v>
      </c>
      <c r="L238" s="31"/>
      <c r="N238" s="21"/>
      <c r="O238" s="21"/>
      <c r="P238" s="21"/>
      <c r="Q238" s="2"/>
    </row>
    <row r="239" spans="1:17">
      <c r="A239" s="14">
        <v>233</v>
      </c>
      <c r="B239" s="14" t="s">
        <v>1295</v>
      </c>
      <c r="C239" s="14" t="s">
        <v>353</v>
      </c>
      <c r="D239" s="14" t="s">
        <v>354</v>
      </c>
      <c r="E239" s="14" t="s">
        <v>7</v>
      </c>
      <c r="F239" s="21" t="s">
        <v>357</v>
      </c>
      <c r="G239" s="21"/>
      <c r="H239" s="27">
        <v>0</v>
      </c>
      <c r="I239" s="231"/>
      <c r="J239" s="27">
        <f t="shared" si="16"/>
        <v>0</v>
      </c>
      <c r="K239" s="27">
        <f t="shared" si="21"/>
        <v>0</v>
      </c>
      <c r="L239" s="31"/>
      <c r="N239" s="21"/>
      <c r="O239" s="21"/>
      <c r="P239" s="21"/>
      <c r="Q239" s="2"/>
    </row>
    <row r="240" spans="1:17">
      <c r="A240" s="14">
        <v>234</v>
      </c>
      <c r="B240" s="14" t="s">
        <v>1295</v>
      </c>
      <c r="C240" s="14" t="s">
        <v>353</v>
      </c>
      <c r="D240" s="14" t="s">
        <v>358</v>
      </c>
      <c r="E240" s="14" t="s">
        <v>7</v>
      </c>
      <c r="F240" s="21" t="s">
        <v>359</v>
      </c>
      <c r="G240" s="21"/>
      <c r="H240" s="27">
        <v>0</v>
      </c>
      <c r="I240" s="231"/>
      <c r="J240" s="27">
        <f t="shared" si="16"/>
        <v>0</v>
      </c>
      <c r="K240" s="27">
        <f t="shared" si="21"/>
        <v>0</v>
      </c>
      <c r="L240" s="31"/>
      <c r="N240" s="21"/>
      <c r="O240" s="21"/>
      <c r="P240" s="21"/>
      <c r="Q240" s="2"/>
    </row>
    <row r="241" spans="1:17">
      <c r="A241" s="14">
        <v>235</v>
      </c>
      <c r="B241" s="14" t="s">
        <v>1295</v>
      </c>
      <c r="C241" s="14" t="s">
        <v>353</v>
      </c>
      <c r="D241" s="14" t="s">
        <v>358</v>
      </c>
      <c r="E241" s="14" t="s">
        <v>7</v>
      </c>
      <c r="F241" s="21" t="s">
        <v>360</v>
      </c>
      <c r="G241" s="21"/>
      <c r="H241" s="27">
        <v>0</v>
      </c>
      <c r="I241" s="231"/>
      <c r="J241" s="27">
        <f t="shared" si="16"/>
        <v>0</v>
      </c>
      <c r="K241" s="27">
        <f t="shared" si="21"/>
        <v>0</v>
      </c>
      <c r="L241" s="31"/>
      <c r="N241" s="64"/>
      <c r="O241" s="64"/>
      <c r="P241" s="64"/>
      <c r="Q241" s="2"/>
    </row>
    <row r="242" spans="1:17">
      <c r="A242" s="14">
        <v>236</v>
      </c>
      <c r="B242" s="14" t="s">
        <v>1295</v>
      </c>
      <c r="C242" s="14" t="s">
        <v>353</v>
      </c>
      <c r="D242" s="14" t="s">
        <v>358</v>
      </c>
      <c r="E242" s="14" t="s">
        <v>7</v>
      </c>
      <c r="F242" s="21" t="s">
        <v>361</v>
      </c>
      <c r="G242" s="21"/>
      <c r="H242" s="27">
        <v>0</v>
      </c>
      <c r="I242" s="231"/>
      <c r="J242" s="27">
        <f t="shared" si="16"/>
        <v>0</v>
      </c>
      <c r="K242" s="27">
        <f t="shared" si="21"/>
        <v>0</v>
      </c>
      <c r="L242" s="31"/>
      <c r="N242" s="64"/>
      <c r="O242" s="64"/>
      <c r="P242" s="64"/>
      <c r="Q242" s="2"/>
    </row>
    <row r="243" spans="1:17">
      <c r="A243" s="14">
        <v>237</v>
      </c>
      <c r="B243" s="14" t="s">
        <v>1295</v>
      </c>
      <c r="C243" s="14" t="s">
        <v>69</v>
      </c>
      <c r="D243" s="14" t="s">
        <v>362</v>
      </c>
      <c r="E243" s="14" t="s">
        <v>7</v>
      </c>
      <c r="H243" s="27"/>
      <c r="I243" s="231"/>
      <c r="J243" s="27">
        <f t="shared" si="16"/>
        <v>0</v>
      </c>
      <c r="K243" s="27">
        <f t="shared" si="21"/>
        <v>0</v>
      </c>
      <c r="L243" s="31"/>
      <c r="N243" s="64"/>
      <c r="O243" s="64"/>
      <c r="P243" s="64"/>
      <c r="Q243" s="2"/>
    </row>
    <row r="244" spans="1:17">
      <c r="A244" s="14">
        <v>238</v>
      </c>
      <c r="B244" s="14" t="s">
        <v>1295</v>
      </c>
      <c r="C244" s="14" t="s">
        <v>69</v>
      </c>
      <c r="D244" s="14" t="s">
        <v>362</v>
      </c>
      <c r="E244" s="14" t="s">
        <v>7</v>
      </c>
      <c r="F244" s="21" t="s">
        <v>363</v>
      </c>
      <c r="G244" s="21"/>
      <c r="H244" s="27">
        <v>9</v>
      </c>
      <c r="I244" s="231"/>
      <c r="J244" s="27">
        <f t="shared" si="16"/>
        <v>5.3999999999999995</v>
      </c>
      <c r="K244" s="27">
        <f t="shared" si="21"/>
        <v>14.399999999999999</v>
      </c>
      <c r="L244" s="2"/>
      <c r="M244" s="21"/>
      <c r="N244" s="64"/>
      <c r="O244" s="64"/>
      <c r="P244" s="64"/>
      <c r="Q244" s="2"/>
    </row>
    <row r="245" spans="1:17">
      <c r="A245" s="14">
        <v>239</v>
      </c>
      <c r="B245" s="14" t="s">
        <v>1295</v>
      </c>
      <c r="C245" s="14" t="s">
        <v>69</v>
      </c>
      <c r="D245" s="14" t="s">
        <v>362</v>
      </c>
      <c r="E245" s="14" t="s">
        <v>7</v>
      </c>
      <c r="F245" s="74" t="s">
        <v>364</v>
      </c>
      <c r="G245" s="74"/>
      <c r="H245" s="27">
        <v>4.25</v>
      </c>
      <c r="I245" s="231"/>
      <c r="J245" s="27">
        <f t="shared" si="16"/>
        <v>2.5499999999999998</v>
      </c>
      <c r="K245" s="27">
        <f t="shared" si="21"/>
        <v>6.8</v>
      </c>
      <c r="L245" s="7"/>
      <c r="M245" s="21"/>
      <c r="N245" s="64"/>
      <c r="O245" s="64"/>
      <c r="P245" s="64"/>
      <c r="Q245" s="2"/>
    </row>
    <row r="246" spans="1:17">
      <c r="A246" s="14">
        <v>240</v>
      </c>
      <c r="B246" s="14" t="s">
        <v>1295</v>
      </c>
      <c r="C246" s="14" t="s">
        <v>69</v>
      </c>
      <c r="D246" s="14" t="s">
        <v>365</v>
      </c>
      <c r="E246" s="14" t="s">
        <v>7</v>
      </c>
      <c r="H246" s="27"/>
      <c r="I246" s="231"/>
      <c r="J246" s="27">
        <f t="shared" si="16"/>
        <v>0</v>
      </c>
      <c r="K246" s="27">
        <f t="shared" si="21"/>
        <v>0</v>
      </c>
      <c r="L246" s="35"/>
      <c r="M246" s="21"/>
      <c r="N246" s="64"/>
      <c r="O246" s="64"/>
      <c r="P246" s="64"/>
      <c r="Q246" s="2"/>
    </row>
    <row r="247" spans="1:17">
      <c r="A247" s="14">
        <v>241</v>
      </c>
      <c r="B247" s="14" t="s">
        <v>1295</v>
      </c>
      <c r="C247" s="14" t="s">
        <v>69</v>
      </c>
      <c r="D247" s="14" t="s">
        <v>365</v>
      </c>
      <c r="E247" s="14" t="s">
        <v>7</v>
      </c>
      <c r="F247" s="21" t="s">
        <v>366</v>
      </c>
      <c r="G247" s="21"/>
      <c r="H247" s="27">
        <v>1.37</v>
      </c>
      <c r="I247" s="231"/>
      <c r="J247" s="27">
        <f t="shared" si="16"/>
        <v>0.82200000000000006</v>
      </c>
      <c r="K247" s="27">
        <f t="shared" si="21"/>
        <v>2.1920000000000002</v>
      </c>
      <c r="L247" s="2"/>
      <c r="M247" s="21"/>
      <c r="N247" s="64"/>
      <c r="O247" s="64"/>
      <c r="P247" s="64"/>
      <c r="Q247" s="2"/>
    </row>
    <row r="248" spans="1:17">
      <c r="A248" s="14">
        <v>242</v>
      </c>
      <c r="B248" s="14" t="s">
        <v>1295</v>
      </c>
      <c r="C248" s="14" t="s">
        <v>69</v>
      </c>
      <c r="D248" s="14" t="s">
        <v>365</v>
      </c>
      <c r="E248" s="14" t="s">
        <v>7</v>
      </c>
      <c r="F248" s="21"/>
      <c r="G248" s="21"/>
      <c r="H248" s="27"/>
      <c r="I248" s="231"/>
      <c r="J248" s="27">
        <f t="shared" si="16"/>
        <v>0</v>
      </c>
      <c r="K248" s="27">
        <f t="shared" si="21"/>
        <v>0</v>
      </c>
      <c r="L248" s="63"/>
      <c r="M248" s="21"/>
      <c r="N248" s="64"/>
      <c r="O248" s="64"/>
      <c r="P248" s="64"/>
      <c r="Q248" s="2"/>
    </row>
    <row r="249" spans="1:17">
      <c r="A249" s="14">
        <v>243</v>
      </c>
      <c r="B249" s="14" t="s">
        <v>1295</v>
      </c>
      <c r="C249" s="14" t="s">
        <v>69</v>
      </c>
      <c r="D249" s="14" t="s">
        <v>367</v>
      </c>
      <c r="E249" s="14" t="s">
        <v>7</v>
      </c>
      <c r="H249" s="27"/>
      <c r="I249" s="239"/>
      <c r="J249" s="27">
        <f t="shared" si="16"/>
        <v>0</v>
      </c>
      <c r="K249" s="27"/>
      <c r="L249" s="2"/>
      <c r="M249" s="21"/>
      <c r="N249" s="64"/>
      <c r="O249" s="64"/>
      <c r="P249" s="64"/>
      <c r="Q249" s="2"/>
    </row>
    <row r="250" spans="1:17">
      <c r="A250" s="14">
        <v>244</v>
      </c>
      <c r="B250" s="14" t="s">
        <v>1295</v>
      </c>
      <c r="C250" s="14" t="s">
        <v>69</v>
      </c>
      <c r="D250" s="14" t="s">
        <v>367</v>
      </c>
      <c r="E250" s="14" t="s">
        <v>7</v>
      </c>
      <c r="F250" s="21" t="s">
        <v>70</v>
      </c>
      <c r="G250" s="21"/>
      <c r="H250" s="27">
        <v>90</v>
      </c>
      <c r="I250" s="231"/>
      <c r="J250" s="27">
        <f t="shared" si="16"/>
        <v>54</v>
      </c>
      <c r="K250" s="27">
        <f t="shared" ref="K250:K261" si="22">H250+I250+J250</f>
        <v>144</v>
      </c>
      <c r="L250" s="2"/>
      <c r="M250" s="21"/>
      <c r="N250" s="64"/>
      <c r="O250" s="64"/>
      <c r="P250" s="64"/>
      <c r="Q250" s="2"/>
    </row>
    <row r="251" spans="1:17">
      <c r="A251" s="14">
        <v>245</v>
      </c>
      <c r="B251" s="14" t="s">
        <v>1295</v>
      </c>
      <c r="C251" s="14" t="s">
        <v>69</v>
      </c>
      <c r="D251" s="14" t="s">
        <v>367</v>
      </c>
      <c r="E251" s="14" t="s">
        <v>7</v>
      </c>
      <c r="F251" s="21" t="s">
        <v>71</v>
      </c>
      <c r="G251" s="21"/>
      <c r="H251" s="27">
        <v>55</v>
      </c>
      <c r="I251" s="231"/>
      <c r="J251" s="27">
        <f t="shared" si="16"/>
        <v>33</v>
      </c>
      <c r="K251" s="27">
        <f t="shared" si="22"/>
        <v>88</v>
      </c>
      <c r="L251" s="2"/>
      <c r="M251" s="21"/>
      <c r="N251" s="64"/>
      <c r="O251" s="64"/>
      <c r="P251" s="64"/>
      <c r="Q251" s="2"/>
    </row>
    <row r="252" spans="1:17">
      <c r="A252" s="14">
        <v>246</v>
      </c>
      <c r="B252" s="14" t="s">
        <v>1295</v>
      </c>
      <c r="C252" s="14" t="s">
        <v>69</v>
      </c>
      <c r="D252" s="14" t="s">
        <v>367</v>
      </c>
      <c r="E252" s="14" t="s">
        <v>7</v>
      </c>
      <c r="F252" s="21" t="s">
        <v>72</v>
      </c>
      <c r="G252" s="21"/>
      <c r="H252" s="27">
        <v>95</v>
      </c>
      <c r="I252" s="231"/>
      <c r="J252" s="27">
        <f t="shared" si="16"/>
        <v>57</v>
      </c>
      <c r="K252" s="27">
        <f t="shared" si="22"/>
        <v>152</v>
      </c>
      <c r="L252" s="2"/>
      <c r="M252" s="21"/>
      <c r="N252" s="64"/>
      <c r="O252" s="64"/>
      <c r="P252" s="64"/>
      <c r="Q252" s="2"/>
    </row>
    <row r="253" spans="1:17">
      <c r="A253" s="14">
        <v>247</v>
      </c>
      <c r="B253" s="14" t="s">
        <v>1295</v>
      </c>
      <c r="C253" s="14" t="s">
        <v>69</v>
      </c>
      <c r="D253" s="14" t="s">
        <v>367</v>
      </c>
      <c r="E253" s="14" t="s">
        <v>7</v>
      </c>
      <c r="F253" s="21"/>
      <c r="G253" s="21"/>
      <c r="H253" s="27"/>
      <c r="I253" s="231"/>
      <c r="J253" s="27">
        <f t="shared" si="16"/>
        <v>0</v>
      </c>
      <c r="K253" s="27">
        <f t="shared" si="22"/>
        <v>0</v>
      </c>
      <c r="L253" s="2"/>
      <c r="M253" s="21"/>
      <c r="N253" s="64"/>
      <c r="O253" s="64"/>
      <c r="P253" s="64"/>
      <c r="Q253" s="2"/>
    </row>
    <row r="254" spans="1:17">
      <c r="A254" s="14">
        <v>248</v>
      </c>
      <c r="B254" s="14" t="s">
        <v>1295</v>
      </c>
      <c r="C254" s="14" t="s">
        <v>69</v>
      </c>
      <c r="D254" s="14" t="s">
        <v>367</v>
      </c>
      <c r="E254" s="14" t="s">
        <v>7</v>
      </c>
      <c r="F254" s="21"/>
      <c r="G254" s="21"/>
      <c r="H254" s="27"/>
      <c r="I254" s="231"/>
      <c r="J254" s="27">
        <f t="shared" si="16"/>
        <v>0</v>
      </c>
      <c r="K254" s="27">
        <f t="shared" si="22"/>
        <v>0</v>
      </c>
      <c r="L254" s="2"/>
      <c r="M254" s="21"/>
      <c r="N254" s="64"/>
      <c r="O254" s="64"/>
      <c r="P254" s="64"/>
      <c r="Q254" s="2"/>
    </row>
    <row r="255" spans="1:17">
      <c r="A255" s="14">
        <v>249</v>
      </c>
      <c r="B255" s="14" t="s">
        <v>1295</v>
      </c>
      <c r="C255" s="14" t="s">
        <v>69</v>
      </c>
      <c r="D255" s="14" t="s">
        <v>367</v>
      </c>
      <c r="E255" s="14" t="s">
        <v>7</v>
      </c>
      <c r="F255" s="21" t="s">
        <v>74</v>
      </c>
      <c r="G255" s="21"/>
      <c r="H255" s="27">
        <v>50</v>
      </c>
      <c r="I255" s="231"/>
      <c r="J255" s="27">
        <f t="shared" si="16"/>
        <v>30</v>
      </c>
      <c r="K255" s="27">
        <f t="shared" si="22"/>
        <v>80</v>
      </c>
      <c r="L255" s="2"/>
      <c r="M255" s="21"/>
      <c r="N255" s="64"/>
      <c r="O255" s="64"/>
      <c r="P255" s="64"/>
      <c r="Q255" s="2"/>
    </row>
    <row r="256" spans="1:17">
      <c r="A256" s="14">
        <v>250</v>
      </c>
      <c r="B256" s="14" t="s">
        <v>1295</v>
      </c>
      <c r="C256" s="14" t="s">
        <v>69</v>
      </c>
      <c r="D256" s="14" t="s">
        <v>367</v>
      </c>
      <c r="E256" s="14" t="s">
        <v>7</v>
      </c>
      <c r="F256" s="21" t="s">
        <v>73</v>
      </c>
      <c r="G256" s="21"/>
      <c r="H256" s="27">
        <v>50</v>
      </c>
      <c r="I256" s="231"/>
      <c r="J256" s="27">
        <f t="shared" si="16"/>
        <v>30</v>
      </c>
      <c r="K256" s="27">
        <f t="shared" si="22"/>
        <v>80</v>
      </c>
      <c r="L256" s="2"/>
      <c r="M256" s="21"/>
      <c r="N256" s="64"/>
      <c r="O256" s="64"/>
      <c r="P256" s="64"/>
      <c r="Q256" s="2"/>
    </row>
    <row r="257" spans="1:17">
      <c r="A257" s="14">
        <v>251</v>
      </c>
      <c r="B257" s="14" t="s">
        <v>1295</v>
      </c>
      <c r="C257" s="14" t="s">
        <v>69</v>
      </c>
      <c r="D257" s="14" t="s">
        <v>367</v>
      </c>
      <c r="E257" s="14" t="s">
        <v>7</v>
      </c>
      <c r="F257" s="21"/>
      <c r="G257" s="21"/>
      <c r="H257" s="27"/>
      <c r="I257" s="231"/>
      <c r="J257" s="27">
        <f t="shared" si="16"/>
        <v>0</v>
      </c>
      <c r="K257" s="27">
        <f t="shared" si="22"/>
        <v>0</v>
      </c>
      <c r="L257" s="2"/>
      <c r="M257" s="21"/>
      <c r="N257" s="64"/>
      <c r="O257" s="64"/>
      <c r="P257" s="64"/>
      <c r="Q257" s="2"/>
    </row>
    <row r="258" spans="1:17">
      <c r="A258" s="14">
        <v>252</v>
      </c>
      <c r="B258" s="14" t="s">
        <v>1295</v>
      </c>
      <c r="C258" s="14" t="s">
        <v>69</v>
      </c>
      <c r="D258" s="14" t="s">
        <v>367</v>
      </c>
      <c r="E258" s="14" t="s">
        <v>7</v>
      </c>
      <c r="F258" s="21" t="s">
        <v>77</v>
      </c>
      <c r="G258" s="21"/>
      <c r="H258" s="27">
        <v>60</v>
      </c>
      <c r="I258" s="231"/>
      <c r="J258" s="27">
        <f t="shared" si="16"/>
        <v>36</v>
      </c>
      <c r="K258" s="27">
        <f t="shared" si="22"/>
        <v>96</v>
      </c>
      <c r="L258" s="2"/>
      <c r="M258" s="21"/>
      <c r="N258" s="64"/>
      <c r="O258" s="64"/>
      <c r="P258" s="64"/>
      <c r="Q258" s="2"/>
    </row>
    <row r="259" spans="1:17">
      <c r="A259" s="14">
        <v>253</v>
      </c>
      <c r="B259" s="14" t="s">
        <v>1295</v>
      </c>
      <c r="C259" s="14" t="s">
        <v>69</v>
      </c>
      <c r="D259" s="14" t="s">
        <v>367</v>
      </c>
      <c r="E259" s="14" t="s">
        <v>7</v>
      </c>
      <c r="F259" s="21" t="s">
        <v>75</v>
      </c>
      <c r="G259" s="21"/>
      <c r="H259" s="27">
        <v>12.5</v>
      </c>
      <c r="I259" s="231"/>
      <c r="J259" s="27">
        <f t="shared" si="16"/>
        <v>7.5</v>
      </c>
      <c r="K259" s="27">
        <f t="shared" si="22"/>
        <v>20</v>
      </c>
      <c r="L259" s="2"/>
      <c r="M259" s="21"/>
      <c r="N259" s="64"/>
      <c r="O259" s="64"/>
      <c r="P259" s="64"/>
      <c r="Q259" s="2"/>
    </row>
    <row r="260" spans="1:17">
      <c r="A260" s="14">
        <v>254</v>
      </c>
      <c r="B260" s="14" t="s">
        <v>1295</v>
      </c>
      <c r="C260" s="14" t="s">
        <v>69</v>
      </c>
      <c r="D260" s="14" t="s">
        <v>367</v>
      </c>
      <c r="E260" s="14" t="s">
        <v>7</v>
      </c>
      <c r="F260" s="21" t="s">
        <v>76</v>
      </c>
      <c r="G260" s="21"/>
      <c r="H260" s="27">
        <v>400</v>
      </c>
      <c r="I260" s="231"/>
      <c r="J260" s="27">
        <f t="shared" si="16"/>
        <v>240</v>
      </c>
      <c r="K260" s="27">
        <f t="shared" si="22"/>
        <v>640</v>
      </c>
      <c r="L260" s="2"/>
      <c r="M260" s="21"/>
      <c r="N260" s="64"/>
      <c r="O260" s="64"/>
      <c r="P260" s="64"/>
      <c r="Q260" s="2"/>
    </row>
    <row r="261" spans="1:17">
      <c r="A261" s="14">
        <v>255</v>
      </c>
      <c r="B261" s="14" t="s">
        <v>1349</v>
      </c>
      <c r="C261" s="14" t="s">
        <v>69</v>
      </c>
      <c r="D261" s="14" t="s">
        <v>367</v>
      </c>
      <c r="E261" s="14" t="s">
        <v>7</v>
      </c>
      <c r="F261" s="21" t="s">
        <v>1313</v>
      </c>
      <c r="G261" s="21"/>
      <c r="H261" s="27">
        <v>2500</v>
      </c>
      <c r="I261" s="231"/>
      <c r="J261" s="27">
        <f t="shared" si="16"/>
        <v>1500</v>
      </c>
      <c r="K261" s="27">
        <f t="shared" si="22"/>
        <v>4000</v>
      </c>
      <c r="L261" s="2"/>
      <c r="M261" s="21"/>
      <c r="N261" s="64"/>
      <c r="O261" s="64"/>
      <c r="P261" s="64"/>
      <c r="Q261" s="2"/>
    </row>
    <row r="262" spans="1:17">
      <c r="A262" s="14">
        <v>256</v>
      </c>
      <c r="B262" s="14" t="s">
        <v>1295</v>
      </c>
      <c r="C262" s="14" t="s">
        <v>69</v>
      </c>
      <c r="D262" s="14" t="s">
        <v>367</v>
      </c>
      <c r="E262" s="14" t="s">
        <v>7</v>
      </c>
      <c r="F262" s="21" t="s">
        <v>104</v>
      </c>
      <c r="G262" s="21"/>
      <c r="H262" s="27"/>
      <c r="I262" s="231"/>
      <c r="J262" s="27">
        <f t="shared" si="16"/>
        <v>0</v>
      </c>
      <c r="K262" s="27"/>
      <c r="L262" s="2"/>
      <c r="M262" s="21"/>
      <c r="N262" s="64"/>
      <c r="O262" s="64"/>
      <c r="P262" s="64"/>
      <c r="Q262" s="2"/>
    </row>
    <row r="263" spans="1:17">
      <c r="A263" s="14">
        <v>257</v>
      </c>
      <c r="B263" s="14" t="s">
        <v>1295</v>
      </c>
      <c r="C263" s="14" t="s">
        <v>69</v>
      </c>
      <c r="D263" s="14" t="s">
        <v>368</v>
      </c>
      <c r="E263" s="14" t="s">
        <v>7</v>
      </c>
      <c r="F263" s="21" t="s">
        <v>369</v>
      </c>
      <c r="G263" s="21"/>
      <c r="H263" s="27">
        <v>46</v>
      </c>
      <c r="I263" s="231"/>
      <c r="J263" s="27">
        <f t="shared" si="16"/>
        <v>27.599999999999998</v>
      </c>
      <c r="K263" s="27">
        <f>H263+J263</f>
        <v>73.599999999999994</v>
      </c>
      <c r="L263" s="2"/>
      <c r="M263" s="21"/>
      <c r="N263" s="64"/>
      <c r="O263" s="64"/>
      <c r="P263" s="64"/>
      <c r="Q263" s="2"/>
    </row>
    <row r="264" spans="1:17">
      <c r="A264" s="14">
        <v>258</v>
      </c>
      <c r="B264" s="14" t="s">
        <v>1295</v>
      </c>
      <c r="C264" s="14" t="s">
        <v>69</v>
      </c>
      <c r="D264" s="14" t="s">
        <v>368</v>
      </c>
      <c r="E264" s="14" t="s">
        <v>7</v>
      </c>
      <c r="F264" s="21"/>
      <c r="G264" s="21"/>
      <c r="H264" s="27"/>
      <c r="I264" s="231"/>
      <c r="J264" s="27">
        <f t="shared" ref="J264:J327" si="23">H264*$D$6</f>
        <v>0</v>
      </c>
      <c r="K264" s="27">
        <f>H264+J264</f>
        <v>0</v>
      </c>
      <c r="L264" s="2"/>
      <c r="M264" s="21"/>
      <c r="N264" s="64"/>
      <c r="O264" s="64"/>
      <c r="P264" s="64"/>
      <c r="Q264" s="2"/>
    </row>
    <row r="265" spans="1:17">
      <c r="A265" s="14">
        <v>259</v>
      </c>
      <c r="B265" s="14" t="s">
        <v>1295</v>
      </c>
      <c r="C265" s="14" t="s">
        <v>69</v>
      </c>
      <c r="D265" s="14" t="s">
        <v>371</v>
      </c>
      <c r="E265" s="14" t="s">
        <v>7</v>
      </c>
      <c r="F265" s="21" t="s">
        <v>372</v>
      </c>
      <c r="G265" s="21"/>
      <c r="H265" s="27" t="e">
        <f>(N265*H263)+(O265*#REF!)+(M265*H305)+(L265*K579)+(H450)+P265</f>
        <v>#VALUE!</v>
      </c>
      <c r="I265" s="231"/>
      <c r="J265" s="27" t="e">
        <f t="shared" si="23"/>
        <v>#VALUE!</v>
      </c>
      <c r="K265" s="27" t="e">
        <f>H265+J265</f>
        <v>#VALUE!</v>
      </c>
      <c r="L265" s="2"/>
      <c r="M265" s="21"/>
      <c r="N265" s="279" t="s">
        <v>370</v>
      </c>
      <c r="O265" s="279"/>
      <c r="P265" s="64"/>
      <c r="Q265" s="2"/>
    </row>
    <row r="266" spans="1:17">
      <c r="A266" s="14">
        <v>260</v>
      </c>
      <c r="B266" s="14" t="s">
        <v>1295</v>
      </c>
      <c r="C266" s="14" t="s">
        <v>69</v>
      </c>
      <c r="D266" s="14" t="s">
        <v>371</v>
      </c>
      <c r="E266" s="14" t="s">
        <v>7</v>
      </c>
      <c r="F266" s="21" t="s">
        <v>373</v>
      </c>
      <c r="G266" s="21"/>
      <c r="H266" s="27" t="e">
        <f>(N266*H263)+(O266*#REF!)+(M266*H305)+(L266*K579)+(H450)+P266</f>
        <v>#REF!</v>
      </c>
      <c r="I266" s="231"/>
      <c r="J266" s="27" t="e">
        <f t="shared" si="23"/>
        <v>#REF!</v>
      </c>
      <c r="K266" s="27" t="e">
        <f>H266+J266</f>
        <v>#REF!</v>
      </c>
      <c r="L266" s="45"/>
      <c r="M266" s="10">
        <v>2.88</v>
      </c>
      <c r="N266" s="10">
        <v>2.88</v>
      </c>
      <c r="O266" s="10">
        <f>2.4*3+3</f>
        <v>10.199999999999999</v>
      </c>
      <c r="P266" s="75">
        <f>(N537*54)+(N535*12)+(N545*2)</f>
        <v>0.6</v>
      </c>
      <c r="Q266" s="2"/>
    </row>
    <row r="267" spans="1:17">
      <c r="A267" s="14">
        <v>261</v>
      </c>
      <c r="B267" s="14" t="s">
        <v>1295</v>
      </c>
      <c r="C267" s="14" t="s">
        <v>69</v>
      </c>
      <c r="D267" s="14" t="s">
        <v>371</v>
      </c>
      <c r="E267" s="14" t="s">
        <v>7</v>
      </c>
      <c r="F267" s="21" t="s">
        <v>374</v>
      </c>
      <c r="G267" s="21"/>
      <c r="H267" s="27" t="e">
        <f>(N267*H263)+(O267*#REF!)+(M267*H305)+(L267*K579)+(H450)+P267</f>
        <v>#REF!</v>
      </c>
      <c r="I267" s="231"/>
      <c r="J267" s="27" t="e">
        <f t="shared" si="23"/>
        <v>#REF!</v>
      </c>
      <c r="K267" s="27" t="e">
        <f>H267+J267</f>
        <v>#REF!</v>
      </c>
      <c r="L267" s="45"/>
      <c r="M267" s="10">
        <v>3.24</v>
      </c>
      <c r="N267" s="10">
        <v>3.24</v>
      </c>
      <c r="O267" s="10">
        <f>2.7*3+4.2</f>
        <v>12.3</v>
      </c>
      <c r="P267" s="75">
        <f>(N537*66)+(N535*16)+(N545*2)</f>
        <v>0.6</v>
      </c>
      <c r="Q267" s="2"/>
    </row>
    <row r="268" spans="1:17">
      <c r="A268" s="14">
        <v>262</v>
      </c>
      <c r="B268" s="14" t="s">
        <v>1295</v>
      </c>
      <c r="C268" s="14" t="s">
        <v>98</v>
      </c>
      <c r="D268" s="14" t="s">
        <v>375</v>
      </c>
      <c r="E268" s="14" t="s">
        <v>7</v>
      </c>
      <c r="F268" s="21" t="s">
        <v>376</v>
      </c>
      <c r="G268" s="21"/>
      <c r="H268" s="27"/>
      <c r="I268" s="231"/>
      <c r="J268" s="27">
        <f t="shared" si="23"/>
        <v>0</v>
      </c>
      <c r="K268" s="27">
        <f t="shared" ref="K268:K285" si="24">H268+I268+J268</f>
        <v>0</v>
      </c>
      <c r="L268" s="45"/>
      <c r="M268" s="10">
        <v>3.6</v>
      </c>
      <c r="N268" s="10">
        <v>3.6</v>
      </c>
      <c r="O268" s="10">
        <f>3*3+4.2</f>
        <v>13.2</v>
      </c>
      <c r="P268" s="75">
        <f>(N537*72)+(N535*16)+(N545*2)</f>
        <v>0.6</v>
      </c>
      <c r="Q268" s="2"/>
    </row>
    <row r="269" spans="1:17">
      <c r="A269" s="14">
        <v>263</v>
      </c>
      <c r="B269" s="14" t="s">
        <v>1295</v>
      </c>
      <c r="C269" s="14" t="s">
        <v>98</v>
      </c>
      <c r="D269" s="14" t="s">
        <v>375</v>
      </c>
      <c r="E269" s="14" t="s">
        <v>7</v>
      </c>
      <c r="F269" s="21" t="s">
        <v>377</v>
      </c>
      <c r="G269" s="21"/>
      <c r="H269" s="27"/>
      <c r="I269" s="231"/>
      <c r="J269" s="27">
        <f t="shared" si="23"/>
        <v>0</v>
      </c>
      <c r="K269" s="27">
        <f t="shared" si="24"/>
        <v>0</v>
      </c>
      <c r="L269" s="63"/>
      <c r="M269" s="21"/>
      <c r="N269" s="64"/>
      <c r="O269" s="64"/>
      <c r="P269" s="64"/>
      <c r="Q269" s="2"/>
    </row>
    <row r="270" spans="1:17">
      <c r="A270" s="14">
        <v>264</v>
      </c>
      <c r="B270" s="14" t="s">
        <v>1295</v>
      </c>
      <c r="C270" s="14" t="s">
        <v>98</v>
      </c>
      <c r="D270" s="14" t="s">
        <v>375</v>
      </c>
      <c r="E270" s="14" t="s">
        <v>7</v>
      </c>
      <c r="F270" s="21" t="s">
        <v>378</v>
      </c>
      <c r="G270" s="21"/>
      <c r="H270" s="27"/>
      <c r="I270" s="231"/>
      <c r="J270" s="27">
        <f t="shared" si="23"/>
        <v>0</v>
      </c>
      <c r="K270" s="27">
        <f t="shared" si="24"/>
        <v>0</v>
      </c>
      <c r="L270" s="2"/>
      <c r="M270" s="21"/>
      <c r="N270" s="64"/>
      <c r="O270" s="64"/>
      <c r="P270" s="64"/>
      <c r="Q270" s="2"/>
    </row>
    <row r="271" spans="1:17">
      <c r="A271" s="14">
        <v>265</v>
      </c>
      <c r="B271" s="14" t="s">
        <v>1295</v>
      </c>
      <c r="C271" s="14" t="s">
        <v>379</v>
      </c>
      <c r="D271" s="14" t="s">
        <v>380</v>
      </c>
      <c r="E271" s="14" t="s">
        <v>7</v>
      </c>
      <c r="F271" s="21" t="s">
        <v>381</v>
      </c>
      <c r="G271" s="21"/>
      <c r="H271" s="27">
        <v>15.76</v>
      </c>
      <c r="I271" s="231"/>
      <c r="J271" s="27">
        <f t="shared" si="23"/>
        <v>9.4559999999999995</v>
      </c>
      <c r="K271" s="27">
        <f t="shared" si="24"/>
        <v>25.216000000000001</v>
      </c>
      <c r="L271" s="2"/>
      <c r="M271" s="21"/>
      <c r="N271" s="21"/>
      <c r="O271" s="21"/>
      <c r="P271" s="21"/>
      <c r="Q271" s="2"/>
    </row>
    <row r="272" spans="1:17">
      <c r="A272" s="14">
        <v>266</v>
      </c>
      <c r="B272" s="14" t="s">
        <v>1295</v>
      </c>
      <c r="C272" s="14" t="s">
        <v>379</v>
      </c>
      <c r="D272" s="14" t="s">
        <v>380</v>
      </c>
      <c r="E272" s="14" t="s">
        <v>7</v>
      </c>
      <c r="F272" s="21" t="s">
        <v>382</v>
      </c>
      <c r="G272" s="21"/>
      <c r="H272" s="27">
        <v>22.03</v>
      </c>
      <c r="I272" s="231"/>
      <c r="J272" s="27">
        <f t="shared" si="23"/>
        <v>13.218</v>
      </c>
      <c r="K272" s="27">
        <f t="shared" si="24"/>
        <v>35.248000000000005</v>
      </c>
      <c r="L272" s="63"/>
      <c r="M272" s="27" t="e">
        <f>H272*#REF!</f>
        <v>#REF!</v>
      </c>
      <c r="N272" s="21"/>
      <c r="O272" s="27" t="e">
        <f>H272+M272</f>
        <v>#REF!</v>
      </c>
      <c r="P272" s="21"/>
      <c r="Q272" s="2"/>
    </row>
    <row r="273" spans="1:17">
      <c r="A273" s="14">
        <v>267</v>
      </c>
      <c r="B273" s="14" t="s">
        <v>1295</v>
      </c>
      <c r="C273" s="14" t="s">
        <v>379</v>
      </c>
      <c r="D273" s="14" t="s">
        <v>380</v>
      </c>
      <c r="E273" s="14" t="s">
        <v>7</v>
      </c>
      <c r="F273" s="21" t="s">
        <v>383</v>
      </c>
      <c r="G273" s="21"/>
      <c r="H273" s="27">
        <v>23.8</v>
      </c>
      <c r="I273" s="231"/>
      <c r="J273" s="27">
        <f t="shared" si="23"/>
        <v>14.28</v>
      </c>
      <c r="K273" s="27">
        <f t="shared" si="24"/>
        <v>38.08</v>
      </c>
      <c r="L273" s="35"/>
      <c r="M273" s="27" t="e">
        <f>H273*#REF!</f>
        <v>#REF!</v>
      </c>
      <c r="N273" s="21"/>
      <c r="O273" s="27" t="e">
        <f t="shared" ref="O273:O285" si="25">H273+M273</f>
        <v>#REF!</v>
      </c>
      <c r="P273" s="21"/>
      <c r="Q273" s="2"/>
    </row>
    <row r="274" spans="1:17">
      <c r="A274" s="14">
        <v>268</v>
      </c>
      <c r="B274" s="14" t="s">
        <v>1295</v>
      </c>
      <c r="C274" s="14" t="s">
        <v>379</v>
      </c>
      <c r="D274" s="14" t="s">
        <v>380</v>
      </c>
      <c r="E274" s="14" t="s">
        <v>7</v>
      </c>
      <c r="F274" s="21" t="s">
        <v>384</v>
      </c>
      <c r="G274" s="21"/>
      <c r="H274" s="27">
        <v>7.98</v>
      </c>
      <c r="I274" s="231"/>
      <c r="J274" s="27">
        <f t="shared" si="23"/>
        <v>4.7880000000000003</v>
      </c>
      <c r="K274" s="27">
        <f t="shared" si="24"/>
        <v>12.768000000000001</v>
      </c>
      <c r="L274" s="35"/>
      <c r="M274" s="27" t="e">
        <f>H274*#REF!</f>
        <v>#REF!</v>
      </c>
      <c r="N274" s="21"/>
      <c r="O274" s="27" t="e">
        <f t="shared" si="25"/>
        <v>#REF!</v>
      </c>
      <c r="P274" s="21"/>
      <c r="Q274" s="2"/>
    </row>
    <row r="275" spans="1:17">
      <c r="A275" s="14">
        <v>269</v>
      </c>
      <c r="B275" s="14" t="s">
        <v>1295</v>
      </c>
      <c r="C275" s="14" t="s">
        <v>379</v>
      </c>
      <c r="D275" s="14" t="s">
        <v>380</v>
      </c>
      <c r="E275" s="14" t="s">
        <v>7</v>
      </c>
      <c r="F275" s="21" t="s">
        <v>385</v>
      </c>
      <c r="G275" s="21"/>
      <c r="H275" s="27">
        <v>14.67</v>
      </c>
      <c r="I275" s="231"/>
      <c r="J275" s="27">
        <f t="shared" si="23"/>
        <v>8.8019999999999996</v>
      </c>
      <c r="K275" s="27">
        <f t="shared" si="24"/>
        <v>23.472000000000001</v>
      </c>
      <c r="L275" s="35"/>
      <c r="M275" s="27" t="e">
        <f>H275*#REF!</f>
        <v>#REF!</v>
      </c>
      <c r="N275" s="21"/>
      <c r="O275" s="27" t="e">
        <f t="shared" si="25"/>
        <v>#REF!</v>
      </c>
      <c r="P275" s="21"/>
      <c r="Q275" s="2"/>
    </row>
    <row r="276" spans="1:17">
      <c r="A276" s="14">
        <v>270</v>
      </c>
      <c r="B276" s="14" t="s">
        <v>1295</v>
      </c>
      <c r="C276" s="14" t="s">
        <v>379</v>
      </c>
      <c r="D276" s="14" t="s">
        <v>380</v>
      </c>
      <c r="E276" s="14" t="s">
        <v>7</v>
      </c>
      <c r="F276" s="21" t="s">
        <v>386</v>
      </c>
      <c r="G276" s="21"/>
      <c r="H276" s="27">
        <v>20.399999999999999</v>
      </c>
      <c r="I276" s="231"/>
      <c r="J276" s="27">
        <f t="shared" si="23"/>
        <v>12.239999999999998</v>
      </c>
      <c r="K276" s="27">
        <f t="shared" si="24"/>
        <v>32.64</v>
      </c>
      <c r="L276" s="35"/>
      <c r="M276" s="27" t="e">
        <f>H276*#REF!</f>
        <v>#REF!</v>
      </c>
      <c r="N276" s="21"/>
      <c r="O276" s="27" t="e">
        <f t="shared" si="25"/>
        <v>#REF!</v>
      </c>
      <c r="P276" s="21"/>
      <c r="Q276" s="2"/>
    </row>
    <row r="277" spans="1:17">
      <c r="A277" s="14">
        <v>271</v>
      </c>
      <c r="B277" s="14" t="s">
        <v>1295</v>
      </c>
      <c r="C277" s="14" t="s">
        <v>379</v>
      </c>
      <c r="D277" s="14" t="s">
        <v>380</v>
      </c>
      <c r="E277" s="14" t="s">
        <v>7</v>
      </c>
      <c r="F277" s="21" t="s">
        <v>387</v>
      </c>
      <c r="G277" s="21"/>
      <c r="H277" s="27">
        <v>30.24</v>
      </c>
      <c r="I277" s="231"/>
      <c r="J277" s="27">
        <f t="shared" si="23"/>
        <v>18.143999999999998</v>
      </c>
      <c r="K277" s="27">
        <f t="shared" si="24"/>
        <v>48.384</v>
      </c>
      <c r="L277" s="35"/>
      <c r="M277" s="27" t="e">
        <f>H277*#REF!</f>
        <v>#REF!</v>
      </c>
      <c r="N277" s="21"/>
      <c r="O277" s="27" t="e">
        <f t="shared" si="25"/>
        <v>#REF!</v>
      </c>
      <c r="P277" s="21"/>
      <c r="Q277" s="2"/>
    </row>
    <row r="278" spans="1:17">
      <c r="A278" s="14">
        <v>272</v>
      </c>
      <c r="B278" s="14" t="s">
        <v>1295</v>
      </c>
      <c r="C278" s="14" t="s">
        <v>379</v>
      </c>
      <c r="D278" s="14" t="s">
        <v>380</v>
      </c>
      <c r="E278" s="14" t="s">
        <v>7</v>
      </c>
      <c r="F278" s="21" t="s">
        <v>388</v>
      </c>
      <c r="G278" s="21"/>
      <c r="H278" s="27">
        <v>22.78</v>
      </c>
      <c r="I278" s="231"/>
      <c r="J278" s="27">
        <f t="shared" si="23"/>
        <v>13.668000000000001</v>
      </c>
      <c r="K278" s="27">
        <f t="shared" si="24"/>
        <v>36.448</v>
      </c>
      <c r="L278" s="35"/>
      <c r="M278" s="27" t="e">
        <f>H278*#REF!</f>
        <v>#REF!</v>
      </c>
      <c r="N278" s="21"/>
      <c r="O278" s="27" t="e">
        <f t="shared" si="25"/>
        <v>#REF!</v>
      </c>
      <c r="P278" s="21"/>
      <c r="Q278" s="2"/>
    </row>
    <row r="279" spans="1:17">
      <c r="A279" s="14">
        <v>273</v>
      </c>
      <c r="B279" s="14" t="s">
        <v>1295</v>
      </c>
      <c r="C279" s="14" t="s">
        <v>379</v>
      </c>
      <c r="D279" s="14" t="s">
        <v>380</v>
      </c>
      <c r="E279" s="14" t="s">
        <v>7</v>
      </c>
      <c r="F279" s="21" t="s">
        <v>389</v>
      </c>
      <c r="G279" s="21"/>
      <c r="H279" s="27">
        <v>34.01</v>
      </c>
      <c r="I279" s="231"/>
      <c r="J279" s="27">
        <f t="shared" si="23"/>
        <v>20.405999999999999</v>
      </c>
      <c r="K279" s="27">
        <f t="shared" si="24"/>
        <v>54.415999999999997</v>
      </c>
      <c r="L279" s="35"/>
      <c r="M279" s="27" t="e">
        <f>H279*#REF!</f>
        <v>#REF!</v>
      </c>
      <c r="N279" s="21"/>
      <c r="O279" s="27" t="e">
        <f t="shared" si="25"/>
        <v>#REF!</v>
      </c>
      <c r="P279" s="21"/>
      <c r="Q279" s="2"/>
    </row>
    <row r="280" spans="1:17">
      <c r="A280" s="14">
        <v>274</v>
      </c>
      <c r="B280" s="14" t="s">
        <v>1295</v>
      </c>
      <c r="C280" s="14" t="s">
        <v>379</v>
      </c>
      <c r="D280" s="14" t="s">
        <v>380</v>
      </c>
      <c r="E280" s="14" t="s">
        <v>7</v>
      </c>
      <c r="F280" s="21" t="s">
        <v>390</v>
      </c>
      <c r="G280" s="21"/>
      <c r="H280" s="27">
        <v>25.51</v>
      </c>
      <c r="I280" s="231"/>
      <c r="J280" s="27">
        <f t="shared" si="23"/>
        <v>15.306000000000001</v>
      </c>
      <c r="K280" s="27">
        <f t="shared" si="24"/>
        <v>40.816000000000003</v>
      </c>
      <c r="L280" s="35"/>
      <c r="M280" s="27" t="e">
        <f>H280*#REF!</f>
        <v>#REF!</v>
      </c>
      <c r="N280" s="21"/>
      <c r="O280" s="27" t="e">
        <f t="shared" si="25"/>
        <v>#REF!</v>
      </c>
      <c r="P280" s="21"/>
      <c r="Q280" s="2"/>
    </row>
    <row r="281" spans="1:17">
      <c r="A281" s="14">
        <v>275</v>
      </c>
      <c r="B281" s="14" t="s">
        <v>1295</v>
      </c>
      <c r="C281" s="14" t="s">
        <v>379</v>
      </c>
      <c r="D281" s="14" t="s">
        <v>380</v>
      </c>
      <c r="E281" s="14" t="s">
        <v>7</v>
      </c>
      <c r="F281" s="21" t="s">
        <v>391</v>
      </c>
      <c r="G281" s="21"/>
      <c r="H281" s="27">
        <v>37.79</v>
      </c>
      <c r="I281" s="231"/>
      <c r="J281" s="27">
        <f t="shared" si="23"/>
        <v>22.673999999999999</v>
      </c>
      <c r="K281" s="27">
        <f t="shared" si="24"/>
        <v>60.463999999999999</v>
      </c>
      <c r="L281" s="35"/>
      <c r="M281" s="27" t="e">
        <f>H281*#REF!</f>
        <v>#REF!</v>
      </c>
      <c r="N281" s="21"/>
      <c r="O281" s="27" t="e">
        <f t="shared" si="25"/>
        <v>#REF!</v>
      </c>
      <c r="P281" s="21"/>
      <c r="Q281" s="2"/>
    </row>
    <row r="282" spans="1:17">
      <c r="A282" s="14">
        <v>276</v>
      </c>
      <c r="B282" s="14" t="s">
        <v>1295</v>
      </c>
      <c r="C282" s="14" t="s">
        <v>379</v>
      </c>
      <c r="D282" s="14" t="s">
        <v>380</v>
      </c>
      <c r="E282" s="14" t="s">
        <v>7</v>
      </c>
      <c r="F282" s="21" t="s">
        <v>392</v>
      </c>
      <c r="G282" s="21"/>
      <c r="H282" s="27">
        <f>H281/3.6</f>
        <v>10.497222222222222</v>
      </c>
      <c r="I282" s="231"/>
      <c r="J282" s="27">
        <f t="shared" si="23"/>
        <v>6.2983333333333329</v>
      </c>
      <c r="K282" s="27">
        <f t="shared" si="24"/>
        <v>16.795555555555556</v>
      </c>
      <c r="L282" s="35"/>
      <c r="M282" s="27" t="e">
        <f>H282*#REF!</f>
        <v>#REF!</v>
      </c>
      <c r="N282" s="21"/>
      <c r="O282" s="27" t="e">
        <f t="shared" si="25"/>
        <v>#REF!</v>
      </c>
      <c r="P282" s="21"/>
      <c r="Q282" s="2"/>
    </row>
    <row r="283" spans="1:17">
      <c r="A283" s="14">
        <v>277</v>
      </c>
      <c r="B283" s="14" t="s">
        <v>1295</v>
      </c>
      <c r="C283" s="14" t="s">
        <v>379</v>
      </c>
      <c r="D283" s="14" t="s">
        <v>380</v>
      </c>
      <c r="E283" s="14" t="s">
        <v>7</v>
      </c>
      <c r="F283" s="21" t="s">
        <v>393</v>
      </c>
      <c r="G283" s="21"/>
      <c r="H283" s="27">
        <v>1.82</v>
      </c>
      <c r="I283" s="231"/>
      <c r="J283" s="27">
        <f t="shared" si="23"/>
        <v>1.0920000000000001</v>
      </c>
      <c r="K283" s="27">
        <f t="shared" si="24"/>
        <v>2.9119999999999999</v>
      </c>
      <c r="L283" s="2"/>
      <c r="M283" s="27" t="e">
        <f>H283*#REF!</f>
        <v>#REF!</v>
      </c>
      <c r="N283" s="21"/>
      <c r="O283" s="27" t="e">
        <f t="shared" si="25"/>
        <v>#REF!</v>
      </c>
      <c r="P283" s="21"/>
      <c r="Q283" s="2"/>
    </row>
    <row r="284" spans="1:17">
      <c r="A284" s="14">
        <v>278</v>
      </c>
      <c r="B284" s="14" t="s">
        <v>1295</v>
      </c>
      <c r="C284" s="14" t="s">
        <v>379</v>
      </c>
      <c r="D284" s="14" t="s">
        <v>380</v>
      </c>
      <c r="E284" s="14" t="s">
        <v>7</v>
      </c>
      <c r="F284" s="21" t="s">
        <v>394</v>
      </c>
      <c r="G284" s="21"/>
      <c r="H284" s="27">
        <v>60</v>
      </c>
      <c r="I284" s="231"/>
      <c r="J284" s="27">
        <f t="shared" si="23"/>
        <v>36</v>
      </c>
      <c r="K284" s="27">
        <f t="shared" si="24"/>
        <v>96</v>
      </c>
      <c r="L284" s="2"/>
      <c r="M284" s="27" t="e">
        <f>H284*#REF!</f>
        <v>#REF!</v>
      </c>
      <c r="N284" s="21"/>
      <c r="O284" s="27" t="e">
        <f t="shared" si="25"/>
        <v>#REF!</v>
      </c>
      <c r="P284" s="21"/>
      <c r="Q284" s="2"/>
    </row>
    <row r="285" spans="1:17">
      <c r="A285" s="14">
        <v>279</v>
      </c>
      <c r="B285" s="14" t="s">
        <v>1295</v>
      </c>
      <c r="C285" s="14" t="s">
        <v>379</v>
      </c>
      <c r="D285" s="14" t="s">
        <v>380</v>
      </c>
      <c r="E285" s="14" t="s">
        <v>7</v>
      </c>
      <c r="F285" s="21" t="s">
        <v>395</v>
      </c>
      <c r="G285" s="21"/>
      <c r="H285" s="27">
        <f>H284/3.6</f>
        <v>16.666666666666668</v>
      </c>
      <c r="I285" s="231"/>
      <c r="J285" s="27">
        <f t="shared" si="23"/>
        <v>10</v>
      </c>
      <c r="K285" s="27">
        <f t="shared" si="24"/>
        <v>26.666666666666668</v>
      </c>
      <c r="L285" s="2"/>
      <c r="M285" s="27" t="e">
        <f>H285*#REF!</f>
        <v>#REF!</v>
      </c>
      <c r="N285" s="21"/>
      <c r="O285" s="27" t="e">
        <f t="shared" si="25"/>
        <v>#REF!</v>
      </c>
      <c r="P285" s="21"/>
      <c r="Q285" s="2"/>
    </row>
    <row r="286" spans="1:17">
      <c r="A286" s="14">
        <v>280</v>
      </c>
      <c r="B286" s="14" t="s">
        <v>1295</v>
      </c>
      <c r="C286" s="14" t="s">
        <v>379</v>
      </c>
      <c r="D286" s="14" t="s">
        <v>380</v>
      </c>
      <c r="E286" s="14" t="s">
        <v>7</v>
      </c>
      <c r="F286" s="21"/>
      <c r="G286" s="21"/>
      <c r="H286" s="27"/>
      <c r="I286" s="231"/>
      <c r="J286" s="27">
        <f t="shared" si="23"/>
        <v>0</v>
      </c>
      <c r="K286" s="27"/>
      <c r="L286" s="2"/>
      <c r="M286" s="27"/>
      <c r="N286" s="21"/>
      <c r="O286" s="27"/>
      <c r="P286" s="21"/>
      <c r="Q286" s="2"/>
    </row>
    <row r="287" spans="1:17">
      <c r="A287" s="14">
        <v>281</v>
      </c>
      <c r="B287" s="14" t="s">
        <v>1295</v>
      </c>
      <c r="C287" s="14" t="s">
        <v>45</v>
      </c>
      <c r="D287" s="14" t="s">
        <v>396</v>
      </c>
      <c r="E287" s="14" t="s">
        <v>7</v>
      </c>
      <c r="H287" s="27"/>
      <c r="I287" s="231"/>
      <c r="J287" s="27">
        <f t="shared" si="23"/>
        <v>0</v>
      </c>
      <c r="K287" s="27"/>
      <c r="L287" s="2"/>
      <c r="M287" s="27" t="e">
        <f>H287*#REF!</f>
        <v>#REF!</v>
      </c>
      <c r="N287" s="21"/>
      <c r="O287" s="27" t="e">
        <f t="shared" ref="O287:O299" si="26">H287+M287</f>
        <v>#REF!</v>
      </c>
      <c r="P287" s="21"/>
      <c r="Q287" s="2"/>
    </row>
    <row r="288" spans="1:17">
      <c r="A288" s="14">
        <v>282</v>
      </c>
      <c r="B288" s="14" t="s">
        <v>1295</v>
      </c>
      <c r="C288" s="14" t="s">
        <v>45</v>
      </c>
      <c r="D288" s="14" t="s">
        <v>396</v>
      </c>
      <c r="E288" s="14" t="s">
        <v>7</v>
      </c>
      <c r="F288" s="21"/>
      <c r="G288" s="21"/>
      <c r="H288" s="27"/>
      <c r="I288" s="231"/>
      <c r="J288" s="27">
        <f t="shared" si="23"/>
        <v>0</v>
      </c>
      <c r="K288" s="27"/>
      <c r="L288" s="2"/>
      <c r="M288" s="27" t="e">
        <f>H288*#REF!</f>
        <v>#REF!</v>
      </c>
      <c r="N288" s="21"/>
      <c r="O288" s="27" t="e">
        <f t="shared" si="26"/>
        <v>#REF!</v>
      </c>
      <c r="P288" s="21"/>
      <c r="Q288" s="2"/>
    </row>
    <row r="289" spans="1:17">
      <c r="A289" s="14">
        <v>283</v>
      </c>
      <c r="B289" s="14" t="s">
        <v>1295</v>
      </c>
      <c r="C289" s="14" t="s">
        <v>45</v>
      </c>
      <c r="D289" s="14" t="s">
        <v>396</v>
      </c>
      <c r="E289" s="14" t="s">
        <v>7</v>
      </c>
      <c r="F289" s="21" t="s">
        <v>397</v>
      </c>
      <c r="G289" s="21"/>
      <c r="H289" s="27"/>
      <c r="I289" s="231"/>
      <c r="J289" s="27">
        <f t="shared" si="23"/>
        <v>0</v>
      </c>
      <c r="K289" s="27">
        <f>H289+I289+J289</f>
        <v>0</v>
      </c>
      <c r="L289" s="2"/>
      <c r="M289" s="27" t="e">
        <f>H289*#REF!</f>
        <v>#REF!</v>
      </c>
      <c r="N289" s="21"/>
      <c r="O289" s="27" t="e">
        <f t="shared" si="26"/>
        <v>#REF!</v>
      </c>
      <c r="P289" s="21"/>
      <c r="Q289" s="2"/>
    </row>
    <row r="290" spans="1:17">
      <c r="A290" s="14">
        <v>284</v>
      </c>
      <c r="B290" s="14" t="s">
        <v>1295</v>
      </c>
      <c r="C290" s="14" t="s">
        <v>45</v>
      </c>
      <c r="D290" s="14" t="s">
        <v>396</v>
      </c>
      <c r="E290" s="14" t="s">
        <v>7</v>
      </c>
      <c r="F290" s="21"/>
      <c r="G290" s="21"/>
      <c r="H290" s="27"/>
      <c r="I290" s="231"/>
      <c r="J290" s="27">
        <f t="shared" si="23"/>
        <v>0</v>
      </c>
      <c r="K290" s="27"/>
      <c r="L290" s="70"/>
      <c r="M290" s="27" t="e">
        <f>H290*#REF!</f>
        <v>#REF!</v>
      </c>
      <c r="N290" s="21"/>
      <c r="O290" s="27" t="e">
        <f t="shared" si="26"/>
        <v>#REF!</v>
      </c>
      <c r="P290" s="21"/>
      <c r="Q290" s="2"/>
    </row>
    <row r="291" spans="1:17">
      <c r="A291" s="14">
        <v>285</v>
      </c>
      <c r="B291" s="14" t="s">
        <v>1295</v>
      </c>
      <c r="C291" s="14" t="s">
        <v>98</v>
      </c>
      <c r="D291" s="14" t="s">
        <v>398</v>
      </c>
      <c r="E291" s="14" t="s">
        <v>7</v>
      </c>
      <c r="H291" s="27"/>
      <c r="I291" s="231"/>
      <c r="J291" s="27">
        <f t="shared" si="23"/>
        <v>0</v>
      </c>
      <c r="K291" s="27"/>
      <c r="L291" s="2"/>
      <c r="M291" s="27" t="e">
        <f>H291*#REF!</f>
        <v>#REF!</v>
      </c>
      <c r="N291" s="21"/>
      <c r="O291" s="27" t="e">
        <f t="shared" si="26"/>
        <v>#REF!</v>
      </c>
      <c r="P291" s="21"/>
      <c r="Q291" s="2"/>
    </row>
    <row r="292" spans="1:17">
      <c r="A292" s="14">
        <v>286</v>
      </c>
      <c r="B292" s="14" t="s">
        <v>1295</v>
      </c>
      <c r="C292" s="14" t="s">
        <v>98</v>
      </c>
      <c r="D292" s="14" t="s">
        <v>398</v>
      </c>
      <c r="E292" s="14" t="s">
        <v>7</v>
      </c>
      <c r="F292" s="21" t="s">
        <v>399</v>
      </c>
      <c r="G292" s="21"/>
      <c r="H292" s="27" t="e">
        <f>#REF!/2.7</f>
        <v>#REF!</v>
      </c>
      <c r="I292" s="231"/>
      <c r="J292" s="27" t="e">
        <f t="shared" si="23"/>
        <v>#REF!</v>
      </c>
      <c r="K292" s="27" t="e">
        <f t="shared" ref="K292:K323" si="27">H292+I292+J292</f>
        <v>#REF!</v>
      </c>
      <c r="L292" s="2"/>
      <c r="M292" s="27" t="e">
        <f>H292*#REF!</f>
        <v>#REF!</v>
      </c>
      <c r="N292" s="21"/>
      <c r="O292" s="27" t="e">
        <f t="shared" si="26"/>
        <v>#REF!</v>
      </c>
      <c r="P292" s="21"/>
      <c r="Q292" s="2"/>
    </row>
    <row r="293" spans="1:17">
      <c r="A293" s="14">
        <v>287</v>
      </c>
      <c r="B293" s="14" t="s">
        <v>1295</v>
      </c>
      <c r="C293" s="14" t="s">
        <v>98</v>
      </c>
      <c r="D293" s="14" t="s">
        <v>398</v>
      </c>
      <c r="E293" s="14" t="s">
        <v>7</v>
      </c>
      <c r="F293" s="21" t="s">
        <v>400</v>
      </c>
      <c r="G293" s="21"/>
      <c r="H293" s="27">
        <f>(3*0.9)*$H$299</f>
        <v>20.52</v>
      </c>
      <c r="I293" s="231"/>
      <c r="J293" s="27">
        <f t="shared" si="23"/>
        <v>12.311999999999999</v>
      </c>
      <c r="K293" s="27">
        <f t="shared" si="27"/>
        <v>32.832000000000001</v>
      </c>
      <c r="L293" s="63"/>
      <c r="M293" s="27" t="e">
        <f>H293*#REF!</f>
        <v>#REF!</v>
      </c>
      <c r="N293" s="21"/>
      <c r="O293" s="27" t="e">
        <f t="shared" si="26"/>
        <v>#REF!</v>
      </c>
      <c r="P293" s="21"/>
      <c r="Q293" s="2"/>
    </row>
    <row r="294" spans="1:17">
      <c r="A294" s="14">
        <v>288</v>
      </c>
      <c r="B294" s="14" t="s">
        <v>1295</v>
      </c>
      <c r="C294" s="14" t="s">
        <v>98</v>
      </c>
      <c r="D294" s="14" t="s">
        <v>398</v>
      </c>
      <c r="E294" s="14" t="s">
        <v>7</v>
      </c>
      <c r="F294" s="21" t="s">
        <v>401</v>
      </c>
      <c r="G294" s="21"/>
      <c r="H294" s="27">
        <f>(2.7*1.2)*$H$299</f>
        <v>24.623999999999999</v>
      </c>
      <c r="I294" s="231"/>
      <c r="J294" s="27">
        <f t="shared" si="23"/>
        <v>14.774399999999998</v>
      </c>
      <c r="K294" s="27">
        <f t="shared" si="27"/>
        <v>39.398399999999995</v>
      </c>
      <c r="L294" s="2"/>
      <c r="M294" s="27" t="e">
        <f>H294*#REF!</f>
        <v>#REF!</v>
      </c>
      <c r="N294" s="21"/>
      <c r="O294" s="27" t="e">
        <f t="shared" si="26"/>
        <v>#REF!</v>
      </c>
      <c r="P294" s="64"/>
      <c r="Q294" s="2"/>
    </row>
    <row r="295" spans="1:17">
      <c r="A295" s="14">
        <v>289</v>
      </c>
      <c r="B295" s="14" t="s">
        <v>1295</v>
      </c>
      <c r="C295" s="14" t="s">
        <v>98</v>
      </c>
      <c r="D295" s="14" t="s">
        <v>398</v>
      </c>
      <c r="E295" s="14" t="s">
        <v>7</v>
      </c>
      <c r="F295" s="21" t="s">
        <v>402</v>
      </c>
      <c r="G295" s="21"/>
      <c r="H295" s="27">
        <f>(2.7*0.9)*$H$299</f>
        <v>18.468</v>
      </c>
      <c r="I295" s="231"/>
      <c r="J295" s="27">
        <f t="shared" si="23"/>
        <v>11.0808</v>
      </c>
      <c r="K295" s="27">
        <f t="shared" si="27"/>
        <v>29.5488</v>
      </c>
      <c r="L295" s="2"/>
      <c r="M295" s="27" t="e">
        <f>H295*#REF!</f>
        <v>#REF!</v>
      </c>
      <c r="N295" s="21"/>
      <c r="O295" s="27" t="e">
        <f t="shared" si="26"/>
        <v>#REF!</v>
      </c>
      <c r="P295" s="64"/>
      <c r="Q295" s="2"/>
    </row>
    <row r="296" spans="1:17">
      <c r="A296" s="14">
        <v>290</v>
      </c>
      <c r="B296" s="14" t="s">
        <v>1295</v>
      </c>
      <c r="C296" s="14" t="s">
        <v>98</v>
      </c>
      <c r="D296" s="14" t="s">
        <v>398</v>
      </c>
      <c r="E296" s="14" t="s">
        <v>7</v>
      </c>
      <c r="F296" s="21" t="s">
        <v>403</v>
      </c>
      <c r="G296" s="21"/>
      <c r="H296" s="27">
        <f>(2.4*1.2)*$H$299</f>
        <v>21.887999999999998</v>
      </c>
      <c r="I296" s="231"/>
      <c r="J296" s="27">
        <f t="shared" si="23"/>
        <v>13.132799999999998</v>
      </c>
      <c r="K296" s="27">
        <f t="shared" si="27"/>
        <v>35.020799999999994</v>
      </c>
      <c r="L296" s="2"/>
      <c r="M296" s="27" t="e">
        <f>H296*#REF!</f>
        <v>#REF!</v>
      </c>
      <c r="N296" s="21"/>
      <c r="O296" s="27" t="e">
        <f t="shared" si="26"/>
        <v>#REF!</v>
      </c>
      <c r="P296" s="64"/>
      <c r="Q296" s="2"/>
    </row>
    <row r="297" spans="1:17">
      <c r="A297" s="14">
        <v>291</v>
      </c>
      <c r="B297" s="14" t="s">
        <v>1295</v>
      </c>
      <c r="C297" s="14" t="s">
        <v>98</v>
      </c>
      <c r="D297" s="14" t="s">
        <v>398</v>
      </c>
      <c r="E297" s="14" t="s">
        <v>7</v>
      </c>
      <c r="F297" s="21" t="s">
        <v>404</v>
      </c>
      <c r="G297" s="21"/>
      <c r="H297" s="27">
        <f>(2.4*0.9)*$H$299</f>
        <v>16.416</v>
      </c>
      <c r="I297" s="231"/>
      <c r="J297" s="27">
        <f t="shared" si="23"/>
        <v>9.8496000000000006</v>
      </c>
      <c r="K297" s="27">
        <f t="shared" si="27"/>
        <v>26.265599999999999</v>
      </c>
      <c r="L297" s="2"/>
      <c r="M297" s="27" t="e">
        <f>H297*#REF!</f>
        <v>#REF!</v>
      </c>
      <c r="N297" s="21"/>
      <c r="O297" s="27" t="e">
        <f t="shared" si="26"/>
        <v>#REF!</v>
      </c>
      <c r="P297" s="64"/>
      <c r="Q297" s="2"/>
    </row>
    <row r="298" spans="1:17">
      <c r="A298" s="14">
        <v>292</v>
      </c>
      <c r="B298" s="14" t="s">
        <v>1295</v>
      </c>
      <c r="C298" s="14" t="s">
        <v>98</v>
      </c>
      <c r="D298" s="14" t="s">
        <v>398</v>
      </c>
      <c r="E298" s="14" t="s">
        <v>7</v>
      </c>
      <c r="F298" s="21" t="s">
        <v>405</v>
      </c>
      <c r="G298" s="21"/>
      <c r="H298" s="27">
        <v>18.62</v>
      </c>
      <c r="I298" s="231"/>
      <c r="J298" s="27">
        <f t="shared" si="23"/>
        <v>11.172000000000001</v>
      </c>
      <c r="K298" s="27">
        <f t="shared" si="27"/>
        <v>29.792000000000002</v>
      </c>
      <c r="L298" s="2"/>
      <c r="M298" s="27" t="e">
        <f>H298*#REF!</f>
        <v>#REF!</v>
      </c>
      <c r="N298" s="21"/>
      <c r="O298" s="27" t="e">
        <f t="shared" si="26"/>
        <v>#REF!</v>
      </c>
      <c r="P298" s="64"/>
      <c r="Q298" s="2"/>
    </row>
    <row r="299" spans="1:17">
      <c r="A299" s="14">
        <v>293</v>
      </c>
      <c r="B299" s="14" t="s">
        <v>1295</v>
      </c>
      <c r="C299" s="14" t="s">
        <v>45</v>
      </c>
      <c r="D299" s="14" t="s">
        <v>406</v>
      </c>
      <c r="E299" s="14" t="s">
        <v>7</v>
      </c>
      <c r="F299" s="21" t="s">
        <v>407</v>
      </c>
      <c r="G299" s="14">
        <v>21.19</v>
      </c>
      <c r="H299" s="27">
        <v>7.6</v>
      </c>
      <c r="I299" s="231"/>
      <c r="J299" s="27">
        <f t="shared" si="23"/>
        <v>4.5599999999999996</v>
      </c>
      <c r="K299" s="27">
        <f t="shared" si="27"/>
        <v>12.16</v>
      </c>
      <c r="L299" s="2"/>
      <c r="M299" s="27" t="e">
        <f>H299*#REF!</f>
        <v>#REF!</v>
      </c>
      <c r="N299" s="21"/>
      <c r="O299" s="27" t="e">
        <f t="shared" si="26"/>
        <v>#REF!</v>
      </c>
      <c r="P299" s="64"/>
      <c r="Q299" s="2"/>
    </row>
    <row r="300" spans="1:17">
      <c r="A300" s="14">
        <v>294</v>
      </c>
      <c r="B300" s="14" t="s">
        <v>1295</v>
      </c>
      <c r="C300" s="14" t="s">
        <v>45</v>
      </c>
      <c r="D300" s="14" t="s">
        <v>406</v>
      </c>
      <c r="E300" s="14" t="s">
        <v>7</v>
      </c>
      <c r="F300" s="21" t="s">
        <v>408</v>
      </c>
      <c r="G300" s="14">
        <v>21.19</v>
      </c>
      <c r="H300" s="27">
        <v>5.3</v>
      </c>
      <c r="I300" s="231"/>
      <c r="J300" s="27">
        <f t="shared" si="23"/>
        <v>3.1799999999999997</v>
      </c>
      <c r="K300" s="27">
        <f t="shared" si="27"/>
        <v>8.48</v>
      </c>
      <c r="L300" s="2"/>
      <c r="M300" s="21"/>
      <c r="N300" s="64"/>
      <c r="O300" s="64"/>
      <c r="P300" s="64"/>
      <c r="Q300" s="2"/>
    </row>
    <row r="301" spans="1:17">
      <c r="A301" s="14">
        <v>295</v>
      </c>
      <c r="B301" s="14" t="s">
        <v>1295</v>
      </c>
      <c r="C301" s="14" t="s">
        <v>45</v>
      </c>
      <c r="D301" s="14" t="s">
        <v>406</v>
      </c>
      <c r="E301" s="14" t="s">
        <v>7</v>
      </c>
      <c r="F301" s="17" t="s">
        <v>96</v>
      </c>
      <c r="G301" s="14">
        <v>21.19</v>
      </c>
      <c r="H301" s="39">
        <v>6.7</v>
      </c>
      <c r="I301" s="232"/>
      <c r="J301" s="27">
        <f t="shared" si="23"/>
        <v>4.0199999999999996</v>
      </c>
      <c r="K301" s="27">
        <f t="shared" si="27"/>
        <v>10.719999999999999</v>
      </c>
      <c r="L301" s="2"/>
      <c r="M301" s="21"/>
      <c r="N301" s="64"/>
      <c r="O301" s="64"/>
      <c r="P301" s="64"/>
      <c r="Q301" s="2"/>
    </row>
    <row r="302" spans="1:17">
      <c r="A302" s="14">
        <v>296</v>
      </c>
      <c r="B302" s="14" t="s">
        <v>1295</v>
      </c>
      <c r="C302" s="14" t="s">
        <v>45</v>
      </c>
      <c r="D302" s="14" t="s">
        <v>406</v>
      </c>
      <c r="E302" s="14" t="s">
        <v>7</v>
      </c>
      <c r="F302" s="17" t="s">
        <v>97</v>
      </c>
      <c r="G302" s="14">
        <v>21.19</v>
      </c>
      <c r="H302" s="27">
        <v>3.65</v>
      </c>
      <c r="I302" s="232"/>
      <c r="J302" s="27">
        <f t="shared" si="23"/>
        <v>2.19</v>
      </c>
      <c r="K302" s="27">
        <f t="shared" si="27"/>
        <v>5.84</v>
      </c>
      <c r="L302" s="2"/>
      <c r="M302" s="21"/>
      <c r="N302" s="64"/>
      <c r="O302" s="64"/>
      <c r="P302" s="64"/>
      <c r="Q302" s="2"/>
    </row>
    <row r="303" spans="1:17">
      <c r="A303" s="14">
        <v>299</v>
      </c>
      <c r="B303" s="14" t="s">
        <v>1295</v>
      </c>
      <c r="C303" s="14" t="s">
        <v>69</v>
      </c>
      <c r="D303" s="14" t="s">
        <v>409</v>
      </c>
      <c r="E303" s="14" t="s">
        <v>7</v>
      </c>
      <c r="F303" s="21" t="s">
        <v>410</v>
      </c>
      <c r="G303" s="14">
        <v>9.7199999999999989</v>
      </c>
      <c r="H303" s="27" t="e">
        <f>(H304+H305+H306)/#REF!</f>
        <v>#REF!</v>
      </c>
      <c r="I303" s="231"/>
      <c r="J303" s="27" t="e">
        <f t="shared" si="23"/>
        <v>#REF!</v>
      </c>
      <c r="K303" s="27" t="e">
        <f t="shared" si="27"/>
        <v>#REF!</v>
      </c>
      <c r="L303" s="2"/>
      <c r="M303" s="21"/>
      <c r="N303" s="64"/>
      <c r="O303" s="64"/>
      <c r="P303" s="64"/>
      <c r="Q303" s="2"/>
    </row>
    <row r="304" spans="1:17">
      <c r="A304" s="14">
        <v>300</v>
      </c>
      <c r="B304" s="14" t="s">
        <v>1295</v>
      </c>
      <c r="C304" s="14" t="s">
        <v>69</v>
      </c>
      <c r="D304" s="14" t="s">
        <v>409</v>
      </c>
      <c r="E304" s="14" t="s">
        <v>7</v>
      </c>
      <c r="F304" s="17" t="s">
        <v>411</v>
      </c>
      <c r="G304" s="14">
        <v>2.88</v>
      </c>
      <c r="H304" s="27">
        <v>133</v>
      </c>
      <c r="I304" s="232"/>
      <c r="J304" s="27">
        <f t="shared" si="23"/>
        <v>79.8</v>
      </c>
      <c r="K304" s="27">
        <f t="shared" si="27"/>
        <v>212.8</v>
      </c>
      <c r="L304" s="2"/>
      <c r="M304" s="21"/>
      <c r="N304" s="64"/>
      <c r="O304" s="64"/>
      <c r="P304" s="64"/>
      <c r="Q304" s="2"/>
    </row>
    <row r="305" spans="1:17">
      <c r="A305" s="14">
        <v>301</v>
      </c>
      <c r="B305" s="14" t="s">
        <v>1295</v>
      </c>
      <c r="C305" s="14" t="s">
        <v>69</v>
      </c>
      <c r="D305" s="14" t="s">
        <v>409</v>
      </c>
      <c r="E305" s="14" t="s">
        <v>7</v>
      </c>
      <c r="F305" s="17" t="s">
        <v>413</v>
      </c>
      <c r="G305" s="14">
        <v>3.24</v>
      </c>
      <c r="H305" s="27">
        <v>150</v>
      </c>
      <c r="I305" s="232"/>
      <c r="J305" s="27">
        <f t="shared" si="23"/>
        <v>90</v>
      </c>
      <c r="K305" s="27">
        <f t="shared" si="27"/>
        <v>240</v>
      </c>
      <c r="L305" s="2"/>
      <c r="M305" s="21"/>
      <c r="N305" s="64"/>
      <c r="O305" s="64"/>
      <c r="P305" s="64"/>
      <c r="Q305" s="2"/>
    </row>
    <row r="306" spans="1:17">
      <c r="A306" s="14">
        <v>302</v>
      </c>
      <c r="B306" s="14" t="s">
        <v>1295</v>
      </c>
      <c r="C306" s="14" t="s">
        <v>69</v>
      </c>
      <c r="D306" s="14" t="s">
        <v>409</v>
      </c>
      <c r="E306" s="14" t="s">
        <v>7</v>
      </c>
      <c r="F306" s="17" t="s">
        <v>414</v>
      </c>
      <c r="G306" s="14">
        <v>3.5999999999999996</v>
      </c>
      <c r="H306" s="27">
        <v>165</v>
      </c>
      <c r="I306" s="232"/>
      <c r="J306" s="27">
        <f t="shared" si="23"/>
        <v>99</v>
      </c>
      <c r="K306" s="27">
        <f t="shared" si="27"/>
        <v>264</v>
      </c>
      <c r="L306" s="63"/>
      <c r="M306" s="21"/>
      <c r="N306" s="64"/>
      <c r="O306" s="64"/>
      <c r="P306" s="64"/>
      <c r="Q306" s="2"/>
    </row>
    <row r="307" spans="1:17">
      <c r="A307" s="14">
        <v>303</v>
      </c>
      <c r="B307" s="14" t="s">
        <v>1295</v>
      </c>
      <c r="C307" s="14" t="s">
        <v>69</v>
      </c>
      <c r="D307" s="14" t="s">
        <v>409</v>
      </c>
      <c r="E307" s="14" t="s">
        <v>7</v>
      </c>
      <c r="F307" s="21"/>
      <c r="G307" s="14">
        <v>3.5999999999999996</v>
      </c>
      <c r="H307" s="27"/>
      <c r="I307" s="232"/>
      <c r="J307" s="27">
        <f t="shared" si="23"/>
        <v>0</v>
      </c>
      <c r="K307" s="27">
        <f t="shared" si="27"/>
        <v>0</v>
      </c>
      <c r="L307" s="2"/>
      <c r="M307" s="21" t="s">
        <v>412</v>
      </c>
      <c r="N307" s="64"/>
      <c r="O307" s="64"/>
      <c r="P307" s="64"/>
      <c r="Q307" s="2"/>
    </row>
    <row r="308" spans="1:17">
      <c r="A308" s="14">
        <v>304</v>
      </c>
      <c r="B308" s="14" t="s">
        <v>1295</v>
      </c>
      <c r="C308" s="14" t="s">
        <v>69</v>
      </c>
      <c r="D308" s="14" t="s">
        <v>409</v>
      </c>
      <c r="E308" s="14" t="s">
        <v>7</v>
      </c>
      <c r="F308" s="21" t="s">
        <v>415</v>
      </c>
      <c r="G308" s="14">
        <v>3.5999999999999996</v>
      </c>
      <c r="H308" s="27">
        <v>23</v>
      </c>
      <c r="I308" s="232"/>
      <c r="J308" s="27">
        <f t="shared" si="23"/>
        <v>13.799999999999999</v>
      </c>
      <c r="K308" s="27">
        <f t="shared" si="27"/>
        <v>36.799999999999997</v>
      </c>
      <c r="L308" s="2"/>
      <c r="M308" s="21" t="s">
        <v>412</v>
      </c>
      <c r="N308" s="64"/>
      <c r="O308" s="64"/>
      <c r="P308" s="64"/>
      <c r="Q308" s="2"/>
    </row>
    <row r="309" spans="1:17">
      <c r="A309" s="14">
        <v>305</v>
      </c>
      <c r="B309" s="14" t="s">
        <v>1295</v>
      </c>
      <c r="C309" s="14" t="s">
        <v>69</v>
      </c>
      <c r="D309" s="14" t="s">
        <v>409</v>
      </c>
      <c r="E309" s="14" t="s">
        <v>7</v>
      </c>
      <c r="F309" s="21" t="s">
        <v>416</v>
      </c>
      <c r="G309" s="14">
        <v>3.5999999999999996</v>
      </c>
      <c r="H309" s="27">
        <v>58</v>
      </c>
      <c r="I309" s="232"/>
      <c r="J309" s="27">
        <f t="shared" si="23"/>
        <v>34.799999999999997</v>
      </c>
      <c r="K309" s="27">
        <f t="shared" si="27"/>
        <v>92.8</v>
      </c>
      <c r="L309" s="2"/>
      <c r="M309" s="21" t="s">
        <v>412</v>
      </c>
      <c r="N309" s="64"/>
      <c r="O309" s="64"/>
      <c r="P309" s="64"/>
      <c r="Q309" s="2"/>
    </row>
    <row r="310" spans="1:17">
      <c r="A310" s="14">
        <v>306</v>
      </c>
      <c r="B310" s="14" t="s">
        <v>1295</v>
      </c>
      <c r="C310" s="14" t="s">
        <v>69</v>
      </c>
      <c r="D310" s="14" t="s">
        <v>409</v>
      </c>
      <c r="E310" s="14" t="s">
        <v>7</v>
      </c>
      <c r="F310" s="21" t="s">
        <v>417</v>
      </c>
      <c r="G310" s="14">
        <v>3.5999999999999996</v>
      </c>
      <c r="H310" s="27">
        <v>104.69</v>
      </c>
      <c r="I310" s="232"/>
      <c r="J310" s="27">
        <f t="shared" si="23"/>
        <v>62.813999999999993</v>
      </c>
      <c r="K310" s="27">
        <f t="shared" si="27"/>
        <v>167.50399999999999</v>
      </c>
      <c r="L310" s="2"/>
      <c r="M310" s="21"/>
      <c r="N310" s="64"/>
      <c r="O310" s="64"/>
      <c r="P310" s="64"/>
      <c r="Q310" s="2"/>
    </row>
    <row r="311" spans="1:17">
      <c r="A311" s="14">
        <v>307</v>
      </c>
      <c r="B311" s="14" t="s">
        <v>1295</v>
      </c>
      <c r="C311" s="14" t="s">
        <v>69</v>
      </c>
      <c r="D311" s="14" t="s">
        <v>409</v>
      </c>
      <c r="E311" s="14" t="s">
        <v>7</v>
      </c>
      <c r="F311" s="21" t="s">
        <v>419</v>
      </c>
      <c r="G311" s="14">
        <v>3.5999999999999996</v>
      </c>
      <c r="H311" s="27">
        <v>9.64</v>
      </c>
      <c r="I311" s="232"/>
      <c r="J311" s="27">
        <f t="shared" si="23"/>
        <v>5.7839999999999998</v>
      </c>
      <c r="K311" s="27">
        <f t="shared" si="27"/>
        <v>15.423999999999999</v>
      </c>
      <c r="L311" s="2"/>
      <c r="M311" s="21" t="s">
        <v>412</v>
      </c>
      <c r="N311" s="64"/>
      <c r="O311" s="64"/>
      <c r="P311" s="64"/>
      <c r="Q311" s="2"/>
    </row>
    <row r="312" spans="1:17">
      <c r="A312" s="14">
        <v>308</v>
      </c>
      <c r="B312" s="14" t="s">
        <v>1295</v>
      </c>
      <c r="C312" s="14" t="s">
        <v>69</v>
      </c>
      <c r="D312" s="14" t="s">
        <v>409</v>
      </c>
      <c r="E312" s="14" t="s">
        <v>7</v>
      </c>
      <c r="F312" s="21" t="s">
        <v>420</v>
      </c>
      <c r="G312" s="14">
        <v>3.5999999999999996</v>
      </c>
      <c r="H312" s="27">
        <v>13.54</v>
      </c>
      <c r="I312" s="232"/>
      <c r="J312" s="27">
        <f t="shared" si="23"/>
        <v>8.1239999999999988</v>
      </c>
      <c r="K312" s="27">
        <f t="shared" si="27"/>
        <v>21.663999999999998</v>
      </c>
      <c r="M312" s="21" t="s">
        <v>412</v>
      </c>
      <c r="N312" s="64"/>
      <c r="O312" s="64"/>
      <c r="P312" s="64"/>
      <c r="Q312" s="2"/>
    </row>
    <row r="313" spans="1:17">
      <c r="A313" s="14">
        <v>309</v>
      </c>
      <c r="B313" s="14" t="s">
        <v>1295</v>
      </c>
      <c r="C313" s="14" t="s">
        <v>69</v>
      </c>
      <c r="D313" s="14" t="s">
        <v>409</v>
      </c>
      <c r="E313" s="14" t="s">
        <v>7</v>
      </c>
      <c r="F313" s="22" t="s">
        <v>421</v>
      </c>
      <c r="G313" s="14">
        <v>3.5999999999999996</v>
      </c>
      <c r="H313" s="27">
        <v>350</v>
      </c>
      <c r="I313" s="232"/>
      <c r="J313" s="27">
        <f t="shared" si="23"/>
        <v>210</v>
      </c>
      <c r="K313" s="27">
        <f t="shared" si="27"/>
        <v>560</v>
      </c>
      <c r="L313" s="76"/>
      <c r="M313" s="21" t="s">
        <v>418</v>
      </c>
      <c r="N313" s="64"/>
      <c r="O313" s="64"/>
      <c r="P313" s="64"/>
      <c r="Q313" s="2"/>
    </row>
    <row r="314" spans="1:17">
      <c r="A314" s="14">
        <v>310</v>
      </c>
      <c r="B314" s="14" t="s">
        <v>1295</v>
      </c>
      <c r="C314" s="14" t="s">
        <v>69</v>
      </c>
      <c r="E314" s="14" t="s">
        <v>7</v>
      </c>
      <c r="F314" s="21"/>
      <c r="H314" s="27"/>
      <c r="I314" s="232"/>
      <c r="J314" s="27">
        <f t="shared" si="23"/>
        <v>0</v>
      </c>
      <c r="K314" s="27">
        <f t="shared" si="27"/>
        <v>0</v>
      </c>
      <c r="L314" s="77"/>
      <c r="M314" s="21"/>
      <c r="N314" s="64"/>
      <c r="O314" s="64"/>
      <c r="P314" s="64"/>
      <c r="Q314" s="2"/>
    </row>
    <row r="315" spans="1:17">
      <c r="A315" s="14">
        <v>311</v>
      </c>
      <c r="B315" s="14" t="s">
        <v>1295</v>
      </c>
      <c r="C315" s="14" t="s">
        <v>69</v>
      </c>
      <c r="D315" s="14" t="s">
        <v>422</v>
      </c>
      <c r="E315" s="14" t="s">
        <v>7</v>
      </c>
      <c r="H315" s="27"/>
      <c r="I315" s="231"/>
      <c r="J315" s="27">
        <f t="shared" si="23"/>
        <v>0</v>
      </c>
      <c r="K315" s="27">
        <f t="shared" si="27"/>
        <v>0</v>
      </c>
      <c r="L315" s="76"/>
      <c r="M315" s="21"/>
      <c r="N315" s="64"/>
      <c r="O315" s="64"/>
      <c r="P315" s="64"/>
      <c r="Q315" s="2"/>
    </row>
    <row r="316" spans="1:17">
      <c r="A316" s="14">
        <v>312</v>
      </c>
      <c r="B316" s="14" t="s">
        <v>1295</v>
      </c>
      <c r="C316" s="14" t="s">
        <v>69</v>
      </c>
      <c r="D316" s="14" t="s">
        <v>422</v>
      </c>
      <c r="E316" s="14" t="s">
        <v>7</v>
      </c>
      <c r="F316" s="21" t="s">
        <v>423</v>
      </c>
      <c r="G316" s="21"/>
      <c r="H316" s="27">
        <v>6.59</v>
      </c>
      <c r="I316" s="231"/>
      <c r="J316" s="27">
        <f t="shared" si="23"/>
        <v>3.9539999999999997</v>
      </c>
      <c r="K316" s="27">
        <f t="shared" si="27"/>
        <v>10.544</v>
      </c>
      <c r="L316" s="76"/>
      <c r="M316" s="21" t="s">
        <v>418</v>
      </c>
      <c r="N316" s="64"/>
      <c r="O316" s="64"/>
      <c r="P316" s="64"/>
      <c r="Q316" s="2"/>
    </row>
    <row r="317" spans="1:17">
      <c r="A317" s="14">
        <v>313</v>
      </c>
      <c r="B317" s="14" t="s">
        <v>1295</v>
      </c>
      <c r="C317" s="14" t="s">
        <v>69</v>
      </c>
      <c r="D317" s="14" t="s">
        <v>422</v>
      </c>
      <c r="E317" s="14" t="s">
        <v>7</v>
      </c>
      <c r="F317" s="21" t="s">
        <v>424</v>
      </c>
      <c r="G317" s="21"/>
      <c r="H317" s="27">
        <v>6</v>
      </c>
      <c r="I317" s="231"/>
      <c r="J317" s="27">
        <f t="shared" si="23"/>
        <v>3.5999999999999996</v>
      </c>
      <c r="K317" s="27">
        <f t="shared" si="27"/>
        <v>9.6</v>
      </c>
      <c r="M317" s="21"/>
      <c r="N317" s="64"/>
      <c r="O317" s="64"/>
      <c r="P317" s="64"/>
      <c r="Q317" s="2"/>
    </row>
    <row r="318" spans="1:17">
      <c r="A318" s="14">
        <v>314</v>
      </c>
      <c r="B318" s="14" t="s">
        <v>1295</v>
      </c>
      <c r="C318" s="14" t="s">
        <v>69</v>
      </c>
      <c r="D318" s="14" t="s">
        <v>422</v>
      </c>
      <c r="E318" s="14" t="s">
        <v>7</v>
      </c>
      <c r="F318" s="21" t="s">
        <v>425</v>
      </c>
      <c r="G318" s="21"/>
      <c r="H318" s="27">
        <f>H316*5.4*2</f>
        <v>71.171999999999997</v>
      </c>
      <c r="I318" s="231"/>
      <c r="J318" s="27">
        <f t="shared" si="23"/>
        <v>42.703199999999995</v>
      </c>
      <c r="K318" s="27">
        <f t="shared" si="27"/>
        <v>113.87519999999999</v>
      </c>
      <c r="L318" s="2"/>
      <c r="M318" s="21"/>
      <c r="N318" s="64"/>
      <c r="O318" s="64"/>
      <c r="P318" s="64"/>
      <c r="Q318" s="2"/>
    </row>
    <row r="319" spans="1:17">
      <c r="A319" s="14">
        <v>315</v>
      </c>
      <c r="B319" s="14" t="s">
        <v>1295</v>
      </c>
      <c r="C319" s="14" t="s">
        <v>69</v>
      </c>
      <c r="D319" s="14" t="s">
        <v>141</v>
      </c>
      <c r="E319" s="14" t="s">
        <v>7</v>
      </c>
      <c r="F319" s="21" t="s">
        <v>426</v>
      </c>
      <c r="G319" s="21"/>
      <c r="H319" s="27">
        <v>231.82</v>
      </c>
      <c r="I319" s="231"/>
      <c r="J319" s="27">
        <f t="shared" si="23"/>
        <v>139.09199999999998</v>
      </c>
      <c r="K319" s="27">
        <f t="shared" si="27"/>
        <v>370.91199999999998</v>
      </c>
      <c r="L319" s="2"/>
      <c r="M319" s="21"/>
      <c r="N319" s="64"/>
      <c r="O319" s="64"/>
      <c r="P319" s="64"/>
      <c r="Q319" s="2"/>
    </row>
    <row r="320" spans="1:17">
      <c r="A320" s="14">
        <v>316</v>
      </c>
      <c r="B320" s="14" t="s">
        <v>1295</v>
      </c>
      <c r="C320" s="14" t="s">
        <v>69</v>
      </c>
      <c r="D320" s="14" t="s">
        <v>141</v>
      </c>
      <c r="E320" s="14" t="s">
        <v>7</v>
      </c>
      <c r="F320" s="21" t="s">
        <v>86</v>
      </c>
      <c r="G320" s="21"/>
      <c r="H320" s="27">
        <v>43.86</v>
      </c>
      <c r="I320" s="231"/>
      <c r="J320" s="27">
        <f t="shared" si="23"/>
        <v>26.315999999999999</v>
      </c>
      <c r="K320" s="27">
        <f t="shared" si="27"/>
        <v>70.176000000000002</v>
      </c>
      <c r="L320" s="2"/>
      <c r="M320" s="21"/>
      <c r="N320" s="64"/>
      <c r="O320" s="64"/>
      <c r="P320" s="64"/>
      <c r="Q320" s="2"/>
    </row>
    <row r="321" spans="1:17">
      <c r="A321" s="14">
        <v>317</v>
      </c>
      <c r="B321" s="14" t="s">
        <v>1295</v>
      </c>
      <c r="C321" s="14" t="s">
        <v>69</v>
      </c>
      <c r="D321" s="14" t="s">
        <v>141</v>
      </c>
      <c r="E321" s="14" t="s">
        <v>7</v>
      </c>
      <c r="F321" s="21" t="s">
        <v>427</v>
      </c>
      <c r="G321" s="21"/>
      <c r="H321" s="27">
        <v>34.76</v>
      </c>
      <c r="I321" s="231"/>
      <c r="J321" s="27">
        <f t="shared" si="23"/>
        <v>20.855999999999998</v>
      </c>
      <c r="K321" s="27">
        <f t="shared" si="27"/>
        <v>55.616</v>
      </c>
      <c r="L321" s="2"/>
      <c r="M321" s="21"/>
      <c r="N321" s="64"/>
      <c r="O321" s="64"/>
      <c r="P321" s="64"/>
      <c r="Q321" s="2"/>
    </row>
    <row r="322" spans="1:17">
      <c r="A322" s="14">
        <v>318</v>
      </c>
      <c r="B322" s="14" t="s">
        <v>1295</v>
      </c>
      <c r="C322" s="14" t="s">
        <v>69</v>
      </c>
      <c r="D322" s="14" t="s">
        <v>428</v>
      </c>
      <c r="E322" s="14" t="s">
        <v>7</v>
      </c>
      <c r="F322" s="21" t="s">
        <v>93</v>
      </c>
      <c r="G322" s="21"/>
      <c r="H322" s="27">
        <v>0</v>
      </c>
      <c r="I322" s="231"/>
      <c r="J322" s="27">
        <f t="shared" si="23"/>
        <v>0</v>
      </c>
      <c r="K322" s="27">
        <f t="shared" si="27"/>
        <v>0</v>
      </c>
      <c r="L322" s="78"/>
      <c r="M322" s="21"/>
      <c r="N322" s="64"/>
      <c r="O322" s="64"/>
      <c r="P322" s="64"/>
      <c r="Q322" s="2"/>
    </row>
    <row r="323" spans="1:17">
      <c r="A323" s="14">
        <v>319</v>
      </c>
      <c r="B323" s="14" t="s">
        <v>1295</v>
      </c>
      <c r="C323" s="14" t="s">
        <v>69</v>
      </c>
      <c r="D323" s="14" t="s">
        <v>428</v>
      </c>
      <c r="E323" s="14" t="s">
        <v>7</v>
      </c>
      <c r="F323" s="21" t="s">
        <v>91</v>
      </c>
      <c r="G323" s="21"/>
      <c r="H323" s="27">
        <v>289</v>
      </c>
      <c r="I323" s="231"/>
      <c r="J323" s="27">
        <f t="shared" si="23"/>
        <v>173.4</v>
      </c>
      <c r="K323" s="27">
        <f t="shared" si="27"/>
        <v>462.4</v>
      </c>
      <c r="L323" s="78"/>
      <c r="M323" s="21"/>
      <c r="N323" s="64"/>
      <c r="O323" s="64"/>
      <c r="P323" s="64"/>
      <c r="Q323" s="2"/>
    </row>
    <row r="324" spans="1:17">
      <c r="A324" s="14">
        <v>320</v>
      </c>
      <c r="B324" s="14" t="s">
        <v>1295</v>
      </c>
      <c r="C324" s="14" t="s">
        <v>69</v>
      </c>
      <c r="D324" s="14" t="s">
        <v>428</v>
      </c>
      <c r="E324" s="14" t="s">
        <v>7</v>
      </c>
      <c r="F324" s="21" t="s">
        <v>92</v>
      </c>
      <c r="G324" s="21"/>
      <c r="H324" s="27">
        <v>190</v>
      </c>
      <c r="I324" s="231"/>
      <c r="J324" s="27">
        <f t="shared" si="23"/>
        <v>114</v>
      </c>
      <c r="K324" s="27">
        <f t="shared" ref="K324:K355" si="28">H324+I324+J324</f>
        <v>304</v>
      </c>
      <c r="L324" s="2"/>
      <c r="M324" s="21"/>
      <c r="N324" s="64"/>
      <c r="O324" s="64"/>
      <c r="P324" s="64"/>
      <c r="Q324" s="2"/>
    </row>
    <row r="325" spans="1:17">
      <c r="A325" s="14">
        <v>321</v>
      </c>
      <c r="B325" s="14" t="s">
        <v>1295</v>
      </c>
      <c r="C325" s="14" t="s">
        <v>69</v>
      </c>
      <c r="D325" s="14" t="s">
        <v>428</v>
      </c>
      <c r="E325" s="14" t="s">
        <v>7</v>
      </c>
      <c r="F325" s="21"/>
      <c r="G325" s="21"/>
      <c r="H325" s="27"/>
      <c r="I325" s="231"/>
      <c r="J325" s="27">
        <f t="shared" si="23"/>
        <v>0</v>
      </c>
      <c r="K325" s="27">
        <f t="shared" si="28"/>
        <v>0</v>
      </c>
      <c r="L325" s="2"/>
      <c r="M325" s="21"/>
      <c r="N325" s="64"/>
      <c r="O325" s="64"/>
      <c r="P325" s="64"/>
      <c r="Q325" s="2"/>
    </row>
    <row r="326" spans="1:17">
      <c r="A326" s="14">
        <v>322</v>
      </c>
      <c r="B326" s="14" t="s">
        <v>1295</v>
      </c>
      <c r="C326" s="14" t="s">
        <v>69</v>
      </c>
      <c r="D326" s="14" t="s">
        <v>428</v>
      </c>
      <c r="E326" s="14" t="s">
        <v>7</v>
      </c>
      <c r="F326" s="21" t="s">
        <v>429</v>
      </c>
      <c r="G326" s="21"/>
      <c r="H326" s="27">
        <v>40.909999999999997</v>
      </c>
      <c r="I326" s="231"/>
      <c r="J326" s="27">
        <f t="shared" si="23"/>
        <v>24.545999999999996</v>
      </c>
      <c r="K326" s="27">
        <f t="shared" si="28"/>
        <v>65.455999999999989</v>
      </c>
      <c r="L326" s="78"/>
      <c r="M326" s="21"/>
      <c r="N326" s="64"/>
      <c r="O326" s="64"/>
      <c r="P326" s="64"/>
      <c r="Q326" s="2"/>
    </row>
    <row r="327" spans="1:17">
      <c r="A327" s="14">
        <v>323</v>
      </c>
      <c r="B327" s="14" t="s">
        <v>1295</v>
      </c>
      <c r="C327" s="14" t="s">
        <v>69</v>
      </c>
      <c r="D327" s="14" t="s">
        <v>428</v>
      </c>
      <c r="E327" s="14" t="s">
        <v>7</v>
      </c>
      <c r="F327" s="21" t="s">
        <v>430</v>
      </c>
      <c r="G327" s="21"/>
      <c r="H327" s="27">
        <v>40.909999999999997</v>
      </c>
      <c r="I327" s="231"/>
      <c r="J327" s="27">
        <f t="shared" si="23"/>
        <v>24.545999999999996</v>
      </c>
      <c r="K327" s="27">
        <f t="shared" si="28"/>
        <v>65.455999999999989</v>
      </c>
      <c r="L327" s="2"/>
      <c r="M327" s="21"/>
      <c r="N327" s="64"/>
      <c r="O327" s="64"/>
      <c r="P327" s="64"/>
      <c r="Q327" s="2"/>
    </row>
    <row r="328" spans="1:17">
      <c r="A328" s="14">
        <v>324</v>
      </c>
      <c r="B328" s="14" t="s">
        <v>1295</v>
      </c>
      <c r="C328" s="14" t="s">
        <v>69</v>
      </c>
      <c r="D328" s="14" t="s">
        <v>428</v>
      </c>
      <c r="E328" s="14" t="s">
        <v>7</v>
      </c>
      <c r="F328" s="21" t="s">
        <v>431</v>
      </c>
      <c r="G328" s="21"/>
      <c r="H328" s="27">
        <v>40.909999999999997</v>
      </c>
      <c r="I328" s="231"/>
      <c r="J328" s="27">
        <f t="shared" ref="J328:J391" si="29">H328*$D$6</f>
        <v>24.545999999999996</v>
      </c>
      <c r="K328" s="27">
        <f t="shared" si="28"/>
        <v>65.455999999999989</v>
      </c>
      <c r="L328" s="2"/>
      <c r="M328" s="21"/>
      <c r="N328" s="64"/>
      <c r="O328" s="64"/>
      <c r="P328" s="64"/>
      <c r="Q328" s="2"/>
    </row>
    <row r="329" spans="1:17">
      <c r="A329" s="14">
        <v>325</v>
      </c>
      <c r="B329" s="14" t="s">
        <v>1295</v>
      </c>
      <c r="C329" s="14" t="s">
        <v>69</v>
      </c>
      <c r="D329" s="14" t="s">
        <v>428</v>
      </c>
      <c r="E329" s="14" t="s">
        <v>7</v>
      </c>
      <c r="F329" s="21" t="s">
        <v>432</v>
      </c>
      <c r="G329" s="21"/>
      <c r="H329" s="27">
        <v>47.27</v>
      </c>
      <c r="I329" s="231"/>
      <c r="J329" s="27">
        <f t="shared" si="29"/>
        <v>28.362000000000002</v>
      </c>
      <c r="K329" s="27">
        <f t="shared" si="28"/>
        <v>75.632000000000005</v>
      </c>
      <c r="L329" s="2"/>
      <c r="M329" s="21"/>
      <c r="N329" s="64"/>
      <c r="O329" s="64"/>
      <c r="P329" s="64"/>
      <c r="Q329" s="2"/>
    </row>
    <row r="330" spans="1:17">
      <c r="A330" s="14">
        <v>326</v>
      </c>
      <c r="B330" s="14" t="s">
        <v>1295</v>
      </c>
      <c r="C330" s="14" t="s">
        <v>69</v>
      </c>
      <c r="D330" s="14" t="s">
        <v>428</v>
      </c>
      <c r="E330" s="14" t="s">
        <v>7</v>
      </c>
      <c r="F330" s="21" t="s">
        <v>433</v>
      </c>
      <c r="G330" s="21"/>
      <c r="H330" s="27">
        <v>47.27</v>
      </c>
      <c r="I330" s="231"/>
      <c r="J330" s="27">
        <f t="shared" si="29"/>
        <v>28.362000000000002</v>
      </c>
      <c r="K330" s="27">
        <f t="shared" si="28"/>
        <v>75.632000000000005</v>
      </c>
      <c r="L330" s="2"/>
      <c r="M330" s="21"/>
      <c r="N330" s="64"/>
      <c r="O330" s="64"/>
      <c r="P330" s="64"/>
      <c r="Q330" s="2"/>
    </row>
    <row r="331" spans="1:17">
      <c r="A331" s="14">
        <v>327</v>
      </c>
      <c r="B331" s="14" t="s">
        <v>1295</v>
      </c>
      <c r="C331" s="14" t="s">
        <v>69</v>
      </c>
      <c r="D331" s="14" t="s">
        <v>428</v>
      </c>
      <c r="E331" s="14" t="s">
        <v>7</v>
      </c>
      <c r="F331" s="21" t="s">
        <v>434</v>
      </c>
      <c r="G331" s="21"/>
      <c r="H331" s="27">
        <v>47.27</v>
      </c>
      <c r="I331" s="231"/>
      <c r="J331" s="27">
        <f t="shared" si="29"/>
        <v>28.362000000000002</v>
      </c>
      <c r="K331" s="27">
        <f t="shared" si="28"/>
        <v>75.632000000000005</v>
      </c>
      <c r="L331" s="2"/>
      <c r="M331" s="21"/>
      <c r="N331" s="64"/>
      <c r="O331" s="64"/>
      <c r="P331" s="64"/>
      <c r="Q331" s="2"/>
    </row>
    <row r="332" spans="1:17">
      <c r="A332" s="14">
        <v>328</v>
      </c>
      <c r="B332" s="14" t="s">
        <v>1295</v>
      </c>
      <c r="C332" s="14" t="s">
        <v>69</v>
      </c>
      <c r="D332" s="14" t="s">
        <v>428</v>
      </c>
      <c r="E332" s="14" t="s">
        <v>7</v>
      </c>
      <c r="F332" s="21" t="s">
        <v>435</v>
      </c>
      <c r="G332" s="21"/>
      <c r="H332" s="27">
        <v>47.27</v>
      </c>
      <c r="I332" s="231"/>
      <c r="J332" s="27">
        <f t="shared" si="29"/>
        <v>28.362000000000002</v>
      </c>
      <c r="K332" s="27">
        <f t="shared" si="28"/>
        <v>75.632000000000005</v>
      </c>
      <c r="L332" s="78"/>
      <c r="M332" s="21"/>
      <c r="N332" s="64"/>
      <c r="O332" s="64"/>
      <c r="P332" s="64"/>
      <c r="Q332" s="2"/>
    </row>
    <row r="333" spans="1:17">
      <c r="A333" s="14">
        <v>329</v>
      </c>
      <c r="B333" s="14" t="s">
        <v>1295</v>
      </c>
      <c r="C333" s="14" t="s">
        <v>69</v>
      </c>
      <c r="D333" s="14" t="s">
        <v>428</v>
      </c>
      <c r="E333" s="14" t="s">
        <v>7</v>
      </c>
      <c r="F333" s="21" t="s">
        <v>436</v>
      </c>
      <c r="G333" s="21"/>
      <c r="H333" s="27">
        <v>47.27</v>
      </c>
      <c r="I333" s="231"/>
      <c r="J333" s="27">
        <f t="shared" si="29"/>
        <v>28.362000000000002</v>
      </c>
      <c r="K333" s="27">
        <f t="shared" si="28"/>
        <v>75.632000000000005</v>
      </c>
      <c r="L333" s="78"/>
      <c r="M333" s="21"/>
      <c r="N333" s="64"/>
      <c r="O333" s="64"/>
      <c r="P333" s="64"/>
      <c r="Q333" s="2"/>
    </row>
    <row r="334" spans="1:17">
      <c r="A334" s="14">
        <v>330</v>
      </c>
      <c r="B334" s="14" t="s">
        <v>1295</v>
      </c>
      <c r="C334" s="14" t="s">
        <v>69</v>
      </c>
      <c r="D334" s="14" t="s">
        <v>428</v>
      </c>
      <c r="E334" s="14" t="s">
        <v>7</v>
      </c>
      <c r="F334" s="21"/>
      <c r="G334" s="21"/>
      <c r="H334" s="27"/>
      <c r="I334" s="231"/>
      <c r="J334" s="27">
        <f t="shared" si="29"/>
        <v>0</v>
      </c>
      <c r="K334" s="27">
        <f t="shared" si="28"/>
        <v>0</v>
      </c>
      <c r="L334" s="2"/>
      <c r="M334" s="21"/>
      <c r="N334" s="64"/>
      <c r="O334" s="64"/>
      <c r="P334" s="64"/>
      <c r="Q334" s="2"/>
    </row>
    <row r="335" spans="1:17">
      <c r="A335" s="14">
        <v>331</v>
      </c>
      <c r="B335" s="14" t="s">
        <v>1295</v>
      </c>
      <c r="C335" s="14" t="s">
        <v>69</v>
      </c>
      <c r="D335" s="14" t="s">
        <v>428</v>
      </c>
      <c r="E335" s="14" t="s">
        <v>7</v>
      </c>
      <c r="F335" s="22" t="s">
        <v>437</v>
      </c>
      <c r="G335" s="22"/>
      <c r="H335" s="27">
        <v>250</v>
      </c>
      <c r="I335" s="231"/>
      <c r="J335" s="27">
        <f t="shared" si="29"/>
        <v>150</v>
      </c>
      <c r="K335" s="27">
        <f t="shared" si="28"/>
        <v>400</v>
      </c>
      <c r="L335" s="2"/>
      <c r="M335" s="21"/>
      <c r="N335" s="64"/>
      <c r="O335" s="64"/>
      <c r="P335" s="64"/>
      <c r="Q335" s="2"/>
    </row>
    <row r="336" spans="1:17">
      <c r="A336" s="14">
        <v>332</v>
      </c>
      <c r="B336" s="14" t="s">
        <v>1295</v>
      </c>
      <c r="C336" s="14" t="s">
        <v>69</v>
      </c>
      <c r="D336" s="14" t="s">
        <v>438</v>
      </c>
      <c r="E336" s="14" t="s">
        <v>7</v>
      </c>
      <c r="H336" s="27"/>
      <c r="I336" s="231"/>
      <c r="J336" s="27">
        <f t="shared" si="29"/>
        <v>0</v>
      </c>
      <c r="K336" s="27">
        <f t="shared" si="28"/>
        <v>0</v>
      </c>
      <c r="L336" s="2"/>
      <c r="M336" s="21"/>
      <c r="N336" s="64"/>
      <c r="O336" s="64"/>
      <c r="P336" s="64"/>
      <c r="Q336" s="2"/>
    </row>
    <row r="337" spans="1:17">
      <c r="A337" s="14">
        <v>333</v>
      </c>
      <c r="B337" s="14" t="s">
        <v>1295</v>
      </c>
      <c r="C337" s="14" t="s">
        <v>69</v>
      </c>
      <c r="D337" s="14" t="s">
        <v>438</v>
      </c>
      <c r="E337" s="14" t="s">
        <v>7</v>
      </c>
      <c r="F337" s="21" t="s">
        <v>439</v>
      </c>
      <c r="G337" s="21"/>
      <c r="H337" s="27">
        <v>10</v>
      </c>
      <c r="I337" s="231"/>
      <c r="J337" s="27">
        <f t="shared" si="29"/>
        <v>6</v>
      </c>
      <c r="K337" s="27">
        <f t="shared" si="28"/>
        <v>16</v>
      </c>
      <c r="L337" s="2"/>
      <c r="M337" s="21"/>
      <c r="N337" s="64"/>
      <c r="O337" s="64"/>
      <c r="P337" s="64"/>
      <c r="Q337" s="2"/>
    </row>
    <row r="338" spans="1:17">
      <c r="A338" s="14">
        <v>334</v>
      </c>
      <c r="B338" s="14" t="s">
        <v>1295</v>
      </c>
      <c r="C338" s="14" t="s">
        <v>69</v>
      </c>
      <c r="D338" s="14" t="s">
        <v>438</v>
      </c>
      <c r="E338" s="14" t="s">
        <v>7</v>
      </c>
      <c r="F338" s="21"/>
      <c r="G338" s="21"/>
      <c r="H338" s="27"/>
      <c r="I338" s="231"/>
      <c r="J338" s="27">
        <f t="shared" si="29"/>
        <v>0</v>
      </c>
      <c r="K338" s="27">
        <f t="shared" si="28"/>
        <v>0</v>
      </c>
      <c r="L338" s="78"/>
      <c r="M338" s="21"/>
      <c r="N338" s="64"/>
      <c r="O338" s="64"/>
      <c r="P338" s="64"/>
      <c r="Q338" s="2"/>
    </row>
    <row r="339" spans="1:17">
      <c r="A339" s="14">
        <v>335</v>
      </c>
      <c r="B339" s="14" t="s">
        <v>1295</v>
      </c>
      <c r="C339" s="14" t="s">
        <v>69</v>
      </c>
      <c r="D339" s="14" t="s">
        <v>440</v>
      </c>
      <c r="E339" s="14" t="s">
        <v>7</v>
      </c>
      <c r="F339" s="21" t="s">
        <v>441</v>
      </c>
      <c r="G339" s="21"/>
      <c r="H339" s="27">
        <v>50</v>
      </c>
      <c r="I339" s="231"/>
      <c r="J339" s="27">
        <f t="shared" si="29"/>
        <v>30</v>
      </c>
      <c r="K339" s="27">
        <f t="shared" si="28"/>
        <v>80</v>
      </c>
      <c r="L339" s="2"/>
      <c r="M339" s="21"/>
      <c r="N339" s="64"/>
      <c r="O339" s="64"/>
      <c r="P339" s="64"/>
      <c r="Q339" s="2"/>
    </row>
    <row r="340" spans="1:17">
      <c r="A340" s="14">
        <v>336</v>
      </c>
      <c r="B340" s="14" t="s">
        <v>1295</v>
      </c>
      <c r="C340" s="14" t="s">
        <v>69</v>
      </c>
      <c r="D340" s="14" t="s">
        <v>440</v>
      </c>
      <c r="E340" s="14" t="s">
        <v>7</v>
      </c>
      <c r="F340" s="21" t="s">
        <v>442</v>
      </c>
      <c r="G340" s="21"/>
      <c r="H340" s="27">
        <v>50</v>
      </c>
      <c r="I340" s="231"/>
      <c r="J340" s="27">
        <f t="shared" si="29"/>
        <v>30</v>
      </c>
      <c r="K340" s="27">
        <f t="shared" si="28"/>
        <v>80</v>
      </c>
      <c r="L340" s="78"/>
      <c r="M340" s="21"/>
      <c r="N340" s="64"/>
      <c r="O340" s="64"/>
      <c r="P340" s="64"/>
      <c r="Q340" s="2"/>
    </row>
    <row r="341" spans="1:17">
      <c r="A341" s="14">
        <v>337</v>
      </c>
      <c r="B341" s="14" t="s">
        <v>1295</v>
      </c>
      <c r="C341" s="14" t="s">
        <v>69</v>
      </c>
      <c r="D341" s="14" t="s">
        <v>440</v>
      </c>
      <c r="E341" s="14" t="s">
        <v>7</v>
      </c>
      <c r="F341" s="21" t="s">
        <v>443</v>
      </c>
      <c r="G341" s="21"/>
      <c r="H341" s="27">
        <v>0</v>
      </c>
      <c r="I341" s="231"/>
      <c r="J341" s="27">
        <f t="shared" si="29"/>
        <v>0</v>
      </c>
      <c r="K341" s="27">
        <f t="shared" si="28"/>
        <v>0</v>
      </c>
      <c r="L341" s="2"/>
      <c r="M341" s="21"/>
      <c r="N341" s="64"/>
      <c r="O341" s="64"/>
      <c r="P341" s="64"/>
      <c r="Q341" s="2"/>
    </row>
    <row r="342" spans="1:17">
      <c r="A342" s="14">
        <v>338</v>
      </c>
      <c r="B342" s="14" t="s">
        <v>1295</v>
      </c>
      <c r="C342" s="14" t="s">
        <v>69</v>
      </c>
      <c r="D342" s="14" t="s">
        <v>440</v>
      </c>
      <c r="E342" s="14" t="s">
        <v>7</v>
      </c>
      <c r="F342" s="21"/>
      <c r="G342" s="21"/>
      <c r="H342" s="27"/>
      <c r="I342" s="231"/>
      <c r="J342" s="27">
        <f t="shared" si="29"/>
        <v>0</v>
      </c>
      <c r="K342" s="27">
        <f t="shared" si="28"/>
        <v>0</v>
      </c>
      <c r="L342" s="78"/>
      <c r="M342" s="21"/>
      <c r="N342" s="64"/>
      <c r="O342" s="64"/>
      <c r="P342" s="64"/>
      <c r="Q342" s="2"/>
    </row>
    <row r="343" spans="1:17">
      <c r="A343" s="14">
        <v>339</v>
      </c>
      <c r="B343" s="14" t="s">
        <v>1295</v>
      </c>
      <c r="C343" s="14" t="s">
        <v>69</v>
      </c>
      <c r="D343" s="14" t="s">
        <v>444</v>
      </c>
      <c r="E343" s="14" t="s">
        <v>7</v>
      </c>
      <c r="H343" s="27"/>
      <c r="I343" s="231"/>
      <c r="J343" s="27">
        <f t="shared" si="29"/>
        <v>0</v>
      </c>
      <c r="K343" s="27">
        <f t="shared" si="28"/>
        <v>0</v>
      </c>
      <c r="L343" s="2"/>
      <c r="M343" s="21"/>
      <c r="N343" s="64"/>
      <c r="O343" s="64"/>
      <c r="P343" s="64"/>
      <c r="Q343" s="2"/>
    </row>
    <row r="344" spans="1:17">
      <c r="A344" s="14">
        <v>340</v>
      </c>
      <c r="B344" s="14" t="s">
        <v>1295</v>
      </c>
      <c r="C344" s="14" t="s">
        <v>69</v>
      </c>
      <c r="D344" s="14" t="s">
        <v>444</v>
      </c>
      <c r="E344" s="14" t="s">
        <v>7</v>
      </c>
      <c r="F344" s="21"/>
      <c r="G344" s="21"/>
      <c r="H344" s="27"/>
      <c r="I344" s="231"/>
      <c r="J344" s="27">
        <f t="shared" si="29"/>
        <v>0</v>
      </c>
      <c r="K344" s="27">
        <f t="shared" si="28"/>
        <v>0</v>
      </c>
      <c r="L344" s="2"/>
      <c r="M344" s="21"/>
      <c r="N344" s="64"/>
      <c r="O344" s="64"/>
      <c r="P344" s="64"/>
      <c r="Q344" s="2"/>
    </row>
    <row r="345" spans="1:17">
      <c r="A345" s="14">
        <v>341</v>
      </c>
      <c r="B345" s="14" t="s">
        <v>1295</v>
      </c>
      <c r="C345" s="14" t="s">
        <v>69</v>
      </c>
      <c r="D345" s="14" t="s">
        <v>444</v>
      </c>
      <c r="E345" s="14" t="s">
        <v>7</v>
      </c>
      <c r="F345" s="21" t="s">
        <v>445</v>
      </c>
      <c r="G345" s="21"/>
      <c r="H345" s="27"/>
      <c r="I345" s="231"/>
      <c r="J345" s="27">
        <f t="shared" si="29"/>
        <v>0</v>
      </c>
      <c r="K345" s="27">
        <f t="shared" si="28"/>
        <v>0</v>
      </c>
      <c r="L345" s="2"/>
      <c r="M345" s="21"/>
      <c r="N345" s="64"/>
      <c r="O345" s="64"/>
      <c r="P345" s="64"/>
      <c r="Q345" s="2"/>
    </row>
    <row r="346" spans="1:17">
      <c r="A346" s="14">
        <v>342</v>
      </c>
      <c r="B346" s="14" t="s">
        <v>1295</v>
      </c>
      <c r="C346" s="14" t="s">
        <v>69</v>
      </c>
      <c r="D346" s="14" t="s">
        <v>444</v>
      </c>
      <c r="E346" s="14" t="s">
        <v>7</v>
      </c>
      <c r="F346" s="21" t="s">
        <v>446</v>
      </c>
      <c r="G346" s="21"/>
      <c r="H346" s="27"/>
      <c r="I346" s="231"/>
      <c r="J346" s="27">
        <f t="shared" si="29"/>
        <v>0</v>
      </c>
      <c r="K346" s="27">
        <f t="shared" si="28"/>
        <v>0</v>
      </c>
      <c r="L346" s="2"/>
      <c r="M346" s="21"/>
      <c r="N346" s="64"/>
      <c r="O346" s="64"/>
      <c r="P346" s="64"/>
      <c r="Q346" s="2"/>
    </row>
    <row r="347" spans="1:17">
      <c r="A347" s="14">
        <v>343</v>
      </c>
      <c r="B347" s="14" t="s">
        <v>1295</v>
      </c>
      <c r="C347" s="14" t="s">
        <v>69</v>
      </c>
      <c r="D347" s="14" t="s">
        <v>444</v>
      </c>
      <c r="E347" s="14" t="s">
        <v>7</v>
      </c>
      <c r="F347" s="21" t="s">
        <v>447</v>
      </c>
      <c r="G347" s="21"/>
      <c r="H347" s="27">
        <f>955+185</f>
        <v>1140</v>
      </c>
      <c r="I347" s="231"/>
      <c r="J347" s="27">
        <f t="shared" si="29"/>
        <v>684</v>
      </c>
      <c r="K347" s="27">
        <f t="shared" si="28"/>
        <v>1824</v>
      </c>
      <c r="L347" s="2"/>
      <c r="M347" s="21"/>
      <c r="N347" s="64"/>
      <c r="O347" s="64"/>
      <c r="P347" s="64"/>
      <c r="Q347" s="2"/>
    </row>
    <row r="348" spans="1:17">
      <c r="A348" s="14">
        <v>344</v>
      </c>
      <c r="B348" s="14" t="s">
        <v>1295</v>
      </c>
      <c r="C348" s="14" t="s">
        <v>69</v>
      </c>
      <c r="D348" s="14" t="s">
        <v>444</v>
      </c>
      <c r="E348" s="14" t="s">
        <v>7</v>
      </c>
      <c r="F348" s="21" t="s">
        <v>448</v>
      </c>
      <c r="G348" s="21"/>
      <c r="H348" s="27">
        <f>2471+185</f>
        <v>2656</v>
      </c>
      <c r="I348" s="231"/>
      <c r="J348" s="27">
        <f t="shared" si="29"/>
        <v>1593.6</v>
      </c>
      <c r="K348" s="27">
        <f t="shared" si="28"/>
        <v>4249.6000000000004</v>
      </c>
      <c r="L348" s="2"/>
      <c r="M348" s="21"/>
      <c r="N348" s="64"/>
      <c r="O348" s="64"/>
      <c r="P348" s="64"/>
      <c r="Q348" s="2"/>
    </row>
    <row r="349" spans="1:17">
      <c r="A349" s="14">
        <v>345</v>
      </c>
      <c r="B349" s="14" t="s">
        <v>1295</v>
      </c>
      <c r="C349" s="14" t="s">
        <v>69</v>
      </c>
      <c r="D349" s="14" t="s">
        <v>444</v>
      </c>
      <c r="E349" s="14" t="s">
        <v>7</v>
      </c>
      <c r="F349" s="21" t="s">
        <v>449</v>
      </c>
      <c r="G349" s="21"/>
      <c r="H349" s="27"/>
      <c r="I349" s="231"/>
      <c r="J349" s="27">
        <f t="shared" si="29"/>
        <v>0</v>
      </c>
      <c r="K349" s="27">
        <f t="shared" si="28"/>
        <v>0</v>
      </c>
      <c r="L349" s="2"/>
      <c r="M349" s="21"/>
      <c r="N349" s="64"/>
      <c r="O349" s="64"/>
      <c r="P349" s="64"/>
      <c r="Q349" s="2"/>
    </row>
    <row r="350" spans="1:17">
      <c r="A350" s="14">
        <v>346</v>
      </c>
      <c r="B350" s="14" t="s">
        <v>1295</v>
      </c>
      <c r="C350" s="14" t="s">
        <v>69</v>
      </c>
      <c r="D350" s="14" t="s">
        <v>444</v>
      </c>
      <c r="E350" s="14" t="s">
        <v>7</v>
      </c>
      <c r="F350" s="21" t="s">
        <v>450</v>
      </c>
      <c r="G350" s="21"/>
      <c r="H350" s="27"/>
      <c r="I350" s="231"/>
      <c r="J350" s="27">
        <f t="shared" si="29"/>
        <v>0</v>
      </c>
      <c r="K350" s="27">
        <f t="shared" si="28"/>
        <v>0</v>
      </c>
      <c r="L350" s="2"/>
      <c r="M350" s="79"/>
      <c r="N350" s="64"/>
      <c r="O350" s="64"/>
      <c r="P350" s="64"/>
      <c r="Q350" s="2"/>
    </row>
    <row r="351" spans="1:17">
      <c r="A351" s="14">
        <v>347</v>
      </c>
      <c r="B351" s="14" t="s">
        <v>1295</v>
      </c>
      <c r="C351" s="14" t="s">
        <v>69</v>
      </c>
      <c r="D351" s="14" t="s">
        <v>444</v>
      </c>
      <c r="E351" s="14" t="s">
        <v>7</v>
      </c>
      <c r="F351" s="21" t="s">
        <v>451</v>
      </c>
      <c r="G351" s="21"/>
      <c r="H351" s="27"/>
      <c r="I351" s="231"/>
      <c r="J351" s="27">
        <f t="shared" si="29"/>
        <v>0</v>
      </c>
      <c r="K351" s="27">
        <f t="shared" si="28"/>
        <v>0</v>
      </c>
      <c r="L351" s="2"/>
      <c r="M351" s="79"/>
      <c r="N351" s="64"/>
      <c r="O351" s="64"/>
      <c r="P351" s="64"/>
      <c r="Q351" s="2"/>
    </row>
    <row r="352" spans="1:17">
      <c r="A352" s="14">
        <v>348</v>
      </c>
      <c r="B352" s="14" t="s">
        <v>1295</v>
      </c>
      <c r="C352" s="14" t="s">
        <v>69</v>
      </c>
      <c r="D352" s="14" t="s">
        <v>444</v>
      </c>
      <c r="E352" s="14" t="s">
        <v>7</v>
      </c>
      <c r="F352" s="21" t="s">
        <v>452</v>
      </c>
      <c r="G352" s="21"/>
      <c r="H352" s="27"/>
      <c r="I352" s="231"/>
      <c r="J352" s="27">
        <f t="shared" si="29"/>
        <v>0</v>
      </c>
      <c r="K352" s="27">
        <f t="shared" si="28"/>
        <v>0</v>
      </c>
      <c r="L352" s="2"/>
      <c r="M352" s="21"/>
      <c r="N352" s="64"/>
      <c r="O352" s="64"/>
      <c r="P352" s="64"/>
      <c r="Q352" s="2"/>
    </row>
    <row r="353" spans="1:17">
      <c r="A353" s="14">
        <v>349</v>
      </c>
      <c r="B353" s="14" t="s">
        <v>1295</v>
      </c>
      <c r="C353" s="14" t="s">
        <v>69</v>
      </c>
      <c r="D353" s="14" t="s">
        <v>444</v>
      </c>
      <c r="E353" s="14" t="s">
        <v>7</v>
      </c>
      <c r="F353" s="21" t="s">
        <v>453</v>
      </c>
      <c r="G353" s="21"/>
      <c r="H353" s="27">
        <f>3390+185</f>
        <v>3575</v>
      </c>
      <c r="I353" s="231"/>
      <c r="J353" s="27">
        <f t="shared" si="29"/>
        <v>2145</v>
      </c>
      <c r="K353" s="27">
        <f t="shared" si="28"/>
        <v>5720</v>
      </c>
      <c r="L353" s="2"/>
      <c r="M353" s="21"/>
      <c r="N353" s="64"/>
      <c r="O353" s="64"/>
      <c r="P353" s="64"/>
      <c r="Q353" s="2"/>
    </row>
    <row r="354" spans="1:17">
      <c r="A354" s="14">
        <v>350</v>
      </c>
      <c r="B354" s="14" t="s">
        <v>1295</v>
      </c>
      <c r="C354" s="14" t="s">
        <v>69</v>
      </c>
      <c r="D354" s="14" t="s">
        <v>444</v>
      </c>
      <c r="E354" s="14" t="s">
        <v>7</v>
      </c>
      <c r="F354" s="21" t="s">
        <v>454</v>
      </c>
      <c r="G354" s="21"/>
      <c r="H354" s="27"/>
      <c r="I354" s="231"/>
      <c r="J354" s="27">
        <f t="shared" si="29"/>
        <v>0</v>
      </c>
      <c r="K354" s="27">
        <f t="shared" si="28"/>
        <v>0</v>
      </c>
      <c r="L354" s="2"/>
      <c r="M354" s="21"/>
      <c r="N354" s="64"/>
      <c r="O354" s="64"/>
      <c r="P354" s="64"/>
      <c r="Q354" s="2"/>
    </row>
    <row r="355" spans="1:17">
      <c r="A355" s="14">
        <v>351</v>
      </c>
      <c r="B355" s="14" t="s">
        <v>1295</v>
      </c>
      <c r="C355" s="14" t="s">
        <v>69</v>
      </c>
      <c r="D355" s="14" t="s">
        <v>444</v>
      </c>
      <c r="E355" s="14" t="s">
        <v>7</v>
      </c>
      <c r="F355" s="21" t="s">
        <v>455</v>
      </c>
      <c r="G355" s="21"/>
      <c r="H355" s="27">
        <f>3750+185</f>
        <v>3935</v>
      </c>
      <c r="I355" s="231"/>
      <c r="J355" s="27">
        <f t="shared" si="29"/>
        <v>2361</v>
      </c>
      <c r="K355" s="27">
        <f t="shared" si="28"/>
        <v>6296</v>
      </c>
      <c r="L355" s="2"/>
      <c r="M355" s="21"/>
      <c r="N355" s="64"/>
      <c r="O355" s="64"/>
      <c r="P355" s="64"/>
      <c r="Q355" s="2"/>
    </row>
    <row r="356" spans="1:17">
      <c r="A356" s="14">
        <v>352</v>
      </c>
      <c r="B356" s="14" t="s">
        <v>1295</v>
      </c>
      <c r="C356" s="14" t="s">
        <v>69</v>
      </c>
      <c r="D356" s="14" t="s">
        <v>444</v>
      </c>
      <c r="E356" s="14" t="s">
        <v>7</v>
      </c>
      <c r="F356" s="21"/>
      <c r="G356" s="21"/>
      <c r="H356" s="27"/>
      <c r="I356" s="231"/>
      <c r="J356" s="27">
        <f t="shared" si="29"/>
        <v>0</v>
      </c>
      <c r="K356" s="27">
        <f t="shared" ref="K356:K387" si="30">H356+I356+J356</f>
        <v>0</v>
      </c>
      <c r="L356" s="2"/>
      <c r="M356" s="79"/>
      <c r="N356" s="64"/>
      <c r="O356" s="64"/>
      <c r="P356" s="64"/>
      <c r="Q356" s="2"/>
    </row>
    <row r="357" spans="1:17">
      <c r="A357" s="14">
        <v>353</v>
      </c>
      <c r="B357" s="14" t="s">
        <v>1295</v>
      </c>
      <c r="C357" s="14" t="s">
        <v>69</v>
      </c>
      <c r="D357" s="14" t="s">
        <v>87</v>
      </c>
      <c r="E357" s="14" t="s">
        <v>7</v>
      </c>
      <c r="H357" s="27"/>
      <c r="I357" s="231"/>
      <c r="J357" s="27">
        <f t="shared" si="29"/>
        <v>0</v>
      </c>
      <c r="K357" s="27">
        <f t="shared" si="30"/>
        <v>0</v>
      </c>
      <c r="L357" s="2"/>
      <c r="M357" s="79"/>
      <c r="N357" s="64"/>
      <c r="O357" s="64"/>
      <c r="P357" s="64"/>
      <c r="Q357" s="2"/>
    </row>
    <row r="358" spans="1:17">
      <c r="A358" s="14">
        <v>354</v>
      </c>
      <c r="B358" s="14" t="s">
        <v>1295</v>
      </c>
      <c r="C358" s="14" t="s">
        <v>69</v>
      </c>
      <c r="D358" s="14" t="s">
        <v>87</v>
      </c>
      <c r="E358" s="14" t="s">
        <v>7</v>
      </c>
      <c r="F358" s="21"/>
      <c r="G358" s="21"/>
      <c r="H358" s="27"/>
      <c r="I358" s="231"/>
      <c r="J358" s="27">
        <f t="shared" si="29"/>
        <v>0</v>
      </c>
      <c r="K358" s="27">
        <f t="shared" si="30"/>
        <v>0</v>
      </c>
      <c r="L358" s="2"/>
      <c r="M358" s="79"/>
      <c r="N358" s="64"/>
      <c r="O358" s="64"/>
      <c r="P358" s="64"/>
      <c r="Q358" s="2"/>
    </row>
    <row r="359" spans="1:17">
      <c r="A359" s="14">
        <v>355</v>
      </c>
      <c r="B359" s="14" t="s">
        <v>1295</v>
      </c>
      <c r="C359" s="14" t="s">
        <v>69</v>
      </c>
      <c r="D359" s="14" t="s">
        <v>87</v>
      </c>
      <c r="E359" s="14" t="s">
        <v>7</v>
      </c>
      <c r="F359" s="21" t="s">
        <v>88</v>
      </c>
      <c r="G359" s="21"/>
      <c r="H359" s="27"/>
      <c r="I359" s="231"/>
      <c r="J359" s="27">
        <f t="shared" si="29"/>
        <v>0</v>
      </c>
      <c r="K359" s="27">
        <f t="shared" si="30"/>
        <v>0</v>
      </c>
      <c r="L359" s="2"/>
      <c r="M359" s="21"/>
      <c r="N359" s="64"/>
      <c r="O359" s="64"/>
      <c r="P359" s="64"/>
      <c r="Q359" s="2"/>
    </row>
    <row r="360" spans="1:17">
      <c r="A360" s="14">
        <v>356</v>
      </c>
      <c r="B360" s="14" t="s">
        <v>1295</v>
      </c>
      <c r="C360" s="14" t="s">
        <v>69</v>
      </c>
      <c r="D360" s="14" t="s">
        <v>87</v>
      </c>
      <c r="E360" s="14" t="s">
        <v>7</v>
      </c>
      <c r="F360" s="21" t="s">
        <v>456</v>
      </c>
      <c r="G360" s="21"/>
      <c r="H360" s="27">
        <f>2471+185</f>
        <v>2656</v>
      </c>
      <c r="I360" s="231"/>
      <c r="J360" s="27">
        <f t="shared" si="29"/>
        <v>1593.6</v>
      </c>
      <c r="K360" s="27">
        <f t="shared" si="30"/>
        <v>4249.6000000000004</v>
      </c>
      <c r="L360" s="2"/>
      <c r="M360" s="21"/>
      <c r="N360" s="64"/>
      <c r="O360" s="64"/>
      <c r="P360" s="64"/>
      <c r="Q360" s="2"/>
    </row>
    <row r="361" spans="1:17">
      <c r="A361" s="14">
        <v>357</v>
      </c>
      <c r="B361" s="14" t="s">
        <v>1295</v>
      </c>
      <c r="C361" s="14" t="s">
        <v>69</v>
      </c>
      <c r="D361" s="14" t="s">
        <v>87</v>
      </c>
      <c r="E361" s="14" t="s">
        <v>7</v>
      </c>
      <c r="F361" s="21" t="s">
        <v>89</v>
      </c>
      <c r="G361" s="21"/>
      <c r="H361" s="27"/>
      <c r="I361" s="231"/>
      <c r="J361" s="27">
        <f t="shared" si="29"/>
        <v>0</v>
      </c>
      <c r="K361" s="27">
        <f t="shared" si="30"/>
        <v>0</v>
      </c>
      <c r="L361" s="2"/>
      <c r="M361" s="21"/>
      <c r="N361" s="64"/>
      <c r="O361" s="64"/>
      <c r="P361" s="64"/>
      <c r="Q361" s="2"/>
    </row>
    <row r="362" spans="1:17">
      <c r="A362" s="14">
        <v>358</v>
      </c>
      <c r="B362" s="14" t="s">
        <v>1295</v>
      </c>
      <c r="C362" s="14" t="s">
        <v>69</v>
      </c>
      <c r="D362" s="14" t="s">
        <v>87</v>
      </c>
      <c r="E362" s="14" t="s">
        <v>7</v>
      </c>
      <c r="F362" s="21" t="s">
        <v>90</v>
      </c>
      <c r="G362" s="21"/>
      <c r="H362" s="27"/>
      <c r="I362" s="231"/>
      <c r="J362" s="27">
        <f t="shared" si="29"/>
        <v>0</v>
      </c>
      <c r="K362" s="27">
        <f t="shared" si="30"/>
        <v>0</v>
      </c>
      <c r="L362" s="2"/>
      <c r="M362" s="21"/>
      <c r="N362" s="64"/>
      <c r="O362" s="64"/>
      <c r="P362" s="64"/>
      <c r="Q362" s="2"/>
    </row>
    <row r="363" spans="1:17">
      <c r="A363" s="14">
        <v>359</v>
      </c>
      <c r="B363" s="14" t="s">
        <v>1295</v>
      </c>
      <c r="C363" s="14" t="s">
        <v>69</v>
      </c>
      <c r="D363" s="14" t="s">
        <v>87</v>
      </c>
      <c r="E363" s="14" t="s">
        <v>7</v>
      </c>
      <c r="F363" s="21" t="s">
        <v>457</v>
      </c>
      <c r="G363" s="21"/>
      <c r="H363" s="27"/>
      <c r="I363" s="231"/>
      <c r="J363" s="27">
        <f t="shared" si="29"/>
        <v>0</v>
      </c>
      <c r="K363" s="27">
        <f t="shared" si="30"/>
        <v>0</v>
      </c>
      <c r="L363" s="2"/>
      <c r="M363" s="79"/>
      <c r="N363" s="64"/>
      <c r="O363" s="64"/>
      <c r="P363" s="64"/>
      <c r="Q363" s="2"/>
    </row>
    <row r="364" spans="1:17">
      <c r="A364" s="14">
        <v>360</v>
      </c>
      <c r="B364" s="14" t="s">
        <v>1295</v>
      </c>
      <c r="C364" s="14" t="s">
        <v>69</v>
      </c>
      <c r="D364" s="14" t="s">
        <v>87</v>
      </c>
      <c r="E364" s="14" t="s">
        <v>7</v>
      </c>
      <c r="F364" s="21" t="s">
        <v>458</v>
      </c>
      <c r="G364" s="21"/>
      <c r="H364" s="27"/>
      <c r="I364" s="231"/>
      <c r="J364" s="27">
        <f t="shared" si="29"/>
        <v>0</v>
      </c>
      <c r="K364" s="27">
        <f t="shared" si="30"/>
        <v>0</v>
      </c>
      <c r="L364" s="2"/>
      <c r="M364" s="21"/>
      <c r="N364" s="64"/>
      <c r="O364" s="64"/>
      <c r="P364" s="64"/>
      <c r="Q364" s="2"/>
    </row>
    <row r="365" spans="1:17">
      <c r="A365" s="14">
        <v>361</v>
      </c>
      <c r="B365" s="14" t="s">
        <v>1295</v>
      </c>
      <c r="C365" s="14" t="s">
        <v>69</v>
      </c>
      <c r="D365" s="14" t="s">
        <v>87</v>
      </c>
      <c r="E365" s="14" t="s">
        <v>7</v>
      </c>
      <c r="F365" s="21" t="s">
        <v>459</v>
      </c>
      <c r="G365" s="21"/>
      <c r="H365" s="27"/>
      <c r="I365" s="231"/>
      <c r="J365" s="27">
        <f t="shared" si="29"/>
        <v>0</v>
      </c>
      <c r="K365" s="27">
        <f t="shared" si="30"/>
        <v>0</v>
      </c>
      <c r="L365" s="2"/>
      <c r="M365" s="21"/>
      <c r="N365" s="64"/>
      <c r="O365" s="64"/>
      <c r="P365" s="64"/>
      <c r="Q365" s="2"/>
    </row>
    <row r="366" spans="1:17">
      <c r="A366" s="14">
        <v>362</v>
      </c>
      <c r="B366" s="14" t="s">
        <v>1295</v>
      </c>
      <c r="C366" s="14" t="s">
        <v>69</v>
      </c>
      <c r="D366" s="14" t="s">
        <v>87</v>
      </c>
      <c r="E366" s="14" t="s">
        <v>7</v>
      </c>
      <c r="F366" s="21" t="s">
        <v>460</v>
      </c>
      <c r="G366" s="21"/>
      <c r="H366" s="27"/>
      <c r="I366" s="231"/>
      <c r="J366" s="27">
        <f t="shared" si="29"/>
        <v>0</v>
      </c>
      <c r="K366" s="27">
        <f t="shared" si="30"/>
        <v>0</v>
      </c>
      <c r="L366" s="2"/>
      <c r="M366" s="21"/>
      <c r="N366" s="64"/>
      <c r="O366" s="64"/>
      <c r="P366" s="64"/>
      <c r="Q366" s="2"/>
    </row>
    <row r="367" spans="1:17">
      <c r="A367" s="14">
        <v>363</v>
      </c>
      <c r="B367" s="14" t="s">
        <v>1295</v>
      </c>
      <c r="C367" s="14" t="s">
        <v>69</v>
      </c>
      <c r="D367" s="14" t="s">
        <v>87</v>
      </c>
      <c r="E367" s="14" t="s">
        <v>7</v>
      </c>
      <c r="F367" s="21"/>
      <c r="G367" s="21"/>
      <c r="H367" s="27"/>
      <c r="I367" s="231"/>
      <c r="J367" s="27">
        <f t="shared" si="29"/>
        <v>0</v>
      </c>
      <c r="K367" s="27">
        <f t="shared" si="30"/>
        <v>0</v>
      </c>
      <c r="L367" s="2"/>
      <c r="M367" s="21"/>
      <c r="N367" s="64"/>
      <c r="O367" s="64"/>
      <c r="P367" s="64"/>
      <c r="Q367" s="2"/>
    </row>
    <row r="368" spans="1:17">
      <c r="A368" s="14">
        <v>364</v>
      </c>
      <c r="B368" s="14" t="s">
        <v>1295</v>
      </c>
      <c r="C368" s="14" t="s">
        <v>69</v>
      </c>
      <c r="D368" s="14" t="s">
        <v>461</v>
      </c>
      <c r="E368" s="14" t="s">
        <v>7</v>
      </c>
      <c r="H368" s="27"/>
      <c r="I368" s="231"/>
      <c r="J368" s="27">
        <f t="shared" si="29"/>
        <v>0</v>
      </c>
      <c r="K368" s="27">
        <f t="shared" si="30"/>
        <v>0</v>
      </c>
      <c r="L368" s="2"/>
      <c r="M368" s="21"/>
      <c r="N368" s="64"/>
      <c r="O368" s="64"/>
      <c r="P368" s="64"/>
      <c r="Q368" s="2"/>
    </row>
    <row r="369" spans="1:17">
      <c r="A369" s="14">
        <v>365</v>
      </c>
      <c r="B369" s="14" t="s">
        <v>1295</v>
      </c>
      <c r="C369" s="14" t="s">
        <v>69</v>
      </c>
      <c r="D369" s="14" t="s">
        <v>461</v>
      </c>
      <c r="E369" s="14" t="s">
        <v>7</v>
      </c>
      <c r="F369" s="21"/>
      <c r="G369" s="21"/>
      <c r="H369" s="27"/>
      <c r="I369" s="231"/>
      <c r="J369" s="27">
        <f t="shared" si="29"/>
        <v>0</v>
      </c>
      <c r="K369" s="27">
        <f t="shared" si="30"/>
        <v>0</v>
      </c>
      <c r="L369" s="2"/>
      <c r="M369" s="21"/>
      <c r="N369" s="64"/>
      <c r="O369" s="64"/>
      <c r="P369" s="64"/>
      <c r="Q369" s="2"/>
    </row>
    <row r="370" spans="1:17">
      <c r="A370" s="14">
        <v>366</v>
      </c>
      <c r="B370" s="14" t="s">
        <v>1295</v>
      </c>
      <c r="C370" s="14" t="s">
        <v>69</v>
      </c>
      <c r="D370" s="14" t="s">
        <v>461</v>
      </c>
      <c r="E370" s="14" t="s">
        <v>7</v>
      </c>
      <c r="F370" s="21" t="s">
        <v>94</v>
      </c>
      <c r="G370" s="21"/>
      <c r="H370" s="27"/>
      <c r="I370" s="231"/>
      <c r="J370" s="27">
        <f t="shared" si="29"/>
        <v>0</v>
      </c>
      <c r="K370" s="27">
        <f t="shared" si="30"/>
        <v>0</v>
      </c>
      <c r="L370" s="2"/>
      <c r="M370" s="21"/>
      <c r="N370" s="64"/>
      <c r="O370" s="64"/>
      <c r="P370" s="64"/>
      <c r="Q370" s="2"/>
    </row>
    <row r="371" spans="1:17">
      <c r="A371" s="14">
        <v>367</v>
      </c>
      <c r="B371" s="14" t="s">
        <v>1295</v>
      </c>
      <c r="C371" s="14" t="s">
        <v>69</v>
      </c>
      <c r="D371" s="14" t="s">
        <v>461</v>
      </c>
      <c r="E371" s="14" t="s">
        <v>7</v>
      </c>
      <c r="F371" s="21" t="s">
        <v>462</v>
      </c>
      <c r="G371" s="21"/>
      <c r="H371" s="27"/>
      <c r="I371" s="231"/>
      <c r="J371" s="27">
        <f t="shared" si="29"/>
        <v>0</v>
      </c>
      <c r="K371" s="27">
        <f t="shared" si="30"/>
        <v>0</v>
      </c>
      <c r="L371" s="2"/>
      <c r="M371" s="21"/>
      <c r="N371" s="64"/>
      <c r="O371" s="64"/>
      <c r="P371" s="64"/>
      <c r="Q371" s="2"/>
    </row>
    <row r="372" spans="1:17">
      <c r="A372" s="14">
        <v>368</v>
      </c>
      <c r="B372" s="14" t="s">
        <v>1295</v>
      </c>
      <c r="C372" s="14" t="s">
        <v>69</v>
      </c>
      <c r="D372" s="14" t="s">
        <v>461</v>
      </c>
      <c r="E372" s="14" t="s">
        <v>7</v>
      </c>
      <c r="F372" s="21" t="s">
        <v>463</v>
      </c>
      <c r="G372" s="21"/>
      <c r="H372" s="27"/>
      <c r="I372" s="231"/>
      <c r="J372" s="27">
        <f t="shared" si="29"/>
        <v>0</v>
      </c>
      <c r="K372" s="27">
        <f t="shared" si="30"/>
        <v>0</v>
      </c>
      <c r="L372" s="2"/>
      <c r="M372" s="21"/>
      <c r="N372" s="64"/>
      <c r="O372" s="64"/>
      <c r="P372" s="64"/>
      <c r="Q372" s="2"/>
    </row>
    <row r="373" spans="1:17">
      <c r="A373" s="14">
        <v>369</v>
      </c>
      <c r="B373" s="14" t="s">
        <v>1295</v>
      </c>
      <c r="C373" s="14" t="s">
        <v>69</v>
      </c>
      <c r="D373" s="14" t="s">
        <v>461</v>
      </c>
      <c r="E373" s="14" t="s">
        <v>7</v>
      </c>
      <c r="F373" s="21" t="s">
        <v>464</v>
      </c>
      <c r="G373" s="21"/>
      <c r="H373" s="27"/>
      <c r="I373" s="231"/>
      <c r="J373" s="27">
        <f t="shared" si="29"/>
        <v>0</v>
      </c>
      <c r="K373" s="27">
        <f t="shared" si="30"/>
        <v>0</v>
      </c>
      <c r="L373" s="2"/>
      <c r="M373" s="21"/>
      <c r="N373" s="64"/>
      <c r="O373" s="64"/>
      <c r="P373" s="64"/>
      <c r="Q373" s="2"/>
    </row>
    <row r="374" spans="1:17">
      <c r="A374" s="14">
        <v>370</v>
      </c>
      <c r="B374" s="14" t="s">
        <v>1295</v>
      </c>
      <c r="C374" s="14" t="s">
        <v>69</v>
      </c>
      <c r="D374" s="14" t="s">
        <v>461</v>
      </c>
      <c r="E374" s="14" t="s">
        <v>7</v>
      </c>
      <c r="F374" s="21" t="s">
        <v>465</v>
      </c>
      <c r="G374" s="21"/>
      <c r="H374" s="27"/>
      <c r="I374" s="231"/>
      <c r="J374" s="27">
        <f t="shared" si="29"/>
        <v>0</v>
      </c>
      <c r="K374" s="27">
        <f t="shared" si="30"/>
        <v>0</v>
      </c>
      <c r="L374" s="2"/>
      <c r="M374" s="21"/>
      <c r="N374" s="64"/>
      <c r="O374" s="64"/>
      <c r="P374" s="64"/>
      <c r="Q374" s="2"/>
    </row>
    <row r="375" spans="1:17">
      <c r="A375" s="14">
        <v>371</v>
      </c>
      <c r="B375" s="14" t="s">
        <v>1295</v>
      </c>
      <c r="C375" s="14" t="s">
        <v>69</v>
      </c>
      <c r="D375" s="14" t="s">
        <v>461</v>
      </c>
      <c r="E375" s="14" t="s">
        <v>7</v>
      </c>
      <c r="F375" s="21" t="s">
        <v>466</v>
      </c>
      <c r="G375" s="21"/>
      <c r="H375" s="27"/>
      <c r="I375" s="231"/>
      <c r="J375" s="27">
        <f t="shared" si="29"/>
        <v>0</v>
      </c>
      <c r="K375" s="27">
        <f t="shared" si="30"/>
        <v>0</v>
      </c>
      <c r="L375" s="2"/>
      <c r="M375" s="21"/>
      <c r="N375" s="64"/>
      <c r="O375" s="64"/>
      <c r="P375" s="64"/>
      <c r="Q375" s="2"/>
    </row>
    <row r="376" spans="1:17">
      <c r="A376" s="14">
        <v>372</v>
      </c>
      <c r="B376" s="14" t="s">
        <v>1295</v>
      </c>
      <c r="C376" s="14" t="s">
        <v>69</v>
      </c>
      <c r="D376" s="14" t="s">
        <v>461</v>
      </c>
      <c r="E376" s="14" t="s">
        <v>7</v>
      </c>
      <c r="F376" s="21" t="s">
        <v>467</v>
      </c>
      <c r="G376" s="21"/>
      <c r="H376" s="27"/>
      <c r="I376" s="231"/>
      <c r="J376" s="27">
        <f t="shared" si="29"/>
        <v>0</v>
      </c>
      <c r="K376" s="27">
        <f t="shared" si="30"/>
        <v>0</v>
      </c>
      <c r="L376" s="2"/>
      <c r="M376" s="21"/>
      <c r="N376" s="64"/>
      <c r="O376" s="64"/>
      <c r="P376" s="64"/>
      <c r="Q376" s="2"/>
    </row>
    <row r="377" spans="1:17">
      <c r="A377" s="14">
        <v>373</v>
      </c>
      <c r="B377" s="14" t="s">
        <v>1295</v>
      </c>
      <c r="C377" s="14" t="s">
        <v>69</v>
      </c>
      <c r="D377" s="14" t="s">
        <v>461</v>
      </c>
      <c r="E377" s="14" t="s">
        <v>7</v>
      </c>
      <c r="F377" s="21" t="s">
        <v>468</v>
      </c>
      <c r="G377" s="21"/>
      <c r="H377" s="27"/>
      <c r="I377" s="231"/>
      <c r="J377" s="27">
        <f t="shared" si="29"/>
        <v>0</v>
      </c>
      <c r="K377" s="27">
        <f t="shared" si="30"/>
        <v>0</v>
      </c>
      <c r="L377" s="2"/>
      <c r="M377" s="21"/>
      <c r="N377" s="64"/>
      <c r="O377" s="64"/>
      <c r="P377" s="64"/>
      <c r="Q377" s="2"/>
    </row>
    <row r="378" spans="1:17">
      <c r="A378" s="14">
        <v>374</v>
      </c>
      <c r="B378" s="14" t="s">
        <v>1295</v>
      </c>
      <c r="C378" s="14" t="s">
        <v>69</v>
      </c>
      <c r="D378" s="14" t="s">
        <v>461</v>
      </c>
      <c r="E378" s="14" t="s">
        <v>7</v>
      </c>
      <c r="F378" s="21" t="s">
        <v>469</v>
      </c>
      <c r="G378" s="21"/>
      <c r="H378" s="27"/>
      <c r="I378" s="231"/>
      <c r="J378" s="27">
        <f t="shared" si="29"/>
        <v>0</v>
      </c>
      <c r="K378" s="27">
        <f t="shared" si="30"/>
        <v>0</v>
      </c>
      <c r="L378" s="2"/>
      <c r="M378" s="21"/>
      <c r="N378" s="64"/>
      <c r="O378" s="64"/>
      <c r="P378" s="64"/>
      <c r="Q378" s="2"/>
    </row>
    <row r="379" spans="1:17">
      <c r="A379" s="14">
        <v>375</v>
      </c>
      <c r="B379" s="14" t="s">
        <v>1295</v>
      </c>
      <c r="C379" s="14" t="s">
        <v>69</v>
      </c>
      <c r="D379" s="14" t="s">
        <v>461</v>
      </c>
      <c r="E379" s="14" t="s">
        <v>7</v>
      </c>
      <c r="F379" s="21" t="s">
        <v>470</v>
      </c>
      <c r="G379" s="21"/>
      <c r="H379" s="27"/>
      <c r="I379" s="231"/>
      <c r="J379" s="27">
        <f t="shared" si="29"/>
        <v>0</v>
      </c>
      <c r="K379" s="27">
        <f t="shared" si="30"/>
        <v>0</v>
      </c>
      <c r="L379" s="2"/>
      <c r="M379" s="21"/>
      <c r="N379" s="64"/>
      <c r="O379" s="64"/>
      <c r="P379" s="64"/>
      <c r="Q379" s="2"/>
    </row>
    <row r="380" spans="1:17">
      <c r="A380" s="14">
        <v>376</v>
      </c>
      <c r="B380" s="14" t="s">
        <v>1295</v>
      </c>
      <c r="C380" s="14" t="s">
        <v>69</v>
      </c>
      <c r="D380" s="14" t="s">
        <v>461</v>
      </c>
      <c r="E380" s="14" t="s">
        <v>7</v>
      </c>
      <c r="F380" s="21" t="s">
        <v>471</v>
      </c>
      <c r="G380" s="21"/>
      <c r="H380" s="27"/>
      <c r="I380" s="231"/>
      <c r="J380" s="27">
        <f t="shared" si="29"/>
        <v>0</v>
      </c>
      <c r="K380" s="27">
        <f t="shared" si="30"/>
        <v>0</v>
      </c>
      <c r="L380" s="2"/>
      <c r="M380" s="21"/>
      <c r="N380" s="64"/>
      <c r="O380" s="64"/>
      <c r="P380" s="64"/>
      <c r="Q380" s="2"/>
    </row>
    <row r="381" spans="1:17">
      <c r="A381" s="14">
        <v>377</v>
      </c>
      <c r="B381" s="14" t="s">
        <v>1295</v>
      </c>
      <c r="C381" s="14" t="s">
        <v>69</v>
      </c>
      <c r="D381" s="14" t="s">
        <v>461</v>
      </c>
      <c r="E381" s="14" t="s">
        <v>7</v>
      </c>
      <c r="F381" s="21" t="s">
        <v>472</v>
      </c>
      <c r="G381" s="21"/>
      <c r="H381" s="27"/>
      <c r="I381" s="231"/>
      <c r="J381" s="27">
        <f t="shared" si="29"/>
        <v>0</v>
      </c>
      <c r="K381" s="27">
        <f t="shared" si="30"/>
        <v>0</v>
      </c>
      <c r="L381" s="2"/>
      <c r="M381" s="21"/>
      <c r="N381" s="64"/>
      <c r="O381" s="64"/>
      <c r="P381" s="64"/>
      <c r="Q381" s="2"/>
    </row>
    <row r="382" spans="1:17">
      <c r="A382" s="14">
        <v>378</v>
      </c>
      <c r="B382" s="14" t="s">
        <v>1295</v>
      </c>
      <c r="C382" s="14" t="s">
        <v>69</v>
      </c>
      <c r="D382" s="14" t="s">
        <v>461</v>
      </c>
      <c r="E382" s="14" t="s">
        <v>7</v>
      </c>
      <c r="F382" s="21" t="s">
        <v>473</v>
      </c>
      <c r="G382" s="21"/>
      <c r="H382" s="27"/>
      <c r="I382" s="231"/>
      <c r="J382" s="27">
        <f t="shared" si="29"/>
        <v>0</v>
      </c>
      <c r="K382" s="27">
        <f t="shared" si="30"/>
        <v>0</v>
      </c>
      <c r="L382" s="2"/>
      <c r="M382" s="21"/>
      <c r="N382" s="64"/>
      <c r="O382" s="64"/>
      <c r="P382" s="64"/>
      <c r="Q382" s="2"/>
    </row>
    <row r="383" spans="1:17">
      <c r="A383" s="14">
        <v>379</v>
      </c>
      <c r="B383" s="14" t="s">
        <v>1295</v>
      </c>
      <c r="C383" s="14" t="s">
        <v>69</v>
      </c>
      <c r="D383" s="14" t="s">
        <v>461</v>
      </c>
      <c r="E383" s="14" t="s">
        <v>7</v>
      </c>
      <c r="F383" s="21" t="s">
        <v>474</v>
      </c>
      <c r="G383" s="21"/>
      <c r="H383" s="27"/>
      <c r="I383" s="231"/>
      <c r="J383" s="27">
        <f t="shared" si="29"/>
        <v>0</v>
      </c>
      <c r="K383" s="27">
        <f t="shared" si="30"/>
        <v>0</v>
      </c>
      <c r="L383" s="2"/>
      <c r="M383" s="21"/>
      <c r="N383" s="64"/>
      <c r="O383" s="64"/>
      <c r="P383" s="64"/>
      <c r="Q383" s="2"/>
    </row>
    <row r="384" spans="1:17">
      <c r="A384" s="14">
        <v>380</v>
      </c>
      <c r="B384" s="14" t="s">
        <v>1295</v>
      </c>
      <c r="C384" s="14" t="s">
        <v>69</v>
      </c>
      <c r="D384" s="14" t="s">
        <v>461</v>
      </c>
      <c r="E384" s="14" t="s">
        <v>7</v>
      </c>
      <c r="F384" s="21" t="s">
        <v>475</v>
      </c>
      <c r="G384" s="21"/>
      <c r="H384" s="27"/>
      <c r="I384" s="231"/>
      <c r="J384" s="27">
        <f t="shared" si="29"/>
        <v>0</v>
      </c>
      <c r="K384" s="27">
        <f t="shared" si="30"/>
        <v>0</v>
      </c>
      <c r="L384" s="2"/>
      <c r="M384" s="21"/>
      <c r="N384" s="64"/>
      <c r="O384" s="64"/>
      <c r="P384" s="64"/>
      <c r="Q384" s="2"/>
    </row>
    <row r="385" spans="1:17">
      <c r="A385" s="14">
        <v>381</v>
      </c>
      <c r="B385" s="14" t="s">
        <v>1295</v>
      </c>
      <c r="C385" s="14" t="s">
        <v>69</v>
      </c>
      <c r="D385" s="14" t="s">
        <v>461</v>
      </c>
      <c r="E385" s="14" t="s">
        <v>7</v>
      </c>
      <c r="F385" s="21" t="s">
        <v>476</v>
      </c>
      <c r="G385" s="21"/>
      <c r="H385" s="27"/>
      <c r="I385" s="231"/>
      <c r="J385" s="27">
        <f t="shared" si="29"/>
        <v>0</v>
      </c>
      <c r="K385" s="27">
        <f t="shared" si="30"/>
        <v>0</v>
      </c>
      <c r="L385" s="2"/>
      <c r="M385" s="21"/>
      <c r="N385" s="64"/>
      <c r="O385" s="64"/>
      <c r="P385" s="64"/>
      <c r="Q385" s="2"/>
    </row>
    <row r="386" spans="1:17">
      <c r="A386" s="14">
        <v>382</v>
      </c>
      <c r="B386" s="14" t="s">
        <v>1295</v>
      </c>
      <c r="C386" s="14" t="s">
        <v>69</v>
      </c>
      <c r="D386" s="14" t="s">
        <v>461</v>
      </c>
      <c r="E386" s="14" t="s">
        <v>7</v>
      </c>
      <c r="F386" s="21" t="s">
        <v>477</v>
      </c>
      <c r="G386" s="21"/>
      <c r="H386" s="27"/>
      <c r="I386" s="231"/>
      <c r="J386" s="27">
        <f t="shared" si="29"/>
        <v>0</v>
      </c>
      <c r="K386" s="27">
        <f t="shared" si="30"/>
        <v>0</v>
      </c>
      <c r="L386" s="2"/>
      <c r="M386" s="21"/>
      <c r="N386" s="64"/>
      <c r="O386" s="64"/>
      <c r="P386" s="64"/>
      <c r="Q386" s="2"/>
    </row>
    <row r="387" spans="1:17">
      <c r="A387" s="14">
        <v>383</v>
      </c>
      <c r="B387" s="14" t="s">
        <v>1295</v>
      </c>
      <c r="C387" s="14" t="s">
        <v>69</v>
      </c>
      <c r="D387" s="14" t="s">
        <v>461</v>
      </c>
      <c r="E387" s="14" t="s">
        <v>7</v>
      </c>
      <c r="F387" s="21" t="s">
        <v>478</v>
      </c>
      <c r="G387" s="21"/>
      <c r="H387" s="27"/>
      <c r="I387" s="231"/>
      <c r="J387" s="27">
        <f t="shared" si="29"/>
        <v>0</v>
      </c>
      <c r="K387" s="27">
        <f t="shared" si="30"/>
        <v>0</v>
      </c>
      <c r="L387" s="2"/>
      <c r="M387" s="21"/>
      <c r="N387" s="64"/>
      <c r="O387" s="64"/>
      <c r="P387" s="64"/>
      <c r="Q387" s="2"/>
    </row>
    <row r="388" spans="1:17">
      <c r="A388" s="14">
        <v>384</v>
      </c>
      <c r="B388" s="14" t="s">
        <v>1295</v>
      </c>
      <c r="C388" s="14" t="s">
        <v>69</v>
      </c>
      <c r="D388" s="14" t="s">
        <v>461</v>
      </c>
      <c r="E388" s="14" t="s">
        <v>7</v>
      </c>
      <c r="F388" s="21" t="s">
        <v>479</v>
      </c>
      <c r="G388" s="21"/>
      <c r="H388" s="27"/>
      <c r="I388" s="231"/>
      <c r="J388" s="27">
        <f t="shared" si="29"/>
        <v>0</v>
      </c>
      <c r="K388" s="27">
        <f t="shared" ref="K388:K419" si="31">H388+I388+J388</f>
        <v>0</v>
      </c>
      <c r="L388" s="2"/>
      <c r="M388" s="21"/>
      <c r="N388" s="64"/>
      <c r="O388" s="64"/>
      <c r="P388" s="64"/>
      <c r="Q388" s="2"/>
    </row>
    <row r="389" spans="1:17">
      <c r="A389" s="14">
        <v>385</v>
      </c>
      <c r="B389" s="14" t="s">
        <v>1295</v>
      </c>
      <c r="C389" s="14" t="s">
        <v>69</v>
      </c>
      <c r="D389" s="14" t="s">
        <v>461</v>
      </c>
      <c r="E389" s="14" t="s">
        <v>7</v>
      </c>
      <c r="F389" s="21" t="s">
        <v>480</v>
      </c>
      <c r="G389" s="21"/>
      <c r="H389" s="27"/>
      <c r="I389" s="231"/>
      <c r="J389" s="27">
        <f t="shared" si="29"/>
        <v>0</v>
      </c>
      <c r="K389" s="27">
        <f t="shared" si="31"/>
        <v>0</v>
      </c>
      <c r="L389" s="2"/>
      <c r="M389" s="21"/>
      <c r="N389" s="64"/>
      <c r="O389" s="64"/>
      <c r="P389" s="64"/>
      <c r="Q389" s="2"/>
    </row>
    <row r="390" spans="1:17">
      <c r="A390" s="14">
        <v>386</v>
      </c>
      <c r="B390" s="14" t="s">
        <v>1295</v>
      </c>
      <c r="C390" s="14" t="s">
        <v>69</v>
      </c>
      <c r="D390" s="14" t="s">
        <v>461</v>
      </c>
      <c r="E390" s="14" t="s">
        <v>7</v>
      </c>
      <c r="F390" s="21" t="s">
        <v>481</v>
      </c>
      <c r="G390" s="21"/>
      <c r="H390" s="27"/>
      <c r="I390" s="231"/>
      <c r="J390" s="27">
        <f t="shared" si="29"/>
        <v>0</v>
      </c>
      <c r="K390" s="27">
        <f t="shared" si="31"/>
        <v>0</v>
      </c>
      <c r="L390" s="2"/>
      <c r="M390" s="21"/>
      <c r="N390" s="64"/>
      <c r="O390" s="64"/>
      <c r="P390" s="64"/>
      <c r="Q390" s="2"/>
    </row>
    <row r="391" spans="1:17">
      <c r="A391" s="14">
        <v>387</v>
      </c>
      <c r="B391" s="14" t="s">
        <v>1295</v>
      </c>
      <c r="C391" s="14" t="s">
        <v>69</v>
      </c>
      <c r="D391" s="14" t="s">
        <v>461</v>
      </c>
      <c r="E391" s="14" t="s">
        <v>7</v>
      </c>
      <c r="F391" s="21" t="s">
        <v>482</v>
      </c>
      <c r="G391" s="21"/>
      <c r="H391" s="27"/>
      <c r="I391" s="231"/>
      <c r="J391" s="27">
        <f t="shared" si="29"/>
        <v>0</v>
      </c>
      <c r="K391" s="27">
        <f t="shared" si="31"/>
        <v>0</v>
      </c>
      <c r="L391" s="2"/>
      <c r="M391" s="21"/>
      <c r="N391" s="64"/>
      <c r="O391" s="64"/>
      <c r="P391" s="64"/>
      <c r="Q391" s="2"/>
    </row>
    <row r="392" spans="1:17">
      <c r="A392" s="14">
        <v>388</v>
      </c>
      <c r="B392" s="14" t="s">
        <v>1295</v>
      </c>
      <c r="C392" s="14" t="s">
        <v>69</v>
      </c>
      <c r="D392" s="14" t="s">
        <v>461</v>
      </c>
      <c r="E392" s="14" t="s">
        <v>7</v>
      </c>
      <c r="F392" s="21" t="s">
        <v>483</v>
      </c>
      <c r="G392" s="21"/>
      <c r="H392" s="27">
        <v>539.51</v>
      </c>
      <c r="I392" s="231"/>
      <c r="J392" s="27">
        <f t="shared" ref="J392:J455" si="32">H392*$D$6</f>
        <v>323.70599999999996</v>
      </c>
      <c r="K392" s="27">
        <f t="shared" si="31"/>
        <v>863.21599999999989</v>
      </c>
      <c r="L392" s="2"/>
      <c r="M392" s="21"/>
      <c r="N392" s="64"/>
      <c r="O392" s="64"/>
      <c r="P392" s="64"/>
      <c r="Q392" s="2"/>
    </row>
    <row r="393" spans="1:17">
      <c r="A393" s="14">
        <v>389</v>
      </c>
      <c r="B393" s="14" t="s">
        <v>1295</v>
      </c>
      <c r="C393" s="14" t="s">
        <v>69</v>
      </c>
      <c r="D393" s="14" t="s">
        <v>461</v>
      </c>
      <c r="E393" s="14" t="s">
        <v>7</v>
      </c>
      <c r="F393" s="21" t="s">
        <v>484</v>
      </c>
      <c r="G393" s="21"/>
      <c r="H393" s="27"/>
      <c r="I393" s="231"/>
      <c r="J393" s="27">
        <f t="shared" si="32"/>
        <v>0</v>
      </c>
      <c r="K393" s="27">
        <f t="shared" si="31"/>
        <v>0</v>
      </c>
      <c r="L393" s="2"/>
      <c r="M393" s="21"/>
      <c r="N393" s="64"/>
      <c r="O393" s="64"/>
      <c r="P393" s="64"/>
      <c r="Q393" s="2"/>
    </row>
    <row r="394" spans="1:17">
      <c r="A394" s="14">
        <v>390</v>
      </c>
      <c r="B394" s="14" t="s">
        <v>1295</v>
      </c>
      <c r="C394" s="14" t="s">
        <v>69</v>
      </c>
      <c r="D394" s="14" t="s">
        <v>461</v>
      </c>
      <c r="E394" s="14" t="s">
        <v>7</v>
      </c>
      <c r="F394" s="21" t="s">
        <v>485</v>
      </c>
      <c r="G394" s="21"/>
      <c r="H394" s="27"/>
      <c r="I394" s="231"/>
      <c r="J394" s="27">
        <f t="shared" si="32"/>
        <v>0</v>
      </c>
      <c r="K394" s="27">
        <f t="shared" si="31"/>
        <v>0</v>
      </c>
      <c r="L394" s="2"/>
      <c r="M394" s="21"/>
      <c r="N394" s="64"/>
      <c r="O394" s="64"/>
      <c r="P394" s="64"/>
      <c r="Q394" s="2"/>
    </row>
    <row r="395" spans="1:17">
      <c r="A395" s="14">
        <v>391</v>
      </c>
      <c r="B395" s="14" t="s">
        <v>1295</v>
      </c>
      <c r="C395" s="14" t="s">
        <v>69</v>
      </c>
      <c r="D395" s="14" t="s">
        <v>461</v>
      </c>
      <c r="E395" s="14" t="s">
        <v>7</v>
      </c>
      <c r="F395" s="21" t="s">
        <v>486</v>
      </c>
      <c r="G395" s="21"/>
      <c r="H395" s="27"/>
      <c r="I395" s="231"/>
      <c r="J395" s="27">
        <f t="shared" si="32"/>
        <v>0</v>
      </c>
      <c r="K395" s="27">
        <f t="shared" si="31"/>
        <v>0</v>
      </c>
      <c r="L395" s="2"/>
      <c r="M395" s="21"/>
      <c r="N395" s="64"/>
      <c r="O395" s="64"/>
      <c r="P395" s="64"/>
      <c r="Q395" s="2"/>
    </row>
    <row r="396" spans="1:17">
      <c r="A396" s="14">
        <v>392</v>
      </c>
      <c r="B396" s="14" t="s">
        <v>1295</v>
      </c>
      <c r="C396" s="14" t="s">
        <v>69</v>
      </c>
      <c r="D396" s="14" t="s">
        <v>461</v>
      </c>
      <c r="E396" s="14" t="s">
        <v>7</v>
      </c>
      <c r="F396" s="21" t="s">
        <v>487</v>
      </c>
      <c r="G396" s="21"/>
      <c r="H396" s="27"/>
      <c r="I396" s="231"/>
      <c r="J396" s="27">
        <f t="shared" si="32"/>
        <v>0</v>
      </c>
      <c r="K396" s="27">
        <f t="shared" si="31"/>
        <v>0</v>
      </c>
      <c r="L396" s="2"/>
      <c r="M396" s="21"/>
      <c r="N396" s="64"/>
      <c r="O396" s="64"/>
      <c r="P396" s="64"/>
      <c r="Q396" s="2"/>
    </row>
    <row r="397" spans="1:17">
      <c r="A397" s="14">
        <v>393</v>
      </c>
      <c r="B397" s="14" t="s">
        <v>1295</v>
      </c>
      <c r="C397" s="14" t="s">
        <v>69</v>
      </c>
      <c r="D397" s="14" t="s">
        <v>461</v>
      </c>
      <c r="E397" s="14" t="s">
        <v>7</v>
      </c>
      <c r="F397" s="21" t="s">
        <v>488</v>
      </c>
      <c r="G397" s="21"/>
      <c r="H397" s="27"/>
      <c r="I397" s="231"/>
      <c r="J397" s="27">
        <f t="shared" si="32"/>
        <v>0</v>
      </c>
      <c r="K397" s="27">
        <f t="shared" si="31"/>
        <v>0</v>
      </c>
      <c r="L397" s="2"/>
      <c r="M397" s="21"/>
      <c r="N397" s="64"/>
      <c r="O397" s="64"/>
      <c r="P397" s="64"/>
      <c r="Q397" s="2"/>
    </row>
    <row r="398" spans="1:17">
      <c r="A398" s="14">
        <v>394</v>
      </c>
      <c r="B398" s="14" t="s">
        <v>1295</v>
      </c>
      <c r="C398" s="14" t="s">
        <v>69</v>
      </c>
      <c r="D398" s="14" t="s">
        <v>461</v>
      </c>
      <c r="E398" s="14" t="s">
        <v>7</v>
      </c>
      <c r="F398" s="21" t="s">
        <v>489</v>
      </c>
      <c r="G398" s="21"/>
      <c r="H398" s="27"/>
      <c r="I398" s="231"/>
      <c r="J398" s="27">
        <f t="shared" si="32"/>
        <v>0</v>
      </c>
      <c r="K398" s="27">
        <f t="shared" si="31"/>
        <v>0</v>
      </c>
      <c r="L398" s="2"/>
      <c r="M398" s="21"/>
      <c r="N398" s="64"/>
      <c r="O398" s="64"/>
      <c r="P398" s="64"/>
      <c r="Q398" s="2"/>
    </row>
    <row r="399" spans="1:17">
      <c r="A399" s="14">
        <v>395</v>
      </c>
      <c r="B399" s="14" t="s">
        <v>1295</v>
      </c>
      <c r="C399" s="14" t="s">
        <v>69</v>
      </c>
      <c r="D399" s="14" t="s">
        <v>461</v>
      </c>
      <c r="E399" s="14" t="s">
        <v>7</v>
      </c>
      <c r="F399" s="21" t="s">
        <v>490</v>
      </c>
      <c r="G399" s="21"/>
      <c r="H399" s="27"/>
      <c r="I399" s="231"/>
      <c r="J399" s="27">
        <f t="shared" si="32"/>
        <v>0</v>
      </c>
      <c r="K399" s="27">
        <f t="shared" si="31"/>
        <v>0</v>
      </c>
      <c r="L399" s="2"/>
      <c r="M399" s="21"/>
      <c r="N399" s="64"/>
      <c r="O399" s="64"/>
      <c r="P399" s="64"/>
      <c r="Q399" s="2"/>
    </row>
    <row r="400" spans="1:17">
      <c r="A400" s="14">
        <v>396</v>
      </c>
      <c r="B400" s="14" t="s">
        <v>1295</v>
      </c>
      <c r="C400" s="14" t="s">
        <v>69</v>
      </c>
      <c r="D400" s="14" t="s">
        <v>461</v>
      </c>
      <c r="E400" s="14" t="s">
        <v>7</v>
      </c>
      <c r="F400" s="21" t="s">
        <v>491</v>
      </c>
      <c r="G400" s="21"/>
      <c r="H400" s="27"/>
      <c r="I400" s="231"/>
      <c r="J400" s="27">
        <f t="shared" si="32"/>
        <v>0</v>
      </c>
      <c r="K400" s="27">
        <f t="shared" si="31"/>
        <v>0</v>
      </c>
      <c r="L400" s="2"/>
      <c r="M400" s="21"/>
      <c r="N400" s="64"/>
      <c r="O400" s="64"/>
      <c r="P400" s="64"/>
      <c r="Q400" s="2"/>
    </row>
    <row r="401" spans="1:17">
      <c r="A401" s="14">
        <v>397</v>
      </c>
      <c r="B401" s="14" t="s">
        <v>1295</v>
      </c>
      <c r="C401" s="14" t="s">
        <v>69</v>
      </c>
      <c r="D401" s="14" t="s">
        <v>461</v>
      </c>
      <c r="E401" s="14" t="s">
        <v>7</v>
      </c>
      <c r="F401" s="21" t="s">
        <v>492</v>
      </c>
      <c r="G401" s="21"/>
      <c r="H401" s="27"/>
      <c r="I401" s="231"/>
      <c r="J401" s="27">
        <f t="shared" si="32"/>
        <v>0</v>
      </c>
      <c r="K401" s="27">
        <f t="shared" si="31"/>
        <v>0</v>
      </c>
      <c r="L401" s="2"/>
      <c r="M401" s="21"/>
      <c r="N401" s="64"/>
      <c r="O401" s="64"/>
      <c r="P401" s="64"/>
      <c r="Q401" s="2"/>
    </row>
    <row r="402" spans="1:17">
      <c r="A402" s="14">
        <v>398</v>
      </c>
      <c r="B402" s="14" t="s">
        <v>1295</v>
      </c>
      <c r="C402" s="14" t="s">
        <v>69</v>
      </c>
      <c r="D402" s="14" t="s">
        <v>461</v>
      </c>
      <c r="E402" s="14" t="s">
        <v>7</v>
      </c>
      <c r="F402" s="21" t="s">
        <v>493</v>
      </c>
      <c r="G402" s="21"/>
      <c r="H402" s="27"/>
      <c r="I402" s="231"/>
      <c r="J402" s="27">
        <f t="shared" si="32"/>
        <v>0</v>
      </c>
      <c r="K402" s="27">
        <f t="shared" si="31"/>
        <v>0</v>
      </c>
      <c r="L402" s="2"/>
      <c r="M402" s="21"/>
      <c r="N402" s="64"/>
      <c r="O402" s="64"/>
      <c r="P402" s="64"/>
      <c r="Q402" s="2"/>
    </row>
    <row r="403" spans="1:17">
      <c r="A403" s="14">
        <v>399</v>
      </c>
      <c r="B403" s="14" t="s">
        <v>1295</v>
      </c>
      <c r="C403" s="14" t="s">
        <v>69</v>
      </c>
      <c r="D403" s="14" t="s">
        <v>461</v>
      </c>
      <c r="E403" s="14" t="s">
        <v>7</v>
      </c>
      <c r="F403" s="21" t="s">
        <v>494</v>
      </c>
      <c r="G403" s="21"/>
      <c r="H403" s="27"/>
      <c r="I403" s="231"/>
      <c r="J403" s="27">
        <f t="shared" si="32"/>
        <v>0</v>
      </c>
      <c r="K403" s="27">
        <f t="shared" si="31"/>
        <v>0</v>
      </c>
      <c r="L403" s="2"/>
      <c r="M403" s="21"/>
      <c r="N403" s="64"/>
      <c r="O403" s="64"/>
      <c r="P403" s="64"/>
      <c r="Q403" s="2"/>
    </row>
    <row r="404" spans="1:17">
      <c r="A404" s="14">
        <v>400</v>
      </c>
      <c r="B404" s="14" t="s">
        <v>1295</v>
      </c>
      <c r="C404" s="14" t="s">
        <v>69</v>
      </c>
      <c r="D404" s="14" t="s">
        <v>461</v>
      </c>
      <c r="E404" s="14" t="s">
        <v>7</v>
      </c>
      <c r="F404" s="21" t="s">
        <v>495</v>
      </c>
      <c r="G404" s="21"/>
      <c r="H404" s="27"/>
      <c r="I404" s="231"/>
      <c r="J404" s="27">
        <f t="shared" si="32"/>
        <v>0</v>
      </c>
      <c r="K404" s="27">
        <f t="shared" si="31"/>
        <v>0</v>
      </c>
      <c r="L404" s="2"/>
      <c r="M404" s="21"/>
      <c r="N404" s="64"/>
      <c r="O404" s="64"/>
      <c r="P404" s="64"/>
      <c r="Q404" s="2"/>
    </row>
    <row r="405" spans="1:17">
      <c r="A405" s="14">
        <v>401</v>
      </c>
      <c r="B405" s="14" t="s">
        <v>1295</v>
      </c>
      <c r="C405" s="14" t="s">
        <v>69</v>
      </c>
      <c r="D405" s="14" t="s">
        <v>461</v>
      </c>
      <c r="E405" s="14" t="s">
        <v>7</v>
      </c>
      <c r="F405" s="21" t="s">
        <v>496</v>
      </c>
      <c r="G405" s="21"/>
      <c r="H405" s="27"/>
      <c r="I405" s="231"/>
      <c r="J405" s="27">
        <f t="shared" si="32"/>
        <v>0</v>
      </c>
      <c r="K405" s="27">
        <f t="shared" si="31"/>
        <v>0</v>
      </c>
      <c r="L405" s="2"/>
      <c r="M405" s="21"/>
      <c r="N405" s="64"/>
      <c r="O405" s="64"/>
      <c r="P405" s="64"/>
      <c r="Q405" s="2"/>
    </row>
    <row r="406" spans="1:17">
      <c r="A406" s="14">
        <v>402</v>
      </c>
      <c r="B406" s="14" t="s">
        <v>1295</v>
      </c>
      <c r="C406" s="14" t="s">
        <v>69</v>
      </c>
      <c r="D406" s="14" t="s">
        <v>461</v>
      </c>
      <c r="E406" s="14" t="s">
        <v>7</v>
      </c>
      <c r="F406" s="21" t="s">
        <v>497</v>
      </c>
      <c r="G406" s="21"/>
      <c r="H406" s="27"/>
      <c r="I406" s="231"/>
      <c r="J406" s="27">
        <f t="shared" si="32"/>
        <v>0</v>
      </c>
      <c r="K406" s="27">
        <f t="shared" si="31"/>
        <v>0</v>
      </c>
      <c r="L406" s="2"/>
      <c r="M406" s="21"/>
      <c r="N406" s="64"/>
      <c r="O406" s="64"/>
      <c r="P406" s="64"/>
      <c r="Q406" s="2"/>
    </row>
    <row r="407" spans="1:17">
      <c r="A407" s="14">
        <v>403</v>
      </c>
      <c r="B407" s="14" t="s">
        <v>1295</v>
      </c>
      <c r="C407" s="14" t="s">
        <v>69</v>
      </c>
      <c r="D407" s="14" t="s">
        <v>461</v>
      </c>
      <c r="E407" s="14" t="s">
        <v>7</v>
      </c>
      <c r="F407" s="21" t="s">
        <v>498</v>
      </c>
      <c r="G407" s="21"/>
      <c r="H407" s="27"/>
      <c r="I407" s="231"/>
      <c r="J407" s="27">
        <f t="shared" si="32"/>
        <v>0</v>
      </c>
      <c r="K407" s="27">
        <f t="shared" si="31"/>
        <v>0</v>
      </c>
      <c r="L407" s="2"/>
      <c r="M407" s="21"/>
      <c r="N407" s="64"/>
      <c r="O407" s="64"/>
      <c r="P407" s="64"/>
      <c r="Q407" s="2"/>
    </row>
    <row r="408" spans="1:17">
      <c r="A408" s="14">
        <v>404</v>
      </c>
      <c r="B408" s="14" t="s">
        <v>1295</v>
      </c>
      <c r="C408" s="14" t="s">
        <v>69</v>
      </c>
      <c r="D408" s="14" t="s">
        <v>461</v>
      </c>
      <c r="E408" s="14" t="s">
        <v>7</v>
      </c>
      <c r="F408" s="21" t="s">
        <v>499</v>
      </c>
      <c r="G408" s="21"/>
      <c r="H408" s="27"/>
      <c r="I408" s="231"/>
      <c r="J408" s="27">
        <f t="shared" si="32"/>
        <v>0</v>
      </c>
      <c r="K408" s="27">
        <f t="shared" si="31"/>
        <v>0</v>
      </c>
      <c r="L408" s="2"/>
      <c r="M408" s="21"/>
      <c r="N408" s="64"/>
      <c r="O408" s="64"/>
      <c r="P408" s="64"/>
      <c r="Q408" s="2"/>
    </row>
    <row r="409" spans="1:17">
      <c r="A409" s="14">
        <v>405</v>
      </c>
      <c r="B409" s="14" t="s">
        <v>1295</v>
      </c>
      <c r="C409" s="14" t="s">
        <v>69</v>
      </c>
      <c r="D409" s="14" t="s">
        <v>461</v>
      </c>
      <c r="E409" s="14" t="s">
        <v>7</v>
      </c>
      <c r="F409" s="21" t="s">
        <v>500</v>
      </c>
      <c r="G409" s="21"/>
      <c r="H409" s="27"/>
      <c r="I409" s="231"/>
      <c r="J409" s="27">
        <f t="shared" si="32"/>
        <v>0</v>
      </c>
      <c r="K409" s="27">
        <f t="shared" si="31"/>
        <v>0</v>
      </c>
      <c r="L409" s="2"/>
      <c r="M409" s="21"/>
      <c r="N409" s="64"/>
      <c r="O409" s="64"/>
      <c r="P409" s="64"/>
      <c r="Q409" s="2"/>
    </row>
    <row r="410" spans="1:17">
      <c r="A410" s="14">
        <v>406</v>
      </c>
      <c r="B410" s="14" t="s">
        <v>1295</v>
      </c>
      <c r="C410" s="14" t="s">
        <v>69</v>
      </c>
      <c r="D410" s="14" t="s">
        <v>461</v>
      </c>
      <c r="E410" s="14" t="s">
        <v>7</v>
      </c>
      <c r="F410" s="21" t="s">
        <v>501</v>
      </c>
      <c r="G410" s="21"/>
      <c r="H410" s="27"/>
      <c r="I410" s="231"/>
      <c r="J410" s="27">
        <f t="shared" si="32"/>
        <v>0</v>
      </c>
      <c r="K410" s="27">
        <f t="shared" si="31"/>
        <v>0</v>
      </c>
      <c r="L410" s="2"/>
      <c r="M410" s="21"/>
      <c r="N410" s="64"/>
      <c r="O410" s="64"/>
      <c r="P410" s="64"/>
      <c r="Q410" s="2"/>
    </row>
    <row r="411" spans="1:17">
      <c r="A411" s="14">
        <v>407</v>
      </c>
      <c r="B411" s="14" t="s">
        <v>1295</v>
      </c>
      <c r="C411" s="14" t="s">
        <v>69</v>
      </c>
      <c r="D411" s="14" t="s">
        <v>461</v>
      </c>
      <c r="E411" s="14" t="s">
        <v>7</v>
      </c>
      <c r="F411" s="21" t="s">
        <v>502</v>
      </c>
      <c r="G411" s="21"/>
      <c r="H411" s="27"/>
      <c r="I411" s="231"/>
      <c r="J411" s="27">
        <f t="shared" si="32"/>
        <v>0</v>
      </c>
      <c r="K411" s="27">
        <f t="shared" si="31"/>
        <v>0</v>
      </c>
      <c r="L411" s="2"/>
      <c r="M411" s="21"/>
      <c r="N411" s="64"/>
      <c r="O411" s="64"/>
      <c r="P411" s="64"/>
      <c r="Q411" s="2"/>
    </row>
    <row r="412" spans="1:17">
      <c r="A412" s="14">
        <v>408</v>
      </c>
      <c r="B412" s="14" t="s">
        <v>1295</v>
      </c>
      <c r="C412" s="14" t="s">
        <v>69</v>
      </c>
      <c r="D412" s="14" t="s">
        <v>461</v>
      </c>
      <c r="E412" s="14" t="s">
        <v>7</v>
      </c>
      <c r="F412" s="21" t="s">
        <v>503</v>
      </c>
      <c r="G412" s="21"/>
      <c r="H412" s="27"/>
      <c r="I412" s="231"/>
      <c r="J412" s="27">
        <f t="shared" si="32"/>
        <v>0</v>
      </c>
      <c r="K412" s="27">
        <f t="shared" si="31"/>
        <v>0</v>
      </c>
      <c r="L412" s="2"/>
      <c r="M412" s="21"/>
      <c r="N412" s="64"/>
      <c r="O412" s="64"/>
      <c r="P412" s="64"/>
      <c r="Q412" s="2"/>
    </row>
    <row r="413" spans="1:17">
      <c r="A413" s="14">
        <v>409</v>
      </c>
      <c r="B413" s="14" t="s">
        <v>1295</v>
      </c>
      <c r="C413" s="14" t="s">
        <v>69</v>
      </c>
      <c r="D413" s="14" t="s">
        <v>461</v>
      </c>
      <c r="E413" s="14" t="s">
        <v>7</v>
      </c>
      <c r="F413" s="21" t="s">
        <v>504</v>
      </c>
      <c r="G413" s="21"/>
      <c r="H413" s="27"/>
      <c r="I413" s="231"/>
      <c r="J413" s="27">
        <f t="shared" si="32"/>
        <v>0</v>
      </c>
      <c r="K413" s="27">
        <f t="shared" si="31"/>
        <v>0</v>
      </c>
      <c r="L413" s="2"/>
      <c r="M413" s="21"/>
      <c r="N413" s="64"/>
      <c r="O413" s="64"/>
      <c r="P413" s="64"/>
      <c r="Q413" s="2"/>
    </row>
    <row r="414" spans="1:17">
      <c r="A414" s="14">
        <v>410</v>
      </c>
      <c r="B414" s="14" t="s">
        <v>1295</v>
      </c>
      <c r="C414" s="14" t="s">
        <v>69</v>
      </c>
      <c r="D414" s="14" t="s">
        <v>461</v>
      </c>
      <c r="E414" s="14" t="s">
        <v>7</v>
      </c>
      <c r="F414" s="21" t="s">
        <v>505</v>
      </c>
      <c r="G414" s="21"/>
      <c r="H414" s="27"/>
      <c r="I414" s="231"/>
      <c r="J414" s="27">
        <f t="shared" si="32"/>
        <v>0</v>
      </c>
      <c r="K414" s="27">
        <f t="shared" si="31"/>
        <v>0</v>
      </c>
      <c r="L414" s="2"/>
      <c r="M414" s="21"/>
      <c r="N414" s="64"/>
      <c r="O414" s="64"/>
      <c r="P414" s="64"/>
      <c r="Q414" s="2"/>
    </row>
    <row r="415" spans="1:17">
      <c r="A415" s="14">
        <v>411</v>
      </c>
      <c r="B415" s="14" t="s">
        <v>1295</v>
      </c>
      <c r="C415" s="14" t="s">
        <v>69</v>
      </c>
      <c r="D415" s="14" t="s">
        <v>461</v>
      </c>
      <c r="E415" s="14" t="s">
        <v>7</v>
      </c>
      <c r="F415" s="21" t="s">
        <v>506</v>
      </c>
      <c r="G415" s="21"/>
      <c r="H415" s="27"/>
      <c r="I415" s="231"/>
      <c r="J415" s="27">
        <f t="shared" si="32"/>
        <v>0</v>
      </c>
      <c r="K415" s="27">
        <f t="shared" si="31"/>
        <v>0</v>
      </c>
      <c r="L415" s="2"/>
      <c r="M415" s="21"/>
      <c r="N415" s="64"/>
      <c r="O415" s="64"/>
      <c r="P415" s="64"/>
      <c r="Q415" s="2"/>
    </row>
    <row r="416" spans="1:17">
      <c r="A416" s="14">
        <v>412</v>
      </c>
      <c r="B416" s="14" t="s">
        <v>1295</v>
      </c>
      <c r="C416" s="14" t="s">
        <v>69</v>
      </c>
      <c r="D416" s="14" t="s">
        <v>461</v>
      </c>
      <c r="E416" s="14" t="s">
        <v>7</v>
      </c>
      <c r="F416" s="21" t="s">
        <v>500</v>
      </c>
      <c r="G416" s="21"/>
      <c r="H416" s="27"/>
      <c r="I416" s="231"/>
      <c r="J416" s="27">
        <f t="shared" si="32"/>
        <v>0</v>
      </c>
      <c r="K416" s="27">
        <f t="shared" si="31"/>
        <v>0</v>
      </c>
      <c r="L416" s="2"/>
      <c r="M416" s="21"/>
      <c r="N416" s="64"/>
      <c r="O416" s="64"/>
      <c r="P416" s="64"/>
      <c r="Q416" s="2"/>
    </row>
    <row r="417" spans="1:17">
      <c r="A417" s="14">
        <v>413</v>
      </c>
      <c r="B417" s="14" t="s">
        <v>1295</v>
      </c>
      <c r="C417" s="14" t="s">
        <v>69</v>
      </c>
      <c r="D417" s="14" t="s">
        <v>461</v>
      </c>
      <c r="E417" s="14" t="s">
        <v>7</v>
      </c>
      <c r="F417" s="21" t="s">
        <v>507</v>
      </c>
      <c r="G417" s="21"/>
      <c r="H417" s="27"/>
      <c r="I417" s="231"/>
      <c r="J417" s="27">
        <f t="shared" si="32"/>
        <v>0</v>
      </c>
      <c r="K417" s="27">
        <f t="shared" si="31"/>
        <v>0</v>
      </c>
      <c r="L417" s="2"/>
      <c r="M417" s="21"/>
      <c r="N417" s="64"/>
      <c r="O417" s="64"/>
      <c r="P417" s="64"/>
      <c r="Q417" s="2"/>
    </row>
    <row r="418" spans="1:17">
      <c r="A418" s="14">
        <v>414</v>
      </c>
      <c r="B418" s="14" t="s">
        <v>1295</v>
      </c>
      <c r="C418" s="14" t="s">
        <v>69</v>
      </c>
      <c r="D418" s="14" t="s">
        <v>461</v>
      </c>
      <c r="E418" s="14" t="s">
        <v>7</v>
      </c>
      <c r="F418" s="21" t="s">
        <v>508</v>
      </c>
      <c r="G418" s="21"/>
      <c r="H418" s="27"/>
      <c r="I418" s="231"/>
      <c r="J418" s="27">
        <f t="shared" si="32"/>
        <v>0</v>
      </c>
      <c r="K418" s="27">
        <f t="shared" si="31"/>
        <v>0</v>
      </c>
      <c r="L418" s="2"/>
      <c r="M418" s="21"/>
      <c r="N418" s="64"/>
      <c r="O418" s="64"/>
      <c r="P418" s="64"/>
      <c r="Q418" s="2"/>
    </row>
    <row r="419" spans="1:17">
      <c r="A419" s="14">
        <v>415</v>
      </c>
      <c r="B419" s="14" t="s">
        <v>1295</v>
      </c>
      <c r="C419" s="14" t="s">
        <v>69</v>
      </c>
      <c r="D419" s="14" t="s">
        <v>461</v>
      </c>
      <c r="E419" s="14" t="s">
        <v>7</v>
      </c>
      <c r="F419" s="21" t="s">
        <v>509</v>
      </c>
      <c r="G419" s="21"/>
      <c r="H419" s="27"/>
      <c r="I419" s="231"/>
      <c r="J419" s="27">
        <f t="shared" si="32"/>
        <v>0</v>
      </c>
      <c r="K419" s="27">
        <f t="shared" si="31"/>
        <v>0</v>
      </c>
      <c r="L419" s="2"/>
      <c r="M419" s="21"/>
      <c r="N419" s="64"/>
      <c r="O419" s="64"/>
      <c r="P419" s="64"/>
      <c r="Q419" s="2"/>
    </row>
    <row r="420" spans="1:17">
      <c r="A420" s="14">
        <v>416</v>
      </c>
      <c r="B420" s="14" t="s">
        <v>1295</v>
      </c>
      <c r="C420" s="14" t="s">
        <v>69</v>
      </c>
      <c r="D420" s="14" t="s">
        <v>461</v>
      </c>
      <c r="E420" s="14" t="s">
        <v>7</v>
      </c>
      <c r="F420" s="21" t="s">
        <v>510</v>
      </c>
      <c r="G420" s="21"/>
      <c r="H420" s="27"/>
      <c r="I420" s="231"/>
      <c r="J420" s="27">
        <f t="shared" si="32"/>
        <v>0</v>
      </c>
      <c r="K420" s="27">
        <f>H420+I420+J420</f>
        <v>0</v>
      </c>
      <c r="L420" s="2"/>
      <c r="M420" s="21"/>
      <c r="N420" s="64"/>
      <c r="O420" s="64"/>
      <c r="P420" s="64"/>
      <c r="Q420" s="2"/>
    </row>
    <row r="421" spans="1:17">
      <c r="A421" s="14">
        <v>417</v>
      </c>
      <c r="B421" s="14" t="s">
        <v>1295</v>
      </c>
      <c r="C421" s="14" t="s">
        <v>69</v>
      </c>
      <c r="D421" s="14" t="s">
        <v>461</v>
      </c>
      <c r="E421" s="14" t="s">
        <v>7</v>
      </c>
      <c r="F421" s="21" t="s">
        <v>511</v>
      </c>
      <c r="G421" s="21"/>
      <c r="H421" s="27"/>
      <c r="I421" s="231"/>
      <c r="J421" s="27">
        <f t="shared" si="32"/>
        <v>0</v>
      </c>
      <c r="K421" s="27">
        <f>H421+I421+J421</f>
        <v>0</v>
      </c>
      <c r="L421" s="2"/>
      <c r="M421" s="21"/>
      <c r="N421" s="64"/>
      <c r="O421" s="64"/>
      <c r="P421" s="64"/>
      <c r="Q421" s="2"/>
    </row>
    <row r="422" spans="1:17">
      <c r="A422" s="14">
        <v>418</v>
      </c>
      <c r="B422" s="14" t="s">
        <v>1295</v>
      </c>
      <c r="C422" s="14" t="s">
        <v>69</v>
      </c>
      <c r="D422" s="14" t="s">
        <v>512</v>
      </c>
      <c r="E422" s="14" t="s">
        <v>7</v>
      </c>
      <c r="F422" s="14" t="s">
        <v>513</v>
      </c>
      <c r="G422" s="14" t="s">
        <v>512</v>
      </c>
      <c r="H422" s="27"/>
      <c r="I422" s="231"/>
      <c r="J422" s="27">
        <f t="shared" si="32"/>
        <v>0</v>
      </c>
      <c r="K422" s="27"/>
      <c r="L422" s="2"/>
      <c r="M422" s="21"/>
      <c r="N422" s="64"/>
      <c r="O422" s="64"/>
      <c r="P422" s="64"/>
      <c r="Q422" s="2"/>
    </row>
    <row r="423" spans="1:17">
      <c r="A423" s="14">
        <v>419</v>
      </c>
      <c r="B423" s="14" t="s">
        <v>1295</v>
      </c>
      <c r="C423" s="14" t="s">
        <v>69</v>
      </c>
      <c r="D423" s="14" t="s">
        <v>514</v>
      </c>
      <c r="E423" s="14" t="s">
        <v>7</v>
      </c>
      <c r="F423" s="21" t="s">
        <v>24</v>
      </c>
      <c r="G423" s="14" t="s">
        <v>515</v>
      </c>
      <c r="H423" s="27">
        <v>100</v>
      </c>
      <c r="I423" s="231"/>
      <c r="J423" s="27">
        <f t="shared" si="32"/>
        <v>60</v>
      </c>
      <c r="K423" s="27">
        <f>J423+H423</f>
        <v>160</v>
      </c>
      <c r="L423" s="2"/>
      <c r="M423" s="21"/>
      <c r="N423" s="64"/>
      <c r="O423" s="64"/>
      <c r="P423" s="64"/>
      <c r="Q423" s="2"/>
    </row>
    <row r="424" spans="1:17">
      <c r="A424" s="14">
        <v>420</v>
      </c>
      <c r="B424" s="14" t="s">
        <v>1295</v>
      </c>
      <c r="C424" s="14" t="s">
        <v>69</v>
      </c>
      <c r="D424" s="14" t="s">
        <v>514</v>
      </c>
      <c r="E424" s="14" t="s">
        <v>7</v>
      </c>
      <c r="F424" s="21" t="s">
        <v>516</v>
      </c>
      <c r="G424" s="14" t="s">
        <v>517</v>
      </c>
      <c r="H424" s="27">
        <v>18.5</v>
      </c>
      <c r="I424" s="231"/>
      <c r="J424" s="27">
        <f t="shared" si="32"/>
        <v>11.1</v>
      </c>
      <c r="K424" s="27">
        <f>J424+H424</f>
        <v>29.6</v>
      </c>
      <c r="L424" s="2"/>
      <c r="M424" s="21"/>
      <c r="N424" s="64"/>
      <c r="O424" s="64"/>
      <c r="P424" s="64"/>
      <c r="Q424" s="2"/>
    </row>
    <row r="425" spans="1:17">
      <c r="A425" s="14">
        <v>421</v>
      </c>
      <c r="B425" s="14" t="s">
        <v>1295</v>
      </c>
      <c r="C425" s="14" t="s">
        <v>69</v>
      </c>
      <c r="D425" s="14" t="s">
        <v>514</v>
      </c>
      <c r="E425" s="14" t="s">
        <v>7</v>
      </c>
      <c r="F425" s="21" t="s">
        <v>518</v>
      </c>
      <c r="G425" s="14" t="s">
        <v>519</v>
      </c>
      <c r="H425" s="27">
        <f>H768</f>
        <v>40</v>
      </c>
      <c r="I425" s="231"/>
      <c r="J425" s="27">
        <f t="shared" si="32"/>
        <v>24</v>
      </c>
      <c r="K425" s="27">
        <f>J425+H425</f>
        <v>64</v>
      </c>
      <c r="L425" s="2"/>
      <c r="M425" s="21"/>
      <c r="N425" s="64"/>
      <c r="O425" s="64"/>
      <c r="P425" s="64"/>
      <c r="Q425" s="2"/>
    </row>
    <row r="426" spans="1:17">
      <c r="A426" s="14">
        <v>422</v>
      </c>
      <c r="B426" s="14" t="s">
        <v>1295</v>
      </c>
      <c r="C426" s="14" t="s">
        <v>67</v>
      </c>
      <c r="D426" s="14" t="s">
        <v>520</v>
      </c>
      <c r="E426" s="14" t="s">
        <v>7</v>
      </c>
      <c r="F426" s="21" t="s">
        <v>521</v>
      </c>
      <c r="G426" s="21"/>
      <c r="H426" s="27">
        <v>7.56</v>
      </c>
      <c r="I426" s="231"/>
      <c r="J426" s="27">
        <f t="shared" si="32"/>
        <v>4.5359999999999996</v>
      </c>
      <c r="K426" s="27">
        <f>J426+H426</f>
        <v>12.096</v>
      </c>
      <c r="L426" s="2"/>
      <c r="M426" s="21"/>
      <c r="N426" s="64"/>
      <c r="O426" s="64"/>
      <c r="P426" s="64"/>
      <c r="Q426" s="2"/>
    </row>
    <row r="427" spans="1:17">
      <c r="A427" s="14">
        <v>423</v>
      </c>
      <c r="B427" s="14" t="s">
        <v>1295</v>
      </c>
      <c r="C427" s="14" t="s">
        <v>51</v>
      </c>
      <c r="D427" s="14" t="s">
        <v>522</v>
      </c>
      <c r="E427" s="14" t="s">
        <v>7</v>
      </c>
      <c r="H427" s="27" t="s">
        <v>523</v>
      </c>
      <c r="I427" s="231"/>
      <c r="J427" s="21" t="e">
        <f t="shared" si="32"/>
        <v>#VALUE!</v>
      </c>
      <c r="K427" s="27"/>
      <c r="L427" s="2"/>
      <c r="M427" s="21"/>
      <c r="N427" s="64"/>
      <c r="O427" s="64"/>
      <c r="P427" s="64"/>
      <c r="Q427" s="2"/>
    </row>
    <row r="428" spans="1:17">
      <c r="A428" s="14">
        <v>424</v>
      </c>
      <c r="B428" s="14" t="s">
        <v>1295</v>
      </c>
      <c r="C428" s="14" t="s">
        <v>51</v>
      </c>
      <c r="D428" s="14" t="s">
        <v>522</v>
      </c>
      <c r="E428" s="14" t="s">
        <v>7</v>
      </c>
      <c r="F428" s="21" t="s">
        <v>524</v>
      </c>
      <c r="G428" s="14" t="s">
        <v>525</v>
      </c>
      <c r="H428" s="27">
        <v>14.61</v>
      </c>
      <c r="I428" s="231"/>
      <c r="J428" s="27">
        <f t="shared" si="32"/>
        <v>8.766</v>
      </c>
      <c r="K428" s="27">
        <f>H428+I428+J428</f>
        <v>23.375999999999998</v>
      </c>
      <c r="L428" s="2"/>
      <c r="M428" s="21"/>
      <c r="N428" s="64"/>
      <c r="O428" s="64"/>
      <c r="P428" s="64"/>
      <c r="Q428" s="2"/>
    </row>
    <row r="429" spans="1:17">
      <c r="A429" s="14">
        <v>425</v>
      </c>
      <c r="B429" s="14" t="s">
        <v>1295</v>
      </c>
      <c r="C429" s="14" t="s">
        <v>51</v>
      </c>
      <c r="D429" s="14" t="s">
        <v>522</v>
      </c>
      <c r="E429" s="14" t="s">
        <v>7</v>
      </c>
      <c r="F429" s="21" t="s">
        <v>526</v>
      </c>
      <c r="G429" s="14" t="s">
        <v>527</v>
      </c>
      <c r="H429" s="27">
        <v>18.84</v>
      </c>
      <c r="I429" s="231"/>
      <c r="J429" s="27">
        <f t="shared" si="32"/>
        <v>11.304</v>
      </c>
      <c r="K429" s="27">
        <f>H429+I429+J429</f>
        <v>30.143999999999998</v>
      </c>
      <c r="L429" s="2"/>
      <c r="M429" s="21"/>
      <c r="N429" s="64"/>
      <c r="O429" s="64"/>
      <c r="P429" s="64"/>
      <c r="Q429" s="2"/>
    </row>
    <row r="430" spans="1:17">
      <c r="A430" s="14">
        <v>426</v>
      </c>
      <c r="B430" s="14" t="s">
        <v>1295</v>
      </c>
      <c r="C430" s="14" t="s">
        <v>51</v>
      </c>
      <c r="D430" s="14" t="s">
        <v>522</v>
      </c>
      <c r="E430" s="14" t="s">
        <v>7</v>
      </c>
      <c r="F430" s="21" t="s">
        <v>52</v>
      </c>
      <c r="G430" s="14" t="s">
        <v>528</v>
      </c>
      <c r="H430" s="27">
        <v>9.0299999999999994</v>
      </c>
      <c r="I430" s="231"/>
      <c r="J430" s="27">
        <f t="shared" si="32"/>
        <v>5.4179999999999993</v>
      </c>
      <c r="K430" s="27">
        <f>H430+J430+I430</f>
        <v>14.447999999999999</v>
      </c>
      <c r="L430" s="2"/>
      <c r="M430" s="21"/>
      <c r="N430" s="64"/>
      <c r="O430" s="64"/>
      <c r="P430" s="64"/>
      <c r="Q430" s="2"/>
    </row>
    <row r="431" spans="1:17">
      <c r="A431" s="14">
        <v>427</v>
      </c>
      <c r="B431" s="14" t="s">
        <v>1295</v>
      </c>
      <c r="C431" s="14" t="s">
        <v>51</v>
      </c>
      <c r="D431" s="14" t="s">
        <v>522</v>
      </c>
      <c r="E431" s="14" t="s">
        <v>7</v>
      </c>
      <c r="F431" s="21" t="s">
        <v>529</v>
      </c>
      <c r="G431" s="14" t="s">
        <v>1</v>
      </c>
      <c r="H431" s="27">
        <v>38.520000000000003</v>
      </c>
      <c r="I431" s="231"/>
      <c r="J431" s="27">
        <f t="shared" si="32"/>
        <v>23.112000000000002</v>
      </c>
      <c r="K431" s="27">
        <f>H431+J431+I431</f>
        <v>61.632000000000005</v>
      </c>
      <c r="L431" s="2"/>
      <c r="M431" s="72"/>
      <c r="N431" s="64"/>
      <c r="O431" s="64"/>
      <c r="P431" s="64"/>
      <c r="Q431" s="2"/>
    </row>
    <row r="432" spans="1:17">
      <c r="A432" s="14">
        <v>428</v>
      </c>
      <c r="B432" s="14" t="s">
        <v>1295</v>
      </c>
      <c r="C432" s="14" t="s">
        <v>51</v>
      </c>
      <c r="D432" s="14" t="s">
        <v>522</v>
      </c>
      <c r="E432" s="14" t="s">
        <v>7</v>
      </c>
      <c r="F432" s="21" t="s">
        <v>530</v>
      </c>
      <c r="G432" s="14" t="s">
        <v>531</v>
      </c>
      <c r="H432" s="27">
        <v>15.31</v>
      </c>
      <c r="I432" s="231"/>
      <c r="J432" s="27">
        <f t="shared" si="32"/>
        <v>9.1859999999999999</v>
      </c>
      <c r="K432" s="27">
        <f>H432+J432+I432</f>
        <v>24.496000000000002</v>
      </c>
      <c r="L432" s="2"/>
      <c r="M432" s="21"/>
      <c r="N432" s="64"/>
      <c r="O432" s="64"/>
      <c r="P432" s="64"/>
      <c r="Q432" s="2"/>
    </row>
    <row r="433" spans="1:17">
      <c r="A433" s="14">
        <v>429</v>
      </c>
      <c r="B433" s="14" t="s">
        <v>1295</v>
      </c>
      <c r="C433" s="14" t="s">
        <v>51</v>
      </c>
      <c r="D433" s="14" t="s">
        <v>522</v>
      </c>
      <c r="E433" s="14" t="s">
        <v>7</v>
      </c>
      <c r="F433" s="2" t="s">
        <v>532</v>
      </c>
      <c r="G433" s="14" t="s">
        <v>533</v>
      </c>
      <c r="H433" s="27">
        <v>21.53</v>
      </c>
      <c r="I433" s="231"/>
      <c r="J433" s="27">
        <f t="shared" si="32"/>
        <v>12.918000000000001</v>
      </c>
      <c r="K433" s="27">
        <f>H433+I433+J433</f>
        <v>34.448</v>
      </c>
      <c r="L433" s="2"/>
      <c r="M433" s="21"/>
      <c r="N433" s="64"/>
      <c r="O433" s="64"/>
      <c r="P433" s="64"/>
      <c r="Q433" s="2"/>
    </row>
    <row r="434" spans="1:17">
      <c r="A434" s="14">
        <v>430</v>
      </c>
      <c r="B434" s="14" t="s">
        <v>1295</v>
      </c>
      <c r="C434" s="14" t="s">
        <v>51</v>
      </c>
      <c r="D434" s="14" t="s">
        <v>522</v>
      </c>
      <c r="E434" s="14" t="s">
        <v>7</v>
      </c>
      <c r="F434" s="21" t="s">
        <v>534</v>
      </c>
      <c r="G434" s="14" t="s">
        <v>535</v>
      </c>
      <c r="H434" s="27">
        <v>7.16</v>
      </c>
      <c r="I434" s="231"/>
      <c r="J434" s="27">
        <f t="shared" si="32"/>
        <v>4.2960000000000003</v>
      </c>
      <c r="K434" s="27">
        <f>H434+I434+J434</f>
        <v>11.456</v>
      </c>
      <c r="L434" s="2"/>
      <c r="M434" s="21"/>
      <c r="N434" s="64"/>
      <c r="O434" s="64"/>
      <c r="P434" s="64"/>
      <c r="Q434" s="2"/>
    </row>
    <row r="435" spans="1:17">
      <c r="A435" s="14">
        <v>431</v>
      </c>
      <c r="B435" s="14" t="s">
        <v>1295</v>
      </c>
      <c r="C435" s="14" t="s">
        <v>51</v>
      </c>
      <c r="D435" s="14" t="s">
        <v>522</v>
      </c>
      <c r="E435" s="14" t="s">
        <v>7</v>
      </c>
      <c r="F435" s="21" t="s">
        <v>536</v>
      </c>
      <c r="G435" s="14" t="s">
        <v>537</v>
      </c>
      <c r="H435" s="27">
        <v>13.9</v>
      </c>
      <c r="I435" s="231"/>
      <c r="J435" s="27">
        <f t="shared" si="32"/>
        <v>8.34</v>
      </c>
      <c r="K435" s="27">
        <f>H435+J435+I435</f>
        <v>22.240000000000002</v>
      </c>
      <c r="L435" s="2"/>
      <c r="M435" s="21"/>
      <c r="N435" s="64"/>
      <c r="O435" s="64"/>
      <c r="P435" s="64"/>
      <c r="Q435" s="2"/>
    </row>
    <row r="436" spans="1:17">
      <c r="A436" s="14">
        <v>432</v>
      </c>
      <c r="B436" s="14" t="s">
        <v>1295</v>
      </c>
      <c r="C436" s="14" t="s">
        <v>51</v>
      </c>
      <c r="D436" s="14" t="s">
        <v>522</v>
      </c>
      <c r="E436" s="14" t="s">
        <v>7</v>
      </c>
      <c r="F436" s="21" t="s">
        <v>538</v>
      </c>
      <c r="G436" s="14" t="s">
        <v>539</v>
      </c>
      <c r="H436" s="27">
        <v>18.77</v>
      </c>
      <c r="I436" s="231"/>
      <c r="J436" s="27">
        <f t="shared" si="32"/>
        <v>11.261999999999999</v>
      </c>
      <c r="K436" s="27">
        <f>H436+J436+I436</f>
        <v>30.031999999999996</v>
      </c>
      <c r="L436" s="2"/>
      <c r="M436" s="21"/>
      <c r="N436" s="64"/>
      <c r="O436" s="64"/>
      <c r="P436" s="64"/>
      <c r="Q436" s="2"/>
    </row>
    <row r="437" spans="1:17">
      <c r="A437" s="14">
        <v>433</v>
      </c>
      <c r="B437" s="14" t="s">
        <v>1295</v>
      </c>
      <c r="C437" s="14" t="s">
        <v>51</v>
      </c>
      <c r="D437" s="14" t="s">
        <v>522</v>
      </c>
      <c r="E437" s="14" t="s">
        <v>7</v>
      </c>
      <c r="F437" s="2" t="s">
        <v>540</v>
      </c>
      <c r="G437" s="14" t="s">
        <v>541</v>
      </c>
      <c r="H437" s="27">
        <v>6.52</v>
      </c>
      <c r="I437" s="231"/>
      <c r="J437" s="27">
        <f t="shared" si="32"/>
        <v>3.9119999999999995</v>
      </c>
      <c r="K437" s="27">
        <f>H437+I437+J437</f>
        <v>10.431999999999999</v>
      </c>
      <c r="L437" s="2"/>
      <c r="M437" s="21"/>
      <c r="N437" s="64"/>
      <c r="O437" s="64"/>
      <c r="P437" s="64"/>
      <c r="Q437" s="2"/>
    </row>
    <row r="438" spans="1:17">
      <c r="A438" s="14">
        <v>434</v>
      </c>
      <c r="B438" s="14" t="s">
        <v>1295</v>
      </c>
      <c r="C438" s="14" t="s">
        <v>51</v>
      </c>
      <c r="D438" s="14" t="s">
        <v>522</v>
      </c>
      <c r="E438" s="14" t="s">
        <v>7</v>
      </c>
      <c r="F438" s="21" t="s">
        <v>542</v>
      </c>
      <c r="G438" s="14" t="s">
        <v>537</v>
      </c>
      <c r="H438" s="27">
        <v>15.91</v>
      </c>
      <c r="I438" s="231"/>
      <c r="J438" s="27">
        <f t="shared" si="32"/>
        <v>9.5459999999999994</v>
      </c>
      <c r="K438" s="27">
        <f>H438+I438+J438</f>
        <v>25.456</v>
      </c>
      <c r="L438" s="2"/>
      <c r="M438" s="21"/>
      <c r="N438" s="64"/>
      <c r="O438" s="64"/>
      <c r="P438" s="64"/>
      <c r="Q438" s="2"/>
    </row>
    <row r="439" spans="1:17">
      <c r="A439" s="14">
        <v>435</v>
      </c>
      <c r="B439" s="14" t="s">
        <v>1295</v>
      </c>
      <c r="C439" s="14" t="s">
        <v>51</v>
      </c>
      <c r="D439" s="14" t="s">
        <v>522</v>
      </c>
      <c r="E439" s="14" t="s">
        <v>7</v>
      </c>
      <c r="F439" s="2" t="s">
        <v>543</v>
      </c>
      <c r="G439" s="14" t="s">
        <v>544</v>
      </c>
      <c r="H439" s="27">
        <v>10.47</v>
      </c>
      <c r="I439" s="231"/>
      <c r="J439" s="27">
        <f t="shared" si="32"/>
        <v>6.282</v>
      </c>
      <c r="K439" s="27">
        <f>H439+J439+I439</f>
        <v>16.752000000000002</v>
      </c>
      <c r="L439" s="2"/>
      <c r="M439" s="21"/>
      <c r="N439" s="64"/>
      <c r="O439" s="64"/>
      <c r="P439" s="64"/>
      <c r="Q439" s="2"/>
    </row>
    <row r="440" spans="1:17">
      <c r="A440" s="14">
        <v>436</v>
      </c>
      <c r="B440" s="14" t="s">
        <v>1295</v>
      </c>
      <c r="C440" s="14" t="s">
        <v>51</v>
      </c>
      <c r="D440" s="14" t="s">
        <v>522</v>
      </c>
      <c r="E440" s="14" t="s">
        <v>7</v>
      </c>
      <c r="F440" s="15" t="s">
        <v>29</v>
      </c>
      <c r="G440" s="14" t="s">
        <v>545</v>
      </c>
      <c r="H440" s="27">
        <v>17.350000000000001</v>
      </c>
      <c r="I440" s="231"/>
      <c r="J440" s="27">
        <f t="shared" si="32"/>
        <v>10.41</v>
      </c>
      <c r="K440" s="27">
        <f t="shared" ref="K440:K462" si="33">H440+I440+J440</f>
        <v>27.76</v>
      </c>
      <c r="L440" s="2"/>
      <c r="M440" s="21"/>
      <c r="N440" s="64"/>
      <c r="O440" s="64"/>
      <c r="P440" s="64"/>
      <c r="Q440" s="2"/>
    </row>
    <row r="441" spans="1:17">
      <c r="A441" s="14">
        <v>437</v>
      </c>
      <c r="B441" s="14" t="s">
        <v>1295</v>
      </c>
      <c r="C441" s="14" t="s">
        <v>51</v>
      </c>
      <c r="D441" s="14" t="s">
        <v>522</v>
      </c>
      <c r="E441" s="14" t="s">
        <v>7</v>
      </c>
      <c r="F441" s="15" t="s">
        <v>546</v>
      </c>
      <c r="G441" s="14" t="s">
        <v>547</v>
      </c>
      <c r="H441" s="27">
        <v>15.31</v>
      </c>
      <c r="I441" s="231"/>
      <c r="J441" s="27">
        <f t="shared" si="32"/>
        <v>9.1859999999999999</v>
      </c>
      <c r="K441" s="27">
        <f t="shared" si="33"/>
        <v>24.496000000000002</v>
      </c>
      <c r="L441" s="2"/>
      <c r="M441" s="21"/>
      <c r="N441" s="64"/>
      <c r="O441" s="64"/>
      <c r="P441" s="64"/>
      <c r="Q441" s="2"/>
    </row>
    <row r="442" spans="1:17">
      <c r="A442" s="14">
        <v>438</v>
      </c>
      <c r="B442" s="14" t="s">
        <v>1295</v>
      </c>
      <c r="C442" s="14" t="s">
        <v>51</v>
      </c>
      <c r="D442" s="14" t="s">
        <v>522</v>
      </c>
      <c r="E442" s="14" t="s">
        <v>7</v>
      </c>
      <c r="F442" s="21"/>
      <c r="H442" s="27"/>
      <c r="I442" s="231"/>
      <c r="J442" s="27">
        <f t="shared" si="32"/>
        <v>0</v>
      </c>
      <c r="K442" s="27">
        <f t="shared" si="33"/>
        <v>0</v>
      </c>
      <c r="L442" s="2"/>
      <c r="M442" s="21"/>
      <c r="N442" s="64"/>
      <c r="O442" s="64"/>
      <c r="P442" s="64"/>
      <c r="Q442" s="2"/>
    </row>
    <row r="443" spans="1:17">
      <c r="A443" s="14">
        <v>439</v>
      </c>
      <c r="B443" s="14" t="s">
        <v>1295</v>
      </c>
      <c r="C443" s="14" t="s">
        <v>51</v>
      </c>
      <c r="D443" s="14" t="s">
        <v>522</v>
      </c>
      <c r="E443" s="14" t="s">
        <v>7</v>
      </c>
      <c r="F443" s="21" t="s">
        <v>548</v>
      </c>
      <c r="G443" s="14" t="s">
        <v>545</v>
      </c>
      <c r="H443" s="27">
        <v>17.350000000000001</v>
      </c>
      <c r="I443" s="231"/>
      <c r="J443" s="27">
        <f t="shared" si="32"/>
        <v>10.41</v>
      </c>
      <c r="K443" s="27">
        <f t="shared" si="33"/>
        <v>27.76</v>
      </c>
      <c r="L443" s="2"/>
      <c r="M443" s="21"/>
      <c r="N443" s="64"/>
      <c r="O443" s="64"/>
      <c r="P443" s="64"/>
      <c r="Q443" s="2"/>
    </row>
    <row r="444" spans="1:17">
      <c r="A444" s="14">
        <v>440</v>
      </c>
      <c r="B444" s="14" t="s">
        <v>1295</v>
      </c>
      <c r="C444" s="14" t="s">
        <v>51</v>
      </c>
      <c r="D444" s="14" t="s">
        <v>522</v>
      </c>
      <c r="E444" s="14" t="s">
        <v>7</v>
      </c>
      <c r="F444" s="21" t="s">
        <v>549</v>
      </c>
      <c r="G444" s="14" t="s">
        <v>550</v>
      </c>
      <c r="H444" s="27">
        <v>7.95</v>
      </c>
      <c r="I444" s="231"/>
      <c r="J444" s="27">
        <f t="shared" si="32"/>
        <v>4.7699999999999996</v>
      </c>
      <c r="K444" s="27">
        <f t="shared" si="33"/>
        <v>12.719999999999999</v>
      </c>
      <c r="L444" s="2"/>
      <c r="M444" s="21"/>
      <c r="N444" s="64"/>
      <c r="O444" s="64"/>
      <c r="P444" s="64"/>
      <c r="Q444" s="2"/>
    </row>
    <row r="445" spans="1:17">
      <c r="A445" s="14">
        <v>441</v>
      </c>
      <c r="B445" s="14" t="s">
        <v>1295</v>
      </c>
      <c r="C445" s="14" t="s">
        <v>51</v>
      </c>
      <c r="D445" s="14" t="s">
        <v>522</v>
      </c>
      <c r="E445" s="14" t="s">
        <v>7</v>
      </c>
      <c r="F445" s="21" t="s">
        <v>551</v>
      </c>
      <c r="G445" s="14" t="s">
        <v>1</v>
      </c>
      <c r="H445" s="27">
        <v>11.5</v>
      </c>
      <c r="I445" s="231"/>
      <c r="J445" s="27">
        <f t="shared" si="32"/>
        <v>6.8999999999999995</v>
      </c>
      <c r="K445" s="27">
        <f t="shared" si="33"/>
        <v>18.399999999999999</v>
      </c>
      <c r="L445" s="2"/>
      <c r="M445" s="21"/>
      <c r="N445" s="64"/>
      <c r="O445" s="64"/>
      <c r="P445" s="64"/>
      <c r="Q445" s="2"/>
    </row>
    <row r="446" spans="1:17">
      <c r="A446" s="14">
        <v>442</v>
      </c>
      <c r="B446" s="14" t="s">
        <v>1295</v>
      </c>
      <c r="C446" s="14" t="s">
        <v>51</v>
      </c>
      <c r="D446" s="14" t="s">
        <v>552</v>
      </c>
      <c r="E446" s="14" t="s">
        <v>7</v>
      </c>
      <c r="F446" s="14" t="s">
        <v>54</v>
      </c>
      <c r="G446" s="21" t="s">
        <v>539</v>
      </c>
      <c r="H446" s="27">
        <v>18.77</v>
      </c>
      <c r="I446" s="231"/>
      <c r="J446" s="27">
        <f t="shared" si="32"/>
        <v>11.261999999999999</v>
      </c>
      <c r="K446" s="27">
        <f t="shared" si="33"/>
        <v>30.031999999999996</v>
      </c>
      <c r="L446" s="2"/>
      <c r="M446" s="21"/>
      <c r="N446" s="64"/>
      <c r="O446" s="64"/>
      <c r="P446" s="64"/>
      <c r="Q446" s="2"/>
    </row>
    <row r="447" spans="1:17">
      <c r="A447" s="14">
        <v>443</v>
      </c>
      <c r="B447" s="14" t="s">
        <v>1295</v>
      </c>
      <c r="C447" s="14" t="s">
        <v>51</v>
      </c>
      <c r="D447" s="14" t="s">
        <v>552</v>
      </c>
      <c r="E447" s="14" t="s">
        <v>7</v>
      </c>
      <c r="F447" s="14" t="s">
        <v>55</v>
      </c>
      <c r="G447" s="15" t="s">
        <v>525</v>
      </c>
      <c r="H447" s="27">
        <v>14.61</v>
      </c>
      <c r="I447" s="231"/>
      <c r="J447" s="27">
        <f t="shared" si="32"/>
        <v>8.766</v>
      </c>
      <c r="K447" s="27">
        <f t="shared" si="33"/>
        <v>23.375999999999998</v>
      </c>
      <c r="L447" s="2"/>
      <c r="M447" s="21"/>
      <c r="N447" s="64"/>
      <c r="O447" s="64"/>
      <c r="P447" s="64"/>
      <c r="Q447" s="2"/>
    </row>
    <row r="448" spans="1:17">
      <c r="A448" s="14">
        <v>444</v>
      </c>
      <c r="B448" s="14" t="s">
        <v>1295</v>
      </c>
      <c r="C448" s="14" t="s">
        <v>51</v>
      </c>
      <c r="D448" s="14" t="s">
        <v>552</v>
      </c>
      <c r="E448" s="14" t="s">
        <v>7</v>
      </c>
      <c r="F448" s="14" t="s">
        <v>56</v>
      </c>
      <c r="G448" s="15" t="s">
        <v>553</v>
      </c>
      <c r="H448" s="27">
        <v>17.489999999999998</v>
      </c>
      <c r="I448" s="231"/>
      <c r="J448" s="27">
        <f t="shared" si="32"/>
        <v>10.493999999999998</v>
      </c>
      <c r="K448" s="27">
        <f t="shared" si="33"/>
        <v>27.983999999999995</v>
      </c>
      <c r="L448" s="2"/>
      <c r="M448" s="21"/>
      <c r="N448" s="64"/>
      <c r="O448" s="64"/>
      <c r="P448" s="64"/>
      <c r="Q448" s="2"/>
    </row>
    <row r="449" spans="1:17">
      <c r="A449" s="14">
        <v>445</v>
      </c>
      <c r="B449" s="14" t="s">
        <v>1295</v>
      </c>
      <c r="C449" s="14" t="s">
        <v>51</v>
      </c>
      <c r="D449" s="14" t="s">
        <v>552</v>
      </c>
      <c r="E449" s="14" t="s">
        <v>7</v>
      </c>
      <c r="F449" s="14" t="s">
        <v>554</v>
      </c>
      <c r="G449" s="21" t="s">
        <v>555</v>
      </c>
      <c r="H449" s="27">
        <v>32.299999999999997</v>
      </c>
      <c r="I449" s="231"/>
      <c r="J449" s="27">
        <f t="shared" si="32"/>
        <v>19.38</v>
      </c>
      <c r="K449" s="27">
        <f t="shared" si="33"/>
        <v>51.679999999999993</v>
      </c>
      <c r="L449" s="2"/>
      <c r="M449" s="21"/>
      <c r="N449" s="64"/>
      <c r="O449" s="64"/>
      <c r="P449" s="64"/>
      <c r="Q449" s="2"/>
    </row>
    <row r="450" spans="1:17">
      <c r="A450" s="14">
        <v>446</v>
      </c>
      <c r="B450" s="14" t="s">
        <v>1295</v>
      </c>
      <c r="C450" s="14" t="s">
        <v>51</v>
      </c>
      <c r="D450" s="14" t="s">
        <v>552</v>
      </c>
      <c r="E450" s="14" t="s">
        <v>7</v>
      </c>
      <c r="F450" s="14" t="s">
        <v>556</v>
      </c>
      <c r="G450" s="21" t="s">
        <v>557</v>
      </c>
      <c r="H450" s="27">
        <v>5</v>
      </c>
      <c r="I450" s="231"/>
      <c r="J450" s="27">
        <f t="shared" si="32"/>
        <v>3</v>
      </c>
      <c r="K450" s="27">
        <f t="shared" si="33"/>
        <v>8</v>
      </c>
      <c r="L450" s="2"/>
      <c r="M450" s="21"/>
      <c r="N450" s="64"/>
      <c r="O450" s="64"/>
      <c r="P450" s="64"/>
      <c r="Q450" s="2"/>
    </row>
    <row r="451" spans="1:17">
      <c r="A451" s="14">
        <v>447</v>
      </c>
      <c r="B451" s="14" t="s">
        <v>1349</v>
      </c>
      <c r="C451" s="14" t="s">
        <v>51</v>
      </c>
      <c r="D451" s="14" t="s">
        <v>552</v>
      </c>
      <c r="E451" s="14" t="s">
        <v>7</v>
      </c>
      <c r="F451" s="21" t="s">
        <v>95</v>
      </c>
      <c r="G451" s="21" t="s">
        <v>558</v>
      </c>
      <c r="H451" s="27">
        <v>11.96</v>
      </c>
      <c r="I451" s="231"/>
      <c r="J451" s="27">
        <f t="shared" si="32"/>
        <v>7.1760000000000002</v>
      </c>
      <c r="K451" s="27">
        <f t="shared" si="33"/>
        <v>19.136000000000003</v>
      </c>
      <c r="L451" s="2"/>
      <c r="M451" s="21"/>
      <c r="N451" s="64"/>
      <c r="O451" s="64"/>
      <c r="P451" s="64"/>
      <c r="Q451" s="2"/>
    </row>
    <row r="452" spans="1:17">
      <c r="A452" s="14">
        <v>449</v>
      </c>
      <c r="B452" s="14" t="s">
        <v>1295</v>
      </c>
      <c r="C452" s="14" t="s">
        <v>559</v>
      </c>
      <c r="D452" s="14" t="s">
        <v>560</v>
      </c>
      <c r="E452" s="14" t="s">
        <v>7</v>
      </c>
      <c r="F452" s="21" t="s">
        <v>561</v>
      </c>
      <c r="G452" s="21"/>
      <c r="H452" s="27">
        <v>7.26</v>
      </c>
      <c r="I452" s="231"/>
      <c r="J452" s="27">
        <f t="shared" si="32"/>
        <v>4.3559999999999999</v>
      </c>
      <c r="K452" s="27">
        <f t="shared" si="33"/>
        <v>11.616</v>
      </c>
      <c r="L452" s="2"/>
      <c r="M452" s="21"/>
      <c r="N452" s="64"/>
      <c r="O452" s="64"/>
      <c r="P452" s="64"/>
      <c r="Q452" s="2"/>
    </row>
    <row r="453" spans="1:17">
      <c r="A453" s="14">
        <v>450</v>
      </c>
      <c r="B453" s="14" t="s">
        <v>1295</v>
      </c>
      <c r="C453" s="14" t="s">
        <v>559</v>
      </c>
      <c r="D453" s="14" t="s">
        <v>560</v>
      </c>
      <c r="E453" s="14" t="s">
        <v>7</v>
      </c>
      <c r="F453" s="21" t="s">
        <v>562</v>
      </c>
      <c r="G453" s="21"/>
      <c r="H453" s="27">
        <v>11.4</v>
      </c>
      <c r="I453" s="231"/>
      <c r="J453" s="27">
        <f t="shared" si="32"/>
        <v>6.84</v>
      </c>
      <c r="K453" s="27">
        <f t="shared" si="33"/>
        <v>18.240000000000002</v>
      </c>
      <c r="L453" s="2"/>
      <c r="M453" s="21"/>
      <c r="N453" s="64"/>
      <c r="O453" s="64"/>
      <c r="P453" s="64"/>
      <c r="Q453" s="2"/>
    </row>
    <row r="454" spans="1:17">
      <c r="A454" s="14">
        <v>451</v>
      </c>
      <c r="B454" s="14" t="s">
        <v>1295</v>
      </c>
      <c r="C454" s="14" t="s">
        <v>559</v>
      </c>
      <c r="D454" s="14" t="s">
        <v>560</v>
      </c>
      <c r="E454" s="14" t="s">
        <v>7</v>
      </c>
      <c r="F454" s="21" t="s">
        <v>563</v>
      </c>
      <c r="G454" s="21"/>
      <c r="H454" s="27">
        <v>10.95</v>
      </c>
      <c r="I454" s="231"/>
      <c r="J454" s="27">
        <f t="shared" si="32"/>
        <v>6.5699999999999994</v>
      </c>
      <c r="K454" s="27">
        <f t="shared" si="33"/>
        <v>17.52</v>
      </c>
      <c r="L454" s="2"/>
      <c r="M454" s="21"/>
      <c r="N454" s="64"/>
      <c r="O454" s="64"/>
      <c r="P454" s="64"/>
      <c r="Q454" s="2"/>
    </row>
    <row r="455" spans="1:17">
      <c r="A455" s="14">
        <v>452</v>
      </c>
      <c r="B455" s="14" t="s">
        <v>1295</v>
      </c>
      <c r="C455" s="14" t="s">
        <v>559</v>
      </c>
      <c r="D455" s="14" t="s">
        <v>560</v>
      </c>
      <c r="E455" s="14" t="s">
        <v>7</v>
      </c>
      <c r="F455" s="21" t="s">
        <v>564</v>
      </c>
      <c r="G455" s="21"/>
      <c r="H455" s="27">
        <v>33.630000000000003</v>
      </c>
      <c r="I455" s="231"/>
      <c r="J455" s="27">
        <f t="shared" si="32"/>
        <v>20.178000000000001</v>
      </c>
      <c r="K455" s="27">
        <f t="shared" si="33"/>
        <v>53.808000000000007</v>
      </c>
      <c r="L455" s="2"/>
      <c r="M455" s="21"/>
      <c r="N455" s="64"/>
      <c r="O455" s="64"/>
      <c r="P455" s="64"/>
      <c r="Q455" s="2"/>
    </row>
    <row r="456" spans="1:17">
      <c r="A456" s="14">
        <v>453</v>
      </c>
      <c r="B456" s="14" t="s">
        <v>1295</v>
      </c>
      <c r="C456" s="14" t="s">
        <v>559</v>
      </c>
      <c r="D456" s="14" t="s">
        <v>560</v>
      </c>
      <c r="E456" s="14" t="s">
        <v>7</v>
      </c>
      <c r="F456" s="21" t="s">
        <v>565</v>
      </c>
      <c r="G456" s="21"/>
      <c r="H456" s="27">
        <v>44</v>
      </c>
      <c r="I456" s="231"/>
      <c r="J456" s="27">
        <f t="shared" ref="J456:J519" si="34">H456*$D$6</f>
        <v>26.4</v>
      </c>
      <c r="K456" s="27">
        <f t="shared" si="33"/>
        <v>70.400000000000006</v>
      </c>
      <c r="L456" s="2"/>
      <c r="M456" s="21"/>
      <c r="N456" s="64"/>
      <c r="O456" s="64"/>
      <c r="P456" s="64"/>
      <c r="Q456" s="2"/>
    </row>
    <row r="457" spans="1:17">
      <c r="A457" s="14">
        <v>454</v>
      </c>
      <c r="B457" s="14" t="s">
        <v>1295</v>
      </c>
      <c r="C457" s="14" t="s">
        <v>559</v>
      </c>
      <c r="D457" s="14" t="s">
        <v>560</v>
      </c>
      <c r="E457" s="14" t="s">
        <v>7</v>
      </c>
      <c r="F457" s="21" t="s">
        <v>566</v>
      </c>
      <c r="G457" s="21"/>
      <c r="H457" s="27">
        <v>13.55</v>
      </c>
      <c r="I457" s="231"/>
      <c r="J457" s="27">
        <f t="shared" si="34"/>
        <v>8.1300000000000008</v>
      </c>
      <c r="K457" s="27">
        <f t="shared" si="33"/>
        <v>21.68</v>
      </c>
      <c r="L457" s="2"/>
      <c r="M457" s="21"/>
      <c r="N457" s="64"/>
      <c r="O457" s="64"/>
      <c r="P457" s="64"/>
      <c r="Q457" s="2"/>
    </row>
    <row r="458" spans="1:17">
      <c r="A458" s="14">
        <v>455</v>
      </c>
      <c r="B458" s="14" t="s">
        <v>1295</v>
      </c>
      <c r="C458" s="14" t="s">
        <v>559</v>
      </c>
      <c r="D458" s="14" t="s">
        <v>560</v>
      </c>
      <c r="E458" s="14" t="s">
        <v>7</v>
      </c>
      <c r="F458" s="21" t="s">
        <v>567</v>
      </c>
      <c r="G458" s="21"/>
      <c r="H458" s="27">
        <v>20</v>
      </c>
      <c r="I458" s="231"/>
      <c r="J458" s="27">
        <f t="shared" si="34"/>
        <v>12</v>
      </c>
      <c r="K458" s="27">
        <f t="shared" si="33"/>
        <v>32</v>
      </c>
      <c r="L458" s="2"/>
      <c r="M458" s="21"/>
      <c r="N458" s="64"/>
      <c r="O458" s="64"/>
      <c r="P458" s="64"/>
      <c r="Q458" s="2"/>
    </row>
    <row r="459" spans="1:17">
      <c r="A459" s="14">
        <v>456</v>
      </c>
      <c r="B459" s="14" t="s">
        <v>1295</v>
      </c>
      <c r="C459" s="14" t="s">
        <v>559</v>
      </c>
      <c r="D459" s="14" t="s">
        <v>560</v>
      </c>
      <c r="E459" s="14" t="s">
        <v>7</v>
      </c>
      <c r="F459" s="21" t="s">
        <v>568</v>
      </c>
      <c r="G459" s="21"/>
      <c r="H459" s="27">
        <v>54</v>
      </c>
      <c r="I459" s="231"/>
      <c r="J459" s="27">
        <f t="shared" si="34"/>
        <v>32.4</v>
      </c>
      <c r="K459" s="27">
        <f t="shared" si="33"/>
        <v>86.4</v>
      </c>
      <c r="L459" s="2"/>
      <c r="M459" s="21"/>
      <c r="N459" s="64"/>
      <c r="O459" s="64"/>
      <c r="P459" s="64"/>
      <c r="Q459" s="2"/>
    </row>
    <row r="460" spans="1:17">
      <c r="A460" s="14">
        <v>457</v>
      </c>
      <c r="B460" s="14" t="s">
        <v>1295</v>
      </c>
      <c r="C460" s="14" t="s">
        <v>559</v>
      </c>
      <c r="D460" s="14" t="s">
        <v>569</v>
      </c>
      <c r="E460" s="14" t="s">
        <v>7</v>
      </c>
      <c r="F460" s="21" t="s">
        <v>570</v>
      </c>
      <c r="G460" s="21"/>
      <c r="H460" s="27">
        <v>3.56</v>
      </c>
      <c r="I460" s="231"/>
      <c r="J460" s="27">
        <f t="shared" si="34"/>
        <v>2.1360000000000001</v>
      </c>
      <c r="K460" s="27">
        <f t="shared" si="33"/>
        <v>5.6959999999999997</v>
      </c>
      <c r="L460" s="2"/>
      <c r="M460" s="21"/>
      <c r="N460" s="64"/>
      <c r="O460" s="64"/>
      <c r="P460" s="64"/>
      <c r="Q460" s="2"/>
    </row>
    <row r="461" spans="1:17">
      <c r="A461" s="14">
        <v>458</v>
      </c>
      <c r="B461" s="14" t="s">
        <v>1295</v>
      </c>
      <c r="C461" s="14" t="s">
        <v>559</v>
      </c>
      <c r="D461" s="14" t="s">
        <v>569</v>
      </c>
      <c r="E461" s="14" t="s">
        <v>7</v>
      </c>
      <c r="F461" s="21" t="s">
        <v>571</v>
      </c>
      <c r="G461" s="21"/>
      <c r="H461" s="27">
        <v>3.56</v>
      </c>
      <c r="I461" s="231"/>
      <c r="J461" s="27">
        <f t="shared" si="34"/>
        <v>2.1360000000000001</v>
      </c>
      <c r="K461" s="27">
        <f t="shared" si="33"/>
        <v>5.6959999999999997</v>
      </c>
      <c r="L461" s="2"/>
      <c r="M461" s="21"/>
      <c r="N461" s="64"/>
      <c r="O461" s="64"/>
      <c r="P461" s="64"/>
      <c r="Q461" s="2"/>
    </row>
    <row r="462" spans="1:17">
      <c r="A462" s="14">
        <v>459</v>
      </c>
      <c r="B462" s="14" t="s">
        <v>1295</v>
      </c>
      <c r="C462" s="14" t="s">
        <v>559</v>
      </c>
      <c r="D462" s="14" t="s">
        <v>569</v>
      </c>
      <c r="E462" s="14" t="s">
        <v>7</v>
      </c>
      <c r="F462" s="21" t="s">
        <v>572</v>
      </c>
      <c r="G462" s="21"/>
      <c r="H462" s="27">
        <v>6</v>
      </c>
      <c r="I462" s="231"/>
      <c r="J462" s="27">
        <f t="shared" si="34"/>
        <v>3.5999999999999996</v>
      </c>
      <c r="K462" s="27">
        <f t="shared" si="33"/>
        <v>9.6</v>
      </c>
      <c r="L462" s="2"/>
      <c r="M462" s="21"/>
      <c r="N462" s="64"/>
      <c r="O462" s="64"/>
      <c r="P462" s="64"/>
      <c r="Q462" s="2"/>
    </row>
    <row r="463" spans="1:17">
      <c r="A463" s="14">
        <v>460</v>
      </c>
      <c r="B463" s="14" t="s">
        <v>1295</v>
      </c>
      <c r="C463" s="14" t="s">
        <v>559</v>
      </c>
      <c r="D463" s="14" t="s">
        <v>573</v>
      </c>
      <c r="E463" s="14" t="s">
        <v>7</v>
      </c>
      <c r="F463" s="21" t="s">
        <v>574</v>
      </c>
      <c r="G463" s="21"/>
      <c r="H463" s="27">
        <v>37.1</v>
      </c>
      <c r="I463" s="231"/>
      <c r="J463" s="27">
        <f t="shared" si="34"/>
        <v>22.26</v>
      </c>
      <c r="K463" s="27">
        <f>H463+I463</f>
        <v>37.1</v>
      </c>
      <c r="L463" s="2"/>
      <c r="M463" s="21"/>
      <c r="N463" s="64"/>
      <c r="O463" s="64"/>
      <c r="P463" s="64"/>
      <c r="Q463" s="2"/>
    </row>
    <row r="464" spans="1:17">
      <c r="A464" s="14">
        <v>461</v>
      </c>
      <c r="B464" s="14" t="s">
        <v>1295</v>
      </c>
      <c r="C464" s="14" t="s">
        <v>559</v>
      </c>
      <c r="D464" s="14" t="s">
        <v>573</v>
      </c>
      <c r="E464" s="14" t="s">
        <v>7</v>
      </c>
      <c r="F464" s="21" t="s">
        <v>575</v>
      </c>
      <c r="G464" s="21"/>
      <c r="H464" s="27">
        <v>30</v>
      </c>
      <c r="I464" s="231"/>
      <c r="J464" s="27">
        <f t="shared" si="34"/>
        <v>18</v>
      </c>
      <c r="K464" s="27">
        <f t="shared" ref="K464:K483" si="35">H464+I464+J464</f>
        <v>48</v>
      </c>
      <c r="L464" s="2"/>
      <c r="M464" s="21"/>
      <c r="N464" s="64"/>
      <c r="O464" s="64"/>
      <c r="P464" s="64"/>
      <c r="Q464" s="2"/>
    </row>
    <row r="465" spans="1:17">
      <c r="A465" s="14">
        <v>462</v>
      </c>
      <c r="B465" s="14" t="s">
        <v>1295</v>
      </c>
      <c r="C465" s="14" t="s">
        <v>559</v>
      </c>
      <c r="D465" s="14" t="s">
        <v>573</v>
      </c>
      <c r="E465" s="14" t="s">
        <v>7</v>
      </c>
      <c r="F465" s="21" t="s">
        <v>567</v>
      </c>
      <c r="G465" s="21"/>
      <c r="H465" s="27">
        <v>30</v>
      </c>
      <c r="I465" s="231"/>
      <c r="J465" s="27">
        <f t="shared" si="34"/>
        <v>18</v>
      </c>
      <c r="K465" s="27">
        <f t="shared" si="35"/>
        <v>48</v>
      </c>
      <c r="L465" s="2"/>
      <c r="M465" s="21"/>
      <c r="N465" s="64"/>
      <c r="O465" s="64"/>
      <c r="P465" s="64"/>
      <c r="Q465" s="2"/>
    </row>
    <row r="466" spans="1:17">
      <c r="A466" s="14">
        <v>463</v>
      </c>
      <c r="B466" s="14" t="s">
        <v>1295</v>
      </c>
      <c r="C466" s="14" t="s">
        <v>559</v>
      </c>
      <c r="D466" s="14" t="s">
        <v>48</v>
      </c>
      <c r="E466" s="14" t="s">
        <v>7</v>
      </c>
      <c r="F466" s="21" t="s">
        <v>576</v>
      </c>
      <c r="G466" s="21"/>
      <c r="H466" s="27">
        <v>6.01</v>
      </c>
      <c r="I466" s="231"/>
      <c r="J466" s="27">
        <f t="shared" si="34"/>
        <v>3.6059999999999999</v>
      </c>
      <c r="K466" s="27">
        <f t="shared" si="35"/>
        <v>9.6159999999999997</v>
      </c>
      <c r="L466" s="2"/>
      <c r="M466" s="21"/>
      <c r="N466" s="64"/>
      <c r="O466" s="64"/>
      <c r="P466" s="64"/>
      <c r="Q466" s="2"/>
    </row>
    <row r="467" spans="1:17">
      <c r="A467" s="14">
        <v>464</v>
      </c>
      <c r="B467" s="14" t="s">
        <v>1295</v>
      </c>
      <c r="C467" s="14" t="s">
        <v>559</v>
      </c>
      <c r="D467" s="14" t="s">
        <v>48</v>
      </c>
      <c r="E467" s="14" t="s">
        <v>7</v>
      </c>
      <c r="F467" s="21" t="s">
        <v>577</v>
      </c>
      <c r="G467" s="21"/>
      <c r="H467" s="27">
        <v>6.5</v>
      </c>
      <c r="I467" s="231"/>
      <c r="J467" s="27">
        <f t="shared" si="34"/>
        <v>3.9</v>
      </c>
      <c r="K467" s="27">
        <f t="shared" si="35"/>
        <v>10.4</v>
      </c>
      <c r="L467" s="2"/>
      <c r="M467" s="21"/>
      <c r="N467" s="64"/>
      <c r="O467" s="64"/>
      <c r="P467" s="64"/>
      <c r="Q467" s="2"/>
    </row>
    <row r="468" spans="1:17">
      <c r="A468" s="14">
        <v>465</v>
      </c>
      <c r="B468" s="14" t="s">
        <v>1295</v>
      </c>
      <c r="C468" s="14" t="s">
        <v>50</v>
      </c>
      <c r="D468" s="14" t="s">
        <v>578</v>
      </c>
      <c r="E468" s="14" t="s">
        <v>7</v>
      </c>
      <c r="F468" s="21" t="s">
        <v>579</v>
      </c>
      <c r="G468" s="21"/>
      <c r="H468" s="27">
        <v>19.420000000000002</v>
      </c>
      <c r="I468" s="231"/>
      <c r="J468" s="27">
        <f t="shared" si="34"/>
        <v>11.652000000000001</v>
      </c>
      <c r="K468" s="27">
        <f t="shared" si="35"/>
        <v>31.072000000000003</v>
      </c>
      <c r="L468" s="2"/>
      <c r="M468" s="21"/>
      <c r="N468" s="64"/>
      <c r="O468" s="64"/>
      <c r="P468" s="64"/>
      <c r="Q468" s="2"/>
    </row>
    <row r="469" spans="1:17">
      <c r="A469" s="14">
        <v>466</v>
      </c>
      <c r="B469" s="14" t="s">
        <v>1295</v>
      </c>
      <c r="C469" s="14" t="s">
        <v>50</v>
      </c>
      <c r="D469" s="14" t="s">
        <v>578</v>
      </c>
      <c r="E469" s="14" t="s">
        <v>7</v>
      </c>
      <c r="F469" s="21" t="s">
        <v>580</v>
      </c>
      <c r="G469" s="21"/>
      <c r="H469" s="27">
        <v>26.84</v>
      </c>
      <c r="I469" s="231"/>
      <c r="J469" s="27">
        <f t="shared" si="34"/>
        <v>16.103999999999999</v>
      </c>
      <c r="K469" s="27">
        <f t="shared" si="35"/>
        <v>42.944000000000003</v>
      </c>
      <c r="L469" s="2"/>
      <c r="M469" s="21"/>
      <c r="N469" s="64"/>
      <c r="O469" s="64"/>
      <c r="P469" s="64"/>
      <c r="Q469" s="2"/>
    </row>
    <row r="470" spans="1:17">
      <c r="A470" s="14">
        <v>467</v>
      </c>
      <c r="B470" s="14" t="s">
        <v>1295</v>
      </c>
      <c r="C470" s="14" t="s">
        <v>50</v>
      </c>
      <c r="D470" s="14" t="s">
        <v>578</v>
      </c>
      <c r="E470" s="14" t="s">
        <v>7</v>
      </c>
      <c r="F470" s="21" t="s">
        <v>581</v>
      </c>
      <c r="G470" s="21"/>
      <c r="H470" s="27">
        <v>36.06</v>
      </c>
      <c r="I470" s="231"/>
      <c r="J470" s="27">
        <f t="shared" si="34"/>
        <v>21.635999999999999</v>
      </c>
      <c r="K470" s="27">
        <f t="shared" si="35"/>
        <v>57.695999999999998</v>
      </c>
      <c r="L470" s="2"/>
      <c r="M470" s="21"/>
      <c r="N470" s="64"/>
      <c r="O470" s="64"/>
      <c r="P470" s="64"/>
      <c r="Q470" s="2"/>
    </row>
    <row r="471" spans="1:17">
      <c r="A471" s="14">
        <v>468</v>
      </c>
      <c r="B471" s="14" t="s">
        <v>1295</v>
      </c>
      <c r="C471" s="14" t="s">
        <v>50</v>
      </c>
      <c r="D471" s="14" t="s">
        <v>582</v>
      </c>
      <c r="E471" s="14" t="s">
        <v>7</v>
      </c>
      <c r="F471" s="21" t="s">
        <v>583</v>
      </c>
      <c r="G471" s="21"/>
      <c r="H471" s="27">
        <v>50.07</v>
      </c>
      <c r="I471" s="231"/>
      <c r="J471" s="27">
        <f t="shared" si="34"/>
        <v>30.041999999999998</v>
      </c>
      <c r="K471" s="27">
        <f t="shared" si="35"/>
        <v>80.111999999999995</v>
      </c>
      <c r="L471" s="2"/>
      <c r="M471" s="21"/>
      <c r="N471" s="64"/>
      <c r="O471" s="64"/>
      <c r="P471" s="64"/>
      <c r="Q471" s="2"/>
    </row>
    <row r="472" spans="1:17">
      <c r="A472" s="14">
        <v>469</v>
      </c>
      <c r="B472" s="14" t="s">
        <v>1295</v>
      </c>
      <c r="C472" s="14" t="s">
        <v>50</v>
      </c>
      <c r="D472" s="14" t="s">
        <v>582</v>
      </c>
      <c r="E472" s="14" t="s">
        <v>7</v>
      </c>
      <c r="F472" s="21" t="s">
        <v>584</v>
      </c>
      <c r="G472" s="21"/>
      <c r="H472" s="27">
        <v>70.25</v>
      </c>
      <c r="I472" s="231"/>
      <c r="J472" s="27">
        <f t="shared" si="34"/>
        <v>42.15</v>
      </c>
      <c r="K472" s="27">
        <f t="shared" si="35"/>
        <v>112.4</v>
      </c>
      <c r="L472" s="2"/>
      <c r="M472" s="21"/>
      <c r="N472" s="64"/>
      <c r="O472" s="64"/>
      <c r="P472" s="64"/>
      <c r="Q472" s="2"/>
    </row>
    <row r="473" spans="1:17">
      <c r="A473" s="14">
        <v>470</v>
      </c>
      <c r="B473" s="14" t="s">
        <v>1295</v>
      </c>
      <c r="C473" s="14" t="s">
        <v>50</v>
      </c>
      <c r="D473" s="14" t="s">
        <v>585</v>
      </c>
      <c r="E473" s="14" t="s">
        <v>7</v>
      </c>
      <c r="F473" s="21" t="s">
        <v>586</v>
      </c>
      <c r="G473" s="21"/>
      <c r="H473" s="27">
        <v>5.97</v>
      </c>
      <c r="I473" s="231"/>
      <c r="J473" s="27">
        <f t="shared" si="34"/>
        <v>3.5819999999999999</v>
      </c>
      <c r="K473" s="27">
        <f t="shared" si="35"/>
        <v>9.5519999999999996</v>
      </c>
      <c r="L473" s="2"/>
      <c r="M473" s="21"/>
      <c r="N473" s="64"/>
      <c r="O473" s="64"/>
      <c r="P473" s="64"/>
      <c r="Q473" s="2"/>
    </row>
    <row r="474" spans="1:17">
      <c r="A474" s="14">
        <v>471</v>
      </c>
      <c r="B474" s="14" t="s">
        <v>1295</v>
      </c>
      <c r="C474" s="14" t="s">
        <v>50</v>
      </c>
      <c r="D474" s="14" t="s">
        <v>585</v>
      </c>
      <c r="E474" s="14" t="s">
        <v>7</v>
      </c>
      <c r="F474" s="21" t="s">
        <v>587</v>
      </c>
      <c r="G474" s="21"/>
      <c r="H474" s="27">
        <v>7.78</v>
      </c>
      <c r="I474" s="231"/>
      <c r="J474" s="27">
        <f t="shared" si="34"/>
        <v>4.6680000000000001</v>
      </c>
      <c r="K474" s="27">
        <f t="shared" si="35"/>
        <v>12.448</v>
      </c>
      <c r="L474" s="2"/>
      <c r="M474" s="21"/>
      <c r="N474" s="64"/>
      <c r="O474" s="64"/>
      <c r="P474" s="64"/>
      <c r="Q474" s="2"/>
    </row>
    <row r="475" spans="1:17">
      <c r="A475" s="14">
        <v>472</v>
      </c>
      <c r="B475" s="14" t="s">
        <v>1295</v>
      </c>
      <c r="C475" s="14" t="s">
        <v>50</v>
      </c>
      <c r="D475" s="14" t="s">
        <v>588</v>
      </c>
      <c r="E475" s="14" t="s">
        <v>7</v>
      </c>
      <c r="F475" s="21" t="s">
        <v>589</v>
      </c>
      <c r="G475" s="21"/>
      <c r="H475" s="27">
        <v>3.66</v>
      </c>
      <c r="I475" s="231"/>
      <c r="J475" s="27">
        <f t="shared" si="34"/>
        <v>2.1960000000000002</v>
      </c>
      <c r="K475" s="27">
        <f t="shared" si="35"/>
        <v>5.8559999999999999</v>
      </c>
      <c r="L475" s="2"/>
      <c r="M475" s="21"/>
      <c r="N475" s="64"/>
      <c r="O475" s="64"/>
      <c r="P475" s="64"/>
      <c r="Q475" s="2"/>
    </row>
    <row r="476" spans="1:17">
      <c r="A476" s="14">
        <v>473</v>
      </c>
      <c r="B476" s="14" t="s">
        <v>1295</v>
      </c>
      <c r="C476" s="14" t="s">
        <v>50</v>
      </c>
      <c r="D476" s="14" t="s">
        <v>588</v>
      </c>
      <c r="E476" s="14" t="s">
        <v>7</v>
      </c>
      <c r="F476" s="21" t="s">
        <v>590</v>
      </c>
      <c r="G476" s="21"/>
      <c r="H476" s="27">
        <v>4.24</v>
      </c>
      <c r="I476" s="231"/>
      <c r="J476" s="27">
        <f t="shared" si="34"/>
        <v>2.544</v>
      </c>
      <c r="K476" s="27">
        <f t="shared" si="35"/>
        <v>6.7840000000000007</v>
      </c>
      <c r="L476" s="2"/>
      <c r="M476" s="21"/>
      <c r="N476" s="64"/>
      <c r="O476" s="64"/>
      <c r="P476" s="64"/>
      <c r="Q476" s="2"/>
    </row>
    <row r="477" spans="1:17">
      <c r="A477" s="14">
        <v>474</v>
      </c>
      <c r="B477" s="14" t="s">
        <v>1295</v>
      </c>
      <c r="C477" s="14" t="s">
        <v>50</v>
      </c>
      <c r="D477" s="14" t="s">
        <v>591</v>
      </c>
      <c r="E477" s="14" t="s">
        <v>7</v>
      </c>
      <c r="F477" s="21" t="s">
        <v>592</v>
      </c>
      <c r="G477" s="21"/>
      <c r="H477" s="27">
        <v>100</v>
      </c>
      <c r="I477" s="231"/>
      <c r="J477" s="27">
        <f t="shared" si="34"/>
        <v>60</v>
      </c>
      <c r="K477" s="27">
        <f t="shared" si="35"/>
        <v>160</v>
      </c>
      <c r="L477" s="2"/>
      <c r="M477" s="21"/>
      <c r="N477" s="64"/>
      <c r="O477" s="64"/>
      <c r="P477" s="64"/>
      <c r="Q477" s="2"/>
    </row>
    <row r="478" spans="1:17">
      <c r="A478" s="14">
        <v>475</v>
      </c>
      <c r="B478" s="14" t="s">
        <v>1295</v>
      </c>
      <c r="C478" s="14" t="s">
        <v>50</v>
      </c>
      <c r="D478" s="14" t="s">
        <v>591</v>
      </c>
      <c r="E478" s="14" t="s">
        <v>7</v>
      </c>
      <c r="F478" s="21" t="s">
        <v>593</v>
      </c>
      <c r="G478" s="21"/>
      <c r="H478" s="27">
        <v>200</v>
      </c>
      <c r="I478" s="231"/>
      <c r="J478" s="27">
        <f t="shared" si="34"/>
        <v>120</v>
      </c>
      <c r="K478" s="27">
        <f t="shared" si="35"/>
        <v>320</v>
      </c>
      <c r="L478" s="2"/>
      <c r="M478" s="21"/>
      <c r="N478" s="64"/>
      <c r="O478" s="64"/>
      <c r="P478" s="64"/>
      <c r="Q478" s="2"/>
    </row>
    <row r="479" spans="1:17">
      <c r="A479" s="14">
        <v>476</v>
      </c>
      <c r="B479" s="14" t="s">
        <v>1295</v>
      </c>
      <c r="C479" s="14" t="s">
        <v>58</v>
      </c>
      <c r="D479" s="14" t="s">
        <v>60</v>
      </c>
      <c r="E479" s="14" t="s">
        <v>7</v>
      </c>
      <c r="F479" s="81" t="s">
        <v>61</v>
      </c>
      <c r="G479" s="81"/>
      <c r="H479" s="244">
        <v>167.42</v>
      </c>
      <c r="I479" s="231"/>
      <c r="J479" s="27">
        <f t="shared" si="34"/>
        <v>100.45199999999998</v>
      </c>
      <c r="K479" s="27">
        <f t="shared" si="35"/>
        <v>267.87199999999996</v>
      </c>
      <c r="L479" s="2"/>
      <c r="M479" s="21"/>
      <c r="N479" s="64"/>
      <c r="O479" s="64"/>
      <c r="P479" s="64"/>
      <c r="Q479" s="2"/>
    </row>
    <row r="480" spans="1:17">
      <c r="A480" s="14">
        <v>477</v>
      </c>
      <c r="B480" s="14" t="s">
        <v>1295</v>
      </c>
      <c r="C480" s="14" t="s">
        <v>58</v>
      </c>
      <c r="D480" s="14" t="s">
        <v>60</v>
      </c>
      <c r="E480" s="14" t="s">
        <v>7</v>
      </c>
      <c r="F480" s="81"/>
      <c r="G480" s="81"/>
      <c r="H480" s="244"/>
      <c r="I480" s="231"/>
      <c r="J480" s="27">
        <f t="shared" si="34"/>
        <v>0</v>
      </c>
      <c r="K480" s="27">
        <f t="shared" si="35"/>
        <v>0</v>
      </c>
      <c r="L480" s="2"/>
      <c r="M480" s="21"/>
      <c r="N480" s="64"/>
      <c r="O480" s="64"/>
      <c r="P480" s="64"/>
      <c r="Q480" s="2"/>
    </row>
    <row r="481" spans="1:17">
      <c r="A481" s="14">
        <v>478</v>
      </c>
      <c r="B481" s="14" t="s">
        <v>1295</v>
      </c>
      <c r="C481" s="14" t="s">
        <v>58</v>
      </c>
      <c r="D481" s="14" t="s">
        <v>60</v>
      </c>
      <c r="E481" s="14" t="s">
        <v>7</v>
      </c>
      <c r="F481" s="81" t="s">
        <v>594</v>
      </c>
      <c r="G481" s="81"/>
      <c r="H481" s="244"/>
      <c r="I481" s="231"/>
      <c r="J481" s="27">
        <f t="shared" si="34"/>
        <v>0</v>
      </c>
      <c r="K481" s="27">
        <f t="shared" si="35"/>
        <v>0</v>
      </c>
      <c r="L481" s="2"/>
      <c r="M481" s="21"/>
      <c r="N481" s="64"/>
      <c r="O481" s="64"/>
      <c r="P481" s="64"/>
      <c r="Q481" s="2"/>
    </row>
    <row r="482" spans="1:17">
      <c r="A482" s="14">
        <v>479</v>
      </c>
      <c r="B482" s="14" t="s">
        <v>1295</v>
      </c>
      <c r="C482" s="14" t="s">
        <v>58</v>
      </c>
      <c r="D482" s="14" t="s">
        <v>60</v>
      </c>
      <c r="E482" s="14" t="s">
        <v>7</v>
      </c>
      <c r="F482" s="81" t="s">
        <v>595</v>
      </c>
      <c r="G482" s="81"/>
      <c r="H482" s="244">
        <v>15</v>
      </c>
      <c r="I482" s="231"/>
      <c r="J482" s="27">
        <f t="shared" si="34"/>
        <v>9</v>
      </c>
      <c r="K482" s="27">
        <f t="shared" si="35"/>
        <v>24</v>
      </c>
      <c r="L482" s="2"/>
      <c r="M482" s="21"/>
      <c r="N482" s="64"/>
      <c r="O482" s="64"/>
      <c r="P482" s="64"/>
      <c r="Q482" s="2"/>
    </row>
    <row r="483" spans="1:17" ht="14.25" customHeight="1">
      <c r="A483" s="14">
        <v>480</v>
      </c>
      <c r="B483" s="14" t="s">
        <v>1295</v>
      </c>
      <c r="C483" s="14" t="s">
        <v>58</v>
      </c>
      <c r="D483" s="14" t="s">
        <v>60</v>
      </c>
      <c r="E483" s="14" t="s">
        <v>7</v>
      </c>
      <c r="F483" s="81" t="s">
        <v>569</v>
      </c>
      <c r="G483" s="81"/>
      <c r="H483" s="244">
        <f>2.48+2.98</f>
        <v>5.46</v>
      </c>
      <c r="I483" s="231"/>
      <c r="J483" s="27">
        <f t="shared" si="34"/>
        <v>3.2759999999999998</v>
      </c>
      <c r="K483" s="27">
        <f t="shared" si="35"/>
        <v>8.7360000000000007</v>
      </c>
      <c r="L483" s="2"/>
      <c r="M483" s="21"/>
      <c r="N483" s="64"/>
      <c r="O483" s="64"/>
      <c r="P483" s="64"/>
      <c r="Q483" s="2"/>
    </row>
    <row r="484" spans="1:17" ht="14.25" customHeight="1">
      <c r="A484" s="14">
        <v>481</v>
      </c>
      <c r="B484" s="14" t="s">
        <v>1295</v>
      </c>
      <c r="C484" s="14" t="s">
        <v>58</v>
      </c>
      <c r="D484" s="14" t="s">
        <v>596</v>
      </c>
      <c r="E484" s="14" t="s">
        <v>7</v>
      </c>
      <c r="G484" s="80"/>
      <c r="H484" s="27"/>
      <c r="I484" s="231"/>
      <c r="J484" s="27">
        <f t="shared" si="34"/>
        <v>0</v>
      </c>
      <c r="K484" s="27"/>
      <c r="L484" s="2"/>
      <c r="M484" s="21"/>
      <c r="N484" s="64"/>
      <c r="O484" s="64"/>
      <c r="P484" s="64"/>
      <c r="Q484" s="2"/>
    </row>
    <row r="485" spans="1:17" ht="14.25" customHeight="1">
      <c r="A485" s="14">
        <v>482</v>
      </c>
      <c r="B485" s="14" t="s">
        <v>1295</v>
      </c>
      <c r="C485" s="14" t="s">
        <v>58</v>
      </c>
      <c r="D485" s="14" t="s">
        <v>597</v>
      </c>
      <c r="E485" s="14" t="s">
        <v>7</v>
      </c>
      <c r="F485" s="21" t="s">
        <v>598</v>
      </c>
      <c r="G485" s="21"/>
      <c r="H485" s="27">
        <v>12.61</v>
      </c>
      <c r="I485" s="231"/>
      <c r="J485" s="27">
        <f t="shared" si="34"/>
        <v>7.5659999999999989</v>
      </c>
      <c r="K485" s="27">
        <f t="shared" ref="K485:K499" si="36">H485+I485+J485</f>
        <v>20.175999999999998</v>
      </c>
      <c r="L485" s="2"/>
      <c r="M485" s="21"/>
      <c r="N485" s="64"/>
      <c r="O485" s="64"/>
      <c r="P485" s="64"/>
      <c r="Q485" s="2"/>
    </row>
    <row r="486" spans="1:17" ht="14.25" customHeight="1">
      <c r="A486" s="14">
        <v>483</v>
      </c>
      <c r="B486" s="14" t="s">
        <v>1295</v>
      </c>
      <c r="C486" s="14" t="s">
        <v>58</v>
      </c>
      <c r="D486" s="14" t="s">
        <v>597</v>
      </c>
      <c r="E486" s="14" t="s">
        <v>7</v>
      </c>
      <c r="F486" s="21" t="s">
        <v>599</v>
      </c>
      <c r="G486" s="21"/>
      <c r="H486" s="27">
        <v>15.42</v>
      </c>
      <c r="I486" s="231"/>
      <c r="J486" s="27">
        <f t="shared" si="34"/>
        <v>9.2519999999999989</v>
      </c>
      <c r="K486" s="27">
        <f t="shared" si="36"/>
        <v>24.671999999999997</v>
      </c>
      <c r="L486" s="2"/>
      <c r="M486" s="21"/>
      <c r="N486" s="64"/>
      <c r="O486" s="64"/>
      <c r="P486" s="64"/>
      <c r="Q486" s="2"/>
    </row>
    <row r="487" spans="1:17" ht="14.25" customHeight="1">
      <c r="A487" s="14">
        <v>484</v>
      </c>
      <c r="B487" s="14" t="s">
        <v>1295</v>
      </c>
      <c r="C487" s="14" t="s">
        <v>58</v>
      </c>
      <c r="D487" s="14" t="s">
        <v>597</v>
      </c>
      <c r="E487" s="14" t="s">
        <v>7</v>
      </c>
      <c r="F487" s="21" t="s">
        <v>600</v>
      </c>
      <c r="G487" s="21"/>
      <c r="H487" s="27">
        <v>14.01</v>
      </c>
      <c r="I487" s="231"/>
      <c r="J487" s="27">
        <f t="shared" si="34"/>
        <v>8.4059999999999988</v>
      </c>
      <c r="K487" s="27">
        <f t="shared" si="36"/>
        <v>22.415999999999997</v>
      </c>
      <c r="L487" s="2"/>
      <c r="M487" s="21"/>
      <c r="N487" s="64"/>
      <c r="O487" s="64"/>
      <c r="P487" s="64"/>
      <c r="Q487" s="2"/>
    </row>
    <row r="488" spans="1:17">
      <c r="A488" s="14">
        <v>485</v>
      </c>
      <c r="B488" s="14" t="s">
        <v>1295</v>
      </c>
      <c r="C488" s="14" t="s">
        <v>58</v>
      </c>
      <c r="D488" s="14" t="s">
        <v>597</v>
      </c>
      <c r="E488" s="14" t="s">
        <v>7</v>
      </c>
      <c r="F488" s="21" t="s">
        <v>601</v>
      </c>
      <c r="G488" s="21"/>
      <c r="H488" s="27">
        <v>0</v>
      </c>
      <c r="I488" s="231"/>
      <c r="J488" s="27">
        <f t="shared" si="34"/>
        <v>0</v>
      </c>
      <c r="K488" s="27">
        <f t="shared" si="36"/>
        <v>0</v>
      </c>
      <c r="L488" s="2"/>
      <c r="M488" s="82">
        <v>0.08</v>
      </c>
      <c r="N488" s="64"/>
      <c r="O488" s="64"/>
      <c r="P488" s="64"/>
      <c r="Q488" s="2"/>
    </row>
    <row r="489" spans="1:17">
      <c r="A489" s="14">
        <v>486</v>
      </c>
      <c r="B489" s="14" t="s">
        <v>1295</v>
      </c>
      <c r="C489" s="14" t="s">
        <v>58</v>
      </c>
      <c r="D489" s="14" t="s">
        <v>597</v>
      </c>
      <c r="E489" s="14" t="s">
        <v>7</v>
      </c>
      <c r="F489" s="21" t="s">
        <v>602</v>
      </c>
      <c r="G489" s="21"/>
      <c r="H489" s="27">
        <v>0</v>
      </c>
      <c r="I489" s="231"/>
      <c r="J489" s="27">
        <f t="shared" si="34"/>
        <v>0</v>
      </c>
      <c r="K489" s="27">
        <f t="shared" si="36"/>
        <v>0</v>
      </c>
      <c r="L489" s="64"/>
      <c r="M489" s="27"/>
      <c r="N489" s="64"/>
      <c r="O489" s="64"/>
      <c r="P489" s="64"/>
      <c r="Q489" s="2"/>
    </row>
    <row r="490" spans="1:17">
      <c r="A490" s="14">
        <v>487</v>
      </c>
      <c r="B490" s="14" t="s">
        <v>1295</v>
      </c>
      <c r="C490" s="14" t="s">
        <v>58</v>
      </c>
      <c r="D490" s="14" t="s">
        <v>597</v>
      </c>
      <c r="E490" s="14" t="s">
        <v>7</v>
      </c>
      <c r="F490" s="2" t="s">
        <v>603</v>
      </c>
      <c r="G490" s="2"/>
      <c r="H490" s="27"/>
      <c r="I490" s="231"/>
      <c r="J490" s="27">
        <f t="shared" si="34"/>
        <v>0</v>
      </c>
      <c r="K490" s="27">
        <f t="shared" si="36"/>
        <v>0</v>
      </c>
      <c r="L490" s="2"/>
      <c r="M490" s="27"/>
      <c r="N490" s="64"/>
      <c r="O490" s="64"/>
      <c r="P490" s="64"/>
      <c r="Q490" s="2"/>
    </row>
    <row r="491" spans="1:17">
      <c r="A491" s="14">
        <v>488</v>
      </c>
      <c r="B491" s="14" t="s">
        <v>1295</v>
      </c>
      <c r="C491" s="14" t="s">
        <v>58</v>
      </c>
      <c r="D491" s="14" t="s">
        <v>597</v>
      </c>
      <c r="E491" s="14" t="s">
        <v>7</v>
      </c>
      <c r="F491" s="2" t="s">
        <v>604</v>
      </c>
      <c r="G491" s="2"/>
      <c r="H491" s="27"/>
      <c r="I491" s="231"/>
      <c r="J491" s="27">
        <f t="shared" si="34"/>
        <v>0</v>
      </c>
      <c r="K491" s="27">
        <f t="shared" si="36"/>
        <v>0</v>
      </c>
      <c r="L491" s="2"/>
      <c r="M491" s="27"/>
      <c r="N491" s="64"/>
      <c r="O491" s="64"/>
      <c r="P491" s="64"/>
      <c r="Q491" s="2"/>
    </row>
    <row r="492" spans="1:17">
      <c r="A492" s="14">
        <v>489</v>
      </c>
      <c r="B492" s="14" t="s">
        <v>1295</v>
      </c>
      <c r="C492" s="14" t="s">
        <v>58</v>
      </c>
      <c r="D492" s="14" t="s">
        <v>597</v>
      </c>
      <c r="E492" s="14" t="s">
        <v>7</v>
      </c>
      <c r="F492" s="2" t="s">
        <v>606</v>
      </c>
      <c r="G492" s="2"/>
      <c r="H492" s="27"/>
      <c r="I492" s="231"/>
      <c r="J492" s="27">
        <f t="shared" si="34"/>
        <v>0</v>
      </c>
      <c r="K492" s="27">
        <f t="shared" si="36"/>
        <v>0</v>
      </c>
      <c r="L492" s="2"/>
      <c r="M492" s="21"/>
      <c r="N492" s="64"/>
      <c r="O492" s="64"/>
      <c r="P492" s="64"/>
      <c r="Q492" s="2"/>
    </row>
    <row r="493" spans="1:17">
      <c r="A493" s="14">
        <v>490</v>
      </c>
      <c r="B493" s="14" t="s">
        <v>1295</v>
      </c>
      <c r="C493" s="14" t="s">
        <v>58</v>
      </c>
      <c r="D493" s="14" t="s">
        <v>607</v>
      </c>
      <c r="E493" s="14" t="s">
        <v>7</v>
      </c>
      <c r="F493" s="21" t="s">
        <v>608</v>
      </c>
      <c r="G493" s="21"/>
      <c r="H493" s="27">
        <f>M493</f>
        <v>0</v>
      </c>
      <c r="I493" s="231"/>
      <c r="J493" s="27">
        <f t="shared" si="34"/>
        <v>0</v>
      </c>
      <c r="K493" s="27">
        <f t="shared" si="36"/>
        <v>0</v>
      </c>
      <c r="L493" s="2"/>
      <c r="M493" s="21"/>
      <c r="N493" s="64"/>
      <c r="O493" s="64"/>
      <c r="P493" s="64"/>
      <c r="Q493" s="2"/>
    </row>
    <row r="494" spans="1:17" ht="13.5" thickBot="1">
      <c r="A494" s="14">
        <v>491</v>
      </c>
      <c r="B494" s="14" t="s">
        <v>1295</v>
      </c>
      <c r="C494" s="14" t="s">
        <v>58</v>
      </c>
      <c r="D494" s="14" t="s">
        <v>607</v>
      </c>
      <c r="E494" s="14" t="s">
        <v>7</v>
      </c>
      <c r="F494" s="21" t="s">
        <v>610</v>
      </c>
      <c r="G494" s="21"/>
      <c r="H494" s="27">
        <f>M494</f>
        <v>0</v>
      </c>
      <c r="I494" s="231"/>
      <c r="J494" s="27">
        <f t="shared" si="34"/>
        <v>0</v>
      </c>
      <c r="K494" s="27">
        <f t="shared" si="36"/>
        <v>0</v>
      </c>
      <c r="L494" s="2"/>
      <c r="M494" s="21"/>
      <c r="N494" s="64"/>
      <c r="O494" s="64"/>
      <c r="P494" s="64"/>
      <c r="Q494" s="2"/>
    </row>
    <row r="495" spans="1:17" ht="13.5" thickTop="1">
      <c r="A495" s="14">
        <v>492</v>
      </c>
      <c r="B495" s="14" t="s">
        <v>1295</v>
      </c>
      <c r="C495" s="14" t="s">
        <v>58</v>
      </c>
      <c r="D495" s="14" t="s">
        <v>607</v>
      </c>
      <c r="E495" s="14" t="s">
        <v>7</v>
      </c>
      <c r="F495" s="21" t="s">
        <v>59</v>
      </c>
      <c r="G495" s="21"/>
      <c r="H495" s="27">
        <v>9.56</v>
      </c>
      <c r="I495" s="231"/>
      <c r="J495" s="27">
        <f t="shared" si="34"/>
        <v>5.7359999999999998</v>
      </c>
      <c r="K495" s="27">
        <f t="shared" si="36"/>
        <v>15.295999999999999</v>
      </c>
      <c r="L495" s="2"/>
      <c r="M495" s="83"/>
      <c r="N495" s="280" t="s">
        <v>605</v>
      </c>
      <c r="O495" s="64"/>
      <c r="P495" s="64"/>
      <c r="Q495" s="2"/>
    </row>
    <row r="496" spans="1:17">
      <c r="A496" s="14">
        <v>493</v>
      </c>
      <c r="B496" s="14" t="s">
        <v>1295</v>
      </c>
      <c r="C496" s="14" t="s">
        <v>58</v>
      </c>
      <c r="D496" s="14" t="s">
        <v>607</v>
      </c>
      <c r="E496" s="14" t="s">
        <v>7</v>
      </c>
      <c r="F496" s="21" t="s">
        <v>611</v>
      </c>
      <c r="G496" s="21"/>
      <c r="H496" s="27">
        <f>M496</f>
        <v>0</v>
      </c>
      <c r="I496" s="231"/>
      <c r="J496" s="27">
        <f t="shared" si="34"/>
        <v>0</v>
      </c>
      <c r="K496" s="27">
        <f t="shared" si="36"/>
        <v>0</v>
      </c>
      <c r="L496" s="2"/>
      <c r="M496" s="84"/>
      <c r="N496" s="281"/>
      <c r="O496" s="64"/>
      <c r="P496" s="64"/>
      <c r="Q496" s="2"/>
    </row>
    <row r="497" spans="1:17">
      <c r="A497" s="14">
        <v>494</v>
      </c>
      <c r="B497" s="14" t="s">
        <v>1295</v>
      </c>
      <c r="C497" s="14" t="s">
        <v>58</v>
      </c>
      <c r="D497" s="14" t="s">
        <v>607</v>
      </c>
      <c r="E497" s="14" t="s">
        <v>7</v>
      </c>
      <c r="F497" s="21" t="s">
        <v>612</v>
      </c>
      <c r="G497" s="21"/>
      <c r="H497" s="27">
        <f>M497</f>
        <v>25.146000000000001</v>
      </c>
      <c r="I497" s="231"/>
      <c r="J497" s="27">
        <f t="shared" si="34"/>
        <v>15.0876</v>
      </c>
      <c r="K497" s="27">
        <f t="shared" si="36"/>
        <v>40.233600000000003</v>
      </c>
      <c r="L497" s="2"/>
      <c r="M497" s="85">
        <f>N497*0.762</f>
        <v>25.146000000000001</v>
      </c>
      <c r="N497" s="86">
        <v>33</v>
      </c>
      <c r="O497" s="64" t="s">
        <v>609</v>
      </c>
      <c r="P497" s="64"/>
      <c r="Q497" s="2"/>
    </row>
    <row r="498" spans="1:17">
      <c r="A498" s="14">
        <v>495</v>
      </c>
      <c r="B498" s="14" t="s">
        <v>1295</v>
      </c>
      <c r="C498" s="14" t="s">
        <v>58</v>
      </c>
      <c r="D498" s="14" t="s">
        <v>607</v>
      </c>
      <c r="E498" s="14" t="s">
        <v>7</v>
      </c>
      <c r="F498" s="21" t="s">
        <v>613</v>
      </c>
      <c r="G498" s="21"/>
      <c r="H498" s="27">
        <v>3.77</v>
      </c>
      <c r="I498" s="231"/>
      <c r="J498" s="27">
        <f t="shared" si="34"/>
        <v>2.262</v>
      </c>
      <c r="K498" s="27">
        <f t="shared" si="36"/>
        <v>6.032</v>
      </c>
      <c r="L498" s="2"/>
      <c r="M498" s="85">
        <f>N498*0.762</f>
        <v>26.959560000000003</v>
      </c>
      <c r="N498" s="87">
        <v>35.380000000000003</v>
      </c>
      <c r="O498" s="64"/>
      <c r="P498" s="64"/>
      <c r="Q498" s="2"/>
    </row>
    <row r="499" spans="1:17">
      <c r="A499" s="14">
        <v>496</v>
      </c>
      <c r="B499" s="14" t="s">
        <v>1295</v>
      </c>
      <c r="C499" s="14" t="s">
        <v>58</v>
      </c>
      <c r="D499" s="14" t="s">
        <v>607</v>
      </c>
      <c r="E499" s="14" t="s">
        <v>7</v>
      </c>
      <c r="F499" s="21" t="s">
        <v>614</v>
      </c>
      <c r="G499" s="21"/>
      <c r="H499" s="27">
        <v>1.53</v>
      </c>
      <c r="I499" s="231"/>
      <c r="J499" s="27">
        <f t="shared" si="34"/>
        <v>0.91799999999999993</v>
      </c>
      <c r="K499" s="27">
        <f t="shared" si="36"/>
        <v>2.448</v>
      </c>
      <c r="L499" s="2"/>
      <c r="M499" s="85"/>
      <c r="N499" s="86"/>
      <c r="O499" s="64"/>
      <c r="P499" s="64"/>
      <c r="Q499" s="2"/>
    </row>
    <row r="500" spans="1:17">
      <c r="A500" s="14">
        <v>497</v>
      </c>
      <c r="B500" s="14" t="s">
        <v>1295</v>
      </c>
      <c r="C500" s="14" t="s">
        <v>58</v>
      </c>
      <c r="D500" s="14" t="s">
        <v>616</v>
      </c>
      <c r="E500" s="14" t="s">
        <v>7</v>
      </c>
      <c r="G500" s="90"/>
      <c r="H500" s="27"/>
      <c r="I500" s="231"/>
      <c r="J500" s="27">
        <f t="shared" si="34"/>
        <v>0</v>
      </c>
      <c r="K500" s="27"/>
      <c r="L500" s="2"/>
      <c r="M500" s="85">
        <f>N500*0.7</f>
        <v>15.911</v>
      </c>
      <c r="N500" s="87">
        <v>22.73</v>
      </c>
      <c r="O500" s="64"/>
      <c r="P500" s="64"/>
      <c r="Q500" s="2"/>
    </row>
    <row r="501" spans="1:17">
      <c r="A501" s="14">
        <v>498</v>
      </c>
      <c r="B501" s="14" t="s">
        <v>1295</v>
      </c>
      <c r="C501" s="14" t="s">
        <v>58</v>
      </c>
      <c r="D501" s="14" t="s">
        <v>617</v>
      </c>
      <c r="E501" s="14" t="s">
        <v>7</v>
      </c>
      <c r="F501" s="21" t="s">
        <v>618</v>
      </c>
      <c r="G501" s="21"/>
      <c r="H501" s="27">
        <v>110</v>
      </c>
      <c r="I501" s="231"/>
      <c r="J501" s="27">
        <f t="shared" si="34"/>
        <v>66</v>
      </c>
      <c r="K501" s="27">
        <f t="shared" ref="K501:K511" si="37">H501+I501+J501</f>
        <v>176</v>
      </c>
      <c r="L501" s="2"/>
      <c r="M501" s="85">
        <f>N501*0.7</f>
        <v>17.681999999999999</v>
      </c>
      <c r="N501" s="87">
        <v>25.26</v>
      </c>
      <c r="O501" s="64"/>
      <c r="P501" s="64"/>
      <c r="Q501" s="2"/>
    </row>
    <row r="502" spans="1:17">
      <c r="A502" s="14">
        <v>499</v>
      </c>
      <c r="B502" s="14" t="s">
        <v>1295</v>
      </c>
      <c r="C502" s="14" t="s">
        <v>58</v>
      </c>
      <c r="D502" s="14" t="s">
        <v>617</v>
      </c>
      <c r="E502" s="14" t="s">
        <v>7</v>
      </c>
      <c r="F502" s="21" t="s">
        <v>619</v>
      </c>
      <c r="G502" s="21"/>
      <c r="H502" s="27">
        <v>110</v>
      </c>
      <c r="I502" s="231"/>
      <c r="J502" s="27">
        <f t="shared" si="34"/>
        <v>66</v>
      </c>
      <c r="K502" s="27">
        <f t="shared" si="37"/>
        <v>176</v>
      </c>
      <c r="L502" s="2"/>
      <c r="M502" s="85"/>
      <c r="N502" s="86"/>
      <c r="O502" s="64"/>
      <c r="P502" s="64"/>
      <c r="Q502" s="2"/>
    </row>
    <row r="503" spans="1:17" ht="13.5" thickBot="1">
      <c r="A503" s="14">
        <v>500</v>
      </c>
      <c r="B503" s="14" t="s">
        <v>1295</v>
      </c>
      <c r="C503" s="14" t="s">
        <v>58</v>
      </c>
      <c r="D503" s="14" t="s">
        <v>617</v>
      </c>
      <c r="E503" s="14" t="s">
        <v>7</v>
      </c>
      <c r="F503" s="21" t="s">
        <v>620</v>
      </c>
      <c r="G503" s="21"/>
      <c r="H503" s="27">
        <v>110</v>
      </c>
      <c r="I503" s="231"/>
      <c r="J503" s="27">
        <f t="shared" si="34"/>
        <v>66</v>
      </c>
      <c r="K503" s="27">
        <f t="shared" si="37"/>
        <v>176</v>
      </c>
      <c r="L503" s="2"/>
      <c r="M503" s="88">
        <f>N503/14</f>
        <v>1.422857142857143</v>
      </c>
      <c r="N503" s="89">
        <v>19.920000000000002</v>
      </c>
      <c r="O503" s="64"/>
      <c r="P503" s="64" t="s">
        <v>615</v>
      </c>
      <c r="Q503" s="2"/>
    </row>
    <row r="504" spans="1:17" ht="13.5" thickTop="1">
      <c r="A504" s="14">
        <v>501</v>
      </c>
      <c r="B504" s="14" t="s">
        <v>1295</v>
      </c>
      <c r="C504" s="14" t="s">
        <v>58</v>
      </c>
      <c r="D504" s="14" t="s">
        <v>617</v>
      </c>
      <c r="E504" s="14" t="s">
        <v>7</v>
      </c>
      <c r="F504" s="21" t="s">
        <v>621</v>
      </c>
      <c r="G504" s="21"/>
      <c r="H504" s="27">
        <v>110</v>
      </c>
      <c r="I504" s="231"/>
      <c r="J504" s="27">
        <f t="shared" si="34"/>
        <v>66</v>
      </c>
      <c r="K504" s="27">
        <f t="shared" si="37"/>
        <v>176</v>
      </c>
      <c r="L504" s="91"/>
      <c r="M504" s="27"/>
      <c r="N504" s="64"/>
      <c r="O504" s="64"/>
      <c r="P504" s="64"/>
      <c r="Q504" s="2"/>
    </row>
    <row r="505" spans="1:17">
      <c r="A505" s="14">
        <v>502</v>
      </c>
      <c r="B505" s="14" t="s">
        <v>1295</v>
      </c>
      <c r="C505" s="14" t="s">
        <v>58</v>
      </c>
      <c r="D505" s="14" t="s">
        <v>617</v>
      </c>
      <c r="E505" s="14" t="s">
        <v>7</v>
      </c>
      <c r="F505" s="21"/>
      <c r="G505" s="21"/>
      <c r="H505" s="27"/>
      <c r="I505" s="231"/>
      <c r="J505" s="27">
        <f t="shared" si="34"/>
        <v>0</v>
      </c>
      <c r="K505" s="27">
        <f t="shared" si="37"/>
        <v>0</v>
      </c>
      <c r="L505" s="92"/>
      <c r="M505" s="27"/>
      <c r="N505" s="64"/>
      <c r="O505" s="64"/>
      <c r="P505" s="64"/>
      <c r="Q505" s="2"/>
    </row>
    <row r="506" spans="1:17">
      <c r="A506" s="14">
        <v>503</v>
      </c>
      <c r="B506" s="14" t="s">
        <v>1295</v>
      </c>
      <c r="C506" s="14" t="s">
        <v>58</v>
      </c>
      <c r="D506" s="14" t="s">
        <v>622</v>
      </c>
      <c r="E506" s="14" t="s">
        <v>7</v>
      </c>
      <c r="F506" s="21" t="s">
        <v>623</v>
      </c>
      <c r="G506" s="21"/>
      <c r="H506" s="27">
        <v>22</v>
      </c>
      <c r="I506" s="231"/>
      <c r="J506" s="27">
        <f t="shared" si="34"/>
        <v>13.2</v>
      </c>
      <c r="K506" s="27">
        <f t="shared" si="37"/>
        <v>35.200000000000003</v>
      </c>
      <c r="L506" s="92"/>
      <c r="M506" s="27"/>
      <c r="N506" s="64"/>
      <c r="O506" s="64"/>
      <c r="P506" s="64"/>
      <c r="Q506" s="2"/>
    </row>
    <row r="507" spans="1:17">
      <c r="A507" s="14">
        <v>504</v>
      </c>
      <c r="B507" s="14" t="s">
        <v>1295</v>
      </c>
      <c r="C507" s="14" t="s">
        <v>58</v>
      </c>
      <c r="D507" s="14" t="s">
        <v>622</v>
      </c>
      <c r="E507" s="14" t="s">
        <v>7</v>
      </c>
      <c r="F507" s="21" t="s">
        <v>624</v>
      </c>
      <c r="G507" s="21"/>
      <c r="H507" s="27">
        <v>28</v>
      </c>
      <c r="I507" s="231"/>
      <c r="J507" s="27">
        <f t="shared" si="34"/>
        <v>16.8</v>
      </c>
      <c r="K507" s="27">
        <f t="shared" si="37"/>
        <v>44.8</v>
      </c>
      <c r="L507" s="92"/>
      <c r="M507" s="27"/>
      <c r="N507" s="64"/>
      <c r="O507" s="64"/>
      <c r="P507" s="64"/>
      <c r="Q507" s="2"/>
    </row>
    <row r="508" spans="1:17">
      <c r="A508" s="14">
        <v>505</v>
      </c>
      <c r="B508" s="14" t="s">
        <v>1295</v>
      </c>
      <c r="C508" s="14" t="s">
        <v>58</v>
      </c>
      <c r="D508" s="14" t="s">
        <v>622</v>
      </c>
      <c r="E508" s="14" t="s">
        <v>7</v>
      </c>
      <c r="F508" s="21" t="s">
        <v>625</v>
      </c>
      <c r="G508" s="21"/>
      <c r="H508" s="27">
        <v>22</v>
      </c>
      <c r="I508" s="231"/>
      <c r="J508" s="27">
        <f t="shared" si="34"/>
        <v>13.2</v>
      </c>
      <c r="K508" s="27">
        <f t="shared" si="37"/>
        <v>35.200000000000003</v>
      </c>
      <c r="L508" s="92"/>
      <c r="M508" s="27"/>
      <c r="N508" s="64"/>
      <c r="O508" s="64"/>
      <c r="P508" s="64"/>
      <c r="Q508" s="2"/>
    </row>
    <row r="509" spans="1:17">
      <c r="A509" s="14">
        <v>506</v>
      </c>
      <c r="B509" s="14" t="s">
        <v>1295</v>
      </c>
      <c r="C509" s="14" t="s">
        <v>58</v>
      </c>
      <c r="D509" s="14" t="s">
        <v>622</v>
      </c>
      <c r="E509" s="14" t="s">
        <v>7</v>
      </c>
      <c r="F509" s="21" t="s">
        <v>626</v>
      </c>
      <c r="G509" s="21"/>
      <c r="H509" s="27">
        <v>22</v>
      </c>
      <c r="I509" s="231"/>
      <c r="J509" s="27">
        <f t="shared" si="34"/>
        <v>13.2</v>
      </c>
      <c r="K509" s="27">
        <f t="shared" si="37"/>
        <v>35.200000000000003</v>
      </c>
      <c r="L509" s="92"/>
      <c r="M509" s="27"/>
      <c r="N509" s="64"/>
      <c r="O509" s="64"/>
      <c r="P509" s="64"/>
      <c r="Q509" s="2"/>
    </row>
    <row r="510" spans="1:17">
      <c r="A510" s="14">
        <v>507</v>
      </c>
      <c r="B510" s="14" t="s">
        <v>1295</v>
      </c>
      <c r="C510" s="14" t="s">
        <v>58</v>
      </c>
      <c r="D510" s="14" t="s">
        <v>622</v>
      </c>
      <c r="E510" s="14" t="s">
        <v>7</v>
      </c>
      <c r="F510" s="21" t="s">
        <v>627</v>
      </c>
      <c r="G510" s="21"/>
      <c r="H510" s="27">
        <v>450</v>
      </c>
      <c r="I510" s="231"/>
      <c r="J510" s="27">
        <f t="shared" si="34"/>
        <v>270</v>
      </c>
      <c r="K510" s="27">
        <f t="shared" si="37"/>
        <v>720</v>
      </c>
      <c r="L510" s="92"/>
      <c r="M510" s="27"/>
      <c r="N510" s="64"/>
      <c r="O510" s="64"/>
      <c r="P510" s="64"/>
      <c r="Q510" s="2"/>
    </row>
    <row r="511" spans="1:17">
      <c r="A511" s="14">
        <v>508</v>
      </c>
      <c r="B511" s="14" t="s">
        <v>1295</v>
      </c>
      <c r="C511" s="14" t="s">
        <v>58</v>
      </c>
      <c r="D511" s="14" t="s">
        <v>622</v>
      </c>
      <c r="E511" s="14" t="s">
        <v>7</v>
      </c>
      <c r="F511" s="93" t="s">
        <v>628</v>
      </c>
      <c r="G511" s="93"/>
      <c r="H511" s="27">
        <v>150</v>
      </c>
      <c r="I511" s="231"/>
      <c r="J511" s="27">
        <f t="shared" si="34"/>
        <v>90</v>
      </c>
      <c r="K511" s="27">
        <f t="shared" si="37"/>
        <v>240</v>
      </c>
      <c r="L511" s="92"/>
      <c r="M511" s="27"/>
      <c r="N511" s="64"/>
      <c r="O511" s="64"/>
      <c r="P511" s="64"/>
      <c r="Q511" s="2"/>
    </row>
    <row r="512" spans="1:17">
      <c r="A512" s="14">
        <v>509</v>
      </c>
      <c r="B512" s="14" t="s">
        <v>1349</v>
      </c>
      <c r="C512" s="14" t="s">
        <v>58</v>
      </c>
      <c r="D512" s="14" t="s">
        <v>622</v>
      </c>
      <c r="E512" s="14" t="s">
        <v>7</v>
      </c>
      <c r="F512" s="21" t="s">
        <v>1317</v>
      </c>
      <c r="G512" s="94"/>
      <c r="H512" s="31">
        <v>30</v>
      </c>
      <c r="I512" s="235"/>
      <c r="J512" s="27">
        <f t="shared" si="34"/>
        <v>18</v>
      </c>
      <c r="K512" s="27"/>
      <c r="L512" s="92"/>
      <c r="M512" s="27"/>
      <c r="N512" s="64"/>
      <c r="O512" s="64"/>
      <c r="P512" s="64"/>
      <c r="Q512" s="2"/>
    </row>
    <row r="513" spans="1:17">
      <c r="A513" s="14">
        <v>510</v>
      </c>
      <c r="B513" s="14" t="s">
        <v>1295</v>
      </c>
      <c r="C513" s="14" t="s">
        <v>98</v>
      </c>
      <c r="D513" s="14" t="s">
        <v>629</v>
      </c>
      <c r="E513" s="14" t="s">
        <v>7</v>
      </c>
      <c r="F513" s="21" t="s">
        <v>630</v>
      </c>
      <c r="G513" s="21"/>
      <c r="H513" s="27">
        <v>42.8</v>
      </c>
      <c r="I513" s="231"/>
      <c r="J513" s="27">
        <f t="shared" si="34"/>
        <v>25.679999999999996</v>
      </c>
      <c r="K513" s="27">
        <f t="shared" ref="K513:K544" si="38">H513+I513+J513</f>
        <v>68.47999999999999</v>
      </c>
      <c r="L513" s="92"/>
      <c r="M513" s="27"/>
      <c r="N513" s="64"/>
      <c r="O513" s="64"/>
      <c r="P513" s="64"/>
      <c r="Q513" s="2"/>
    </row>
    <row r="514" spans="1:17">
      <c r="A514" s="14">
        <v>511</v>
      </c>
      <c r="B514" s="14" t="s">
        <v>1295</v>
      </c>
      <c r="C514" s="14" t="s">
        <v>98</v>
      </c>
      <c r="D514" s="14" t="s">
        <v>629</v>
      </c>
      <c r="E514" s="14" t="s">
        <v>7</v>
      </c>
      <c r="F514" s="21" t="s">
        <v>631</v>
      </c>
      <c r="G514" s="21"/>
      <c r="H514" s="27" t="e">
        <f>M514/L514</f>
        <v>#DIV/0!</v>
      </c>
      <c r="I514" s="231"/>
      <c r="J514" s="27" t="e">
        <f t="shared" si="34"/>
        <v>#DIV/0!</v>
      </c>
      <c r="K514" s="27" t="e">
        <f t="shared" si="38"/>
        <v>#DIV/0!</v>
      </c>
      <c r="L514" s="92"/>
      <c r="M514" s="27"/>
      <c r="N514" s="64"/>
      <c r="O514" s="64"/>
      <c r="P514" s="64"/>
      <c r="Q514" s="2"/>
    </row>
    <row r="515" spans="1:17">
      <c r="A515" s="14">
        <v>512</v>
      </c>
      <c r="B515" s="14" t="s">
        <v>1295</v>
      </c>
      <c r="C515" s="14" t="s">
        <v>98</v>
      </c>
      <c r="D515" s="14" t="s">
        <v>629</v>
      </c>
      <c r="E515" s="14" t="s">
        <v>7</v>
      </c>
      <c r="F515" s="21" t="s">
        <v>632</v>
      </c>
      <c r="G515" s="21"/>
      <c r="H515" s="27" t="e">
        <f>M515/L515</f>
        <v>#DIV/0!</v>
      </c>
      <c r="I515" s="231"/>
      <c r="J515" s="27" t="e">
        <f t="shared" si="34"/>
        <v>#DIV/0!</v>
      </c>
      <c r="K515" s="27" t="e">
        <f t="shared" si="38"/>
        <v>#DIV/0!</v>
      </c>
      <c r="L515" s="92"/>
      <c r="M515" s="27"/>
      <c r="N515" s="64"/>
      <c r="O515" s="64"/>
      <c r="P515" s="64"/>
      <c r="Q515" s="2"/>
    </row>
    <row r="516" spans="1:17">
      <c r="A516" s="14">
        <v>513</v>
      </c>
      <c r="B516" s="14" t="s">
        <v>1295</v>
      </c>
      <c r="C516" s="14" t="s">
        <v>98</v>
      </c>
      <c r="D516" s="14" t="s">
        <v>629</v>
      </c>
      <c r="E516" s="14" t="s">
        <v>7</v>
      </c>
      <c r="F516" s="21" t="s">
        <v>633</v>
      </c>
      <c r="G516" s="21"/>
      <c r="H516" s="27" t="e">
        <f>M516/L516</f>
        <v>#DIV/0!</v>
      </c>
      <c r="I516" s="231"/>
      <c r="J516" s="27" t="e">
        <f t="shared" si="34"/>
        <v>#DIV/0!</v>
      </c>
      <c r="K516" s="27" t="e">
        <f t="shared" si="38"/>
        <v>#DIV/0!</v>
      </c>
      <c r="L516" s="92"/>
      <c r="M516" s="27"/>
      <c r="N516" s="64"/>
      <c r="O516" s="64"/>
      <c r="P516" s="64"/>
      <c r="Q516" s="2"/>
    </row>
    <row r="517" spans="1:17">
      <c r="A517" s="14">
        <v>514</v>
      </c>
      <c r="B517" s="14" t="s">
        <v>1295</v>
      </c>
      <c r="C517" s="14" t="s">
        <v>98</v>
      </c>
      <c r="D517" s="14" t="s">
        <v>629</v>
      </c>
      <c r="E517" s="14" t="s">
        <v>7</v>
      </c>
      <c r="F517" s="21" t="s">
        <v>634</v>
      </c>
      <c r="G517" s="21"/>
      <c r="H517" s="27">
        <v>3</v>
      </c>
      <c r="I517" s="231"/>
      <c r="J517" s="27">
        <f t="shared" si="34"/>
        <v>1.7999999999999998</v>
      </c>
      <c r="K517" s="27">
        <f t="shared" si="38"/>
        <v>4.8</v>
      </c>
      <c r="L517" s="45"/>
      <c r="M517" s="11"/>
      <c r="N517" s="64"/>
      <c r="O517" s="64"/>
      <c r="P517" s="64"/>
      <c r="Q517" s="2"/>
    </row>
    <row r="518" spans="1:17">
      <c r="A518" s="14">
        <v>515</v>
      </c>
      <c r="B518" s="14" t="s">
        <v>1295</v>
      </c>
      <c r="C518" s="14" t="s">
        <v>98</v>
      </c>
      <c r="D518" s="14" t="s">
        <v>629</v>
      </c>
      <c r="E518" s="14" t="s">
        <v>7</v>
      </c>
      <c r="F518" s="21" t="s">
        <v>635</v>
      </c>
      <c r="G518" s="21"/>
      <c r="H518" s="27" t="e">
        <f>M518/L518</f>
        <v>#DIV/0!</v>
      </c>
      <c r="I518" s="231"/>
      <c r="J518" s="27" t="e">
        <f t="shared" si="34"/>
        <v>#DIV/0!</v>
      </c>
      <c r="K518" s="27" t="e">
        <f t="shared" si="38"/>
        <v>#DIV/0!</v>
      </c>
      <c r="L518" s="95"/>
      <c r="M518" s="96">
        <v>67</v>
      </c>
      <c r="N518" s="64"/>
      <c r="O518" s="64"/>
      <c r="P518" s="64"/>
      <c r="Q518" s="2"/>
    </row>
    <row r="519" spans="1:17">
      <c r="A519" s="14">
        <v>516</v>
      </c>
      <c r="B519" s="14" t="s">
        <v>1295</v>
      </c>
      <c r="C519" s="14" t="s">
        <v>98</v>
      </c>
      <c r="D519" s="14" t="s">
        <v>629</v>
      </c>
      <c r="E519" s="14" t="s">
        <v>7</v>
      </c>
      <c r="F519" s="21" t="s">
        <v>636</v>
      </c>
      <c r="G519" s="21"/>
      <c r="H519" s="27" t="e">
        <f>M519/L519</f>
        <v>#DIV/0!</v>
      </c>
      <c r="I519" s="231"/>
      <c r="J519" s="27" t="e">
        <f t="shared" si="34"/>
        <v>#DIV/0!</v>
      </c>
      <c r="K519" s="27" t="e">
        <f t="shared" si="38"/>
        <v>#DIV/0!</v>
      </c>
      <c r="L519" s="95"/>
      <c r="M519" s="96">
        <v>57</v>
      </c>
      <c r="N519" s="64"/>
      <c r="O519" s="64"/>
      <c r="P519" s="64"/>
      <c r="Q519" s="2"/>
    </row>
    <row r="520" spans="1:17">
      <c r="A520" s="14">
        <v>517</v>
      </c>
      <c r="B520" s="14" t="s">
        <v>1295</v>
      </c>
      <c r="C520" s="14" t="s">
        <v>98</v>
      </c>
      <c r="D520" s="14" t="s">
        <v>629</v>
      </c>
      <c r="E520" s="14" t="s">
        <v>7</v>
      </c>
      <c r="F520" s="21" t="s">
        <v>637</v>
      </c>
      <c r="G520" s="21"/>
      <c r="H520" s="27" t="e">
        <f>M520/L520</f>
        <v>#DIV/0!</v>
      </c>
      <c r="I520" s="231"/>
      <c r="J520" s="27" t="e">
        <f t="shared" ref="J520:J583" si="39">H520*$D$6</f>
        <v>#DIV/0!</v>
      </c>
      <c r="K520" s="27" t="e">
        <f t="shared" si="38"/>
        <v>#DIV/0!</v>
      </c>
      <c r="L520" s="95"/>
      <c r="M520" s="96">
        <v>38</v>
      </c>
      <c r="N520" s="64"/>
      <c r="O520" s="64"/>
      <c r="P520" s="64"/>
      <c r="Q520" s="2"/>
    </row>
    <row r="521" spans="1:17">
      <c r="A521" s="14">
        <v>518</v>
      </c>
      <c r="B521" s="14" t="s">
        <v>1295</v>
      </c>
      <c r="C521" s="14" t="s">
        <v>98</v>
      </c>
      <c r="D521" s="14" t="s">
        <v>629</v>
      </c>
      <c r="E521" s="14" t="s">
        <v>7</v>
      </c>
      <c r="F521" s="21" t="s">
        <v>638</v>
      </c>
      <c r="G521" s="21"/>
      <c r="H521" s="27">
        <v>200</v>
      </c>
      <c r="I521" s="231"/>
      <c r="J521" s="27">
        <f t="shared" si="39"/>
        <v>120</v>
      </c>
      <c r="K521" s="27">
        <f t="shared" si="38"/>
        <v>320</v>
      </c>
      <c r="L521" s="45"/>
      <c r="M521" s="11"/>
      <c r="N521" s="64"/>
      <c r="O521" s="64"/>
      <c r="P521" s="64"/>
      <c r="Q521" s="2"/>
    </row>
    <row r="522" spans="1:17">
      <c r="A522" s="14">
        <v>519</v>
      </c>
      <c r="B522" s="14" t="s">
        <v>1295</v>
      </c>
      <c r="C522" s="14" t="s">
        <v>98</v>
      </c>
      <c r="D522" s="14" t="s">
        <v>629</v>
      </c>
      <c r="E522" s="14" t="s">
        <v>7</v>
      </c>
      <c r="F522" s="21" t="s">
        <v>639</v>
      </c>
      <c r="G522" s="21"/>
      <c r="H522" s="27">
        <v>381</v>
      </c>
      <c r="I522" s="231"/>
      <c r="J522" s="27">
        <f t="shared" si="39"/>
        <v>228.6</v>
      </c>
      <c r="K522" s="27">
        <f t="shared" si="38"/>
        <v>609.6</v>
      </c>
      <c r="L522" s="97"/>
      <c r="M522" s="96">
        <v>32</v>
      </c>
      <c r="N522" s="64"/>
      <c r="O522" s="64"/>
      <c r="P522" s="64"/>
      <c r="Q522" s="2"/>
    </row>
    <row r="523" spans="1:17">
      <c r="A523" s="14">
        <v>520</v>
      </c>
      <c r="B523" s="14" t="s">
        <v>1295</v>
      </c>
      <c r="C523" s="14" t="s">
        <v>57</v>
      </c>
      <c r="D523" s="14" t="s">
        <v>640</v>
      </c>
      <c r="E523" s="14" t="s">
        <v>7</v>
      </c>
      <c r="F523" s="21" t="s">
        <v>641</v>
      </c>
      <c r="G523" s="21"/>
      <c r="H523" s="27" t="e">
        <f>#REF!/6</f>
        <v>#REF!</v>
      </c>
      <c r="I523" s="231"/>
      <c r="J523" s="27" t="e">
        <f t="shared" si="39"/>
        <v>#REF!</v>
      </c>
      <c r="K523" s="27" t="e">
        <f t="shared" si="38"/>
        <v>#REF!</v>
      </c>
      <c r="L523" s="97"/>
      <c r="M523" s="96">
        <v>40</v>
      </c>
      <c r="N523" s="21"/>
      <c r="O523" s="21"/>
      <c r="P523" s="21"/>
      <c r="Q523" s="2"/>
    </row>
    <row r="524" spans="1:17">
      <c r="A524" s="14">
        <v>521</v>
      </c>
      <c r="B524" s="14" t="s">
        <v>1295</v>
      </c>
      <c r="C524" s="14" t="s">
        <v>57</v>
      </c>
      <c r="D524" s="14" t="s">
        <v>640</v>
      </c>
      <c r="E524" s="14" t="s">
        <v>7</v>
      </c>
      <c r="F524" s="21" t="s">
        <v>642</v>
      </c>
      <c r="G524" s="21"/>
      <c r="H524" s="27">
        <v>2.2599999999999998</v>
      </c>
      <c r="I524" s="231"/>
      <c r="J524" s="27">
        <f t="shared" si="39"/>
        <v>1.3559999999999999</v>
      </c>
      <c r="K524" s="27">
        <f t="shared" si="38"/>
        <v>3.6159999999999997</v>
      </c>
      <c r="L524" s="97"/>
      <c r="M524" s="96">
        <v>60</v>
      </c>
      <c r="N524" s="21"/>
      <c r="O524" s="21"/>
      <c r="P524" s="21"/>
      <c r="Q524" s="2"/>
    </row>
    <row r="525" spans="1:17">
      <c r="A525" s="14">
        <v>522</v>
      </c>
      <c r="B525" s="14" t="s">
        <v>1295</v>
      </c>
      <c r="C525" s="14" t="s">
        <v>57</v>
      </c>
      <c r="D525" s="14" t="s">
        <v>640</v>
      </c>
      <c r="E525" s="14" t="s">
        <v>7</v>
      </c>
      <c r="F525" s="21" t="s">
        <v>643</v>
      </c>
      <c r="G525" s="21"/>
      <c r="H525" s="27">
        <v>4.53</v>
      </c>
      <c r="I525" s="231"/>
      <c r="J525" s="27">
        <f t="shared" si="39"/>
        <v>2.718</v>
      </c>
      <c r="K525" s="27">
        <f t="shared" si="38"/>
        <v>7.2480000000000002</v>
      </c>
      <c r="L525" s="45"/>
      <c r="M525" s="11"/>
      <c r="N525" s="21"/>
      <c r="O525" s="21"/>
      <c r="P525" s="21"/>
      <c r="Q525" s="2"/>
    </row>
    <row r="526" spans="1:17">
      <c r="A526" s="14">
        <v>523</v>
      </c>
      <c r="B526" s="14" t="s">
        <v>1295</v>
      </c>
      <c r="C526" s="14" t="s">
        <v>57</v>
      </c>
      <c r="D526" s="14" t="s">
        <v>640</v>
      </c>
      <c r="E526" s="14" t="s">
        <v>7</v>
      </c>
      <c r="F526" s="21" t="s">
        <v>644</v>
      </c>
      <c r="G526" s="21"/>
      <c r="H526" s="27">
        <v>3.38</v>
      </c>
      <c r="I526" s="231"/>
      <c r="J526" s="27">
        <f t="shared" si="39"/>
        <v>2.028</v>
      </c>
      <c r="K526" s="27">
        <f t="shared" si="38"/>
        <v>5.4079999999999995</v>
      </c>
      <c r="L526" s="45"/>
      <c r="M526" s="11"/>
      <c r="N526" s="21"/>
      <c r="O526" s="21"/>
      <c r="P526" s="21"/>
      <c r="Q526" s="2"/>
    </row>
    <row r="527" spans="1:17">
      <c r="A527" s="14">
        <v>524</v>
      </c>
      <c r="B527" s="14" t="s">
        <v>1295</v>
      </c>
      <c r="C527" s="14" t="s">
        <v>57</v>
      </c>
      <c r="D527" s="14" t="s">
        <v>640</v>
      </c>
      <c r="E527" s="14" t="s">
        <v>7</v>
      </c>
      <c r="F527" s="21" t="s">
        <v>645</v>
      </c>
      <c r="G527" s="21"/>
      <c r="H527" s="27">
        <v>3.54</v>
      </c>
      <c r="I527" s="231"/>
      <c r="J527" s="27">
        <f t="shared" si="39"/>
        <v>2.1240000000000001</v>
      </c>
      <c r="K527" s="27">
        <f t="shared" si="38"/>
        <v>5.6639999999999997</v>
      </c>
      <c r="L527" s="2"/>
      <c r="M527" s="21"/>
      <c r="N527" s="21"/>
      <c r="O527" s="21"/>
      <c r="P527" s="21"/>
      <c r="Q527" s="2"/>
    </row>
    <row r="528" spans="1:17">
      <c r="A528" s="14">
        <v>525</v>
      </c>
      <c r="B528" s="14" t="s">
        <v>1295</v>
      </c>
      <c r="C528" s="14" t="s">
        <v>57</v>
      </c>
      <c r="D528" s="14" t="s">
        <v>640</v>
      </c>
      <c r="E528" s="14" t="s">
        <v>7</v>
      </c>
      <c r="F528" s="21" t="s">
        <v>646</v>
      </c>
      <c r="G528" s="21"/>
      <c r="H528" s="27">
        <v>3.35</v>
      </c>
      <c r="I528" s="231"/>
      <c r="J528" s="27">
        <f t="shared" si="39"/>
        <v>2.0099999999999998</v>
      </c>
      <c r="K528" s="27">
        <f t="shared" si="38"/>
        <v>5.3599999999999994</v>
      </c>
      <c r="L528" s="2"/>
      <c r="M528" s="21"/>
      <c r="N528" s="21"/>
      <c r="O528" s="21"/>
      <c r="P528" s="21"/>
      <c r="Q528" s="2"/>
    </row>
    <row r="529" spans="1:17">
      <c r="A529" s="14">
        <v>526</v>
      </c>
      <c r="B529" s="14" t="s">
        <v>1295</v>
      </c>
      <c r="C529" s="14" t="s">
        <v>57</v>
      </c>
      <c r="D529" s="14" t="s">
        <v>640</v>
      </c>
      <c r="E529" s="14" t="s">
        <v>7</v>
      </c>
      <c r="F529" s="21" t="s">
        <v>647</v>
      </c>
      <c r="G529" s="21"/>
      <c r="H529" s="27">
        <v>3</v>
      </c>
      <c r="I529" s="231"/>
      <c r="J529" s="27">
        <f t="shared" si="39"/>
        <v>1.7999999999999998</v>
      </c>
      <c r="K529" s="27">
        <f t="shared" si="38"/>
        <v>4.8</v>
      </c>
      <c r="L529" s="2"/>
      <c r="M529" s="21"/>
      <c r="N529" s="21"/>
      <c r="O529" s="21"/>
      <c r="P529" s="21"/>
      <c r="Q529" s="2"/>
    </row>
    <row r="530" spans="1:17">
      <c r="A530" s="14">
        <v>528</v>
      </c>
      <c r="B530" s="14" t="s">
        <v>1295</v>
      </c>
      <c r="C530" s="14" t="s">
        <v>650</v>
      </c>
      <c r="D530" s="14" t="s">
        <v>651</v>
      </c>
      <c r="E530" s="14" t="s">
        <v>7</v>
      </c>
      <c r="F530" s="21" t="s">
        <v>652</v>
      </c>
      <c r="G530" s="21"/>
      <c r="H530" s="27">
        <f t="shared" ref="H530:H540" si="40">N530</f>
        <v>0</v>
      </c>
      <c r="I530" s="231"/>
      <c r="J530" s="27">
        <f t="shared" si="39"/>
        <v>0</v>
      </c>
      <c r="K530" s="242">
        <f t="shared" si="38"/>
        <v>0</v>
      </c>
      <c r="L530" s="2"/>
      <c r="M530" s="21"/>
      <c r="N530" s="21"/>
      <c r="O530" s="21"/>
      <c r="P530" s="21"/>
      <c r="Q530" s="2"/>
    </row>
    <row r="531" spans="1:17">
      <c r="A531" s="14">
        <v>529</v>
      </c>
      <c r="B531" s="14" t="s">
        <v>1295</v>
      </c>
      <c r="C531" s="14" t="s">
        <v>650</v>
      </c>
      <c r="D531" s="14" t="s">
        <v>651</v>
      </c>
      <c r="E531" s="14" t="s">
        <v>7</v>
      </c>
      <c r="F531" s="21" t="s">
        <v>653</v>
      </c>
      <c r="G531" s="21"/>
      <c r="H531" s="27">
        <f t="shared" si="40"/>
        <v>0</v>
      </c>
      <c r="I531" s="231"/>
      <c r="J531" s="27">
        <f t="shared" si="39"/>
        <v>0</v>
      </c>
      <c r="K531" s="242">
        <f t="shared" si="38"/>
        <v>0</v>
      </c>
      <c r="L531" s="2"/>
      <c r="M531" s="21"/>
      <c r="N531" s="21"/>
      <c r="O531" s="21"/>
      <c r="P531" s="21"/>
      <c r="Q531" s="2"/>
    </row>
    <row r="532" spans="1:17">
      <c r="A532" s="14">
        <v>530</v>
      </c>
      <c r="B532" s="14" t="s">
        <v>1295</v>
      </c>
      <c r="C532" s="14" t="s">
        <v>650</v>
      </c>
      <c r="D532" s="14" t="s">
        <v>651</v>
      </c>
      <c r="E532" s="14" t="s">
        <v>7</v>
      </c>
      <c r="F532" s="21" t="s">
        <v>654</v>
      </c>
      <c r="G532" s="21"/>
      <c r="H532" s="27">
        <f t="shared" si="40"/>
        <v>0</v>
      </c>
      <c r="I532" s="231"/>
      <c r="J532" s="27">
        <f t="shared" si="39"/>
        <v>0</v>
      </c>
      <c r="K532" s="242">
        <f t="shared" si="38"/>
        <v>0</v>
      </c>
      <c r="L532" s="2"/>
      <c r="M532" s="21"/>
      <c r="N532" s="21"/>
      <c r="O532" s="21"/>
      <c r="P532" s="21"/>
      <c r="Q532" s="2"/>
    </row>
    <row r="533" spans="1:17" ht="13.5" thickBot="1">
      <c r="A533" s="14">
        <v>531</v>
      </c>
      <c r="B533" s="14" t="s">
        <v>1295</v>
      </c>
      <c r="C533" s="14" t="s">
        <v>650</v>
      </c>
      <c r="D533" s="14" t="s">
        <v>651</v>
      </c>
      <c r="E533" s="14" t="s">
        <v>7</v>
      </c>
      <c r="F533" s="21" t="s">
        <v>655</v>
      </c>
      <c r="G533" s="21"/>
      <c r="H533" s="27">
        <f t="shared" si="40"/>
        <v>0</v>
      </c>
      <c r="I533" s="231"/>
      <c r="J533" s="27">
        <f t="shared" si="39"/>
        <v>0</v>
      </c>
      <c r="K533" s="242">
        <f t="shared" si="38"/>
        <v>0</v>
      </c>
      <c r="L533" s="2"/>
      <c r="M533" s="21"/>
      <c r="N533" s="21"/>
      <c r="O533" s="21"/>
      <c r="P533" s="21"/>
      <c r="Q533" s="2"/>
    </row>
    <row r="534" spans="1:17" ht="13.5" thickTop="1">
      <c r="A534" s="14">
        <v>532</v>
      </c>
      <c r="B534" s="14" t="s">
        <v>1295</v>
      </c>
      <c r="C534" s="14" t="s">
        <v>650</v>
      </c>
      <c r="D534" s="14" t="s">
        <v>651</v>
      </c>
      <c r="E534" s="14" t="s">
        <v>7</v>
      </c>
      <c r="F534" s="21" t="s">
        <v>656</v>
      </c>
      <c r="G534" s="21"/>
      <c r="H534" s="27" t="str">
        <f t="shared" si="40"/>
        <v>Price Per Item</v>
      </c>
      <c r="I534" s="231"/>
      <c r="J534" s="27" t="e">
        <f t="shared" si="39"/>
        <v>#VALUE!</v>
      </c>
      <c r="K534" s="242" t="e">
        <f t="shared" si="38"/>
        <v>#VALUE!</v>
      </c>
      <c r="L534" s="98"/>
      <c r="M534" s="99" t="s">
        <v>648</v>
      </c>
      <c r="N534" s="100" t="s">
        <v>649</v>
      </c>
      <c r="O534" s="64"/>
      <c r="P534" s="21"/>
      <c r="Q534" s="2"/>
    </row>
    <row r="535" spans="1:17">
      <c r="A535" s="14">
        <v>533</v>
      </c>
      <c r="B535" s="14" t="s">
        <v>1295</v>
      </c>
      <c r="C535" s="14" t="s">
        <v>650</v>
      </c>
      <c r="D535" s="14" t="s">
        <v>651</v>
      </c>
      <c r="E535" s="14" t="s">
        <v>7</v>
      </c>
      <c r="F535" s="21" t="s">
        <v>657</v>
      </c>
      <c r="G535" s="21"/>
      <c r="H535" s="27">
        <f t="shared" si="40"/>
        <v>0</v>
      </c>
      <c r="I535" s="231"/>
      <c r="J535" s="27">
        <f t="shared" si="39"/>
        <v>0</v>
      </c>
      <c r="K535" s="242">
        <f t="shared" si="38"/>
        <v>0</v>
      </c>
      <c r="L535" s="101"/>
      <c r="M535" s="10">
        <v>3000</v>
      </c>
      <c r="N535" s="102">
        <f t="shared" ref="N535:N552" si="41">L535/M535</f>
        <v>0</v>
      </c>
      <c r="O535" s="64"/>
      <c r="P535" s="21"/>
      <c r="Q535" s="2"/>
    </row>
    <row r="536" spans="1:17">
      <c r="A536" s="14">
        <v>534</v>
      </c>
      <c r="B536" s="14" t="s">
        <v>1295</v>
      </c>
      <c r="C536" s="14" t="s">
        <v>650</v>
      </c>
      <c r="D536" s="14" t="s">
        <v>651</v>
      </c>
      <c r="E536" s="14" t="s">
        <v>7</v>
      </c>
      <c r="F536" s="21" t="s">
        <v>658</v>
      </c>
      <c r="G536" s="21"/>
      <c r="H536" s="27">
        <f t="shared" si="40"/>
        <v>0</v>
      </c>
      <c r="I536" s="231"/>
      <c r="J536" s="27">
        <f t="shared" si="39"/>
        <v>0</v>
      </c>
      <c r="K536" s="242">
        <f t="shared" si="38"/>
        <v>0</v>
      </c>
      <c r="L536" s="101"/>
      <c r="M536" s="10">
        <v>3000</v>
      </c>
      <c r="N536" s="102">
        <f t="shared" si="41"/>
        <v>0</v>
      </c>
      <c r="O536" s="64"/>
      <c r="P536" s="21"/>
      <c r="Q536" s="2"/>
    </row>
    <row r="537" spans="1:17">
      <c r="A537" s="14">
        <v>535</v>
      </c>
      <c r="B537" s="14" t="s">
        <v>1295</v>
      </c>
      <c r="C537" s="14" t="s">
        <v>650</v>
      </c>
      <c r="D537" s="14" t="s">
        <v>651</v>
      </c>
      <c r="E537" s="14" t="s">
        <v>7</v>
      </c>
      <c r="F537" s="21" t="s">
        <v>660</v>
      </c>
      <c r="G537" s="21"/>
      <c r="H537" s="27">
        <f t="shared" si="40"/>
        <v>0</v>
      </c>
      <c r="I537" s="231"/>
      <c r="J537" s="27">
        <f t="shared" si="39"/>
        <v>0</v>
      </c>
      <c r="K537" s="242">
        <f t="shared" si="38"/>
        <v>0</v>
      </c>
      <c r="L537" s="101"/>
      <c r="M537" s="10">
        <v>1000</v>
      </c>
      <c r="N537" s="102">
        <f t="shared" si="41"/>
        <v>0</v>
      </c>
      <c r="O537" s="64"/>
      <c r="P537" s="21"/>
      <c r="Q537" s="2"/>
    </row>
    <row r="538" spans="1:17">
      <c r="A538" s="14">
        <v>536</v>
      </c>
      <c r="B538" s="14" t="s">
        <v>1295</v>
      </c>
      <c r="C538" s="14" t="s">
        <v>650</v>
      </c>
      <c r="D538" s="14" t="s">
        <v>661</v>
      </c>
      <c r="E538" s="14" t="s">
        <v>7</v>
      </c>
      <c r="F538" s="21" t="s">
        <v>662</v>
      </c>
      <c r="G538" s="21"/>
      <c r="H538" s="27">
        <f>N538</f>
        <v>0.30099999999999999</v>
      </c>
      <c r="I538" s="231"/>
      <c r="J538" s="27">
        <f t="shared" si="39"/>
        <v>0.18059999999999998</v>
      </c>
      <c r="K538" s="242">
        <f t="shared" si="38"/>
        <v>0.48159999999999997</v>
      </c>
      <c r="L538" s="101">
        <v>30.1</v>
      </c>
      <c r="M538" s="10">
        <v>100</v>
      </c>
      <c r="N538" s="102">
        <f>L538/M538</f>
        <v>0.30099999999999999</v>
      </c>
      <c r="O538" s="64"/>
      <c r="P538" s="64"/>
      <c r="Q538" s="2"/>
    </row>
    <row r="539" spans="1:17">
      <c r="A539" s="14">
        <v>537</v>
      </c>
      <c r="B539" s="14" t="s">
        <v>1295</v>
      </c>
      <c r="C539" s="14" t="s">
        <v>650</v>
      </c>
      <c r="D539" s="14" t="s">
        <v>661</v>
      </c>
      <c r="E539" s="14" t="s">
        <v>7</v>
      </c>
      <c r="F539" s="21" t="s">
        <v>663</v>
      </c>
      <c r="G539" s="21"/>
      <c r="H539" s="27">
        <f t="shared" si="40"/>
        <v>0.19500000000000001</v>
      </c>
      <c r="I539" s="231"/>
      <c r="J539" s="27">
        <f t="shared" si="39"/>
        <v>0.11699999999999999</v>
      </c>
      <c r="K539" s="242">
        <f t="shared" si="38"/>
        <v>0.312</v>
      </c>
      <c r="L539" s="101">
        <v>19.5</v>
      </c>
      <c r="M539" s="10">
        <v>100</v>
      </c>
      <c r="N539" s="102">
        <f t="shared" si="41"/>
        <v>0.19500000000000001</v>
      </c>
      <c r="O539" s="64"/>
      <c r="P539" s="64"/>
      <c r="Q539" s="2"/>
    </row>
    <row r="540" spans="1:17">
      <c r="A540" s="14">
        <v>538</v>
      </c>
      <c r="B540" s="14" t="s">
        <v>1295</v>
      </c>
      <c r="C540" s="14" t="s">
        <v>650</v>
      </c>
      <c r="D540" s="14" t="s">
        <v>661</v>
      </c>
      <c r="E540" s="14" t="s">
        <v>7</v>
      </c>
      <c r="F540" s="21" t="s">
        <v>664</v>
      </c>
      <c r="G540" s="21"/>
      <c r="H540" s="27">
        <f t="shared" si="40"/>
        <v>2.363</v>
      </c>
      <c r="I540" s="231"/>
      <c r="J540" s="27">
        <f t="shared" si="39"/>
        <v>1.4177999999999999</v>
      </c>
      <c r="K540" s="242">
        <f t="shared" si="38"/>
        <v>3.7808000000000002</v>
      </c>
      <c r="L540" s="101">
        <v>236.3</v>
      </c>
      <c r="M540" s="10">
        <v>100</v>
      </c>
      <c r="N540" s="102">
        <f t="shared" si="41"/>
        <v>2.363</v>
      </c>
      <c r="O540" s="64"/>
      <c r="P540" s="64"/>
      <c r="Q540" s="2"/>
    </row>
    <row r="541" spans="1:17">
      <c r="A541" s="14">
        <v>539</v>
      </c>
      <c r="B541" s="14" t="s">
        <v>1295</v>
      </c>
      <c r="C541" s="14" t="s">
        <v>650</v>
      </c>
      <c r="D541" s="14" t="s">
        <v>665</v>
      </c>
      <c r="E541" s="14" t="s">
        <v>7</v>
      </c>
      <c r="G541" s="80"/>
      <c r="H541" s="27"/>
      <c r="I541" s="231"/>
      <c r="J541" s="27">
        <f t="shared" si="39"/>
        <v>0</v>
      </c>
      <c r="K541" s="242">
        <f t="shared" si="38"/>
        <v>0</v>
      </c>
      <c r="L541" s="101"/>
      <c r="M541" s="10"/>
      <c r="N541" s="102" t="e">
        <f>L541/M541</f>
        <v>#DIV/0!</v>
      </c>
      <c r="O541" s="64" t="s">
        <v>659</v>
      </c>
      <c r="P541" s="64"/>
      <c r="Q541" s="2"/>
    </row>
    <row r="542" spans="1:17">
      <c r="A542" s="14">
        <v>540</v>
      </c>
      <c r="B542" s="14" t="s">
        <v>1295</v>
      </c>
      <c r="C542" s="14" t="s">
        <v>650</v>
      </c>
      <c r="D542" s="14" t="s">
        <v>665</v>
      </c>
      <c r="E542" s="14" t="s">
        <v>7</v>
      </c>
      <c r="F542" s="21" t="s">
        <v>666</v>
      </c>
      <c r="G542" s="21"/>
      <c r="H542" s="27">
        <f t="shared" ref="H542:H547" si="42">N542</f>
        <v>0.4</v>
      </c>
      <c r="I542" s="231"/>
      <c r="J542" s="27">
        <f t="shared" si="39"/>
        <v>0.24</v>
      </c>
      <c r="K542" s="242">
        <f t="shared" si="38"/>
        <v>0.64</v>
      </c>
      <c r="L542" s="250">
        <v>400</v>
      </c>
      <c r="M542" s="252">
        <v>1000</v>
      </c>
      <c r="N542" s="102">
        <f t="shared" si="41"/>
        <v>0.4</v>
      </c>
      <c r="O542" s="64"/>
      <c r="P542" s="64"/>
      <c r="Q542" s="2"/>
    </row>
    <row r="543" spans="1:17">
      <c r="A543" s="14">
        <v>541</v>
      </c>
      <c r="B543" s="14" t="s">
        <v>1295</v>
      </c>
      <c r="C543" s="14" t="s">
        <v>650</v>
      </c>
      <c r="D543" s="14" t="s">
        <v>665</v>
      </c>
      <c r="E543" s="14" t="s">
        <v>7</v>
      </c>
      <c r="F543" s="21" t="s">
        <v>667</v>
      </c>
      <c r="G543" s="21"/>
      <c r="H543" s="27">
        <f t="shared" si="42"/>
        <v>0.20100000000000001</v>
      </c>
      <c r="I543" s="231"/>
      <c r="J543" s="27">
        <f t="shared" si="39"/>
        <v>0.1206</v>
      </c>
      <c r="K543" s="242">
        <f t="shared" si="38"/>
        <v>0.3216</v>
      </c>
      <c r="L543" s="250">
        <v>201</v>
      </c>
      <c r="M543" s="252">
        <v>1000</v>
      </c>
      <c r="N543" s="102">
        <f t="shared" si="41"/>
        <v>0.20100000000000001</v>
      </c>
      <c r="O543" s="64"/>
      <c r="P543" s="64"/>
      <c r="Q543" s="2"/>
    </row>
    <row r="544" spans="1:17">
      <c r="A544" s="14">
        <v>542</v>
      </c>
      <c r="B544" s="14" t="s">
        <v>1295</v>
      </c>
      <c r="C544" s="14" t="s">
        <v>650</v>
      </c>
      <c r="D544" s="14" t="s">
        <v>665</v>
      </c>
      <c r="E544" s="14" t="s">
        <v>7</v>
      </c>
      <c r="F544" s="21" t="s">
        <v>668</v>
      </c>
      <c r="G544" s="21"/>
      <c r="H544" s="27">
        <f t="shared" si="42"/>
        <v>0.20499999999999999</v>
      </c>
      <c r="I544" s="231"/>
      <c r="J544" s="27">
        <f t="shared" si="39"/>
        <v>0.12299999999999998</v>
      </c>
      <c r="K544" s="242">
        <f t="shared" si="38"/>
        <v>0.32799999999999996</v>
      </c>
      <c r="L544" s="250">
        <v>20.5</v>
      </c>
      <c r="M544" s="252">
        <v>100</v>
      </c>
      <c r="N544" s="102">
        <f t="shared" si="41"/>
        <v>0.20499999999999999</v>
      </c>
      <c r="O544" s="64"/>
      <c r="P544" s="64"/>
      <c r="Q544" s="2"/>
    </row>
    <row r="545" spans="1:17">
      <c r="A545" s="14">
        <v>543</v>
      </c>
      <c r="B545" s="14" t="s">
        <v>1295</v>
      </c>
      <c r="C545" s="14" t="s">
        <v>650</v>
      </c>
      <c r="D545" s="14" t="s">
        <v>665</v>
      </c>
      <c r="E545" s="14" t="s">
        <v>7</v>
      </c>
      <c r="F545" s="21" t="s">
        <v>669</v>
      </c>
      <c r="G545" s="21"/>
      <c r="H545" s="27">
        <f t="shared" si="42"/>
        <v>0.3</v>
      </c>
      <c r="I545" s="231"/>
      <c r="J545" s="27">
        <f t="shared" si="39"/>
        <v>0.18</v>
      </c>
      <c r="K545" s="242">
        <f t="shared" ref="K545:K568" si="43">H545+I545+J545</f>
        <v>0.48</v>
      </c>
      <c r="L545" s="251">
        <v>300</v>
      </c>
      <c r="M545" s="252">
        <v>1000</v>
      </c>
      <c r="N545" s="102">
        <f>L545/M545</f>
        <v>0.3</v>
      </c>
      <c r="O545" s="64"/>
      <c r="P545" s="64"/>
      <c r="Q545" s="2"/>
    </row>
    <row r="546" spans="1:17">
      <c r="A546" s="14">
        <v>544</v>
      </c>
      <c r="B546" s="14" t="s">
        <v>1295</v>
      </c>
      <c r="C546" s="14" t="s">
        <v>650</v>
      </c>
      <c r="D546" s="14" t="s">
        <v>665</v>
      </c>
      <c r="E546" s="14" t="s">
        <v>7</v>
      </c>
      <c r="F546" s="21" t="s">
        <v>671</v>
      </c>
      <c r="G546" s="21"/>
      <c r="H546" s="27">
        <f t="shared" si="42"/>
        <v>0</v>
      </c>
      <c r="I546" s="231"/>
      <c r="J546" s="27">
        <f t="shared" si="39"/>
        <v>0</v>
      </c>
      <c r="K546" s="242">
        <f t="shared" si="43"/>
        <v>0</v>
      </c>
      <c r="L546" s="251">
        <v>12.05</v>
      </c>
      <c r="M546" s="252">
        <v>50</v>
      </c>
      <c r="N546" s="102"/>
      <c r="O546" s="64"/>
      <c r="P546" s="64"/>
      <c r="Q546" s="2"/>
    </row>
    <row r="547" spans="1:17">
      <c r="A547" s="14">
        <v>545</v>
      </c>
      <c r="B547" s="14" t="s">
        <v>1295</v>
      </c>
      <c r="C547" s="14" t="s">
        <v>650</v>
      </c>
      <c r="D547" s="14" t="s">
        <v>665</v>
      </c>
      <c r="E547" s="14" t="s">
        <v>7</v>
      </c>
      <c r="F547" s="21" t="s">
        <v>672</v>
      </c>
      <c r="G547" s="21"/>
      <c r="H547" s="27">
        <f t="shared" si="42"/>
        <v>0.22839999999999999</v>
      </c>
      <c r="I547" s="231"/>
      <c r="J547" s="27">
        <f t="shared" si="39"/>
        <v>0.13704</v>
      </c>
      <c r="K547" s="242">
        <f t="shared" si="43"/>
        <v>0.36543999999999999</v>
      </c>
      <c r="L547" s="251">
        <v>11.42</v>
      </c>
      <c r="M547" s="252">
        <v>50</v>
      </c>
      <c r="N547" s="102">
        <f t="shared" si="41"/>
        <v>0.22839999999999999</v>
      </c>
      <c r="O547" s="64"/>
      <c r="P547" s="64"/>
      <c r="Q547" s="2"/>
    </row>
    <row r="548" spans="1:17">
      <c r="A548" s="14">
        <v>546</v>
      </c>
      <c r="B548" s="14" t="s">
        <v>1295</v>
      </c>
      <c r="C548" s="14" t="s">
        <v>650</v>
      </c>
      <c r="D548" s="14" t="s">
        <v>673</v>
      </c>
      <c r="E548" s="14" t="s">
        <v>7</v>
      </c>
      <c r="F548" s="21" t="s">
        <v>674</v>
      </c>
      <c r="G548" s="80"/>
      <c r="H548" s="27">
        <f t="shared" ref="H548:H554" si="44">N548</f>
        <v>0.35200000000000004</v>
      </c>
      <c r="I548" s="232"/>
      <c r="J548" s="27">
        <f t="shared" si="39"/>
        <v>0.21120000000000003</v>
      </c>
      <c r="K548" s="242">
        <f t="shared" si="43"/>
        <v>0.56320000000000003</v>
      </c>
      <c r="L548" s="101">
        <v>35.200000000000003</v>
      </c>
      <c r="M548" s="10">
        <v>100</v>
      </c>
      <c r="N548" s="102">
        <f t="shared" si="41"/>
        <v>0.35200000000000004</v>
      </c>
      <c r="O548" s="64"/>
      <c r="P548" s="64"/>
      <c r="Q548" s="2"/>
    </row>
    <row r="549" spans="1:17">
      <c r="A549" s="14">
        <v>547</v>
      </c>
      <c r="B549" s="14" t="s">
        <v>1295</v>
      </c>
      <c r="C549" s="14" t="s">
        <v>650</v>
      </c>
      <c r="D549" s="14" t="s">
        <v>673</v>
      </c>
      <c r="E549" s="14" t="s">
        <v>7</v>
      </c>
      <c r="F549" s="21" t="s">
        <v>675</v>
      </c>
      <c r="G549" s="21"/>
      <c r="H549" s="27">
        <f t="shared" si="44"/>
        <v>0.39159999999999995</v>
      </c>
      <c r="I549" s="231"/>
      <c r="J549" s="27">
        <f t="shared" si="39"/>
        <v>0.23495999999999995</v>
      </c>
      <c r="K549" s="242">
        <f t="shared" si="43"/>
        <v>0.62655999999999989</v>
      </c>
      <c r="L549" s="101">
        <v>39.159999999999997</v>
      </c>
      <c r="M549" s="10">
        <v>100</v>
      </c>
      <c r="N549" s="102">
        <f t="shared" si="41"/>
        <v>0.39159999999999995</v>
      </c>
      <c r="O549" s="64"/>
      <c r="P549" s="64"/>
      <c r="Q549" s="2"/>
    </row>
    <row r="550" spans="1:17">
      <c r="A550" s="14">
        <v>548</v>
      </c>
      <c r="B550" s="14" t="s">
        <v>1295</v>
      </c>
      <c r="C550" s="14" t="s">
        <v>650</v>
      </c>
      <c r="D550" s="14" t="s">
        <v>673</v>
      </c>
      <c r="E550" s="14" t="s">
        <v>7</v>
      </c>
      <c r="F550" s="21" t="s">
        <v>676</v>
      </c>
      <c r="G550" s="21"/>
      <c r="H550" s="27">
        <f t="shared" si="44"/>
        <v>2.7E-2</v>
      </c>
      <c r="I550" s="231"/>
      <c r="J550" s="27">
        <f t="shared" si="39"/>
        <v>1.6199999999999999E-2</v>
      </c>
      <c r="K550" s="242">
        <f t="shared" si="43"/>
        <v>4.3200000000000002E-2</v>
      </c>
      <c r="L550" s="104">
        <v>27</v>
      </c>
      <c r="M550" s="10">
        <v>1000</v>
      </c>
      <c r="N550" s="102">
        <f t="shared" si="41"/>
        <v>2.7E-2</v>
      </c>
      <c r="O550" s="64" t="s">
        <v>670</v>
      </c>
      <c r="P550" s="64">
        <v>165</v>
      </c>
      <c r="Q550" s="2"/>
    </row>
    <row r="551" spans="1:17">
      <c r="A551" s="14">
        <v>549</v>
      </c>
      <c r="B551" s="14" t="s">
        <v>1295</v>
      </c>
      <c r="C551" s="14" t="s">
        <v>650</v>
      </c>
      <c r="D551" s="14" t="s">
        <v>673</v>
      </c>
      <c r="E551" s="14" t="s">
        <v>7</v>
      </c>
      <c r="F551" s="21" t="s">
        <v>677</v>
      </c>
      <c r="G551" s="21"/>
      <c r="H551" s="27">
        <f t="shared" si="44"/>
        <v>1</v>
      </c>
      <c r="I551" s="231"/>
      <c r="J551" s="27">
        <f t="shared" si="39"/>
        <v>0.6</v>
      </c>
      <c r="K551" s="242">
        <f t="shared" si="43"/>
        <v>1.6</v>
      </c>
      <c r="L551" s="104">
        <v>50</v>
      </c>
      <c r="M551" s="10">
        <v>50</v>
      </c>
      <c r="N551" s="102">
        <f t="shared" si="41"/>
        <v>1</v>
      </c>
      <c r="O551" s="64"/>
      <c r="P551" s="64"/>
      <c r="Q551" s="2"/>
    </row>
    <row r="552" spans="1:17">
      <c r="A552" s="14">
        <v>550</v>
      </c>
      <c r="B552" s="14" t="s">
        <v>1295</v>
      </c>
      <c r="C552" s="14" t="s">
        <v>650</v>
      </c>
      <c r="D552" s="14" t="s">
        <v>673</v>
      </c>
      <c r="E552" s="14" t="s">
        <v>7</v>
      </c>
      <c r="F552" s="21" t="s">
        <v>678</v>
      </c>
      <c r="G552" s="21"/>
      <c r="H552" s="27">
        <f t="shared" si="44"/>
        <v>0.17499999999999999</v>
      </c>
      <c r="I552" s="231"/>
      <c r="J552" s="27">
        <f t="shared" si="39"/>
        <v>0.105</v>
      </c>
      <c r="K552" s="242">
        <f t="shared" si="43"/>
        <v>0.27999999999999997</v>
      </c>
      <c r="L552" s="104">
        <v>35</v>
      </c>
      <c r="M552" s="10">
        <v>200</v>
      </c>
      <c r="N552" s="102">
        <f t="shared" si="41"/>
        <v>0.17499999999999999</v>
      </c>
      <c r="O552" s="64"/>
      <c r="P552" s="64"/>
      <c r="Q552" s="2"/>
    </row>
    <row r="553" spans="1:17">
      <c r="A553" s="14">
        <v>551</v>
      </c>
      <c r="B553" s="14" t="s">
        <v>1295</v>
      </c>
      <c r="C553" s="14" t="s">
        <v>650</v>
      </c>
      <c r="D553" s="14" t="s">
        <v>673</v>
      </c>
      <c r="E553" s="14" t="s">
        <v>7</v>
      </c>
      <c r="F553" s="21" t="s">
        <v>679</v>
      </c>
      <c r="G553" s="21"/>
      <c r="H553" s="27">
        <f t="shared" si="44"/>
        <v>0</v>
      </c>
      <c r="I553" s="231"/>
      <c r="J553" s="27">
        <f t="shared" si="39"/>
        <v>0</v>
      </c>
      <c r="K553" s="242">
        <f t="shared" si="43"/>
        <v>0</v>
      </c>
      <c r="L553" s="105">
        <v>280</v>
      </c>
      <c r="M553" s="105">
        <v>1</v>
      </c>
      <c r="N553" s="106"/>
      <c r="O553" s="64"/>
      <c r="P553" s="21"/>
      <c r="Q553" s="2"/>
    </row>
    <row r="554" spans="1:17">
      <c r="A554" s="14">
        <v>552</v>
      </c>
      <c r="B554" s="14" t="s">
        <v>1295</v>
      </c>
      <c r="C554" s="14" t="s">
        <v>650</v>
      </c>
      <c r="D554" s="14" t="s">
        <v>673</v>
      </c>
      <c r="E554" s="14" t="s">
        <v>7</v>
      </c>
      <c r="F554" s="253" t="s">
        <v>1367</v>
      </c>
      <c r="G554" s="21"/>
      <c r="H554" s="27">
        <f t="shared" si="44"/>
        <v>85.45</v>
      </c>
      <c r="I554" s="231"/>
      <c r="J554" s="27">
        <f t="shared" si="39"/>
        <v>51.27</v>
      </c>
      <c r="K554" s="242">
        <f t="shared" si="43"/>
        <v>136.72</v>
      </c>
      <c r="L554" s="101">
        <v>85.45</v>
      </c>
      <c r="M554" s="10">
        <v>1</v>
      </c>
      <c r="N554" s="102">
        <f t="shared" ref="N554:N559" si="45">L554/M554</f>
        <v>85.45</v>
      </c>
      <c r="O554" s="64"/>
      <c r="P554" s="21"/>
      <c r="Q554" s="2"/>
    </row>
    <row r="555" spans="1:17">
      <c r="A555" s="14">
        <v>553</v>
      </c>
      <c r="B555" s="14" t="s">
        <v>1295</v>
      </c>
      <c r="C555" s="14" t="s">
        <v>650</v>
      </c>
      <c r="D555" s="14" t="s">
        <v>673</v>
      </c>
      <c r="E555" s="14" t="s">
        <v>7</v>
      </c>
      <c r="F555" s="21" t="s">
        <v>680</v>
      </c>
      <c r="G555" s="21"/>
      <c r="H555" s="27">
        <v>1.4</v>
      </c>
      <c r="I555" s="231"/>
      <c r="J555" s="27">
        <f t="shared" si="39"/>
        <v>0.84</v>
      </c>
      <c r="K555" s="242">
        <f t="shared" si="43"/>
        <v>2.2399999999999998</v>
      </c>
      <c r="L555" s="101"/>
      <c r="M555" s="10"/>
      <c r="N555" s="102" t="e">
        <f t="shared" si="45"/>
        <v>#DIV/0!</v>
      </c>
      <c r="O555" s="64"/>
      <c r="P555" s="21"/>
      <c r="Q555" s="2"/>
    </row>
    <row r="556" spans="1:17">
      <c r="A556" s="14">
        <v>554</v>
      </c>
      <c r="B556" s="14" t="s">
        <v>1295</v>
      </c>
      <c r="C556" s="14" t="s">
        <v>650</v>
      </c>
      <c r="D556" s="14" t="s">
        <v>673</v>
      </c>
      <c r="E556" s="14" t="s">
        <v>7</v>
      </c>
      <c r="F556" s="21" t="s">
        <v>682</v>
      </c>
      <c r="G556" s="21"/>
      <c r="H556" s="27">
        <f>N556</f>
        <v>3</v>
      </c>
      <c r="I556" s="231"/>
      <c r="J556" s="27">
        <f t="shared" si="39"/>
        <v>1.7999999999999998</v>
      </c>
      <c r="K556" s="242">
        <f t="shared" si="43"/>
        <v>4.8</v>
      </c>
      <c r="L556" s="101">
        <v>3</v>
      </c>
      <c r="M556" s="10">
        <v>1</v>
      </c>
      <c r="N556" s="102">
        <f t="shared" si="45"/>
        <v>3</v>
      </c>
      <c r="O556" s="64"/>
      <c r="P556" s="64"/>
      <c r="Q556" s="2"/>
    </row>
    <row r="557" spans="1:17">
      <c r="A557" s="14">
        <v>555</v>
      </c>
      <c r="B557" s="14" t="s">
        <v>1295</v>
      </c>
      <c r="C557" s="14" t="s">
        <v>650</v>
      </c>
      <c r="D557" s="14" t="s">
        <v>673</v>
      </c>
      <c r="E557" s="14" t="s">
        <v>7</v>
      </c>
      <c r="F557" s="21" t="s">
        <v>683</v>
      </c>
      <c r="G557" s="21"/>
      <c r="H557" s="27">
        <f>N557</f>
        <v>4.3</v>
      </c>
      <c r="I557" s="231"/>
      <c r="J557" s="27">
        <f t="shared" si="39"/>
        <v>2.5799999999999996</v>
      </c>
      <c r="K557" s="242">
        <f t="shared" si="43"/>
        <v>6.879999999999999</v>
      </c>
      <c r="L557" s="101">
        <v>4.3</v>
      </c>
      <c r="M557" s="10">
        <v>1</v>
      </c>
      <c r="N557" s="102">
        <f t="shared" si="45"/>
        <v>4.3</v>
      </c>
      <c r="O557" s="64"/>
      <c r="P557" s="64"/>
      <c r="Q557" s="2"/>
    </row>
    <row r="558" spans="1:17">
      <c r="A558" s="14">
        <v>556</v>
      </c>
      <c r="B558" s="14" t="s">
        <v>1295</v>
      </c>
      <c r="C558" s="14" t="s">
        <v>650</v>
      </c>
      <c r="D558" s="14" t="s">
        <v>673</v>
      </c>
      <c r="E558" s="14" t="s">
        <v>7</v>
      </c>
      <c r="F558" s="21" t="s">
        <v>684</v>
      </c>
      <c r="G558" s="21"/>
      <c r="H558" s="27">
        <f>N558</f>
        <v>5.3</v>
      </c>
      <c r="I558" s="231"/>
      <c r="J558" s="27">
        <f t="shared" si="39"/>
        <v>3.1799999999999997</v>
      </c>
      <c r="K558" s="242">
        <f t="shared" si="43"/>
        <v>8.48</v>
      </c>
      <c r="L558" s="101">
        <v>106</v>
      </c>
      <c r="M558" s="10">
        <v>20</v>
      </c>
      <c r="N558" s="102">
        <f t="shared" si="45"/>
        <v>5.3</v>
      </c>
      <c r="O558" s="64"/>
      <c r="P558" s="64"/>
      <c r="Q558" s="2"/>
    </row>
    <row r="559" spans="1:17">
      <c r="A559" s="14">
        <v>557</v>
      </c>
      <c r="B559" s="14" t="s">
        <v>1295</v>
      </c>
      <c r="C559" s="14" t="s">
        <v>650</v>
      </c>
      <c r="D559" s="14" t="s">
        <v>673</v>
      </c>
      <c r="E559" s="14" t="s">
        <v>7</v>
      </c>
      <c r="F559" s="21" t="s">
        <v>685</v>
      </c>
      <c r="G559" s="21"/>
      <c r="H559" s="27">
        <f>H558/3</f>
        <v>1.7666666666666666</v>
      </c>
      <c r="I559" s="231"/>
      <c r="J559" s="27">
        <f t="shared" si="39"/>
        <v>1.0599999999999998</v>
      </c>
      <c r="K559" s="242">
        <f t="shared" si="43"/>
        <v>2.8266666666666662</v>
      </c>
      <c r="L559" s="103"/>
      <c r="M559" s="10"/>
      <c r="N559" s="102" t="e">
        <f t="shared" si="45"/>
        <v>#DIV/0!</v>
      </c>
      <c r="O559" s="64"/>
      <c r="P559" s="64"/>
      <c r="Q559" s="2"/>
    </row>
    <row r="560" spans="1:17">
      <c r="A560" s="14">
        <v>558</v>
      </c>
      <c r="B560" s="14" t="s">
        <v>1295</v>
      </c>
      <c r="C560" s="14" t="s">
        <v>650</v>
      </c>
      <c r="D560" s="14" t="s">
        <v>673</v>
      </c>
      <c r="E560" s="14" t="s">
        <v>7</v>
      </c>
      <c r="F560" s="21" t="s">
        <v>686</v>
      </c>
      <c r="G560" s="21"/>
      <c r="H560" s="27">
        <f>N560</f>
        <v>0</v>
      </c>
      <c r="I560" s="231"/>
      <c r="J560" s="27">
        <f t="shared" si="39"/>
        <v>0</v>
      </c>
      <c r="K560" s="242">
        <f t="shared" si="43"/>
        <v>0</v>
      </c>
      <c r="L560" s="103">
        <v>14</v>
      </c>
      <c r="M560" s="10">
        <v>500</v>
      </c>
      <c r="N560" s="102"/>
      <c r="O560" s="21" t="s">
        <v>681</v>
      </c>
      <c r="Q560" s="2"/>
    </row>
    <row r="561" spans="1:17">
      <c r="A561" s="14">
        <v>559</v>
      </c>
      <c r="B561" s="14" t="s">
        <v>1295</v>
      </c>
      <c r="C561" s="14" t="s">
        <v>650</v>
      </c>
      <c r="D561" s="14" t="s">
        <v>673</v>
      </c>
      <c r="E561" s="14" t="s">
        <v>7</v>
      </c>
      <c r="F561" s="21" t="s">
        <v>687</v>
      </c>
      <c r="G561" s="21"/>
      <c r="H561" s="27">
        <f>N561</f>
        <v>1.4500000000000001E-2</v>
      </c>
      <c r="I561" s="231"/>
      <c r="J561" s="27">
        <f t="shared" si="39"/>
        <v>8.6999999999999994E-3</v>
      </c>
      <c r="K561" s="242">
        <f t="shared" si="43"/>
        <v>2.3199999999999998E-2</v>
      </c>
      <c r="L561" s="101">
        <v>14.5</v>
      </c>
      <c r="M561" s="10">
        <v>1000</v>
      </c>
      <c r="N561" s="102">
        <f>L561/M561</f>
        <v>1.4500000000000001E-2</v>
      </c>
      <c r="O561" s="21"/>
      <c r="P561" s="21"/>
      <c r="Q561" s="2"/>
    </row>
    <row r="562" spans="1:17">
      <c r="A562" s="14">
        <v>560</v>
      </c>
      <c r="B562" s="14" t="s">
        <v>1295</v>
      </c>
      <c r="C562" s="14" t="s">
        <v>650</v>
      </c>
      <c r="D562" s="14" t="s">
        <v>673</v>
      </c>
      <c r="E562" s="14" t="s">
        <v>7</v>
      </c>
      <c r="F562" s="21" t="s">
        <v>688</v>
      </c>
      <c r="G562" s="21"/>
      <c r="H562" s="27">
        <v>11.9</v>
      </c>
      <c r="I562" s="231"/>
      <c r="J562" s="27">
        <f t="shared" si="39"/>
        <v>7.14</v>
      </c>
      <c r="K562" s="27">
        <f t="shared" si="43"/>
        <v>19.04</v>
      </c>
      <c r="L562" s="101"/>
      <c r="M562" s="10"/>
      <c r="N562" s="102" t="e">
        <f>L562/M562</f>
        <v>#DIV/0!</v>
      </c>
      <c r="O562" s="64"/>
      <c r="P562" s="64"/>
      <c r="Q562" s="2"/>
    </row>
    <row r="563" spans="1:17">
      <c r="A563" s="14">
        <v>561</v>
      </c>
      <c r="B563" s="14" t="s">
        <v>1295</v>
      </c>
      <c r="C563" s="14" t="s">
        <v>23</v>
      </c>
      <c r="D563" s="14" t="s">
        <v>689</v>
      </c>
      <c r="E563" s="14" t="s">
        <v>7</v>
      </c>
      <c r="F563" s="21" t="s">
        <v>690</v>
      </c>
      <c r="G563" s="21"/>
      <c r="H563" s="27">
        <v>32.5</v>
      </c>
      <c r="I563" s="231"/>
      <c r="J563" s="27">
        <f t="shared" si="39"/>
        <v>19.5</v>
      </c>
      <c r="K563" s="27">
        <f t="shared" si="43"/>
        <v>52</v>
      </c>
      <c r="L563" s="107"/>
      <c r="M563" s="10">
        <v>20</v>
      </c>
      <c r="N563" s="102">
        <f>L563/M563</f>
        <v>0</v>
      </c>
      <c r="O563" s="64"/>
      <c r="P563" s="64"/>
      <c r="Q563" s="2"/>
    </row>
    <row r="564" spans="1:17">
      <c r="A564" s="14">
        <v>562</v>
      </c>
      <c r="B564" s="14" t="s">
        <v>1295</v>
      </c>
      <c r="C564" s="14" t="s">
        <v>23</v>
      </c>
      <c r="D564" s="14" t="s">
        <v>689</v>
      </c>
      <c r="E564" s="14" t="s">
        <v>7</v>
      </c>
      <c r="F564" s="21" t="s">
        <v>691</v>
      </c>
      <c r="G564" s="21"/>
      <c r="H564" s="27">
        <f>N564</f>
        <v>0</v>
      </c>
      <c r="I564" s="231"/>
      <c r="J564" s="27">
        <f t="shared" si="39"/>
        <v>0</v>
      </c>
      <c r="K564" s="242">
        <f t="shared" si="43"/>
        <v>0</v>
      </c>
      <c r="L564" s="101"/>
      <c r="M564" s="10"/>
      <c r="N564" s="102"/>
      <c r="O564" s="64"/>
      <c r="P564" s="64"/>
      <c r="Q564" s="2"/>
    </row>
    <row r="565" spans="1:17">
      <c r="A565" s="14">
        <v>563</v>
      </c>
      <c r="B565" s="14" t="s">
        <v>1295</v>
      </c>
      <c r="C565" s="14" t="s">
        <v>23</v>
      </c>
      <c r="D565" s="14" t="s">
        <v>689</v>
      </c>
      <c r="E565" s="14" t="s">
        <v>7</v>
      </c>
      <c r="F565" s="21" t="s">
        <v>692</v>
      </c>
      <c r="G565" s="21"/>
      <c r="H565" s="27">
        <f>N565</f>
        <v>0</v>
      </c>
      <c r="I565" s="231"/>
      <c r="J565" s="27">
        <f t="shared" si="39"/>
        <v>0</v>
      </c>
      <c r="K565" s="27">
        <f t="shared" si="43"/>
        <v>0</v>
      </c>
      <c r="L565" s="101"/>
      <c r="M565" s="10">
        <v>500</v>
      </c>
      <c r="N565" s="102">
        <f>L565/M565</f>
        <v>0</v>
      </c>
      <c r="O565" s="64"/>
      <c r="P565" s="64"/>
      <c r="Q565" s="2"/>
    </row>
    <row r="566" spans="1:17">
      <c r="A566" s="14">
        <v>564</v>
      </c>
      <c r="B566" s="14" t="s">
        <v>1349</v>
      </c>
      <c r="C566" s="14" t="s">
        <v>23</v>
      </c>
      <c r="D566" s="14" t="s">
        <v>689</v>
      </c>
      <c r="E566" s="14" t="s">
        <v>7</v>
      </c>
      <c r="F566" s="21" t="s">
        <v>693</v>
      </c>
      <c r="G566" s="21"/>
      <c r="H566" s="27">
        <v>80</v>
      </c>
      <c r="I566" s="231"/>
      <c r="J566" s="27">
        <f t="shared" si="39"/>
        <v>48</v>
      </c>
      <c r="K566" s="27">
        <f t="shared" si="43"/>
        <v>128</v>
      </c>
      <c r="L566" s="108"/>
      <c r="M566" s="42">
        <v>1000</v>
      </c>
      <c r="N566" s="109">
        <f>L566/M566</f>
        <v>0</v>
      </c>
      <c r="O566" s="64"/>
      <c r="P566" s="64"/>
      <c r="Q566" s="2"/>
    </row>
    <row r="567" spans="1:17">
      <c r="A567" s="14">
        <v>565</v>
      </c>
      <c r="B567" s="14" t="s">
        <v>1295</v>
      </c>
      <c r="C567" s="14" t="s">
        <v>23</v>
      </c>
      <c r="D567" s="14" t="s">
        <v>689</v>
      </c>
      <c r="E567" s="14" t="s">
        <v>7</v>
      </c>
      <c r="F567" s="21" t="s">
        <v>694</v>
      </c>
      <c r="G567" s="21"/>
      <c r="H567" s="27">
        <v>5.6</v>
      </c>
      <c r="I567" s="231"/>
      <c r="J567" s="27">
        <f t="shared" si="39"/>
        <v>3.36</v>
      </c>
      <c r="K567" s="27">
        <f t="shared" si="43"/>
        <v>8.9599999999999991</v>
      </c>
      <c r="L567" s="2"/>
      <c r="M567" s="21"/>
      <c r="N567" s="64"/>
      <c r="O567" s="64"/>
      <c r="P567" s="64"/>
      <c r="Q567" s="2"/>
    </row>
    <row r="568" spans="1:17">
      <c r="A568" s="14">
        <v>566</v>
      </c>
      <c r="B568" s="14" t="s">
        <v>1295</v>
      </c>
      <c r="C568" s="14" t="s">
        <v>23</v>
      </c>
      <c r="D568" s="14" t="s">
        <v>689</v>
      </c>
      <c r="E568" s="14" t="s">
        <v>7</v>
      </c>
      <c r="F568" s="21"/>
      <c r="G568" s="21"/>
      <c r="H568" s="27"/>
      <c r="I568" s="231"/>
      <c r="J568" s="27">
        <f t="shared" si="39"/>
        <v>0</v>
      </c>
      <c r="K568" s="27">
        <f t="shared" si="43"/>
        <v>0</v>
      </c>
      <c r="L568" s="101"/>
      <c r="M568" s="10">
        <v>1</v>
      </c>
      <c r="N568" s="102">
        <f>L568/M568</f>
        <v>0</v>
      </c>
      <c r="O568" s="64"/>
      <c r="P568" s="64"/>
      <c r="Q568" s="2"/>
    </row>
    <row r="569" spans="1:17">
      <c r="A569" s="14">
        <v>567</v>
      </c>
      <c r="B569" s="14" t="s">
        <v>1295</v>
      </c>
      <c r="C569" s="14" t="s">
        <v>43</v>
      </c>
      <c r="D569" s="14" t="s">
        <v>695</v>
      </c>
      <c r="E569" s="14" t="s">
        <v>7</v>
      </c>
      <c r="G569" s="80"/>
      <c r="H569" s="27"/>
      <c r="I569" s="231"/>
      <c r="J569" s="27">
        <f t="shared" si="39"/>
        <v>0</v>
      </c>
      <c r="K569" s="27"/>
      <c r="L569" s="103"/>
      <c r="M569" s="10">
        <v>1</v>
      </c>
      <c r="N569" s="102">
        <f>L569/M569</f>
        <v>0</v>
      </c>
      <c r="O569" s="64"/>
      <c r="P569" s="64"/>
      <c r="Q569" s="2"/>
    </row>
    <row r="570" spans="1:17">
      <c r="A570" s="14">
        <v>568</v>
      </c>
      <c r="B570" s="14" t="s">
        <v>1295</v>
      </c>
      <c r="C570" s="14" t="s">
        <v>43</v>
      </c>
      <c r="D570" s="14" t="s">
        <v>695</v>
      </c>
      <c r="E570" s="14" t="s">
        <v>7</v>
      </c>
      <c r="F570" s="111"/>
      <c r="G570" s="111"/>
      <c r="H570" s="27"/>
      <c r="I570" s="231"/>
      <c r="J570" s="27">
        <f t="shared" si="39"/>
        <v>0</v>
      </c>
      <c r="K570" s="242"/>
      <c r="L570" s="101"/>
      <c r="M570" s="10">
        <v>1</v>
      </c>
      <c r="N570" s="102">
        <f>L570/M570</f>
        <v>0</v>
      </c>
      <c r="O570" s="64"/>
      <c r="P570" s="64"/>
      <c r="Q570" s="2"/>
    </row>
    <row r="571" spans="1:17">
      <c r="A571" s="14">
        <v>569</v>
      </c>
      <c r="B571" s="14" t="s">
        <v>1295</v>
      </c>
      <c r="C571" s="14" t="s">
        <v>43</v>
      </c>
      <c r="D571" s="14" t="s">
        <v>695</v>
      </c>
      <c r="E571" s="14" t="s">
        <v>7</v>
      </c>
      <c r="F571" s="15" t="s">
        <v>696</v>
      </c>
      <c r="G571" s="15"/>
      <c r="H571" s="27">
        <v>111.75</v>
      </c>
      <c r="I571" s="231"/>
      <c r="J571" s="27">
        <f t="shared" si="39"/>
        <v>67.05</v>
      </c>
      <c r="K571" s="242">
        <f>H571+I571+J571</f>
        <v>178.8</v>
      </c>
      <c r="L571" s="101"/>
      <c r="M571" s="10"/>
      <c r="N571" s="102"/>
      <c r="O571" s="64"/>
      <c r="P571" s="64"/>
      <c r="Q571" s="2"/>
    </row>
    <row r="572" spans="1:17">
      <c r="A572" s="14">
        <v>570</v>
      </c>
      <c r="B572" s="14" t="s">
        <v>1295</v>
      </c>
      <c r="C572" s="14" t="s">
        <v>43</v>
      </c>
      <c r="D572" s="14" t="s">
        <v>695</v>
      </c>
      <c r="E572" s="14" t="s">
        <v>7</v>
      </c>
      <c r="F572" s="15" t="s">
        <v>697</v>
      </c>
      <c r="G572" s="15"/>
      <c r="H572" s="27">
        <v>155.63</v>
      </c>
      <c r="I572" s="231"/>
      <c r="J572" s="27">
        <f t="shared" si="39"/>
        <v>93.378</v>
      </c>
      <c r="K572" s="242">
        <f>H572+I572+J572</f>
        <v>249.00799999999998</v>
      </c>
      <c r="L572" s="101"/>
      <c r="M572" s="10"/>
      <c r="N572" s="102"/>
      <c r="O572" s="64"/>
      <c r="P572" s="64"/>
      <c r="Q572" s="2"/>
    </row>
    <row r="573" spans="1:17">
      <c r="A573" s="14">
        <v>571</v>
      </c>
      <c r="B573" s="14" t="s">
        <v>1295</v>
      </c>
      <c r="C573" s="14" t="s">
        <v>43</v>
      </c>
      <c r="D573" s="14" t="s">
        <v>695</v>
      </c>
      <c r="E573" s="14" t="s">
        <v>7</v>
      </c>
      <c r="F573" s="15" t="s">
        <v>698</v>
      </c>
      <c r="G573" s="15"/>
      <c r="H573" s="27">
        <v>137.63</v>
      </c>
      <c r="I573" s="231"/>
      <c r="J573" s="27">
        <f t="shared" si="39"/>
        <v>82.577999999999989</v>
      </c>
      <c r="K573" s="242">
        <f>H573+I573+J573</f>
        <v>220.20799999999997</v>
      </c>
      <c r="L573" s="103"/>
      <c r="M573" s="10"/>
      <c r="N573" s="102"/>
      <c r="O573" s="64"/>
      <c r="P573" s="64"/>
      <c r="Q573" s="2"/>
    </row>
    <row r="574" spans="1:17">
      <c r="A574" s="14">
        <v>572</v>
      </c>
      <c r="B574" s="14" t="s">
        <v>1295</v>
      </c>
      <c r="C574" s="14" t="s">
        <v>43</v>
      </c>
      <c r="D574" s="14" t="s">
        <v>695</v>
      </c>
      <c r="E574" s="14" t="s">
        <v>7</v>
      </c>
      <c r="F574" s="21" t="s">
        <v>699</v>
      </c>
      <c r="G574" s="21"/>
      <c r="H574" s="27">
        <v>1.62</v>
      </c>
      <c r="I574" s="231"/>
      <c r="J574" s="27">
        <f t="shared" si="39"/>
        <v>0.97199999999999998</v>
      </c>
      <c r="K574" s="27">
        <f>H574+J574</f>
        <v>2.5920000000000001</v>
      </c>
      <c r="L574" s="110"/>
      <c r="M574" s="42"/>
      <c r="N574" s="109"/>
      <c r="O574" s="64"/>
      <c r="P574" s="64"/>
      <c r="Q574" s="2"/>
    </row>
    <row r="575" spans="1:17">
      <c r="A575" s="14">
        <v>573</v>
      </c>
      <c r="B575" s="14" t="s">
        <v>1295</v>
      </c>
      <c r="C575" s="14" t="s">
        <v>43</v>
      </c>
      <c r="D575" s="14" t="s">
        <v>695</v>
      </c>
      <c r="E575" s="14" t="s">
        <v>7</v>
      </c>
      <c r="F575" s="21" t="s">
        <v>700</v>
      </c>
      <c r="G575" s="21"/>
      <c r="H575" s="27">
        <v>132</v>
      </c>
      <c r="I575" s="231"/>
      <c r="J575" s="27">
        <f t="shared" si="39"/>
        <v>79.2</v>
      </c>
      <c r="K575" s="27">
        <f>H575+J575</f>
        <v>211.2</v>
      </c>
      <c r="L575" s="110"/>
      <c r="M575" s="42"/>
      <c r="N575" s="109"/>
      <c r="O575" s="64"/>
      <c r="P575" s="64"/>
      <c r="Q575" s="2"/>
    </row>
    <row r="576" spans="1:17">
      <c r="A576" s="14">
        <v>574</v>
      </c>
      <c r="B576" s="14" t="s">
        <v>1295</v>
      </c>
      <c r="C576" s="14" t="s">
        <v>43</v>
      </c>
      <c r="D576" s="14" t="s">
        <v>695</v>
      </c>
      <c r="E576" s="14" t="s">
        <v>7</v>
      </c>
      <c r="H576" s="27"/>
      <c r="I576" s="231"/>
      <c r="J576" s="27">
        <f t="shared" si="39"/>
        <v>0</v>
      </c>
      <c r="K576" s="27">
        <f>H576+I576</f>
        <v>0</v>
      </c>
      <c r="L576" s="110"/>
      <c r="M576" s="42"/>
      <c r="N576" s="109"/>
      <c r="O576" s="64"/>
      <c r="P576" s="64"/>
      <c r="Q576" s="2"/>
    </row>
    <row r="577" spans="1:17">
      <c r="A577" s="14">
        <v>575</v>
      </c>
      <c r="B577" s="14" t="s">
        <v>1295</v>
      </c>
      <c r="C577" s="14" t="s">
        <v>64</v>
      </c>
      <c r="D577" s="14" t="s">
        <v>65</v>
      </c>
      <c r="E577" s="14" t="s">
        <v>7</v>
      </c>
      <c r="F577" s="21" t="s">
        <v>701</v>
      </c>
      <c r="G577" s="21"/>
      <c r="H577" s="27">
        <v>175</v>
      </c>
      <c r="I577" s="231"/>
      <c r="J577" s="27">
        <f t="shared" si="39"/>
        <v>105</v>
      </c>
      <c r="K577" s="27">
        <f>H577+J577</f>
        <v>280</v>
      </c>
      <c r="L577" s="110"/>
      <c r="M577" s="42"/>
      <c r="N577" s="109"/>
      <c r="O577" s="64"/>
      <c r="P577" s="64"/>
      <c r="Q577" s="2"/>
    </row>
    <row r="578" spans="1:17">
      <c r="A578" s="14">
        <v>576</v>
      </c>
      <c r="B578" s="14" t="s">
        <v>1295</v>
      </c>
      <c r="C578" s="14" t="s">
        <v>64</v>
      </c>
      <c r="D578" s="14" t="s">
        <v>65</v>
      </c>
      <c r="E578" s="14" t="s">
        <v>7</v>
      </c>
      <c r="F578" s="21" t="s">
        <v>702</v>
      </c>
      <c r="G578" s="21"/>
      <c r="H578" s="27">
        <v>5</v>
      </c>
      <c r="I578" s="231"/>
      <c r="J578" s="27">
        <f t="shared" si="39"/>
        <v>3</v>
      </c>
      <c r="K578" s="27">
        <f>H578+J578</f>
        <v>8</v>
      </c>
      <c r="L578" s="110"/>
      <c r="M578" s="42"/>
      <c r="N578" s="109"/>
      <c r="O578" s="64"/>
      <c r="P578" s="64"/>
      <c r="Q578" s="2"/>
    </row>
    <row r="579" spans="1:17">
      <c r="A579" s="14">
        <v>577</v>
      </c>
      <c r="B579" s="14" t="s">
        <v>1295</v>
      </c>
      <c r="C579" s="14" t="s">
        <v>64</v>
      </c>
      <c r="D579" s="14" t="s">
        <v>65</v>
      </c>
      <c r="E579" s="14" t="s">
        <v>7</v>
      </c>
      <c r="F579" s="21" t="s">
        <v>703</v>
      </c>
      <c r="G579" s="21"/>
      <c r="H579" s="27">
        <v>90</v>
      </c>
      <c r="I579" s="231"/>
      <c r="J579" s="27">
        <f t="shared" si="39"/>
        <v>54</v>
      </c>
      <c r="K579" s="27">
        <f>H579+J579</f>
        <v>144</v>
      </c>
      <c r="L579" s="110"/>
      <c r="M579" s="42"/>
      <c r="N579" s="109"/>
      <c r="O579" s="64"/>
      <c r="P579" s="64"/>
      <c r="Q579" s="2"/>
    </row>
    <row r="580" spans="1:17" ht="13.5" thickBot="1">
      <c r="A580" s="14">
        <v>578</v>
      </c>
      <c r="B580" s="14" t="s">
        <v>1295</v>
      </c>
      <c r="C580" s="14" t="s">
        <v>64</v>
      </c>
      <c r="D580" s="14" t="s">
        <v>65</v>
      </c>
      <c r="E580" s="14" t="s">
        <v>7</v>
      </c>
      <c r="F580" s="21" t="s">
        <v>704</v>
      </c>
      <c r="G580" s="21"/>
      <c r="H580" s="27">
        <v>50</v>
      </c>
      <c r="I580" s="231"/>
      <c r="J580" s="27">
        <f t="shared" si="39"/>
        <v>30</v>
      </c>
      <c r="K580" s="27">
        <f t="shared" ref="K580:K586" si="46">H580+I580+J580</f>
        <v>80</v>
      </c>
      <c r="L580" s="112"/>
      <c r="M580" s="113"/>
      <c r="N580" s="114"/>
      <c r="O580" s="64"/>
      <c r="P580" s="64"/>
      <c r="Q580" s="2"/>
    </row>
    <row r="581" spans="1:17" ht="13.5" thickTop="1">
      <c r="A581" s="14">
        <v>579</v>
      </c>
      <c r="B581" s="14" t="s">
        <v>1295</v>
      </c>
      <c r="C581" s="14" t="s">
        <v>64</v>
      </c>
      <c r="D581" s="14" t="s">
        <v>65</v>
      </c>
      <c r="E581" s="14" t="s">
        <v>7</v>
      </c>
      <c r="F581" s="21" t="s">
        <v>705</v>
      </c>
      <c r="G581" s="21"/>
      <c r="H581" s="27">
        <v>25</v>
      </c>
      <c r="I581" s="231"/>
      <c r="J581" s="27">
        <f t="shared" si="39"/>
        <v>15</v>
      </c>
      <c r="K581" s="27">
        <f t="shared" si="46"/>
        <v>40</v>
      </c>
      <c r="L581" s="2"/>
      <c r="M581" s="21"/>
      <c r="N581" s="64"/>
      <c r="O581" s="64"/>
      <c r="P581" s="64"/>
      <c r="Q581" s="2"/>
    </row>
    <row r="582" spans="1:17">
      <c r="A582" s="14">
        <v>580</v>
      </c>
      <c r="B582" s="14" t="s">
        <v>1295</v>
      </c>
      <c r="C582" s="14" t="s">
        <v>64</v>
      </c>
      <c r="D582" s="14" t="s">
        <v>65</v>
      </c>
      <c r="E582" s="14" t="s">
        <v>7</v>
      </c>
      <c r="F582" s="21" t="s">
        <v>706</v>
      </c>
      <c r="G582" s="21"/>
      <c r="H582" s="27">
        <v>50</v>
      </c>
      <c r="I582" s="231"/>
      <c r="J582" s="27">
        <f t="shared" si="39"/>
        <v>30</v>
      </c>
      <c r="K582" s="27">
        <f t="shared" si="46"/>
        <v>80</v>
      </c>
      <c r="L582" s="2"/>
      <c r="M582" s="21"/>
      <c r="N582" s="64"/>
      <c r="O582" s="64"/>
      <c r="P582" s="64"/>
      <c r="Q582" s="2"/>
    </row>
    <row r="583" spans="1:17">
      <c r="A583" s="14">
        <v>581</v>
      </c>
      <c r="B583" s="14" t="s">
        <v>1295</v>
      </c>
      <c r="C583" s="14" t="s">
        <v>922</v>
      </c>
      <c r="D583" s="14" t="s">
        <v>707</v>
      </c>
      <c r="E583" s="14" t="s">
        <v>7</v>
      </c>
      <c r="F583" s="21" t="s">
        <v>708</v>
      </c>
      <c r="G583" s="21"/>
      <c r="H583" s="27">
        <v>14</v>
      </c>
      <c r="I583" s="231"/>
      <c r="J583" s="27">
        <f t="shared" si="39"/>
        <v>8.4</v>
      </c>
      <c r="K583" s="27">
        <f t="shared" si="46"/>
        <v>22.4</v>
      </c>
      <c r="L583" s="2"/>
      <c r="M583" s="21"/>
      <c r="N583" s="64"/>
      <c r="O583" s="64"/>
      <c r="P583" s="64"/>
      <c r="Q583" s="2"/>
    </row>
    <row r="584" spans="1:17">
      <c r="A584" s="14">
        <v>582</v>
      </c>
      <c r="B584" s="14" t="s">
        <v>1295</v>
      </c>
      <c r="C584" s="14" t="s">
        <v>109</v>
      </c>
      <c r="D584" s="14" t="s">
        <v>709</v>
      </c>
      <c r="E584" s="14" t="s">
        <v>7</v>
      </c>
      <c r="F584" s="21" t="s">
        <v>710</v>
      </c>
      <c r="G584" s="21"/>
      <c r="H584" s="27">
        <v>130</v>
      </c>
      <c r="I584" s="231"/>
      <c r="J584" s="27">
        <f t="shared" ref="J584:J647" si="47">H584*$D$6</f>
        <v>78</v>
      </c>
      <c r="K584" s="27">
        <f t="shared" si="46"/>
        <v>208</v>
      </c>
      <c r="L584" s="2"/>
      <c r="M584" s="21"/>
      <c r="N584" s="64"/>
      <c r="O584" s="64"/>
      <c r="P584" s="64"/>
      <c r="Q584" s="2"/>
    </row>
    <row r="585" spans="1:17">
      <c r="A585" s="14">
        <v>583</v>
      </c>
      <c r="B585" s="14" t="s">
        <v>1295</v>
      </c>
      <c r="C585" s="14" t="s">
        <v>109</v>
      </c>
      <c r="D585" s="14" t="s">
        <v>709</v>
      </c>
      <c r="E585" s="14" t="s">
        <v>7</v>
      </c>
      <c r="F585" s="21" t="s">
        <v>711</v>
      </c>
      <c r="G585" s="21"/>
      <c r="H585" s="27">
        <v>110</v>
      </c>
      <c r="I585" s="231"/>
      <c r="J585" s="27">
        <f t="shared" si="47"/>
        <v>66</v>
      </c>
      <c r="K585" s="27">
        <f t="shared" si="46"/>
        <v>176</v>
      </c>
      <c r="L585" s="2"/>
      <c r="M585" s="21"/>
      <c r="N585" s="64"/>
      <c r="O585" s="64"/>
      <c r="P585" s="64"/>
      <c r="Q585" s="2"/>
    </row>
    <row r="586" spans="1:17">
      <c r="A586" s="14">
        <v>584</v>
      </c>
      <c r="B586" s="14" t="s">
        <v>1295</v>
      </c>
      <c r="C586" s="14" t="s">
        <v>109</v>
      </c>
      <c r="D586" s="14" t="s">
        <v>709</v>
      </c>
      <c r="E586" s="14" t="s">
        <v>7</v>
      </c>
      <c r="F586" s="21" t="s">
        <v>712</v>
      </c>
      <c r="G586" s="21"/>
      <c r="H586" s="27">
        <v>80</v>
      </c>
      <c r="I586" s="231"/>
      <c r="J586" s="27">
        <f t="shared" si="47"/>
        <v>48</v>
      </c>
      <c r="K586" s="27">
        <f t="shared" si="46"/>
        <v>128</v>
      </c>
      <c r="L586" s="2"/>
      <c r="M586" s="21"/>
      <c r="N586" s="64"/>
      <c r="O586" s="64"/>
      <c r="P586" s="64"/>
      <c r="Q586" s="2"/>
    </row>
    <row r="587" spans="1:17">
      <c r="A587" s="14">
        <v>586</v>
      </c>
      <c r="B587" s="14" t="s">
        <v>1295</v>
      </c>
      <c r="C587" s="14" t="s">
        <v>713</v>
      </c>
      <c r="D587" s="14" t="s">
        <v>714</v>
      </c>
      <c r="E587" s="14" t="s">
        <v>7</v>
      </c>
      <c r="G587" s="115"/>
      <c r="H587" s="2"/>
      <c r="I587" s="231"/>
      <c r="J587" s="27">
        <f t="shared" si="47"/>
        <v>0</v>
      </c>
      <c r="K587" s="2"/>
      <c r="L587" s="2"/>
      <c r="M587" s="21"/>
      <c r="N587" s="64"/>
      <c r="O587" s="64"/>
      <c r="P587" s="64"/>
      <c r="Q587" s="2"/>
    </row>
    <row r="588" spans="1:17">
      <c r="A588" s="14">
        <v>587</v>
      </c>
      <c r="B588" s="14" t="s">
        <v>1295</v>
      </c>
      <c r="C588" s="14" t="s">
        <v>713</v>
      </c>
      <c r="D588" s="14" t="s">
        <v>714</v>
      </c>
      <c r="E588" s="14" t="s">
        <v>7</v>
      </c>
      <c r="F588" s="21" t="s">
        <v>112</v>
      </c>
      <c r="G588" s="21"/>
      <c r="H588" s="27">
        <v>180</v>
      </c>
      <c r="I588" s="231"/>
      <c r="J588" s="27">
        <f t="shared" si="47"/>
        <v>108</v>
      </c>
      <c r="K588" s="27">
        <f t="shared" ref="K588:K602" si="48">H588+I588+J588</f>
        <v>288</v>
      </c>
      <c r="L588" s="2"/>
      <c r="M588" s="21"/>
      <c r="N588" s="64"/>
      <c r="O588" s="64"/>
      <c r="P588" s="64"/>
      <c r="Q588" s="2"/>
    </row>
    <row r="589" spans="1:17">
      <c r="A589" s="14">
        <v>588</v>
      </c>
      <c r="B589" s="14" t="s">
        <v>1295</v>
      </c>
      <c r="C589" s="14" t="s">
        <v>713</v>
      </c>
      <c r="D589" s="14" t="s">
        <v>714</v>
      </c>
      <c r="E589" s="14" t="s">
        <v>7</v>
      </c>
      <c r="F589" s="21" t="s">
        <v>715</v>
      </c>
      <c r="G589" s="21"/>
      <c r="H589" s="27">
        <v>180</v>
      </c>
      <c r="I589" s="231"/>
      <c r="J589" s="27">
        <f t="shared" si="47"/>
        <v>108</v>
      </c>
      <c r="K589" s="27">
        <f t="shared" si="48"/>
        <v>288</v>
      </c>
      <c r="L589" s="2"/>
      <c r="M589" s="21"/>
      <c r="N589" s="64"/>
      <c r="O589" s="64"/>
      <c r="P589" s="64"/>
      <c r="Q589" s="2"/>
    </row>
    <row r="590" spans="1:17">
      <c r="A590" s="14">
        <v>589</v>
      </c>
      <c r="B590" s="14" t="s">
        <v>1295</v>
      </c>
      <c r="C590" s="14" t="s">
        <v>713</v>
      </c>
      <c r="D590" s="14" t="s">
        <v>714</v>
      </c>
      <c r="E590" s="14" t="s">
        <v>7</v>
      </c>
      <c r="F590" s="21" t="s">
        <v>716</v>
      </c>
      <c r="G590" s="21"/>
      <c r="H590" s="27">
        <v>400</v>
      </c>
      <c r="I590" s="231"/>
      <c r="J590" s="27">
        <f t="shared" si="47"/>
        <v>240</v>
      </c>
      <c r="K590" s="27">
        <f t="shared" si="48"/>
        <v>640</v>
      </c>
      <c r="L590" s="2"/>
      <c r="M590" s="21"/>
      <c r="N590" s="64"/>
      <c r="O590" s="64"/>
      <c r="P590" s="64"/>
      <c r="Q590" s="2"/>
    </row>
    <row r="591" spans="1:17">
      <c r="A591" s="14">
        <v>590</v>
      </c>
      <c r="B591" s="14" t="s">
        <v>1295</v>
      </c>
      <c r="C591" s="14" t="s">
        <v>717</v>
      </c>
      <c r="D591" s="14" t="s">
        <v>718</v>
      </c>
      <c r="E591" s="14" t="s">
        <v>7</v>
      </c>
      <c r="F591" s="21" t="s">
        <v>719</v>
      </c>
      <c r="G591" s="21"/>
      <c r="H591" s="27">
        <v>8.15</v>
      </c>
      <c r="I591" s="231"/>
      <c r="J591" s="27">
        <f t="shared" si="47"/>
        <v>4.8899999999999997</v>
      </c>
      <c r="K591" s="27">
        <f t="shared" si="48"/>
        <v>13.04</v>
      </c>
      <c r="L591" s="2"/>
      <c r="M591" s="21"/>
      <c r="N591" s="64"/>
      <c r="O591" s="64"/>
      <c r="P591" s="64"/>
      <c r="Q591" s="2"/>
    </row>
    <row r="592" spans="1:17">
      <c r="A592" s="14">
        <v>591</v>
      </c>
      <c r="B592" s="14" t="s">
        <v>1295</v>
      </c>
      <c r="C592" s="14" t="s">
        <v>717</v>
      </c>
      <c r="D592" s="14" t="s">
        <v>718</v>
      </c>
      <c r="E592" s="14" t="s">
        <v>7</v>
      </c>
      <c r="F592" s="21" t="s">
        <v>720</v>
      </c>
      <c r="G592" s="21"/>
      <c r="H592" s="27">
        <v>5.79</v>
      </c>
      <c r="I592" s="231"/>
      <c r="J592" s="27">
        <f t="shared" si="47"/>
        <v>3.4739999999999998</v>
      </c>
      <c r="K592" s="27">
        <f t="shared" si="48"/>
        <v>9.2639999999999993</v>
      </c>
      <c r="L592" s="2"/>
      <c r="M592" s="21"/>
      <c r="N592" s="64"/>
      <c r="O592" s="64"/>
      <c r="P592" s="64"/>
      <c r="Q592" s="2"/>
    </row>
    <row r="593" spans="1:17">
      <c r="A593" s="14">
        <v>592</v>
      </c>
      <c r="B593" s="14" t="s">
        <v>1295</v>
      </c>
      <c r="C593" s="14" t="s">
        <v>717</v>
      </c>
      <c r="D593" s="14" t="s">
        <v>718</v>
      </c>
      <c r="E593" s="14" t="s">
        <v>7</v>
      </c>
      <c r="F593" s="21" t="s">
        <v>721</v>
      </c>
      <c r="G593" s="21"/>
      <c r="H593" s="27">
        <v>5.65</v>
      </c>
      <c r="I593" s="231"/>
      <c r="J593" s="27">
        <f t="shared" si="47"/>
        <v>3.39</v>
      </c>
      <c r="K593" s="27">
        <f t="shared" si="48"/>
        <v>9.0400000000000009</v>
      </c>
      <c r="L593" s="2"/>
      <c r="M593" s="21"/>
      <c r="N593" s="64"/>
      <c r="O593" s="64"/>
      <c r="P593" s="64"/>
      <c r="Q593" s="2"/>
    </row>
    <row r="594" spans="1:17">
      <c r="A594" s="14">
        <v>593</v>
      </c>
      <c r="B594" s="14" t="s">
        <v>1295</v>
      </c>
      <c r="C594" s="14" t="s">
        <v>717</v>
      </c>
      <c r="D594" s="14" t="s">
        <v>718</v>
      </c>
      <c r="E594" s="14" t="s">
        <v>7</v>
      </c>
      <c r="F594" s="21" t="s">
        <v>722</v>
      </c>
      <c r="G594" s="21"/>
      <c r="H594" s="27">
        <v>5.4</v>
      </c>
      <c r="I594" s="231"/>
      <c r="J594" s="27">
        <f t="shared" si="47"/>
        <v>3.24</v>
      </c>
      <c r="K594" s="27">
        <f t="shared" si="48"/>
        <v>8.64</v>
      </c>
      <c r="L594" s="2"/>
      <c r="M594" s="21"/>
      <c r="N594" s="64"/>
      <c r="O594" s="64"/>
      <c r="P594" s="64"/>
      <c r="Q594" s="2"/>
    </row>
    <row r="595" spans="1:17">
      <c r="A595" s="14">
        <v>594</v>
      </c>
      <c r="B595" s="14" t="s">
        <v>1295</v>
      </c>
      <c r="C595" s="14" t="s">
        <v>69</v>
      </c>
      <c r="D595" s="14" t="s">
        <v>723</v>
      </c>
      <c r="E595" s="14" t="s">
        <v>7</v>
      </c>
      <c r="F595" s="21" t="s">
        <v>724</v>
      </c>
      <c r="G595" s="21"/>
      <c r="H595" s="27">
        <v>2.23</v>
      </c>
      <c r="I595" s="231"/>
      <c r="J595" s="27">
        <f t="shared" si="47"/>
        <v>1.3379999999999999</v>
      </c>
      <c r="K595" s="27">
        <f t="shared" si="48"/>
        <v>3.5679999999999996</v>
      </c>
      <c r="L595" s="2"/>
      <c r="M595" s="21"/>
      <c r="N595" s="64"/>
      <c r="O595" s="64"/>
      <c r="P595" s="64"/>
      <c r="Q595" s="2"/>
    </row>
    <row r="596" spans="1:17">
      <c r="A596" s="14">
        <v>595</v>
      </c>
      <c r="B596" s="14" t="s">
        <v>1295</v>
      </c>
      <c r="C596" s="14" t="s">
        <v>69</v>
      </c>
      <c r="D596" s="14" t="s">
        <v>723</v>
      </c>
      <c r="E596" s="14" t="s">
        <v>7</v>
      </c>
      <c r="F596" s="116" t="s">
        <v>725</v>
      </c>
      <c r="G596" s="116"/>
      <c r="H596" s="27">
        <v>1.23</v>
      </c>
      <c r="I596" s="231"/>
      <c r="J596" s="27">
        <f t="shared" si="47"/>
        <v>0.73799999999999999</v>
      </c>
      <c r="K596" s="27">
        <f t="shared" si="48"/>
        <v>1.968</v>
      </c>
      <c r="L596" s="2"/>
      <c r="M596" s="21"/>
      <c r="N596" s="64"/>
      <c r="O596" s="64"/>
      <c r="P596" s="64"/>
      <c r="Q596" s="2"/>
    </row>
    <row r="597" spans="1:17">
      <c r="A597" s="14">
        <v>596</v>
      </c>
      <c r="B597" s="14" t="s">
        <v>1295</v>
      </c>
      <c r="C597" s="14" t="s">
        <v>353</v>
      </c>
      <c r="D597" s="14" t="s">
        <v>726</v>
      </c>
      <c r="E597" s="14" t="s">
        <v>7</v>
      </c>
      <c r="F597" s="21" t="s">
        <v>727</v>
      </c>
      <c r="G597" s="21"/>
      <c r="H597" s="27">
        <v>2.67</v>
      </c>
      <c r="I597" s="231"/>
      <c r="J597" s="27">
        <f t="shared" si="47"/>
        <v>1.6019999999999999</v>
      </c>
      <c r="K597" s="27">
        <f t="shared" si="48"/>
        <v>4.2720000000000002</v>
      </c>
      <c r="L597" s="2"/>
      <c r="M597" s="21"/>
      <c r="N597" s="64"/>
      <c r="O597" s="64"/>
      <c r="P597" s="64"/>
      <c r="Q597" s="2"/>
    </row>
    <row r="598" spans="1:17">
      <c r="A598" s="14">
        <v>597</v>
      </c>
      <c r="B598" s="14" t="s">
        <v>1295</v>
      </c>
      <c r="C598" s="14" t="s">
        <v>353</v>
      </c>
      <c r="D598" s="14" t="s">
        <v>726</v>
      </c>
      <c r="E598" s="14" t="s">
        <v>7</v>
      </c>
      <c r="F598" s="21" t="s">
        <v>728</v>
      </c>
      <c r="G598" s="21"/>
      <c r="H598" s="27">
        <v>0.23</v>
      </c>
      <c r="I598" s="231"/>
      <c r="J598" s="27">
        <f t="shared" si="47"/>
        <v>0.13800000000000001</v>
      </c>
      <c r="K598" s="27">
        <f t="shared" si="48"/>
        <v>0.36799999999999999</v>
      </c>
      <c r="L598" s="2"/>
      <c r="M598" s="21"/>
      <c r="N598" s="64"/>
      <c r="O598" s="64"/>
      <c r="P598" s="64"/>
      <c r="Q598" s="2"/>
    </row>
    <row r="599" spans="1:17">
      <c r="A599" s="14">
        <v>598</v>
      </c>
      <c r="B599" s="14" t="s">
        <v>1295</v>
      </c>
      <c r="C599" s="14" t="s">
        <v>353</v>
      </c>
      <c r="D599" s="14" t="s">
        <v>726</v>
      </c>
      <c r="E599" s="14" t="s">
        <v>7</v>
      </c>
      <c r="F599" s="21" t="s">
        <v>729</v>
      </c>
      <c r="G599" s="21"/>
      <c r="H599" s="27">
        <v>0.35</v>
      </c>
      <c r="I599" s="231"/>
      <c r="J599" s="27">
        <f t="shared" si="47"/>
        <v>0.21</v>
      </c>
      <c r="K599" s="27">
        <f t="shared" si="48"/>
        <v>0.55999999999999994</v>
      </c>
      <c r="L599" s="2"/>
      <c r="M599" s="21"/>
      <c r="N599" s="64"/>
      <c r="O599" s="64"/>
      <c r="P599" s="64"/>
      <c r="Q599" s="2"/>
    </row>
    <row r="600" spans="1:17">
      <c r="A600" s="14">
        <v>599</v>
      </c>
      <c r="B600" s="14" t="s">
        <v>1295</v>
      </c>
      <c r="C600" s="14" t="s">
        <v>353</v>
      </c>
      <c r="D600" s="14" t="s">
        <v>726</v>
      </c>
      <c r="E600" s="14" t="s">
        <v>7</v>
      </c>
      <c r="F600" s="21" t="s">
        <v>730</v>
      </c>
      <c r="G600" s="21"/>
      <c r="H600" s="27">
        <v>0.45</v>
      </c>
      <c r="I600" s="231"/>
      <c r="J600" s="27">
        <f t="shared" si="47"/>
        <v>0.27</v>
      </c>
      <c r="K600" s="27">
        <f t="shared" si="48"/>
        <v>0.72</v>
      </c>
      <c r="L600" s="2"/>
      <c r="M600" s="21"/>
      <c r="N600" s="64"/>
      <c r="O600" s="64"/>
      <c r="P600" s="64"/>
      <c r="Q600" s="2"/>
    </row>
    <row r="601" spans="1:17">
      <c r="A601" s="14">
        <v>600</v>
      </c>
      <c r="B601" s="14" t="s">
        <v>1295</v>
      </c>
      <c r="C601" s="14" t="s">
        <v>353</v>
      </c>
      <c r="D601" s="14" t="s">
        <v>726</v>
      </c>
      <c r="E601" s="14" t="s">
        <v>7</v>
      </c>
      <c r="F601" s="21" t="s">
        <v>731</v>
      </c>
      <c r="G601" s="21"/>
      <c r="H601" s="27">
        <v>0.11</v>
      </c>
      <c r="I601" s="231"/>
      <c r="J601" s="27">
        <f t="shared" si="47"/>
        <v>6.6000000000000003E-2</v>
      </c>
      <c r="K601" s="27">
        <f t="shared" si="48"/>
        <v>0.17599999999999999</v>
      </c>
      <c r="L601" s="2"/>
      <c r="M601" s="21"/>
      <c r="N601" s="64"/>
      <c r="O601" s="64"/>
      <c r="P601" s="64"/>
      <c r="Q601" s="2"/>
    </row>
    <row r="602" spans="1:17">
      <c r="A602" s="14">
        <v>601</v>
      </c>
      <c r="B602" s="14" t="s">
        <v>1295</v>
      </c>
      <c r="C602" s="14" t="s">
        <v>353</v>
      </c>
      <c r="D602" s="14" t="s">
        <v>726</v>
      </c>
      <c r="E602" s="14" t="s">
        <v>7</v>
      </c>
      <c r="F602" s="21" t="s">
        <v>732</v>
      </c>
      <c r="G602" s="21"/>
      <c r="H602" s="27">
        <v>1</v>
      </c>
      <c r="I602" s="231"/>
      <c r="J602" s="27">
        <f t="shared" si="47"/>
        <v>0.6</v>
      </c>
      <c r="K602" s="27">
        <f t="shared" si="48"/>
        <v>1.6</v>
      </c>
      <c r="L602" s="2"/>
      <c r="M602" s="21"/>
      <c r="N602" s="64"/>
      <c r="O602" s="64"/>
      <c r="P602" s="64"/>
      <c r="Q602" s="2"/>
    </row>
    <row r="603" spans="1:17">
      <c r="A603" s="14">
        <v>602</v>
      </c>
      <c r="B603" s="14" t="s">
        <v>1295</v>
      </c>
      <c r="C603" s="14" t="s">
        <v>353</v>
      </c>
      <c r="D603" s="14" t="s">
        <v>726</v>
      </c>
      <c r="E603" s="14" t="s">
        <v>7</v>
      </c>
      <c r="F603" s="21" t="s">
        <v>733</v>
      </c>
      <c r="G603" s="21"/>
      <c r="H603" s="27">
        <v>45</v>
      </c>
      <c r="I603" s="231"/>
      <c r="J603" s="27">
        <f t="shared" si="47"/>
        <v>27</v>
      </c>
      <c r="K603" s="27">
        <f>H603++I603+J603</f>
        <v>72</v>
      </c>
      <c r="L603" s="2"/>
      <c r="M603" s="21"/>
      <c r="N603" s="64"/>
      <c r="O603" s="64"/>
      <c r="P603" s="64"/>
      <c r="Q603" s="2"/>
    </row>
    <row r="604" spans="1:17">
      <c r="A604" s="14">
        <v>603</v>
      </c>
      <c r="B604" s="14" t="s">
        <v>1295</v>
      </c>
      <c r="C604" s="14" t="s">
        <v>353</v>
      </c>
      <c r="D604" s="14" t="s">
        <v>726</v>
      </c>
      <c r="E604" s="14" t="s">
        <v>7</v>
      </c>
      <c r="F604" s="21" t="s">
        <v>734</v>
      </c>
      <c r="G604" s="21"/>
      <c r="H604" s="27">
        <v>32</v>
      </c>
      <c r="I604" s="231"/>
      <c r="J604" s="27">
        <f t="shared" si="47"/>
        <v>19.2</v>
      </c>
      <c r="K604" s="27">
        <f t="shared" ref="K604:K613" si="49">H604+I604+J604</f>
        <v>51.2</v>
      </c>
      <c r="L604" s="2"/>
      <c r="M604" s="2"/>
      <c r="N604" s="2"/>
      <c r="O604" s="2"/>
      <c r="P604" s="64"/>
      <c r="Q604" s="2"/>
    </row>
    <row r="605" spans="1:17">
      <c r="A605" s="14">
        <v>604</v>
      </c>
      <c r="B605" s="14" t="s">
        <v>1295</v>
      </c>
      <c r="C605" s="14" t="s">
        <v>353</v>
      </c>
      <c r="D605" s="14" t="s">
        <v>726</v>
      </c>
      <c r="E605" s="14" t="s">
        <v>7</v>
      </c>
      <c r="F605" s="21" t="s">
        <v>735</v>
      </c>
      <c r="G605" s="21"/>
      <c r="H605" s="27">
        <v>24.18</v>
      </c>
      <c r="I605" s="231"/>
      <c r="J605" s="27">
        <f t="shared" si="47"/>
        <v>14.507999999999999</v>
      </c>
      <c r="K605" s="27">
        <f t="shared" si="49"/>
        <v>38.688000000000002</v>
      </c>
      <c r="L605" s="2"/>
      <c r="M605" s="2"/>
      <c r="N605" s="2"/>
      <c r="O605" s="2"/>
      <c r="P605" s="64"/>
      <c r="Q605" s="2"/>
    </row>
    <row r="606" spans="1:17">
      <c r="A606" s="14">
        <v>605</v>
      </c>
      <c r="B606" s="14" t="s">
        <v>1295</v>
      </c>
      <c r="C606" s="14" t="s">
        <v>353</v>
      </c>
      <c r="D606" s="14" t="s">
        <v>726</v>
      </c>
      <c r="E606" s="14" t="s">
        <v>7</v>
      </c>
      <c r="F606" s="21" t="s">
        <v>736</v>
      </c>
      <c r="G606" s="21"/>
      <c r="H606" s="27">
        <v>135</v>
      </c>
      <c r="I606" s="231"/>
      <c r="J606" s="27">
        <f t="shared" si="47"/>
        <v>81</v>
      </c>
      <c r="K606" s="27">
        <f t="shared" si="49"/>
        <v>216</v>
      </c>
      <c r="L606" s="2"/>
      <c r="M606" s="2"/>
      <c r="N606" s="2"/>
      <c r="O606" s="2"/>
      <c r="P606" s="64"/>
      <c r="Q606" s="2"/>
    </row>
    <row r="607" spans="1:17">
      <c r="A607" s="14">
        <v>606</v>
      </c>
      <c r="B607" s="14" t="s">
        <v>1295</v>
      </c>
      <c r="C607" s="14" t="s">
        <v>353</v>
      </c>
      <c r="D607" s="14" t="s">
        <v>726</v>
      </c>
      <c r="E607" s="14" t="s">
        <v>7</v>
      </c>
      <c r="F607" s="21" t="s">
        <v>737</v>
      </c>
      <c r="G607" s="21"/>
      <c r="H607" s="27">
        <v>39</v>
      </c>
      <c r="I607" s="231"/>
      <c r="J607" s="27">
        <f t="shared" si="47"/>
        <v>23.4</v>
      </c>
      <c r="K607" s="27">
        <f t="shared" si="49"/>
        <v>62.4</v>
      </c>
      <c r="L607" s="2"/>
      <c r="M607" s="2"/>
      <c r="N607" s="2"/>
      <c r="O607" s="2"/>
      <c r="P607" s="64"/>
      <c r="Q607" s="2"/>
    </row>
    <row r="608" spans="1:17">
      <c r="A608" s="14">
        <v>607</v>
      </c>
      <c r="B608" s="14" t="s">
        <v>1295</v>
      </c>
      <c r="C608" s="14" t="s">
        <v>353</v>
      </c>
      <c r="D608" s="14" t="s">
        <v>726</v>
      </c>
      <c r="E608" s="14" t="s">
        <v>7</v>
      </c>
      <c r="F608" s="21" t="s">
        <v>738</v>
      </c>
      <c r="G608" s="21"/>
      <c r="H608" s="27">
        <v>39</v>
      </c>
      <c r="I608" s="231"/>
      <c r="J608" s="27">
        <f t="shared" si="47"/>
        <v>23.4</v>
      </c>
      <c r="K608" s="27">
        <f t="shared" si="49"/>
        <v>62.4</v>
      </c>
      <c r="L608" s="35"/>
      <c r="M608" s="21"/>
      <c r="N608" s="64"/>
      <c r="O608" s="64"/>
      <c r="P608" s="64"/>
      <c r="Q608" s="2"/>
    </row>
    <row r="609" spans="1:17">
      <c r="A609" s="14">
        <v>608</v>
      </c>
      <c r="B609" s="14" t="s">
        <v>1295</v>
      </c>
      <c r="C609" s="14" t="s">
        <v>353</v>
      </c>
      <c r="D609" s="14" t="s">
        <v>726</v>
      </c>
      <c r="E609" s="14" t="s">
        <v>7</v>
      </c>
      <c r="F609" s="21" t="s">
        <v>739</v>
      </c>
      <c r="G609" s="21"/>
      <c r="H609" s="27">
        <v>0.2</v>
      </c>
      <c r="I609" s="231"/>
      <c r="J609" s="27">
        <f t="shared" si="47"/>
        <v>0.12</v>
      </c>
      <c r="K609" s="27">
        <f t="shared" si="49"/>
        <v>0.32</v>
      </c>
      <c r="L609" s="35"/>
      <c r="M609" s="21"/>
      <c r="N609" s="64"/>
      <c r="O609" s="64"/>
      <c r="P609" s="64"/>
      <c r="Q609" s="2"/>
    </row>
    <row r="610" spans="1:17">
      <c r="A610" s="14">
        <v>609</v>
      </c>
      <c r="B610" s="14" t="s">
        <v>1295</v>
      </c>
      <c r="C610" s="14" t="s">
        <v>353</v>
      </c>
      <c r="D610" s="14" t="s">
        <v>726</v>
      </c>
      <c r="E610" s="14" t="s">
        <v>7</v>
      </c>
      <c r="F610" s="21"/>
      <c r="G610" s="21"/>
      <c r="H610" s="27"/>
      <c r="I610" s="231"/>
      <c r="J610" s="27">
        <f t="shared" si="47"/>
        <v>0</v>
      </c>
      <c r="K610" s="27">
        <f t="shared" si="49"/>
        <v>0</v>
      </c>
      <c r="L610" s="35"/>
      <c r="M610" s="21"/>
      <c r="N610" s="64"/>
      <c r="O610" s="64"/>
      <c r="P610" s="64"/>
      <c r="Q610" s="2"/>
    </row>
    <row r="611" spans="1:17">
      <c r="A611" s="14">
        <v>610</v>
      </c>
      <c r="B611" s="14" t="s">
        <v>1295</v>
      </c>
      <c r="C611" s="14" t="s">
        <v>113</v>
      </c>
      <c r="D611" s="14" t="s">
        <v>740</v>
      </c>
      <c r="E611" s="14" t="s">
        <v>7</v>
      </c>
      <c r="F611" s="21" t="s">
        <v>741</v>
      </c>
      <c r="G611" s="21"/>
      <c r="H611" s="27">
        <v>44</v>
      </c>
      <c r="I611" s="231"/>
      <c r="J611" s="27">
        <f t="shared" si="47"/>
        <v>26.4</v>
      </c>
      <c r="K611" s="27">
        <f t="shared" si="49"/>
        <v>70.400000000000006</v>
      </c>
      <c r="L611" s="35"/>
      <c r="M611" s="21"/>
      <c r="N611" s="64"/>
      <c r="O611" s="64"/>
      <c r="P611" s="64"/>
      <c r="Q611" s="2"/>
    </row>
    <row r="612" spans="1:17">
      <c r="A612" s="14">
        <v>611</v>
      </c>
      <c r="B612" s="14" t="s">
        <v>1295</v>
      </c>
      <c r="C612" s="14" t="s">
        <v>113</v>
      </c>
      <c r="D612" s="14" t="s">
        <v>740</v>
      </c>
      <c r="E612" s="14" t="s">
        <v>7</v>
      </c>
      <c r="F612" s="21" t="s">
        <v>742</v>
      </c>
      <c r="G612" s="21"/>
      <c r="H612" s="27">
        <v>135</v>
      </c>
      <c r="I612" s="231"/>
      <c r="J612" s="27">
        <f t="shared" si="47"/>
        <v>81</v>
      </c>
      <c r="K612" s="27">
        <f t="shared" si="49"/>
        <v>216</v>
      </c>
      <c r="L612" s="35"/>
      <c r="M612" s="21"/>
      <c r="N612" s="64"/>
      <c r="O612" s="64"/>
      <c r="P612" s="64"/>
      <c r="Q612" s="2"/>
    </row>
    <row r="613" spans="1:17">
      <c r="A613" s="14">
        <v>612</v>
      </c>
      <c r="B613" s="14" t="s">
        <v>1295</v>
      </c>
      <c r="C613" s="14" t="s">
        <v>743</v>
      </c>
      <c r="D613" s="14" t="s">
        <v>744</v>
      </c>
      <c r="E613" s="14" t="s">
        <v>7</v>
      </c>
      <c r="F613" s="21" t="s">
        <v>745</v>
      </c>
      <c r="G613" s="21"/>
      <c r="H613" s="27">
        <v>120</v>
      </c>
      <c r="I613" s="231"/>
      <c r="J613" s="27">
        <f t="shared" si="47"/>
        <v>72</v>
      </c>
      <c r="K613" s="27">
        <f t="shared" si="49"/>
        <v>192</v>
      </c>
      <c r="L613" s="35"/>
      <c r="M613" s="21"/>
      <c r="N613" s="64"/>
      <c r="O613" s="64"/>
      <c r="P613" s="64"/>
      <c r="Q613" s="2"/>
    </row>
    <row r="614" spans="1:17">
      <c r="A614" s="14">
        <v>613</v>
      </c>
      <c r="B614" s="14" t="s">
        <v>1295</v>
      </c>
      <c r="C614" s="14" t="s">
        <v>743</v>
      </c>
      <c r="D614" s="14" t="s">
        <v>744</v>
      </c>
      <c r="E614" s="14" t="s">
        <v>7</v>
      </c>
      <c r="F614" s="21" t="s">
        <v>746</v>
      </c>
      <c r="G614" s="21"/>
      <c r="H614" s="27">
        <v>10.4</v>
      </c>
      <c r="I614" s="231"/>
      <c r="J614" s="27">
        <f t="shared" si="47"/>
        <v>6.24</v>
      </c>
      <c r="L614" s="35"/>
      <c r="M614" s="21"/>
      <c r="N614" s="64"/>
      <c r="O614" s="64"/>
      <c r="P614" s="64"/>
      <c r="Q614" s="2"/>
    </row>
    <row r="615" spans="1:17">
      <c r="A615" s="14">
        <v>614</v>
      </c>
      <c r="B615" s="14" t="s">
        <v>1295</v>
      </c>
      <c r="C615" s="14" t="s">
        <v>743</v>
      </c>
      <c r="D615" s="14" t="s">
        <v>744</v>
      </c>
      <c r="E615" s="14" t="s">
        <v>7</v>
      </c>
      <c r="F615" s="21" t="s">
        <v>747</v>
      </c>
      <c r="G615" s="21"/>
      <c r="H615" s="39">
        <f>H614/25</f>
        <v>0.41600000000000004</v>
      </c>
      <c r="I615" s="232"/>
      <c r="J615" s="27">
        <f t="shared" si="47"/>
        <v>0.24960000000000002</v>
      </c>
      <c r="K615" s="27">
        <f>H615+J615</f>
        <v>0.66560000000000008</v>
      </c>
      <c r="L615" s="35"/>
      <c r="M615" s="21"/>
      <c r="N615" s="64"/>
      <c r="O615" s="64"/>
      <c r="P615" s="64"/>
      <c r="Q615" s="2"/>
    </row>
    <row r="616" spans="1:17">
      <c r="A616" s="14">
        <v>615</v>
      </c>
      <c r="B616" s="14" t="s">
        <v>1295</v>
      </c>
      <c r="C616" s="14" t="s">
        <v>743</v>
      </c>
      <c r="D616" s="14" t="s">
        <v>744</v>
      </c>
      <c r="E616" s="14" t="s">
        <v>7</v>
      </c>
      <c r="F616" s="21" t="s">
        <v>748</v>
      </c>
      <c r="G616" s="21"/>
      <c r="H616" s="27" t="e">
        <f>#REF!/6</f>
        <v>#REF!</v>
      </c>
      <c r="I616" s="231"/>
      <c r="J616" s="27" t="e">
        <f t="shared" si="47"/>
        <v>#REF!</v>
      </c>
      <c r="K616" s="27" t="e">
        <f>H616+I616+J616</f>
        <v>#REF!</v>
      </c>
      <c r="L616" s="35"/>
      <c r="M616" s="21"/>
      <c r="N616" s="64"/>
      <c r="O616" s="64"/>
      <c r="P616" s="64"/>
      <c r="Q616" s="2"/>
    </row>
    <row r="617" spans="1:17">
      <c r="A617" s="14">
        <v>616</v>
      </c>
      <c r="B617" s="14" t="s">
        <v>1295</v>
      </c>
      <c r="C617" s="14" t="s">
        <v>113</v>
      </c>
      <c r="D617" s="14" t="s">
        <v>749</v>
      </c>
      <c r="E617" s="14" t="s">
        <v>7</v>
      </c>
      <c r="F617" s="118" t="s">
        <v>115</v>
      </c>
      <c r="G617" s="118"/>
      <c r="H617" s="27">
        <f>25.86</f>
        <v>25.86</v>
      </c>
      <c r="I617" s="231"/>
      <c r="J617" s="27">
        <f t="shared" si="47"/>
        <v>15.515999999999998</v>
      </c>
      <c r="K617" s="27">
        <f>H617+I617+J617</f>
        <v>41.375999999999998</v>
      </c>
      <c r="L617" s="2"/>
      <c r="M617" s="21"/>
      <c r="N617" s="21"/>
      <c r="O617" s="21"/>
      <c r="P617" s="21"/>
      <c r="Q617" s="2"/>
    </row>
    <row r="618" spans="1:17">
      <c r="A618" s="14">
        <v>617</v>
      </c>
      <c r="B618" s="14" t="s">
        <v>1295</v>
      </c>
      <c r="C618" s="14" t="s">
        <v>113</v>
      </c>
      <c r="D618" s="14" t="s">
        <v>749</v>
      </c>
      <c r="E618" s="14" t="s">
        <v>7</v>
      </c>
      <c r="F618" s="21"/>
      <c r="G618" s="21"/>
      <c r="H618" s="27"/>
      <c r="I618" s="231"/>
      <c r="J618" s="27">
        <f t="shared" si="47"/>
        <v>0</v>
      </c>
      <c r="K618" s="27"/>
      <c r="L618" s="2"/>
      <c r="M618" s="21"/>
      <c r="N618" s="21"/>
      <c r="O618" s="21"/>
      <c r="P618" s="21"/>
      <c r="Q618" s="2"/>
    </row>
    <row r="619" spans="1:17">
      <c r="A619" s="14">
        <v>618</v>
      </c>
      <c r="B619" s="14" t="s">
        <v>1295</v>
      </c>
      <c r="C619" s="14" t="s">
        <v>113</v>
      </c>
      <c r="D619" s="14" t="s">
        <v>749</v>
      </c>
      <c r="E619" s="14" t="s">
        <v>7</v>
      </c>
      <c r="F619" s="21" t="s">
        <v>751</v>
      </c>
      <c r="G619" s="21"/>
      <c r="H619" s="27">
        <v>1.68</v>
      </c>
      <c r="I619" s="231"/>
      <c r="J619" s="27">
        <f t="shared" si="47"/>
        <v>1.008</v>
      </c>
      <c r="K619" s="27">
        <f>H619+I619+J619</f>
        <v>2.6879999999999997</v>
      </c>
      <c r="L619" s="2"/>
      <c r="M619" s="21"/>
      <c r="N619" s="21"/>
      <c r="O619" s="21"/>
      <c r="P619" s="21"/>
      <c r="Q619" s="2"/>
    </row>
    <row r="620" spans="1:17">
      <c r="A620" s="14">
        <v>619</v>
      </c>
      <c r="B620" s="14" t="s">
        <v>1295</v>
      </c>
      <c r="C620" s="14" t="s">
        <v>113</v>
      </c>
      <c r="D620" s="14" t="s">
        <v>749</v>
      </c>
      <c r="E620" s="14" t="s">
        <v>7</v>
      </c>
      <c r="F620" s="30" t="s">
        <v>752</v>
      </c>
      <c r="G620" s="80"/>
      <c r="H620" s="27"/>
      <c r="I620" s="231"/>
      <c r="J620" s="27">
        <f t="shared" si="47"/>
        <v>0</v>
      </c>
      <c r="K620" s="27"/>
      <c r="L620" s="67"/>
      <c r="M620" s="21"/>
      <c r="N620" s="21"/>
      <c r="O620" s="21"/>
      <c r="P620" s="21"/>
      <c r="Q620" s="2"/>
    </row>
    <row r="621" spans="1:17">
      <c r="A621" s="14">
        <v>620</v>
      </c>
      <c r="B621" s="14" t="s">
        <v>1295</v>
      </c>
      <c r="C621" s="14" t="s">
        <v>113</v>
      </c>
      <c r="D621" s="14" t="s">
        <v>749</v>
      </c>
      <c r="E621" s="14" t="s">
        <v>7</v>
      </c>
      <c r="F621" s="119" t="s">
        <v>753</v>
      </c>
      <c r="G621" s="119"/>
      <c r="H621" s="4"/>
      <c r="I621" s="240"/>
      <c r="J621" s="27">
        <f t="shared" si="47"/>
        <v>0</v>
      </c>
      <c r="K621" s="241">
        <v>2500</v>
      </c>
      <c r="L621" s="2"/>
      <c r="M621" s="21"/>
      <c r="N621" s="21"/>
      <c r="O621" s="21"/>
      <c r="P621" s="21"/>
      <c r="Q621" s="2"/>
    </row>
    <row r="622" spans="1:17">
      <c r="A622" s="14">
        <v>621</v>
      </c>
      <c r="B622" s="14" t="s">
        <v>1295</v>
      </c>
      <c r="C622" s="14" t="s">
        <v>99</v>
      </c>
      <c r="D622" s="14" t="s">
        <v>754</v>
      </c>
      <c r="E622" s="14" t="s">
        <v>7</v>
      </c>
      <c r="F622" s="21" t="s">
        <v>100</v>
      </c>
      <c r="G622" s="21"/>
      <c r="H622" s="27">
        <v>65</v>
      </c>
      <c r="I622" s="231"/>
      <c r="J622" s="27">
        <f t="shared" si="47"/>
        <v>39</v>
      </c>
      <c r="K622" s="27">
        <f>H622+I622+J622</f>
        <v>104</v>
      </c>
      <c r="L622" s="117"/>
      <c r="M622" s="21"/>
      <c r="N622" s="21"/>
      <c r="O622" s="21"/>
      <c r="P622" s="21"/>
      <c r="Q622" s="2"/>
    </row>
    <row r="623" spans="1:17">
      <c r="A623" s="14">
        <v>622</v>
      </c>
      <c r="B623" s="14" t="s">
        <v>1295</v>
      </c>
      <c r="C623" s="14" t="s">
        <v>99</v>
      </c>
      <c r="D623" s="14" t="s">
        <v>754</v>
      </c>
      <c r="E623" s="14" t="s">
        <v>7</v>
      </c>
      <c r="F623" s="21" t="s">
        <v>755</v>
      </c>
      <c r="G623" s="21"/>
      <c r="H623" s="27">
        <v>40</v>
      </c>
      <c r="I623" s="231"/>
      <c r="J623" s="27">
        <f t="shared" si="47"/>
        <v>24</v>
      </c>
      <c r="K623" s="27">
        <f>H623+I623+J623</f>
        <v>64</v>
      </c>
      <c r="L623" s="117"/>
      <c r="M623" s="21"/>
      <c r="N623" s="21"/>
      <c r="O623" s="21"/>
      <c r="P623" s="21"/>
      <c r="Q623" s="2"/>
    </row>
    <row r="624" spans="1:17">
      <c r="A624" s="14">
        <v>623</v>
      </c>
      <c r="B624" s="14" t="s">
        <v>1295</v>
      </c>
      <c r="C624" s="14" t="s">
        <v>99</v>
      </c>
      <c r="D624" s="14" t="s">
        <v>754</v>
      </c>
      <c r="E624" s="14" t="s">
        <v>7</v>
      </c>
      <c r="F624" s="21" t="s">
        <v>756</v>
      </c>
      <c r="G624" s="21"/>
      <c r="H624" s="27">
        <v>45</v>
      </c>
      <c r="I624" s="231"/>
      <c r="J624" s="27">
        <f t="shared" si="47"/>
        <v>27</v>
      </c>
      <c r="K624" s="27">
        <f>H624+I624+J624</f>
        <v>72</v>
      </c>
      <c r="L624" s="117"/>
      <c r="M624" s="21"/>
      <c r="N624" s="21" t="s">
        <v>750</v>
      </c>
      <c r="O624" s="21"/>
      <c r="P624" s="21"/>
      <c r="Q624" s="2"/>
    </row>
    <row r="625" spans="1:17">
      <c r="A625" s="14">
        <v>624</v>
      </c>
      <c r="B625" s="14" t="s">
        <v>1349</v>
      </c>
      <c r="C625" s="14" t="s">
        <v>99</v>
      </c>
      <c r="D625" s="14" t="s">
        <v>754</v>
      </c>
      <c r="E625" s="14" t="s">
        <v>7</v>
      </c>
      <c r="F625" s="21" t="s">
        <v>1316</v>
      </c>
      <c r="G625" s="21"/>
      <c r="H625" s="27">
        <v>1500</v>
      </c>
      <c r="I625" s="231"/>
      <c r="J625" s="27">
        <f t="shared" si="47"/>
        <v>900</v>
      </c>
      <c r="K625" s="27">
        <f>H625+I625+J625</f>
        <v>2400</v>
      </c>
      <c r="L625" s="2"/>
      <c r="M625" s="21"/>
      <c r="N625" s="21"/>
      <c r="O625" s="21"/>
      <c r="P625" s="21"/>
      <c r="Q625" s="2"/>
    </row>
    <row r="626" spans="1:17">
      <c r="A626" s="14">
        <v>625</v>
      </c>
      <c r="B626" s="14" t="s">
        <v>1349</v>
      </c>
      <c r="C626" s="14" t="s">
        <v>98</v>
      </c>
      <c r="D626" s="14" t="s">
        <v>757</v>
      </c>
      <c r="E626" s="14" t="s">
        <v>10</v>
      </c>
      <c r="F626" s="21" t="s">
        <v>757</v>
      </c>
      <c r="G626" s="30"/>
      <c r="H626" s="27" t="s">
        <v>758</v>
      </c>
      <c r="I626" s="231"/>
      <c r="J626" s="21" t="e">
        <f t="shared" si="47"/>
        <v>#VALUE!</v>
      </c>
      <c r="K626" s="28">
        <v>0.5</v>
      </c>
      <c r="L626" s="2"/>
      <c r="M626" s="21"/>
      <c r="N626" s="64"/>
      <c r="O626" s="64"/>
      <c r="P626" s="64"/>
      <c r="Q626" s="2"/>
    </row>
    <row r="627" spans="1:17">
      <c r="A627" s="14">
        <v>626</v>
      </c>
      <c r="B627" s="14" t="s">
        <v>1349</v>
      </c>
      <c r="C627" s="14" t="s">
        <v>98</v>
      </c>
      <c r="D627" s="14" t="s">
        <v>757</v>
      </c>
      <c r="E627" s="14" t="s">
        <v>10</v>
      </c>
      <c r="F627" s="21" t="s">
        <v>762</v>
      </c>
      <c r="G627" s="21"/>
      <c r="H627" s="27">
        <v>120</v>
      </c>
      <c r="I627" s="231"/>
      <c r="J627" s="27">
        <f t="shared" si="47"/>
        <v>72</v>
      </c>
      <c r="K627" s="27">
        <f>H627+J627/40</f>
        <v>121.8</v>
      </c>
      <c r="L627" s="2"/>
      <c r="M627" s="21"/>
      <c r="N627" s="64"/>
      <c r="O627" s="64"/>
      <c r="P627" s="64"/>
      <c r="Q627" s="2"/>
    </row>
    <row r="628" spans="1:17">
      <c r="A628" s="14">
        <v>627</v>
      </c>
      <c r="B628" s="14" t="s">
        <v>1349</v>
      </c>
      <c r="C628" s="14" t="s">
        <v>98</v>
      </c>
      <c r="D628" s="14" t="s">
        <v>757</v>
      </c>
      <c r="E628" s="14" t="s">
        <v>10</v>
      </c>
      <c r="F628" s="21"/>
      <c r="G628" s="21"/>
      <c r="H628" s="234" t="s">
        <v>763</v>
      </c>
      <c r="I628" s="235"/>
      <c r="J628" s="21" t="e">
        <f t="shared" si="47"/>
        <v>#VALUE!</v>
      </c>
      <c r="K628" s="234" t="s">
        <v>764</v>
      </c>
      <c r="L628" s="4"/>
      <c r="M628" s="21"/>
      <c r="N628" s="64"/>
      <c r="O628" s="21"/>
      <c r="P628" s="64"/>
      <c r="Q628" s="2"/>
    </row>
    <row r="629" spans="1:17">
      <c r="A629" s="14">
        <v>628</v>
      </c>
      <c r="B629" s="14" t="s">
        <v>1349</v>
      </c>
      <c r="C629" s="14" t="s">
        <v>98</v>
      </c>
      <c r="D629" s="14" t="s">
        <v>757</v>
      </c>
      <c r="E629" s="14" t="s">
        <v>10</v>
      </c>
      <c r="F629" s="21" t="s">
        <v>765</v>
      </c>
      <c r="G629" s="21"/>
      <c r="H629" s="27">
        <v>55</v>
      </c>
      <c r="I629" s="231"/>
      <c r="J629" s="27">
        <f t="shared" si="47"/>
        <v>33</v>
      </c>
      <c r="K629" s="27">
        <f>H629+J629/8</f>
        <v>59.125</v>
      </c>
      <c r="L629" s="4"/>
      <c r="M629" s="21"/>
      <c r="N629" s="64"/>
      <c r="O629" s="21"/>
      <c r="P629" s="64"/>
      <c r="Q629" s="2"/>
    </row>
    <row r="630" spans="1:17">
      <c r="A630" s="14">
        <v>629</v>
      </c>
      <c r="B630" s="14" t="s">
        <v>1349</v>
      </c>
      <c r="C630" s="14" t="s">
        <v>98</v>
      </c>
      <c r="D630" s="14" t="s">
        <v>757</v>
      </c>
      <c r="E630" s="14" t="s">
        <v>10</v>
      </c>
      <c r="F630" s="21"/>
      <c r="G630" s="21"/>
      <c r="H630" s="27"/>
      <c r="I630" s="231"/>
      <c r="J630" s="27">
        <f t="shared" si="47"/>
        <v>0</v>
      </c>
      <c r="K630" s="27"/>
      <c r="L630" s="4"/>
      <c r="M630" s="21"/>
      <c r="N630" s="64"/>
      <c r="O630" s="21"/>
      <c r="P630" s="64"/>
      <c r="Q630" s="2"/>
    </row>
    <row r="631" spans="1:17">
      <c r="A631" s="14">
        <v>630</v>
      </c>
      <c r="B631" s="14" t="s">
        <v>1349</v>
      </c>
      <c r="C631" s="14" t="s">
        <v>98</v>
      </c>
      <c r="D631" s="14" t="s">
        <v>757</v>
      </c>
      <c r="E631" s="14" t="s">
        <v>10</v>
      </c>
      <c r="F631" s="21" t="s">
        <v>766</v>
      </c>
      <c r="G631" s="21"/>
      <c r="H631" s="27">
        <v>37.5</v>
      </c>
      <c r="I631" s="231"/>
      <c r="J631" s="27">
        <f t="shared" si="47"/>
        <v>22.5</v>
      </c>
      <c r="K631" s="27">
        <f>I631+H631+J631</f>
        <v>60</v>
      </c>
      <c r="L631" s="4"/>
      <c r="M631" s="21"/>
      <c r="N631" s="64"/>
      <c r="O631" s="21"/>
      <c r="P631" s="64"/>
      <c r="Q631" s="2"/>
    </row>
    <row r="632" spans="1:17" ht="13.5" thickBot="1">
      <c r="A632" s="14">
        <v>631</v>
      </c>
      <c r="B632" s="14" t="s">
        <v>1349</v>
      </c>
      <c r="C632" s="14" t="s">
        <v>98</v>
      </c>
      <c r="D632" s="14" t="s">
        <v>757</v>
      </c>
      <c r="E632" s="14" t="s">
        <v>10</v>
      </c>
      <c r="F632" s="21"/>
      <c r="G632" s="21"/>
      <c r="H632" s="234" t="s">
        <v>767</v>
      </c>
      <c r="I632" s="235"/>
      <c r="J632" s="21" t="e">
        <f t="shared" si="47"/>
        <v>#VALUE!</v>
      </c>
      <c r="K632" s="234" t="s">
        <v>118</v>
      </c>
      <c r="L632" s="4"/>
      <c r="M632" s="21"/>
      <c r="N632" s="64"/>
      <c r="O632" s="21"/>
      <c r="P632" s="64"/>
      <c r="Q632" s="2"/>
    </row>
    <row r="633" spans="1:17" ht="14.25" thickTop="1" thickBot="1">
      <c r="A633" s="14">
        <v>632</v>
      </c>
      <c r="B633" s="14" t="s">
        <v>1349</v>
      </c>
      <c r="C633" s="14" t="s">
        <v>98</v>
      </c>
      <c r="D633" s="14" t="s">
        <v>757</v>
      </c>
      <c r="E633" s="14" t="s">
        <v>10</v>
      </c>
      <c r="F633" s="21" t="s">
        <v>768</v>
      </c>
      <c r="G633" s="21"/>
      <c r="H633" s="27" t="str">
        <f t="shared" ref="H633:H643" si="50">O633</f>
        <v>per minute</v>
      </c>
      <c r="I633" s="231"/>
      <c r="J633" s="27" t="e">
        <f t="shared" si="47"/>
        <v>#VALUE!</v>
      </c>
      <c r="K633" s="27" t="e">
        <f t="shared" ref="K633:K663" si="51">H633+I633+J633</f>
        <v>#VALUE!</v>
      </c>
      <c r="L633" s="120"/>
      <c r="M633" s="46"/>
      <c r="N633" s="121" t="s">
        <v>759</v>
      </c>
      <c r="O633" s="121" t="s">
        <v>760</v>
      </c>
      <c r="P633" s="282" t="s">
        <v>761</v>
      </c>
      <c r="Q633" s="2"/>
    </row>
    <row r="634" spans="1:17" ht="13.5" thickTop="1">
      <c r="A634" s="14">
        <v>633</v>
      </c>
      <c r="B634" s="14" t="s">
        <v>1349</v>
      </c>
      <c r="C634" s="14" t="s">
        <v>98</v>
      </c>
      <c r="D634" s="14" t="s">
        <v>757</v>
      </c>
      <c r="E634" s="14" t="s">
        <v>10</v>
      </c>
      <c r="F634" s="21" t="s">
        <v>769</v>
      </c>
      <c r="G634" s="21"/>
      <c r="H634" s="27">
        <f t="shared" si="50"/>
        <v>0.91666666666666663</v>
      </c>
      <c r="I634" s="231"/>
      <c r="J634" s="27">
        <f t="shared" si="47"/>
        <v>0.54999999999999993</v>
      </c>
      <c r="K634" s="27">
        <f t="shared" si="51"/>
        <v>1.4666666666666666</v>
      </c>
      <c r="L634" s="45"/>
      <c r="M634" s="10"/>
      <c r="N634" s="123">
        <v>55</v>
      </c>
      <c r="O634" s="124">
        <f>N634/60</f>
        <v>0.91666666666666663</v>
      </c>
      <c r="P634" s="283"/>
      <c r="Q634" s="2"/>
    </row>
    <row r="635" spans="1:17">
      <c r="A635" s="14">
        <v>634</v>
      </c>
      <c r="B635" s="14" t="s">
        <v>1349</v>
      </c>
      <c r="C635" s="14" t="s">
        <v>98</v>
      </c>
      <c r="D635" s="14" t="s">
        <v>757</v>
      </c>
      <c r="E635" s="14" t="s">
        <v>10</v>
      </c>
      <c r="F635" s="21" t="s">
        <v>770</v>
      </c>
      <c r="G635" s="21"/>
      <c r="H635" s="27">
        <f t="shared" si="50"/>
        <v>0</v>
      </c>
      <c r="I635" s="231"/>
      <c r="J635" s="27">
        <f t="shared" si="47"/>
        <v>0</v>
      </c>
      <c r="K635" s="27">
        <f t="shared" si="51"/>
        <v>0</v>
      </c>
      <c r="L635" s="45"/>
      <c r="M635" s="10"/>
      <c r="N635" s="23"/>
      <c r="O635" s="23"/>
      <c r="P635" s="125"/>
      <c r="Q635" s="2"/>
    </row>
    <row r="636" spans="1:17">
      <c r="A636" s="14">
        <v>635</v>
      </c>
      <c r="B636" s="14" t="s">
        <v>1349</v>
      </c>
      <c r="C636" s="14" t="s">
        <v>98</v>
      </c>
      <c r="D636" s="14" t="s">
        <v>757</v>
      </c>
      <c r="E636" s="14" t="s">
        <v>10</v>
      </c>
      <c r="F636" s="21" t="s">
        <v>771</v>
      </c>
      <c r="G636" s="21"/>
      <c r="H636" s="27">
        <f t="shared" si="50"/>
        <v>0</v>
      </c>
      <c r="I636" s="231"/>
      <c r="J636" s="27">
        <f t="shared" si="47"/>
        <v>0</v>
      </c>
      <c r="K636" s="27">
        <f t="shared" si="51"/>
        <v>0</v>
      </c>
      <c r="L636" s="45"/>
      <c r="M636" s="10"/>
      <c r="N636" s="23"/>
      <c r="O636" s="23"/>
      <c r="P636" s="125"/>
      <c r="Q636" s="2"/>
    </row>
    <row r="637" spans="1:17">
      <c r="A637" s="14">
        <v>636</v>
      </c>
      <c r="B637" s="14" t="s">
        <v>1349</v>
      </c>
      <c r="C637" s="14" t="s">
        <v>98</v>
      </c>
      <c r="D637" s="14" t="s">
        <v>757</v>
      </c>
      <c r="E637" s="14" t="s">
        <v>10</v>
      </c>
      <c r="F637" s="21" t="s">
        <v>772</v>
      </c>
      <c r="G637" s="21"/>
      <c r="H637" s="27">
        <f t="shared" si="50"/>
        <v>0</v>
      </c>
      <c r="I637" s="231"/>
      <c r="J637" s="27">
        <f t="shared" si="47"/>
        <v>0</v>
      </c>
      <c r="K637" s="27">
        <f t="shared" si="51"/>
        <v>0</v>
      </c>
      <c r="L637" s="45"/>
      <c r="M637" s="10"/>
      <c r="N637" s="23"/>
      <c r="O637" s="23"/>
      <c r="P637" s="125"/>
      <c r="Q637" s="2"/>
    </row>
    <row r="638" spans="1:17">
      <c r="A638" s="14">
        <v>637</v>
      </c>
      <c r="B638" s="14" t="s">
        <v>1349</v>
      </c>
      <c r="C638" s="14" t="s">
        <v>98</v>
      </c>
      <c r="D638" s="14" t="s">
        <v>757</v>
      </c>
      <c r="E638" s="14" t="s">
        <v>10</v>
      </c>
      <c r="F638" s="21" t="s">
        <v>773</v>
      </c>
      <c r="G638" s="21"/>
      <c r="H638" s="27">
        <f t="shared" si="50"/>
        <v>0</v>
      </c>
      <c r="I638" s="231"/>
      <c r="J638" s="27">
        <f t="shared" si="47"/>
        <v>0</v>
      </c>
      <c r="K638" s="27">
        <f t="shared" si="51"/>
        <v>0</v>
      </c>
      <c r="L638" s="45"/>
      <c r="M638" s="10"/>
      <c r="N638" s="23"/>
      <c r="O638" s="23"/>
      <c r="P638" s="125"/>
      <c r="Q638" s="2"/>
    </row>
    <row r="639" spans="1:17">
      <c r="A639" s="14">
        <v>638</v>
      </c>
      <c r="B639" s="14" t="s">
        <v>1349</v>
      </c>
      <c r="C639" s="14" t="s">
        <v>98</v>
      </c>
      <c r="D639" s="14" t="s">
        <v>757</v>
      </c>
      <c r="E639" s="14" t="s">
        <v>10</v>
      </c>
      <c r="F639" s="21" t="s">
        <v>774</v>
      </c>
      <c r="G639" s="21"/>
      <c r="H639" s="27">
        <f t="shared" si="50"/>
        <v>0</v>
      </c>
      <c r="I639" s="231"/>
      <c r="J639" s="27">
        <f t="shared" si="47"/>
        <v>0</v>
      </c>
      <c r="K639" s="27">
        <f t="shared" si="51"/>
        <v>0</v>
      </c>
      <c r="L639" s="126"/>
      <c r="M639" s="10"/>
      <c r="N639" s="23"/>
      <c r="O639" s="23"/>
      <c r="P639" s="125"/>
      <c r="Q639" s="2"/>
    </row>
    <row r="640" spans="1:17">
      <c r="A640" s="14">
        <v>639</v>
      </c>
      <c r="B640" s="14" t="s">
        <v>1349</v>
      </c>
      <c r="C640" s="14" t="s">
        <v>98</v>
      </c>
      <c r="D640" s="14" t="s">
        <v>757</v>
      </c>
      <c r="E640" s="14" t="s">
        <v>10</v>
      </c>
      <c r="F640" s="21" t="s">
        <v>775</v>
      </c>
      <c r="G640" s="21"/>
      <c r="H640" s="27">
        <f t="shared" si="50"/>
        <v>14.666666666666666</v>
      </c>
      <c r="I640" s="231"/>
      <c r="J640" s="27">
        <f t="shared" si="47"/>
        <v>8.7999999999999989</v>
      </c>
      <c r="K640" s="27">
        <f t="shared" si="51"/>
        <v>23.466666666666665</v>
      </c>
      <c r="L640" s="103"/>
      <c r="M640" s="10"/>
      <c r="N640" s="23"/>
      <c r="O640" s="23">
        <f>P640*O634</f>
        <v>14.666666666666666</v>
      </c>
      <c r="P640" s="127">
        <v>16</v>
      </c>
      <c r="Q640" s="2"/>
    </row>
    <row r="641" spans="1:17">
      <c r="A641" s="14">
        <v>640</v>
      </c>
      <c r="B641" s="14" t="s">
        <v>1349</v>
      </c>
      <c r="C641" s="14" t="s">
        <v>98</v>
      </c>
      <c r="D641" s="14" t="s">
        <v>757</v>
      </c>
      <c r="E641" s="14" t="s">
        <v>10</v>
      </c>
      <c r="F641" s="17" t="s">
        <v>776</v>
      </c>
      <c r="G641" s="17"/>
      <c r="H641" s="27">
        <f t="shared" si="50"/>
        <v>4.3999999999999995</v>
      </c>
      <c r="I641" s="231"/>
      <c r="J641" s="27">
        <f t="shared" si="47"/>
        <v>2.6399999999999997</v>
      </c>
      <c r="K641" s="27">
        <f t="shared" si="51"/>
        <v>7.0399999999999991</v>
      </c>
      <c r="L641" s="103"/>
      <c r="M641" s="10"/>
      <c r="N641" s="23"/>
      <c r="O641" s="23">
        <f>P641*O634</f>
        <v>4.3999999999999995</v>
      </c>
      <c r="P641" s="127">
        <v>4.8</v>
      </c>
      <c r="Q641" s="2"/>
    </row>
    <row r="642" spans="1:17">
      <c r="A642" s="14">
        <v>641</v>
      </c>
      <c r="B642" s="14" t="s">
        <v>1295</v>
      </c>
      <c r="C642" s="14" t="s">
        <v>98</v>
      </c>
      <c r="D642" s="14" t="s">
        <v>777</v>
      </c>
      <c r="E642" s="14" t="s">
        <v>10</v>
      </c>
      <c r="F642" s="17" t="s">
        <v>778</v>
      </c>
      <c r="H642" s="27">
        <f t="shared" si="50"/>
        <v>40.333333333333329</v>
      </c>
      <c r="I642" s="231"/>
      <c r="J642" s="27">
        <f t="shared" si="47"/>
        <v>24.199999999999996</v>
      </c>
      <c r="K642" s="27">
        <f t="shared" si="51"/>
        <v>64.533333333333331</v>
      </c>
      <c r="L642" s="103"/>
      <c r="M642" s="10"/>
      <c r="N642" s="10"/>
      <c r="O642" s="23">
        <f>P642*O634</f>
        <v>40.333333333333329</v>
      </c>
      <c r="P642" s="128">
        <v>44</v>
      </c>
      <c r="Q642" s="2"/>
    </row>
    <row r="643" spans="1:17">
      <c r="A643" s="14">
        <v>642</v>
      </c>
      <c r="B643" s="14" t="s">
        <v>1295</v>
      </c>
      <c r="C643" s="14" t="s">
        <v>98</v>
      </c>
      <c r="D643" s="14" t="s">
        <v>777</v>
      </c>
      <c r="E643" s="14" t="s">
        <v>10</v>
      </c>
      <c r="F643" s="17" t="s">
        <v>779</v>
      </c>
      <c r="G643" s="2"/>
      <c r="H643" s="27">
        <f t="shared" si="50"/>
        <v>18.333333333333332</v>
      </c>
      <c r="I643" s="231"/>
      <c r="J643" s="27">
        <f t="shared" si="47"/>
        <v>10.999999999999998</v>
      </c>
      <c r="K643" s="27">
        <f t="shared" si="51"/>
        <v>29.333333333333329</v>
      </c>
      <c r="L643" s="103"/>
      <c r="M643" s="10"/>
      <c r="N643" s="29"/>
      <c r="O643" s="29">
        <f>P643*O634</f>
        <v>18.333333333333332</v>
      </c>
      <c r="P643" s="129">
        <v>20</v>
      </c>
      <c r="Q643" s="2"/>
    </row>
    <row r="644" spans="1:17">
      <c r="A644" s="14">
        <v>643</v>
      </c>
      <c r="B644" s="14" t="s">
        <v>1295</v>
      </c>
      <c r="C644" s="14" t="s">
        <v>98</v>
      </c>
      <c r="D644" s="14" t="s">
        <v>777</v>
      </c>
      <c r="E644" s="14" t="s">
        <v>10</v>
      </c>
      <c r="F644" s="21" t="s">
        <v>116</v>
      </c>
      <c r="G644" s="21"/>
      <c r="H644" s="27">
        <f>O627*P644</f>
        <v>0</v>
      </c>
      <c r="I644" s="231"/>
      <c r="J644" s="27">
        <f t="shared" si="47"/>
        <v>0</v>
      </c>
      <c r="K644" s="27">
        <f t="shared" si="51"/>
        <v>0</v>
      </c>
      <c r="L644" s="103"/>
      <c r="M644" s="10"/>
      <c r="N644" s="29"/>
      <c r="O644" s="29">
        <f>P644*O634</f>
        <v>18.333333333333332</v>
      </c>
      <c r="P644" s="129">
        <v>20</v>
      </c>
      <c r="Q644" s="2"/>
    </row>
    <row r="645" spans="1:17">
      <c r="A645" s="14">
        <v>644</v>
      </c>
      <c r="B645" s="14" t="s">
        <v>1295</v>
      </c>
      <c r="C645" s="14" t="s">
        <v>98</v>
      </c>
      <c r="D645" s="14" t="s">
        <v>777</v>
      </c>
      <c r="E645" s="14" t="s">
        <v>10</v>
      </c>
      <c r="F645" s="21" t="s">
        <v>780</v>
      </c>
      <c r="G645" s="21"/>
      <c r="H645" s="27">
        <f t="shared" ref="H645:H655" si="52">O645</f>
        <v>5.5</v>
      </c>
      <c r="I645" s="231"/>
      <c r="J645" s="27">
        <f t="shared" si="47"/>
        <v>3.3</v>
      </c>
      <c r="K645" s="27">
        <f t="shared" si="51"/>
        <v>8.8000000000000007</v>
      </c>
      <c r="L645" s="103"/>
      <c r="M645" s="10"/>
      <c r="N645" s="29"/>
      <c r="O645" s="29">
        <f>P645*O634</f>
        <v>5.5</v>
      </c>
      <c r="P645" s="129">
        <v>6</v>
      </c>
      <c r="Q645" s="2"/>
    </row>
    <row r="646" spans="1:17">
      <c r="A646" s="14">
        <v>645</v>
      </c>
      <c r="B646" s="14" t="s">
        <v>1295</v>
      </c>
      <c r="C646" s="14" t="s">
        <v>98</v>
      </c>
      <c r="D646" s="14" t="s">
        <v>777</v>
      </c>
      <c r="E646" s="14" t="s">
        <v>10</v>
      </c>
      <c r="F646" s="21" t="s">
        <v>781</v>
      </c>
      <c r="G646" s="21"/>
      <c r="H646" s="27">
        <f t="shared" si="52"/>
        <v>8.25</v>
      </c>
      <c r="I646" s="231"/>
      <c r="J646" s="27">
        <f t="shared" si="47"/>
        <v>4.95</v>
      </c>
      <c r="K646" s="27">
        <f t="shared" si="51"/>
        <v>13.2</v>
      </c>
      <c r="L646" s="103"/>
      <c r="M646" s="10"/>
      <c r="N646" s="29"/>
      <c r="O646" s="29">
        <f>P646*O634</f>
        <v>8.25</v>
      </c>
      <c r="P646" s="129">
        <v>9</v>
      </c>
      <c r="Q646" s="2"/>
    </row>
    <row r="647" spans="1:17">
      <c r="A647" s="14">
        <v>646</v>
      </c>
      <c r="B647" s="14" t="s">
        <v>1295</v>
      </c>
      <c r="C647" s="14" t="s">
        <v>98</v>
      </c>
      <c r="D647" s="14" t="s">
        <v>777</v>
      </c>
      <c r="E647" s="14" t="s">
        <v>10</v>
      </c>
      <c r="F647" s="21" t="s">
        <v>782</v>
      </c>
      <c r="G647" s="21"/>
      <c r="H647" s="27">
        <f t="shared" si="52"/>
        <v>18.333333333333332</v>
      </c>
      <c r="I647" s="231"/>
      <c r="J647" s="27">
        <f t="shared" si="47"/>
        <v>10.999999999999998</v>
      </c>
      <c r="K647" s="27">
        <f t="shared" si="51"/>
        <v>29.333333333333329</v>
      </c>
      <c r="L647" s="103"/>
      <c r="M647" s="10"/>
      <c r="N647" s="29"/>
      <c r="O647" s="29">
        <f>P647*O634</f>
        <v>18.333333333333332</v>
      </c>
      <c r="P647" s="129">
        <v>20</v>
      </c>
      <c r="Q647" s="2"/>
    </row>
    <row r="648" spans="1:17">
      <c r="A648" s="14">
        <v>647</v>
      </c>
      <c r="B648" s="14" t="s">
        <v>1295</v>
      </c>
      <c r="C648" s="14" t="s">
        <v>98</v>
      </c>
      <c r="D648" s="14" t="s">
        <v>777</v>
      </c>
      <c r="E648" s="14" t="s">
        <v>10</v>
      </c>
      <c r="F648" s="21" t="s">
        <v>783</v>
      </c>
      <c r="G648" s="21"/>
      <c r="H648" s="27">
        <f t="shared" si="52"/>
        <v>8.25</v>
      </c>
      <c r="I648" s="231"/>
      <c r="J648" s="27">
        <f t="shared" ref="J648:J711" si="53">H648*$D$6</f>
        <v>4.95</v>
      </c>
      <c r="K648" s="27">
        <f t="shared" si="51"/>
        <v>13.2</v>
      </c>
      <c r="L648" s="103"/>
      <c r="M648" s="10"/>
      <c r="N648" s="29"/>
      <c r="O648" s="29">
        <f>P648*$O$634</f>
        <v>8.25</v>
      </c>
      <c r="P648" s="129">
        <v>9</v>
      </c>
      <c r="Q648" s="2"/>
    </row>
    <row r="649" spans="1:17">
      <c r="A649" s="14">
        <v>648</v>
      </c>
      <c r="B649" s="14" t="s">
        <v>1295</v>
      </c>
      <c r="C649" s="14" t="s">
        <v>98</v>
      </c>
      <c r="D649" s="14" t="s">
        <v>777</v>
      </c>
      <c r="E649" s="14" t="s">
        <v>10</v>
      </c>
      <c r="F649" s="21" t="s">
        <v>784</v>
      </c>
      <c r="G649" s="21"/>
      <c r="H649" s="27">
        <f t="shared" si="52"/>
        <v>110</v>
      </c>
      <c r="I649" s="231"/>
      <c r="J649" s="27">
        <f t="shared" si="53"/>
        <v>66</v>
      </c>
      <c r="K649" s="27">
        <f t="shared" si="51"/>
        <v>176</v>
      </c>
      <c r="L649" s="103"/>
      <c r="M649" s="10"/>
      <c r="N649" s="29"/>
      <c r="O649" s="29">
        <f>P649*$O$634</f>
        <v>110</v>
      </c>
      <c r="P649" s="129">
        <v>120</v>
      </c>
      <c r="Q649" s="2"/>
    </row>
    <row r="650" spans="1:17">
      <c r="A650" s="14">
        <v>649</v>
      </c>
      <c r="B650" s="14" t="s">
        <v>1295</v>
      </c>
      <c r="C650" s="14" t="s">
        <v>98</v>
      </c>
      <c r="D650" s="14" t="s">
        <v>777</v>
      </c>
      <c r="E650" s="14" t="s">
        <v>10</v>
      </c>
      <c r="F650" s="131" t="s">
        <v>785</v>
      </c>
      <c r="G650" s="131"/>
      <c r="H650" s="27">
        <f t="shared" si="52"/>
        <v>110</v>
      </c>
      <c r="I650" s="231"/>
      <c r="J650" s="27">
        <f t="shared" si="53"/>
        <v>66</v>
      </c>
      <c r="K650" s="27">
        <f t="shared" si="51"/>
        <v>176</v>
      </c>
      <c r="L650" s="103"/>
      <c r="M650" s="10"/>
      <c r="N650" s="29"/>
      <c r="O650" s="29">
        <f>P650*$O$634</f>
        <v>110</v>
      </c>
      <c r="P650" s="129">
        <v>120</v>
      </c>
      <c r="Q650" s="2"/>
    </row>
    <row r="651" spans="1:17">
      <c r="A651" s="14">
        <v>650</v>
      </c>
      <c r="B651" s="14" t="s">
        <v>1295</v>
      </c>
      <c r="C651" s="14" t="s">
        <v>98</v>
      </c>
      <c r="D651" s="14" t="s">
        <v>777</v>
      </c>
      <c r="E651" s="14" t="s">
        <v>10</v>
      </c>
      <c r="F651" s="131" t="s">
        <v>786</v>
      </c>
      <c r="G651" s="131"/>
      <c r="H651" s="27">
        <f t="shared" si="52"/>
        <v>4.583333333333333</v>
      </c>
      <c r="I651" s="231"/>
      <c r="J651" s="27">
        <f t="shared" si="53"/>
        <v>2.7499999999999996</v>
      </c>
      <c r="K651" s="27">
        <f t="shared" si="51"/>
        <v>7.3333333333333321</v>
      </c>
      <c r="L651" s="103"/>
      <c r="M651" s="10"/>
      <c r="N651" s="29"/>
      <c r="O651" s="29">
        <f>O634*P651</f>
        <v>4.583333333333333</v>
      </c>
      <c r="P651" s="130">
        <v>5</v>
      </c>
      <c r="Q651" s="2"/>
    </row>
    <row r="652" spans="1:17">
      <c r="A652" s="14">
        <v>651</v>
      </c>
      <c r="B652" s="14" t="s">
        <v>1295</v>
      </c>
      <c r="C652" s="14" t="s">
        <v>98</v>
      </c>
      <c r="D652" s="14" t="s">
        <v>777</v>
      </c>
      <c r="E652" s="14" t="s">
        <v>10</v>
      </c>
      <c r="F652" s="131" t="s">
        <v>787</v>
      </c>
      <c r="G652" s="131"/>
      <c r="H652" s="27">
        <f t="shared" si="52"/>
        <v>13.75</v>
      </c>
      <c r="I652" s="231"/>
      <c r="J652" s="27">
        <f t="shared" si="53"/>
        <v>8.25</v>
      </c>
      <c r="K652" s="27">
        <f t="shared" si="51"/>
        <v>22</v>
      </c>
      <c r="L652" s="103"/>
      <c r="M652" s="10"/>
      <c r="N652" s="29"/>
      <c r="O652" s="29">
        <f>O634*P652</f>
        <v>13.75</v>
      </c>
      <c r="P652" s="130">
        <v>15</v>
      </c>
      <c r="Q652" s="2"/>
    </row>
    <row r="653" spans="1:17">
      <c r="A653" s="14">
        <v>652</v>
      </c>
      <c r="B653" s="14" t="s">
        <v>1295</v>
      </c>
      <c r="C653" s="14" t="s">
        <v>98</v>
      </c>
      <c r="D653" s="14" t="s">
        <v>777</v>
      </c>
      <c r="E653" s="14" t="s">
        <v>10</v>
      </c>
      <c r="F653" s="21" t="s">
        <v>788</v>
      </c>
      <c r="G653" s="21"/>
      <c r="H653" s="27">
        <f t="shared" si="52"/>
        <v>14.208333333333332</v>
      </c>
      <c r="I653" s="231"/>
      <c r="J653" s="27">
        <f t="shared" si="53"/>
        <v>8.5249999999999986</v>
      </c>
      <c r="K653" s="27">
        <f t="shared" si="51"/>
        <v>22.733333333333331</v>
      </c>
      <c r="L653" s="103"/>
      <c r="M653" s="10"/>
      <c r="N653" s="29"/>
      <c r="O653" s="29">
        <f>P653*O634</f>
        <v>14.208333333333332</v>
      </c>
      <c r="P653" s="130">
        <v>15.5</v>
      </c>
      <c r="Q653" s="2"/>
    </row>
    <row r="654" spans="1:17">
      <c r="A654" s="14">
        <v>653</v>
      </c>
      <c r="B654" s="14" t="s">
        <v>1295</v>
      </c>
      <c r="C654" s="14" t="s">
        <v>98</v>
      </c>
      <c r="D654" s="14" t="s">
        <v>777</v>
      </c>
      <c r="E654" s="14" t="s">
        <v>10</v>
      </c>
      <c r="F654" s="21" t="s">
        <v>789</v>
      </c>
      <c r="G654" s="21"/>
      <c r="H654" s="27">
        <f t="shared" si="52"/>
        <v>4.583333333333333</v>
      </c>
      <c r="I654" s="231"/>
      <c r="J654" s="27">
        <f t="shared" si="53"/>
        <v>2.7499999999999996</v>
      </c>
      <c r="K654" s="27">
        <f t="shared" si="51"/>
        <v>7.3333333333333321</v>
      </c>
      <c r="L654" s="103"/>
      <c r="M654" s="10"/>
      <c r="N654" s="29"/>
      <c r="O654" s="29">
        <f>P654*O634</f>
        <v>4.583333333333333</v>
      </c>
      <c r="P654" s="130">
        <v>5</v>
      </c>
      <c r="Q654" s="2"/>
    </row>
    <row r="655" spans="1:17">
      <c r="A655" s="14">
        <v>654</v>
      </c>
      <c r="B655" s="14" t="s">
        <v>1295</v>
      </c>
      <c r="C655" s="14" t="s">
        <v>98</v>
      </c>
      <c r="D655" s="14" t="s">
        <v>777</v>
      </c>
      <c r="E655" s="14" t="s">
        <v>10</v>
      </c>
      <c r="F655" s="21" t="s">
        <v>790</v>
      </c>
      <c r="G655" s="21"/>
      <c r="H655" s="27">
        <f t="shared" si="52"/>
        <v>3.6666666666666665</v>
      </c>
      <c r="I655" s="231"/>
      <c r="J655" s="27">
        <f t="shared" si="53"/>
        <v>2.1999999999999997</v>
      </c>
      <c r="K655" s="27">
        <f t="shared" si="51"/>
        <v>5.8666666666666663</v>
      </c>
      <c r="L655" s="103"/>
      <c r="M655" s="10"/>
      <c r="N655" s="29"/>
      <c r="O655" s="29">
        <f>P655*O634</f>
        <v>3.6666666666666665</v>
      </c>
      <c r="P655" s="130">
        <v>4</v>
      </c>
      <c r="Q655" s="2"/>
    </row>
    <row r="656" spans="1:17">
      <c r="A656" s="14">
        <v>655</v>
      </c>
      <c r="B656" s="14" t="s">
        <v>1295</v>
      </c>
      <c r="C656" s="14" t="s">
        <v>98</v>
      </c>
      <c r="D656" s="14" t="s">
        <v>777</v>
      </c>
      <c r="E656" s="14" t="s">
        <v>10</v>
      </c>
      <c r="F656" s="21" t="s">
        <v>791</v>
      </c>
      <c r="G656" s="21"/>
      <c r="H656" s="27">
        <f>O627*P656</f>
        <v>0</v>
      </c>
      <c r="I656" s="231"/>
      <c r="J656" s="27">
        <f t="shared" si="53"/>
        <v>0</v>
      </c>
      <c r="K656" s="27">
        <f t="shared" si="51"/>
        <v>0</v>
      </c>
      <c r="L656" s="103"/>
      <c r="M656" s="10"/>
      <c r="N656" s="29"/>
      <c r="O656" s="29">
        <f>P656*O634</f>
        <v>3.6666666666666665</v>
      </c>
      <c r="P656" s="130">
        <v>4</v>
      </c>
      <c r="Q656" s="2"/>
    </row>
    <row r="657" spans="1:17">
      <c r="A657" s="14">
        <v>656</v>
      </c>
      <c r="B657" s="14" t="s">
        <v>1295</v>
      </c>
      <c r="C657" s="14" t="s">
        <v>98</v>
      </c>
      <c r="D657" s="14" t="s">
        <v>777</v>
      </c>
      <c r="E657" s="14" t="s">
        <v>10</v>
      </c>
      <c r="F657" s="21" t="s">
        <v>792</v>
      </c>
      <c r="G657" s="21"/>
      <c r="H657" s="27">
        <f>O657</f>
        <v>24.997499999999999</v>
      </c>
      <c r="I657" s="231"/>
      <c r="J657" s="27">
        <f t="shared" si="53"/>
        <v>14.998499999999998</v>
      </c>
      <c r="K657" s="27">
        <f t="shared" si="51"/>
        <v>39.995999999999995</v>
      </c>
      <c r="L657" s="103"/>
      <c r="M657" s="10"/>
      <c r="N657" s="29"/>
      <c r="O657" s="29">
        <f>P657*O634</f>
        <v>24.997499999999999</v>
      </c>
      <c r="P657" s="128">
        <v>27.27</v>
      </c>
      <c r="Q657" s="2"/>
    </row>
    <row r="658" spans="1:17">
      <c r="A658" s="14">
        <v>657</v>
      </c>
      <c r="B658" s="14" t="s">
        <v>1295</v>
      </c>
      <c r="C658" s="14" t="s">
        <v>98</v>
      </c>
      <c r="D658" s="14" t="s">
        <v>777</v>
      </c>
      <c r="E658" s="14" t="s">
        <v>10</v>
      </c>
      <c r="F658" s="21" t="s">
        <v>793</v>
      </c>
      <c r="G658" s="21"/>
      <c r="H658" s="27">
        <f>O658</f>
        <v>21.45</v>
      </c>
      <c r="I658" s="231"/>
      <c r="J658" s="27">
        <f t="shared" si="53"/>
        <v>12.87</v>
      </c>
      <c r="K658" s="27">
        <f t="shared" si="51"/>
        <v>34.32</v>
      </c>
      <c r="L658" s="103"/>
      <c r="M658" s="10"/>
      <c r="N658" s="29"/>
      <c r="O658" s="29">
        <f>P658*O634</f>
        <v>21.45</v>
      </c>
      <c r="P658" s="128">
        <v>23.4</v>
      </c>
      <c r="Q658" s="2"/>
    </row>
    <row r="659" spans="1:17">
      <c r="A659" s="14">
        <v>658</v>
      </c>
      <c r="B659" s="14" t="s">
        <v>1295</v>
      </c>
      <c r="C659" s="14" t="s">
        <v>98</v>
      </c>
      <c r="D659" s="14" t="s">
        <v>777</v>
      </c>
      <c r="E659" s="14" t="s">
        <v>10</v>
      </c>
      <c r="F659" s="21" t="s">
        <v>794</v>
      </c>
      <c r="G659" s="21"/>
      <c r="H659" s="27">
        <f>H658+H656*2</f>
        <v>21.45</v>
      </c>
      <c r="I659" s="231"/>
      <c r="J659" s="27">
        <f t="shared" si="53"/>
        <v>12.87</v>
      </c>
      <c r="K659" s="27">
        <f t="shared" si="51"/>
        <v>34.32</v>
      </c>
      <c r="L659" s="103"/>
      <c r="M659" s="10"/>
      <c r="N659" s="29"/>
      <c r="O659" s="29">
        <f>P659*O634</f>
        <v>12.998333333333333</v>
      </c>
      <c r="P659" s="128">
        <v>14.18</v>
      </c>
      <c r="Q659" s="2"/>
    </row>
    <row r="660" spans="1:17">
      <c r="A660" s="14">
        <v>659</v>
      </c>
      <c r="B660" s="14" t="s">
        <v>1295</v>
      </c>
      <c r="C660" s="14" t="s">
        <v>98</v>
      </c>
      <c r="D660" s="14" t="s">
        <v>777</v>
      </c>
      <c r="E660" s="14" t="s">
        <v>10</v>
      </c>
      <c r="F660" s="21" t="s">
        <v>795</v>
      </c>
      <c r="G660" s="21"/>
      <c r="H660" s="27">
        <f>O660</f>
        <v>13.75</v>
      </c>
      <c r="I660" s="231"/>
      <c r="J660" s="27">
        <f t="shared" si="53"/>
        <v>8.25</v>
      </c>
      <c r="K660" s="27">
        <f t="shared" si="51"/>
        <v>22</v>
      </c>
      <c r="L660" s="103"/>
      <c r="M660" s="10"/>
      <c r="N660" s="29"/>
      <c r="O660" s="29">
        <f>P660*O634</f>
        <v>13.75</v>
      </c>
      <c r="P660" s="130">
        <v>15</v>
      </c>
      <c r="Q660" s="2"/>
    </row>
    <row r="661" spans="1:17">
      <c r="A661" s="14">
        <v>660</v>
      </c>
      <c r="B661" s="14" t="s">
        <v>1295</v>
      </c>
      <c r="C661" s="14" t="s">
        <v>98</v>
      </c>
      <c r="D661" s="14" t="s">
        <v>777</v>
      </c>
      <c r="E661" s="14" t="s">
        <v>10</v>
      </c>
      <c r="F661" s="21" t="s">
        <v>796</v>
      </c>
      <c r="G661" s="21"/>
      <c r="H661" s="27">
        <f>O661</f>
        <v>2.75</v>
      </c>
      <c r="I661" s="231"/>
      <c r="J661" s="27">
        <f t="shared" si="53"/>
        <v>1.65</v>
      </c>
      <c r="K661" s="27">
        <f t="shared" si="51"/>
        <v>4.4000000000000004</v>
      </c>
      <c r="L661" s="103"/>
      <c r="M661" s="10"/>
      <c r="N661" s="9"/>
      <c r="O661" s="23">
        <f>P661*O634</f>
        <v>2.75</v>
      </c>
      <c r="P661" s="130">
        <v>3</v>
      </c>
      <c r="Q661" s="2"/>
    </row>
    <row r="662" spans="1:17">
      <c r="A662" s="14">
        <v>661</v>
      </c>
      <c r="B662" s="14" t="s">
        <v>1295</v>
      </c>
      <c r="C662" s="14" t="s">
        <v>98</v>
      </c>
      <c r="D662" s="14" t="s">
        <v>777</v>
      </c>
      <c r="E662" s="14" t="s">
        <v>10</v>
      </c>
      <c r="F662" s="21" t="s">
        <v>797</v>
      </c>
      <c r="G662" s="21"/>
      <c r="H662" s="27">
        <f>O662</f>
        <v>27.5</v>
      </c>
      <c r="I662" s="231"/>
      <c r="J662" s="27">
        <f t="shared" si="53"/>
        <v>16.5</v>
      </c>
      <c r="K662" s="27">
        <f t="shared" si="51"/>
        <v>44</v>
      </c>
      <c r="L662" s="103"/>
      <c r="M662" s="10"/>
      <c r="N662" s="9"/>
      <c r="O662" s="23">
        <f>P662*O634</f>
        <v>27.5</v>
      </c>
      <c r="P662" s="130">
        <v>30</v>
      </c>
      <c r="Q662" s="2"/>
    </row>
    <row r="663" spans="1:17">
      <c r="A663" s="14">
        <v>662</v>
      </c>
      <c r="B663" s="14" t="s">
        <v>1349</v>
      </c>
      <c r="C663" s="14" t="s">
        <v>98</v>
      </c>
      <c r="D663" s="14" t="s">
        <v>10</v>
      </c>
      <c r="E663" s="14" t="s">
        <v>10</v>
      </c>
      <c r="F663" s="21" t="s">
        <v>1315</v>
      </c>
      <c r="G663" s="21"/>
      <c r="H663" s="27">
        <f>O663</f>
        <v>27.5</v>
      </c>
      <c r="I663" s="231"/>
      <c r="J663" s="27">
        <f t="shared" si="53"/>
        <v>16.5</v>
      </c>
      <c r="K663" s="27">
        <f t="shared" si="51"/>
        <v>44</v>
      </c>
      <c r="L663" s="103"/>
      <c r="M663" s="10"/>
      <c r="N663" s="9"/>
      <c r="O663" s="23">
        <f>P663*O634</f>
        <v>27.5</v>
      </c>
      <c r="P663" s="130">
        <v>30</v>
      </c>
      <c r="Q663" s="2"/>
    </row>
    <row r="664" spans="1:17">
      <c r="A664" s="14">
        <v>663</v>
      </c>
      <c r="B664" s="14" t="s">
        <v>1295</v>
      </c>
      <c r="C664" s="14" t="s">
        <v>98</v>
      </c>
      <c r="D664" s="14" t="s">
        <v>777</v>
      </c>
      <c r="E664" s="14" t="s">
        <v>7</v>
      </c>
      <c r="F664" s="21"/>
      <c r="G664" s="21"/>
      <c r="H664" s="27"/>
      <c r="I664" s="231"/>
      <c r="J664" s="27">
        <f t="shared" si="53"/>
        <v>0</v>
      </c>
      <c r="K664" s="27"/>
      <c r="L664" s="103"/>
      <c r="M664" s="10"/>
      <c r="N664" s="9"/>
      <c r="O664" s="23">
        <f>P664*O634</f>
        <v>27.5</v>
      </c>
      <c r="P664" s="130">
        <v>30</v>
      </c>
      <c r="Q664" s="2"/>
    </row>
    <row r="665" spans="1:17">
      <c r="A665" s="14">
        <v>664</v>
      </c>
      <c r="B665" s="14" t="s">
        <v>1295</v>
      </c>
      <c r="C665" s="14" t="s">
        <v>798</v>
      </c>
      <c r="D665" s="14" t="s">
        <v>799</v>
      </c>
      <c r="E665" s="14" t="s">
        <v>7</v>
      </c>
      <c r="F665" s="21" t="s">
        <v>800</v>
      </c>
      <c r="G665" s="21"/>
      <c r="H665" s="27">
        <v>60</v>
      </c>
      <c r="I665" s="231"/>
      <c r="J665" s="27">
        <f t="shared" si="53"/>
        <v>36</v>
      </c>
      <c r="K665" s="27">
        <f t="shared" ref="K665:K679" si="54">H665+J665</f>
        <v>96</v>
      </c>
      <c r="L665" s="103"/>
      <c r="M665" s="10"/>
      <c r="N665" s="9"/>
      <c r="O665" s="23">
        <f>O634*P665</f>
        <v>7.333333333333333</v>
      </c>
      <c r="P665" s="130">
        <v>8</v>
      </c>
      <c r="Q665" s="2"/>
    </row>
    <row r="666" spans="1:17">
      <c r="A666" s="14">
        <v>665</v>
      </c>
      <c r="B666" s="14" t="s">
        <v>1295</v>
      </c>
      <c r="C666" s="14" t="s">
        <v>798</v>
      </c>
      <c r="D666" s="14" t="s">
        <v>799</v>
      </c>
      <c r="E666" s="14" t="s">
        <v>7</v>
      </c>
      <c r="F666" s="21" t="s">
        <v>104</v>
      </c>
      <c r="G666" s="21"/>
      <c r="H666" s="27">
        <v>70</v>
      </c>
      <c r="I666" s="231"/>
      <c r="J666" s="27">
        <f t="shared" si="53"/>
        <v>42</v>
      </c>
      <c r="K666" s="27">
        <f t="shared" si="54"/>
        <v>112</v>
      </c>
      <c r="L666" s="103"/>
      <c r="M666" s="10"/>
      <c r="N666" s="9"/>
      <c r="O666" s="23"/>
      <c r="P666" s="130"/>
      <c r="Q666" s="2"/>
    </row>
    <row r="667" spans="1:17">
      <c r="A667" s="14">
        <v>666</v>
      </c>
      <c r="B667" s="14" t="s">
        <v>1295</v>
      </c>
      <c r="C667" s="14" t="s">
        <v>798</v>
      </c>
      <c r="D667" s="14" t="s">
        <v>799</v>
      </c>
      <c r="E667" s="14" t="s">
        <v>7</v>
      </c>
      <c r="F667" s="21"/>
      <c r="G667" s="21"/>
      <c r="H667" s="27"/>
      <c r="I667" s="231"/>
      <c r="J667" s="27">
        <f t="shared" si="53"/>
        <v>0</v>
      </c>
      <c r="K667" s="27">
        <f t="shared" si="54"/>
        <v>0</v>
      </c>
      <c r="L667" s="103"/>
      <c r="M667" s="10"/>
      <c r="N667" s="9"/>
      <c r="O667" s="23">
        <f>P667*O634</f>
        <v>22.916666666666664</v>
      </c>
      <c r="P667" s="130">
        <v>25</v>
      </c>
      <c r="Q667" s="2"/>
    </row>
    <row r="668" spans="1:17">
      <c r="A668" s="14">
        <v>667</v>
      </c>
      <c r="B668" s="14" t="s">
        <v>1295</v>
      </c>
      <c r="C668" s="14" t="s">
        <v>798</v>
      </c>
      <c r="D668" s="14" t="s">
        <v>799</v>
      </c>
      <c r="E668" s="14" t="s">
        <v>7</v>
      </c>
      <c r="F668" s="21" t="s">
        <v>801</v>
      </c>
      <c r="G668" s="21"/>
      <c r="H668" s="27">
        <v>50</v>
      </c>
      <c r="I668" s="231"/>
      <c r="J668" s="27">
        <f t="shared" si="53"/>
        <v>30</v>
      </c>
      <c r="K668" s="27">
        <f t="shared" si="54"/>
        <v>80</v>
      </c>
      <c r="L668" s="103"/>
      <c r="M668" s="10"/>
      <c r="N668" s="9"/>
      <c r="O668" s="23">
        <f>P668*O634</f>
        <v>22.916666666666664</v>
      </c>
      <c r="P668" s="130">
        <v>25</v>
      </c>
      <c r="Q668" s="2"/>
    </row>
    <row r="669" spans="1:17">
      <c r="A669" s="14">
        <v>668</v>
      </c>
      <c r="B669" s="14" t="s">
        <v>1295</v>
      </c>
      <c r="C669" s="14" t="s">
        <v>798</v>
      </c>
      <c r="D669" s="14" t="s">
        <v>799</v>
      </c>
      <c r="E669" s="14" t="s">
        <v>7</v>
      </c>
      <c r="F669" s="21" t="s">
        <v>802</v>
      </c>
      <c r="G669" s="21"/>
      <c r="H669" s="27">
        <v>55</v>
      </c>
      <c r="I669" s="231"/>
      <c r="J669" s="27">
        <f t="shared" si="53"/>
        <v>33</v>
      </c>
      <c r="K669" s="27">
        <f t="shared" si="54"/>
        <v>88</v>
      </c>
      <c r="L669" s="103"/>
      <c r="M669" s="10"/>
      <c r="N669" s="9"/>
      <c r="O669" s="23">
        <f>P669*O634</f>
        <v>14.666666666666666</v>
      </c>
      <c r="P669" s="130">
        <v>16</v>
      </c>
      <c r="Q669" s="2"/>
    </row>
    <row r="670" spans="1:17">
      <c r="A670" s="14">
        <v>669</v>
      </c>
      <c r="B670" s="14" t="s">
        <v>1295</v>
      </c>
      <c r="C670" s="14" t="s">
        <v>798</v>
      </c>
      <c r="D670" s="14" t="s">
        <v>799</v>
      </c>
      <c r="E670" s="14" t="s">
        <v>7</v>
      </c>
      <c r="F670" s="21" t="s">
        <v>803</v>
      </c>
      <c r="G670" s="21"/>
      <c r="H670" s="27">
        <v>70</v>
      </c>
      <c r="I670" s="231"/>
      <c r="J670" s="27">
        <f t="shared" si="53"/>
        <v>42</v>
      </c>
      <c r="K670" s="27">
        <f t="shared" si="54"/>
        <v>112</v>
      </c>
      <c r="L670" s="103"/>
      <c r="M670" s="10"/>
      <c r="N670" s="132"/>
      <c r="O670" s="132">
        <f>P670*O634</f>
        <v>440</v>
      </c>
      <c r="P670" s="132">
        <v>480</v>
      </c>
      <c r="Q670" s="21"/>
    </row>
    <row r="671" spans="1:17" ht="13.5" thickBot="1">
      <c r="A671" s="14">
        <v>670</v>
      </c>
      <c r="B671" s="14" t="s">
        <v>1295</v>
      </c>
      <c r="C671" s="14" t="s">
        <v>798</v>
      </c>
      <c r="D671" s="14" t="s">
        <v>799</v>
      </c>
      <c r="E671" s="14" t="s">
        <v>7</v>
      </c>
      <c r="F671" s="21" t="s">
        <v>804</v>
      </c>
      <c r="G671" s="21"/>
      <c r="H671" s="27">
        <v>70</v>
      </c>
      <c r="I671" s="231"/>
      <c r="J671" s="27">
        <f t="shared" si="53"/>
        <v>42</v>
      </c>
      <c r="K671" s="27">
        <f t="shared" si="54"/>
        <v>112</v>
      </c>
      <c r="L671" s="133"/>
      <c r="M671" s="113"/>
      <c r="N671" s="134"/>
      <c r="O671" s="134"/>
      <c r="P671" s="134"/>
      <c r="Q671" s="21"/>
    </row>
    <row r="672" spans="1:17" ht="13.5" thickTop="1">
      <c r="A672" s="14">
        <v>671</v>
      </c>
      <c r="B672" s="14" t="s">
        <v>1295</v>
      </c>
      <c r="C672" s="14" t="s">
        <v>798</v>
      </c>
      <c r="D672" s="14" t="s">
        <v>799</v>
      </c>
      <c r="E672" s="14" t="s">
        <v>7</v>
      </c>
      <c r="F672" s="21" t="s">
        <v>805</v>
      </c>
      <c r="G672" s="21"/>
      <c r="H672" s="27">
        <v>5</v>
      </c>
      <c r="I672" s="231"/>
      <c r="J672" s="27">
        <f t="shared" si="53"/>
        <v>3</v>
      </c>
      <c r="K672" s="27">
        <f t="shared" si="54"/>
        <v>8</v>
      </c>
      <c r="L672" s="21"/>
      <c r="M672" s="21"/>
      <c r="N672" s="135"/>
      <c r="O672" s="135"/>
      <c r="P672" s="135"/>
      <c r="Q672" s="21"/>
    </row>
    <row r="673" spans="1:17">
      <c r="A673" s="14">
        <v>672</v>
      </c>
      <c r="B673" s="14" t="s">
        <v>1295</v>
      </c>
      <c r="C673" s="14" t="s">
        <v>798</v>
      </c>
      <c r="D673" s="14" t="s">
        <v>799</v>
      </c>
      <c r="E673" s="14" t="s">
        <v>7</v>
      </c>
      <c r="F673" s="21"/>
      <c r="G673" s="21"/>
      <c r="H673" s="27"/>
      <c r="I673" s="231"/>
      <c r="J673" s="27">
        <f t="shared" si="53"/>
        <v>0</v>
      </c>
      <c r="K673" s="27">
        <f t="shared" si="54"/>
        <v>0</v>
      </c>
      <c r="L673" s="21"/>
      <c r="M673" s="21"/>
      <c r="N673" s="135"/>
      <c r="O673" s="135"/>
      <c r="P673" s="135"/>
      <c r="Q673" s="21"/>
    </row>
    <row r="674" spans="1:17">
      <c r="A674" s="14">
        <v>673</v>
      </c>
      <c r="B674" s="14" t="s">
        <v>1295</v>
      </c>
      <c r="C674" s="14" t="s">
        <v>798</v>
      </c>
      <c r="D674" s="14" t="s">
        <v>799</v>
      </c>
      <c r="E674" s="14" t="s">
        <v>7</v>
      </c>
      <c r="F674" s="21" t="s">
        <v>806</v>
      </c>
      <c r="G674" s="21"/>
      <c r="H674" s="27">
        <v>45</v>
      </c>
      <c r="I674" s="231"/>
      <c r="J674" s="27">
        <f t="shared" si="53"/>
        <v>27</v>
      </c>
      <c r="K674" s="27">
        <f t="shared" si="54"/>
        <v>72</v>
      </c>
      <c r="L674" s="21"/>
      <c r="M674" s="21"/>
      <c r="N674" s="135"/>
      <c r="O674" s="135"/>
      <c r="P674" s="135"/>
      <c r="Q674" s="21"/>
    </row>
    <row r="675" spans="1:17">
      <c r="A675" s="14">
        <v>674</v>
      </c>
      <c r="B675" s="14" t="s">
        <v>1295</v>
      </c>
      <c r="C675" s="14" t="s">
        <v>798</v>
      </c>
      <c r="D675" s="14" t="s">
        <v>799</v>
      </c>
      <c r="E675" s="14" t="s">
        <v>7</v>
      </c>
      <c r="F675" s="21"/>
      <c r="G675" s="21"/>
      <c r="H675" s="27"/>
      <c r="I675" s="231"/>
      <c r="J675" s="27">
        <f t="shared" si="53"/>
        <v>0</v>
      </c>
      <c r="K675" s="27">
        <f t="shared" si="54"/>
        <v>0</v>
      </c>
      <c r="L675" s="21"/>
      <c r="M675" s="21"/>
      <c r="N675" s="135"/>
      <c r="O675" s="135"/>
      <c r="P675" s="135"/>
      <c r="Q675" s="21"/>
    </row>
    <row r="676" spans="1:17">
      <c r="A676" s="14">
        <v>675</v>
      </c>
      <c r="B676" s="14" t="s">
        <v>1295</v>
      </c>
      <c r="C676" s="14" t="s">
        <v>807</v>
      </c>
      <c r="D676" s="14" t="s">
        <v>808</v>
      </c>
      <c r="E676" s="14" t="s">
        <v>7</v>
      </c>
      <c r="F676" s="21" t="s">
        <v>809</v>
      </c>
      <c r="G676" s="21"/>
      <c r="H676" s="27">
        <v>46.6</v>
      </c>
      <c r="I676" s="231"/>
      <c r="J676" s="27">
        <f t="shared" si="53"/>
        <v>27.96</v>
      </c>
      <c r="K676" s="27">
        <f t="shared" si="54"/>
        <v>74.56</v>
      </c>
      <c r="L676" s="21"/>
      <c r="M676" s="21"/>
      <c r="N676" s="135"/>
      <c r="O676" s="135"/>
      <c r="P676" s="135"/>
      <c r="Q676" s="21"/>
    </row>
    <row r="677" spans="1:17">
      <c r="A677" s="14">
        <v>676</v>
      </c>
      <c r="B677" s="14" t="s">
        <v>1295</v>
      </c>
      <c r="C677" s="14" t="s">
        <v>807</v>
      </c>
      <c r="D677" s="14" t="s">
        <v>808</v>
      </c>
      <c r="E677" s="14" t="s">
        <v>7</v>
      </c>
      <c r="F677" s="21" t="s">
        <v>810</v>
      </c>
      <c r="G677" s="21"/>
      <c r="H677" s="27">
        <v>70.58</v>
      </c>
      <c r="I677" s="231"/>
      <c r="J677" s="27">
        <f t="shared" si="53"/>
        <v>42.347999999999999</v>
      </c>
      <c r="K677" s="27">
        <f t="shared" si="54"/>
        <v>112.928</v>
      </c>
      <c r="L677" s="21"/>
      <c r="M677" s="21"/>
      <c r="N677" s="135"/>
      <c r="O677" s="135"/>
      <c r="P677" s="135"/>
      <c r="Q677" s="21"/>
    </row>
    <row r="678" spans="1:17">
      <c r="A678" s="14">
        <v>677</v>
      </c>
      <c r="B678" s="14" t="s">
        <v>1295</v>
      </c>
      <c r="C678" s="14" t="s">
        <v>807</v>
      </c>
      <c r="D678" s="14" t="s">
        <v>808</v>
      </c>
      <c r="E678" s="14" t="s">
        <v>7</v>
      </c>
      <c r="F678" s="21" t="s">
        <v>811</v>
      </c>
      <c r="G678" s="21"/>
      <c r="H678" s="27">
        <v>79.400000000000006</v>
      </c>
      <c r="I678" s="231"/>
      <c r="J678" s="27">
        <f t="shared" si="53"/>
        <v>47.64</v>
      </c>
      <c r="K678" s="27">
        <f t="shared" si="54"/>
        <v>127.04</v>
      </c>
      <c r="L678" s="21"/>
      <c r="M678" s="21"/>
      <c r="N678" s="135"/>
      <c r="O678" s="135"/>
      <c r="P678" s="135"/>
      <c r="Q678" s="21"/>
    </row>
    <row r="679" spans="1:17">
      <c r="A679" s="14">
        <v>678</v>
      </c>
      <c r="B679" s="14" t="s">
        <v>1295</v>
      </c>
      <c r="C679" s="14" t="s">
        <v>807</v>
      </c>
      <c r="D679" s="14" t="s">
        <v>808</v>
      </c>
      <c r="E679" s="14" t="s">
        <v>7</v>
      </c>
      <c r="F679" s="21" t="s">
        <v>812</v>
      </c>
      <c r="G679" s="21"/>
      <c r="H679" s="27">
        <v>88.22</v>
      </c>
      <c r="I679" s="231"/>
      <c r="J679" s="27">
        <f t="shared" si="53"/>
        <v>52.931999999999995</v>
      </c>
      <c r="K679" s="27">
        <f t="shared" si="54"/>
        <v>141.15199999999999</v>
      </c>
      <c r="L679" s="21"/>
      <c r="M679" s="21"/>
      <c r="N679" s="135"/>
      <c r="O679" s="135"/>
      <c r="P679" s="135"/>
      <c r="Q679" s="21"/>
    </row>
    <row r="680" spans="1:17">
      <c r="A680" s="14">
        <v>679</v>
      </c>
      <c r="B680" s="14" t="s">
        <v>1295</v>
      </c>
      <c r="C680" s="14" t="s">
        <v>105</v>
      </c>
      <c r="G680" s="21"/>
      <c r="H680" s="234" t="s">
        <v>117</v>
      </c>
      <c r="I680" s="235"/>
      <c r="J680" s="21" t="e">
        <f t="shared" si="53"/>
        <v>#VALUE!</v>
      </c>
      <c r="K680" s="236">
        <f>0.6*1</f>
        <v>0.6</v>
      </c>
      <c r="L680" s="21"/>
      <c r="M680" s="21"/>
      <c r="N680" s="135"/>
      <c r="O680" s="135"/>
      <c r="P680" s="135"/>
      <c r="Q680" s="21"/>
    </row>
    <row r="681" spans="1:17">
      <c r="A681" s="14">
        <v>680</v>
      </c>
      <c r="B681" s="14" t="s">
        <v>1295</v>
      </c>
      <c r="C681" s="14" t="s">
        <v>105</v>
      </c>
      <c r="D681" s="14" t="s">
        <v>813</v>
      </c>
      <c r="E681" s="14" t="s">
        <v>9</v>
      </c>
      <c r="F681" s="21" t="s">
        <v>814</v>
      </c>
      <c r="G681" s="21"/>
      <c r="H681" s="27">
        <f t="shared" ref="H681:H700" si="55">O681</f>
        <v>0</v>
      </c>
      <c r="I681" s="231"/>
      <c r="J681" s="27">
        <f t="shared" si="53"/>
        <v>0</v>
      </c>
      <c r="K681" s="27">
        <f>H681+I681+J681</f>
        <v>0</v>
      </c>
      <c r="L681" s="21"/>
      <c r="M681" s="21"/>
      <c r="N681" s="135"/>
      <c r="O681" s="135"/>
      <c r="P681" s="135"/>
      <c r="Q681" s="21"/>
    </row>
    <row r="682" spans="1:17">
      <c r="A682" s="14">
        <v>681</v>
      </c>
      <c r="B682" s="14" t="s">
        <v>1295</v>
      </c>
      <c r="C682" s="14" t="s">
        <v>105</v>
      </c>
      <c r="D682" s="14" t="s">
        <v>813</v>
      </c>
      <c r="E682" s="14" t="s">
        <v>9</v>
      </c>
      <c r="F682" s="21" t="s">
        <v>815</v>
      </c>
      <c r="G682" s="21"/>
      <c r="H682" s="27">
        <f t="shared" si="55"/>
        <v>0</v>
      </c>
      <c r="I682" s="231"/>
      <c r="J682" s="27">
        <f t="shared" si="53"/>
        <v>0</v>
      </c>
      <c r="K682" s="27">
        <f>H682+I682+J682</f>
        <v>0</v>
      </c>
      <c r="L682" s="21"/>
      <c r="M682" s="21"/>
      <c r="N682" s="135"/>
      <c r="O682" s="135"/>
      <c r="P682" s="135"/>
      <c r="Q682" s="21"/>
    </row>
    <row r="683" spans="1:17">
      <c r="A683" s="14">
        <v>682</v>
      </c>
      <c r="B683" s="14" t="s">
        <v>1295</v>
      </c>
      <c r="C683" s="14" t="s">
        <v>105</v>
      </c>
      <c r="D683" s="14" t="s">
        <v>813</v>
      </c>
      <c r="E683" s="14" t="s">
        <v>9</v>
      </c>
      <c r="F683" s="21" t="s">
        <v>816</v>
      </c>
      <c r="G683" s="21"/>
      <c r="H683" s="27">
        <f t="shared" si="55"/>
        <v>0</v>
      </c>
      <c r="I683" s="231"/>
      <c r="J683" s="27">
        <f t="shared" si="53"/>
        <v>0</v>
      </c>
      <c r="K683" s="27">
        <f>H683+I683+J683</f>
        <v>0</v>
      </c>
      <c r="L683" s="21"/>
      <c r="M683" s="21"/>
      <c r="N683" s="135"/>
      <c r="O683" s="135"/>
      <c r="P683" s="135"/>
      <c r="Q683" s="21"/>
    </row>
    <row r="684" spans="1:17">
      <c r="A684" s="14">
        <v>683</v>
      </c>
      <c r="B684" s="14" t="s">
        <v>1295</v>
      </c>
      <c r="C684" s="14" t="s">
        <v>105</v>
      </c>
      <c r="D684" s="14" t="s">
        <v>813</v>
      </c>
      <c r="E684" s="14" t="s">
        <v>9</v>
      </c>
      <c r="F684" s="21" t="s">
        <v>817</v>
      </c>
      <c r="G684" s="21"/>
      <c r="H684" s="27">
        <f t="shared" si="55"/>
        <v>0</v>
      </c>
      <c r="I684" s="231"/>
      <c r="J684" s="27">
        <f t="shared" si="53"/>
        <v>0</v>
      </c>
      <c r="K684" s="27">
        <f>H684+I684+J684</f>
        <v>0</v>
      </c>
      <c r="L684" s="21"/>
      <c r="M684" s="21"/>
      <c r="N684" s="135"/>
      <c r="O684" s="135"/>
      <c r="P684" s="135"/>
      <c r="Q684" s="21"/>
    </row>
    <row r="685" spans="1:17">
      <c r="A685" s="14">
        <v>684</v>
      </c>
      <c r="B685" s="14" t="s">
        <v>1349</v>
      </c>
      <c r="C685" s="14" t="s">
        <v>105</v>
      </c>
      <c r="D685" s="14" t="s">
        <v>1354</v>
      </c>
      <c r="E685" s="14" t="s">
        <v>9</v>
      </c>
      <c r="F685" s="21" t="s">
        <v>818</v>
      </c>
      <c r="G685" s="21"/>
      <c r="H685" s="27">
        <f t="shared" si="55"/>
        <v>0</v>
      </c>
      <c r="I685" s="231"/>
      <c r="J685" s="27">
        <f t="shared" si="53"/>
        <v>0</v>
      </c>
      <c r="K685" s="27">
        <f>H685+I685</f>
        <v>0</v>
      </c>
      <c r="L685" s="21"/>
      <c r="M685" s="21"/>
      <c r="N685" s="135"/>
      <c r="O685" s="135"/>
      <c r="P685" s="135"/>
      <c r="Q685" s="21"/>
    </row>
    <row r="686" spans="1:17" ht="13.5" thickBot="1">
      <c r="A686" s="14">
        <v>685</v>
      </c>
      <c r="B686" s="14" t="s">
        <v>1295</v>
      </c>
      <c r="C686" s="14" t="s">
        <v>559</v>
      </c>
      <c r="D686" s="14" t="s">
        <v>819</v>
      </c>
      <c r="E686" s="14" t="s">
        <v>767</v>
      </c>
      <c r="F686" s="21" t="s">
        <v>820</v>
      </c>
      <c r="G686" s="21"/>
      <c r="H686" s="27">
        <f t="shared" si="55"/>
        <v>0</v>
      </c>
      <c r="I686" s="231"/>
      <c r="J686" s="27">
        <f t="shared" si="53"/>
        <v>0</v>
      </c>
      <c r="K686" s="27">
        <f t="shared" ref="K686:K710" si="56">H686+I686+J686</f>
        <v>0</v>
      </c>
      <c r="L686" s="21"/>
      <c r="M686" s="21"/>
      <c r="N686" s="135"/>
      <c r="O686" s="135"/>
      <c r="P686" s="135"/>
      <c r="Q686" s="21"/>
    </row>
    <row r="687" spans="1:17" ht="14.25" thickTop="1" thickBot="1">
      <c r="A687" s="14">
        <v>686</v>
      </c>
      <c r="B687" s="14" t="s">
        <v>1295</v>
      </c>
      <c r="C687" s="14" t="s">
        <v>559</v>
      </c>
      <c r="D687" s="14" t="s">
        <v>819</v>
      </c>
      <c r="E687" s="14" t="s">
        <v>767</v>
      </c>
      <c r="F687" s="21" t="s">
        <v>821</v>
      </c>
      <c r="G687" s="21"/>
      <c r="H687" s="27">
        <f t="shared" si="55"/>
        <v>1.4166666666666667</v>
      </c>
      <c r="I687" s="231"/>
      <c r="J687" s="27">
        <f t="shared" si="53"/>
        <v>0.85</v>
      </c>
      <c r="K687" s="27">
        <f t="shared" si="56"/>
        <v>2.2666666666666666</v>
      </c>
      <c r="L687" s="136"/>
      <c r="M687" s="137"/>
      <c r="N687" s="138">
        <v>85</v>
      </c>
      <c r="O687" s="138">
        <f>N687/60</f>
        <v>1.4166666666666667</v>
      </c>
      <c r="P687" s="122"/>
      <c r="Q687" s="2"/>
    </row>
    <row r="688" spans="1:17" ht="13.5" thickTop="1">
      <c r="A688" s="14">
        <v>687</v>
      </c>
      <c r="B688" s="14" t="s">
        <v>1295</v>
      </c>
      <c r="C688" s="14" t="s">
        <v>559</v>
      </c>
      <c r="D688" s="14" t="s">
        <v>819</v>
      </c>
      <c r="E688" s="14" t="s">
        <v>767</v>
      </c>
      <c r="F688" s="21" t="s">
        <v>822</v>
      </c>
      <c r="G688" s="21"/>
      <c r="H688" s="27">
        <f t="shared" si="55"/>
        <v>1360</v>
      </c>
      <c r="I688" s="231"/>
      <c r="J688" s="27">
        <f t="shared" si="53"/>
        <v>816</v>
      </c>
      <c r="K688" s="27">
        <f t="shared" si="56"/>
        <v>2176</v>
      </c>
      <c r="L688" s="136"/>
      <c r="M688" s="52"/>
      <c r="N688" s="139"/>
      <c r="O688" s="44">
        <f>O687*P688</f>
        <v>1360</v>
      </c>
      <c r="P688" s="140">
        <v>960</v>
      </c>
      <c r="Q688" s="2"/>
    </row>
    <row r="689" spans="1:17">
      <c r="A689" s="14">
        <v>688</v>
      </c>
      <c r="B689" s="14" t="s">
        <v>1295</v>
      </c>
      <c r="C689" s="14" t="s">
        <v>559</v>
      </c>
      <c r="D689" s="14" t="s">
        <v>819</v>
      </c>
      <c r="E689" s="14" t="s">
        <v>767</v>
      </c>
      <c r="F689" s="15" t="s">
        <v>29</v>
      </c>
      <c r="G689" s="15"/>
      <c r="H689" s="27">
        <f t="shared" si="55"/>
        <v>1360</v>
      </c>
      <c r="I689" s="231"/>
      <c r="J689" s="27">
        <f t="shared" si="53"/>
        <v>816</v>
      </c>
      <c r="K689" s="27">
        <f t="shared" si="56"/>
        <v>2176</v>
      </c>
      <c r="L689" s="136"/>
      <c r="M689" s="41"/>
      <c r="N689" s="103"/>
      <c r="O689" s="23">
        <f>O687*P689</f>
        <v>1360</v>
      </c>
      <c r="P689" s="141">
        <v>960</v>
      </c>
      <c r="Q689" s="2"/>
    </row>
    <row r="690" spans="1:17">
      <c r="A690" s="14">
        <v>689</v>
      </c>
      <c r="B690" s="14" t="s">
        <v>1295</v>
      </c>
      <c r="C690" s="14" t="s">
        <v>559</v>
      </c>
      <c r="D690" s="14" t="s">
        <v>819</v>
      </c>
      <c r="E690" s="14" t="s">
        <v>767</v>
      </c>
      <c r="F690" s="15" t="s">
        <v>823</v>
      </c>
      <c r="G690" s="15"/>
      <c r="H690" s="27">
        <f t="shared" si="55"/>
        <v>170</v>
      </c>
      <c r="I690" s="231"/>
      <c r="J690" s="27">
        <f t="shared" si="53"/>
        <v>102</v>
      </c>
      <c r="K690" s="27">
        <f t="shared" si="56"/>
        <v>272</v>
      </c>
      <c r="L690" s="136"/>
      <c r="M690" s="41"/>
      <c r="N690" s="103"/>
      <c r="O690" s="23">
        <f>P690*O687</f>
        <v>170</v>
      </c>
      <c r="P690" s="141">
        <v>120</v>
      </c>
      <c r="Q690" s="2"/>
    </row>
    <row r="691" spans="1:17">
      <c r="A691" s="14">
        <v>690</v>
      </c>
      <c r="B691" s="14" t="s">
        <v>1295</v>
      </c>
      <c r="C691" s="14" t="s">
        <v>559</v>
      </c>
      <c r="D691" s="14" t="s">
        <v>819</v>
      </c>
      <c r="E691" s="14" t="s">
        <v>767</v>
      </c>
      <c r="F691" s="15" t="s">
        <v>824</v>
      </c>
      <c r="G691" s="15"/>
      <c r="H691" s="27">
        <f t="shared" si="55"/>
        <v>680</v>
      </c>
      <c r="I691" s="231"/>
      <c r="J691" s="27">
        <f t="shared" si="53"/>
        <v>408</v>
      </c>
      <c r="K691" s="27">
        <f t="shared" si="56"/>
        <v>1088</v>
      </c>
      <c r="L691" s="136"/>
      <c r="M691" s="41"/>
      <c r="N691" s="103"/>
      <c r="O691" s="23">
        <f>O687*P691</f>
        <v>680</v>
      </c>
      <c r="P691" s="141">
        <v>480</v>
      </c>
      <c r="Q691" s="2"/>
    </row>
    <row r="692" spans="1:17">
      <c r="A692" s="14">
        <v>691</v>
      </c>
      <c r="B692" s="14" t="s">
        <v>1295</v>
      </c>
      <c r="C692" s="14" t="s">
        <v>559</v>
      </c>
      <c r="D692" s="14" t="s">
        <v>819</v>
      </c>
      <c r="E692" s="14" t="s">
        <v>767</v>
      </c>
      <c r="F692" s="15" t="s">
        <v>28</v>
      </c>
      <c r="G692" s="15"/>
      <c r="H692" s="27">
        <f t="shared" si="55"/>
        <v>170</v>
      </c>
      <c r="I692" s="231"/>
      <c r="J692" s="27">
        <f t="shared" si="53"/>
        <v>102</v>
      </c>
      <c r="K692" s="27">
        <f t="shared" si="56"/>
        <v>272</v>
      </c>
      <c r="L692" s="136"/>
      <c r="M692" s="41"/>
      <c r="N692" s="103"/>
      <c r="O692" s="23">
        <f>O687*P692</f>
        <v>170</v>
      </c>
      <c r="P692" s="141">
        <v>120</v>
      </c>
      <c r="Q692" s="2"/>
    </row>
    <row r="693" spans="1:17">
      <c r="A693" s="14">
        <v>692</v>
      </c>
      <c r="B693" s="14" t="s">
        <v>1295</v>
      </c>
      <c r="C693" s="14" t="s">
        <v>559</v>
      </c>
      <c r="D693" s="14" t="s">
        <v>819</v>
      </c>
      <c r="E693" s="14" t="s">
        <v>767</v>
      </c>
      <c r="F693" s="15"/>
      <c r="G693" s="15"/>
      <c r="H693" s="27">
        <f t="shared" si="55"/>
        <v>7.0833333333333339</v>
      </c>
      <c r="I693" s="231"/>
      <c r="J693" s="27">
        <f t="shared" si="53"/>
        <v>4.25</v>
      </c>
      <c r="K693" s="27">
        <f t="shared" si="56"/>
        <v>11.333333333333334</v>
      </c>
      <c r="L693" s="142"/>
      <c r="M693" s="41"/>
      <c r="N693" s="103"/>
      <c r="O693" s="23">
        <f>P693*O687</f>
        <v>7.0833333333333339</v>
      </c>
      <c r="P693" s="141">
        <v>5</v>
      </c>
      <c r="Q693" s="2"/>
    </row>
    <row r="694" spans="1:17">
      <c r="A694" s="14">
        <v>693</v>
      </c>
      <c r="B694" s="14" t="s">
        <v>1295</v>
      </c>
      <c r="C694" s="14" t="s">
        <v>559</v>
      </c>
      <c r="D694" s="14" t="s">
        <v>819</v>
      </c>
      <c r="E694" s="14" t="s">
        <v>767</v>
      </c>
      <c r="F694" s="21" t="s">
        <v>825</v>
      </c>
      <c r="G694" s="21"/>
      <c r="H694" s="27">
        <f t="shared" si="55"/>
        <v>21.25</v>
      </c>
      <c r="I694" s="231"/>
      <c r="J694" s="27">
        <f t="shared" si="53"/>
        <v>12.75</v>
      </c>
      <c r="K694" s="27">
        <f t="shared" si="56"/>
        <v>34</v>
      </c>
      <c r="L694" s="142"/>
      <c r="M694" s="41"/>
      <c r="N694" s="143"/>
      <c r="O694" s="29">
        <f>P694*O687</f>
        <v>21.25</v>
      </c>
      <c r="P694" s="144">
        <v>15</v>
      </c>
      <c r="Q694" s="2"/>
    </row>
    <row r="695" spans="1:17">
      <c r="A695" s="14">
        <v>694</v>
      </c>
      <c r="B695" s="14" t="s">
        <v>1295</v>
      </c>
      <c r="C695" s="14" t="s">
        <v>559</v>
      </c>
      <c r="D695" s="14" t="s">
        <v>819</v>
      </c>
      <c r="E695" s="14" t="s">
        <v>767</v>
      </c>
      <c r="F695" s="21" t="s">
        <v>826</v>
      </c>
      <c r="G695" s="21"/>
      <c r="H695" s="27">
        <f t="shared" si="55"/>
        <v>32.583333333333336</v>
      </c>
      <c r="I695" s="231"/>
      <c r="J695" s="27">
        <f t="shared" si="53"/>
        <v>19.55</v>
      </c>
      <c r="K695" s="27">
        <f t="shared" si="56"/>
        <v>52.13333333333334</v>
      </c>
      <c r="L695" s="142"/>
      <c r="M695" s="41"/>
      <c r="N695" s="143"/>
      <c r="O695" s="29">
        <f>P695*O687</f>
        <v>32.583333333333336</v>
      </c>
      <c r="P695" s="144">
        <v>23</v>
      </c>
      <c r="Q695" s="2"/>
    </row>
    <row r="696" spans="1:17">
      <c r="A696" s="14">
        <v>695</v>
      </c>
      <c r="B696" s="14" t="s">
        <v>1295</v>
      </c>
      <c r="C696" s="14" t="s">
        <v>559</v>
      </c>
      <c r="D696" s="14" t="s">
        <v>819</v>
      </c>
      <c r="E696" s="14" t="s">
        <v>767</v>
      </c>
      <c r="F696" s="21" t="s">
        <v>827</v>
      </c>
      <c r="G696" s="21"/>
      <c r="H696" s="27">
        <f t="shared" si="55"/>
        <v>32.583333333333336</v>
      </c>
      <c r="I696" s="231"/>
      <c r="J696" s="27">
        <f t="shared" si="53"/>
        <v>19.55</v>
      </c>
      <c r="K696" s="27">
        <f t="shared" si="56"/>
        <v>52.13333333333334</v>
      </c>
      <c r="L696" s="136"/>
      <c r="M696" s="41"/>
      <c r="N696" s="143"/>
      <c r="O696" s="29">
        <f>O687*P696</f>
        <v>32.583333333333336</v>
      </c>
      <c r="P696" s="144">
        <v>23</v>
      </c>
      <c r="Q696" s="2"/>
    </row>
    <row r="697" spans="1:17">
      <c r="A697" s="14">
        <v>696</v>
      </c>
      <c r="B697" s="14" t="s">
        <v>1295</v>
      </c>
      <c r="C697" s="14" t="s">
        <v>559</v>
      </c>
      <c r="D697" s="14" t="s">
        <v>819</v>
      </c>
      <c r="E697" s="14" t="s">
        <v>767</v>
      </c>
      <c r="F697" s="21" t="s">
        <v>828</v>
      </c>
      <c r="G697" s="21"/>
      <c r="H697" s="27">
        <f t="shared" si="55"/>
        <v>32.583333333333336</v>
      </c>
      <c r="I697" s="231"/>
      <c r="J697" s="27">
        <f t="shared" si="53"/>
        <v>19.55</v>
      </c>
      <c r="K697" s="27">
        <f t="shared" si="56"/>
        <v>52.13333333333334</v>
      </c>
      <c r="L697" s="136"/>
      <c r="M697" s="41"/>
      <c r="N697" s="143"/>
      <c r="O697" s="29">
        <f>$O$687*P697</f>
        <v>32.583333333333336</v>
      </c>
      <c r="P697" s="144">
        <v>23</v>
      </c>
      <c r="Q697" s="2"/>
    </row>
    <row r="698" spans="1:17">
      <c r="A698" s="14">
        <v>697</v>
      </c>
      <c r="B698" s="14" t="s">
        <v>1295</v>
      </c>
      <c r="C698" s="14" t="s">
        <v>559</v>
      </c>
      <c r="D698" s="14" t="s">
        <v>819</v>
      </c>
      <c r="E698" s="14" t="s">
        <v>767</v>
      </c>
      <c r="F698" s="21" t="s">
        <v>829</v>
      </c>
      <c r="G698" s="21"/>
      <c r="H698" s="27">
        <f t="shared" si="55"/>
        <v>21.25</v>
      </c>
      <c r="I698" s="231"/>
      <c r="J698" s="27">
        <f t="shared" si="53"/>
        <v>12.75</v>
      </c>
      <c r="K698" s="27">
        <f t="shared" si="56"/>
        <v>34</v>
      </c>
      <c r="L698" s="136"/>
      <c r="M698" s="41"/>
      <c r="N698" s="143"/>
      <c r="O698" s="29">
        <f>$O$687*P698</f>
        <v>21.25</v>
      </c>
      <c r="P698" s="144">
        <v>15</v>
      </c>
      <c r="Q698" s="2"/>
    </row>
    <row r="699" spans="1:17">
      <c r="A699" s="14">
        <v>698</v>
      </c>
      <c r="B699" s="14" t="s">
        <v>1295</v>
      </c>
      <c r="C699" s="14" t="s">
        <v>559</v>
      </c>
      <c r="D699" s="14" t="s">
        <v>819</v>
      </c>
      <c r="E699" s="14" t="s">
        <v>767</v>
      </c>
      <c r="F699" s="21" t="s">
        <v>49</v>
      </c>
      <c r="G699" s="21"/>
      <c r="H699" s="27">
        <f t="shared" si="55"/>
        <v>21.25</v>
      </c>
      <c r="I699" s="231"/>
      <c r="J699" s="27">
        <f t="shared" si="53"/>
        <v>12.75</v>
      </c>
      <c r="K699" s="27">
        <f t="shared" si="56"/>
        <v>34</v>
      </c>
      <c r="L699" s="136"/>
      <c r="M699" s="41"/>
      <c r="N699" s="143"/>
      <c r="O699" s="29">
        <f>$O$687*P699</f>
        <v>21.25</v>
      </c>
      <c r="P699" s="144">
        <v>15</v>
      </c>
      <c r="Q699" s="2"/>
    </row>
    <row r="700" spans="1:17">
      <c r="A700" s="14">
        <v>699</v>
      </c>
      <c r="B700" s="14" t="s">
        <v>1295</v>
      </c>
      <c r="C700" s="14" t="s">
        <v>559</v>
      </c>
      <c r="D700" s="14" t="s">
        <v>819</v>
      </c>
      <c r="E700" s="14" t="s">
        <v>767</v>
      </c>
      <c r="F700" s="21" t="s">
        <v>830</v>
      </c>
      <c r="G700" s="21"/>
      <c r="H700" s="27">
        <f t="shared" si="55"/>
        <v>0</v>
      </c>
      <c r="I700" s="231"/>
      <c r="J700" s="27">
        <f t="shared" si="53"/>
        <v>0</v>
      </c>
      <c r="K700" s="27">
        <f t="shared" si="56"/>
        <v>0</v>
      </c>
      <c r="L700" s="136"/>
      <c r="M700" s="41"/>
      <c r="N700" s="143"/>
      <c r="O700" s="29">
        <f>$O$687*P700</f>
        <v>0</v>
      </c>
      <c r="P700" s="144"/>
      <c r="Q700" s="2"/>
    </row>
    <row r="701" spans="1:17">
      <c r="A701" s="14">
        <v>700</v>
      </c>
      <c r="B701" s="14" t="s">
        <v>1295</v>
      </c>
      <c r="C701" s="14" t="s">
        <v>50</v>
      </c>
      <c r="D701" s="14" t="s">
        <v>831</v>
      </c>
      <c r="E701" s="14" t="s">
        <v>767</v>
      </c>
      <c r="G701" s="53"/>
      <c r="H701" s="27"/>
      <c r="I701" s="231"/>
      <c r="J701" s="27">
        <f t="shared" si="53"/>
        <v>0</v>
      </c>
      <c r="K701" s="27">
        <f t="shared" si="56"/>
        <v>0</v>
      </c>
      <c r="L701" s="136"/>
      <c r="M701" s="41"/>
      <c r="N701" s="143"/>
      <c r="O701" s="29">
        <f>O687*P701</f>
        <v>14.166666666666668</v>
      </c>
      <c r="P701" s="144">
        <v>10</v>
      </c>
      <c r="Q701" s="2"/>
    </row>
    <row r="702" spans="1:17">
      <c r="A702" s="14">
        <v>701</v>
      </c>
      <c r="B702" s="14" t="s">
        <v>1295</v>
      </c>
      <c r="C702" s="14" t="s">
        <v>50</v>
      </c>
      <c r="D702" s="14" t="s">
        <v>831</v>
      </c>
      <c r="E702" s="14" t="s">
        <v>767</v>
      </c>
      <c r="F702" s="15" t="s">
        <v>832</v>
      </c>
      <c r="G702" s="15"/>
      <c r="H702" s="27">
        <f t="shared" ref="H702:H721" si="57">O702</f>
        <v>7.0833333333333339</v>
      </c>
      <c r="I702" s="231"/>
      <c r="J702" s="27">
        <f t="shared" si="53"/>
        <v>4.25</v>
      </c>
      <c r="K702" s="27">
        <f t="shared" si="56"/>
        <v>11.333333333333334</v>
      </c>
      <c r="L702" s="136"/>
      <c r="M702" s="41"/>
      <c r="N702" s="143"/>
      <c r="O702" s="29">
        <f>P702*O687</f>
        <v>7.0833333333333339</v>
      </c>
      <c r="P702" s="144">
        <v>5</v>
      </c>
      <c r="Q702" s="2"/>
    </row>
    <row r="703" spans="1:17">
      <c r="A703" s="14">
        <v>702</v>
      </c>
      <c r="B703" s="14" t="s">
        <v>1295</v>
      </c>
      <c r="C703" s="14" t="s">
        <v>50</v>
      </c>
      <c r="D703" s="14" t="s">
        <v>831</v>
      </c>
      <c r="E703" s="14" t="s">
        <v>767</v>
      </c>
      <c r="F703" s="15" t="s">
        <v>833</v>
      </c>
      <c r="G703" s="15"/>
      <c r="H703" s="27">
        <f t="shared" si="57"/>
        <v>21.25</v>
      </c>
      <c r="I703" s="231"/>
      <c r="J703" s="27">
        <f t="shared" si="53"/>
        <v>12.75</v>
      </c>
      <c r="K703" s="27">
        <f t="shared" si="56"/>
        <v>34</v>
      </c>
      <c r="L703" s="136"/>
      <c r="M703" s="41"/>
      <c r="N703" s="143"/>
      <c r="O703" s="29">
        <f>P703*O687</f>
        <v>21.25</v>
      </c>
      <c r="P703" s="144">
        <v>15</v>
      </c>
      <c r="Q703" s="2"/>
    </row>
    <row r="704" spans="1:17">
      <c r="A704" s="14">
        <v>703</v>
      </c>
      <c r="B704" s="14" t="s">
        <v>1295</v>
      </c>
      <c r="C704" s="14" t="s">
        <v>50</v>
      </c>
      <c r="D704" s="14" t="s">
        <v>831</v>
      </c>
      <c r="E704" s="14" t="s">
        <v>767</v>
      </c>
      <c r="F704" s="15" t="s">
        <v>834</v>
      </c>
      <c r="G704" s="15"/>
      <c r="H704" s="27">
        <f t="shared" si="57"/>
        <v>28.333333333333336</v>
      </c>
      <c r="I704" s="231"/>
      <c r="J704" s="27">
        <f t="shared" si="53"/>
        <v>17</v>
      </c>
      <c r="K704" s="27">
        <f t="shared" si="56"/>
        <v>45.333333333333336</v>
      </c>
      <c r="L704" s="136"/>
      <c r="M704" s="41"/>
      <c r="N704" s="143"/>
      <c r="O704" s="29">
        <f>P704*O687</f>
        <v>28.333333333333336</v>
      </c>
      <c r="P704" s="144">
        <v>20</v>
      </c>
      <c r="Q704" s="2"/>
    </row>
    <row r="705" spans="1:17">
      <c r="A705" s="14">
        <v>704</v>
      </c>
      <c r="B705" s="14" t="s">
        <v>1295</v>
      </c>
      <c r="C705" s="14" t="s">
        <v>50</v>
      </c>
      <c r="D705" s="14" t="s">
        <v>831</v>
      </c>
      <c r="E705" s="14" t="s">
        <v>767</v>
      </c>
      <c r="F705" s="15" t="s">
        <v>835</v>
      </c>
      <c r="G705" s="15"/>
      <c r="H705" s="27">
        <f t="shared" si="57"/>
        <v>56.666666666666671</v>
      </c>
      <c r="I705" s="231"/>
      <c r="J705" s="27">
        <f t="shared" si="53"/>
        <v>34</v>
      </c>
      <c r="K705" s="27">
        <f t="shared" si="56"/>
        <v>90.666666666666671</v>
      </c>
      <c r="L705" s="136"/>
      <c r="M705" s="41"/>
      <c r="N705" s="143"/>
      <c r="O705" s="29">
        <f>P705*O687</f>
        <v>56.666666666666671</v>
      </c>
      <c r="P705" s="144">
        <v>40</v>
      </c>
      <c r="Q705" s="2"/>
    </row>
    <row r="706" spans="1:17">
      <c r="A706" s="14">
        <v>705</v>
      </c>
      <c r="B706" s="14" t="s">
        <v>1295</v>
      </c>
      <c r="C706" s="14" t="s">
        <v>50</v>
      </c>
      <c r="D706" s="14" t="s">
        <v>831</v>
      </c>
      <c r="E706" s="14" t="s">
        <v>767</v>
      </c>
      <c r="F706" s="15" t="s">
        <v>836</v>
      </c>
      <c r="G706" s="15"/>
      <c r="H706" s="27">
        <f t="shared" si="57"/>
        <v>42.5</v>
      </c>
      <c r="I706" s="231"/>
      <c r="J706" s="27">
        <f t="shared" si="53"/>
        <v>25.5</v>
      </c>
      <c r="K706" s="27">
        <f t="shared" si="56"/>
        <v>68</v>
      </c>
      <c r="L706" s="136"/>
      <c r="M706" s="41"/>
      <c r="N706" s="143"/>
      <c r="O706" s="29">
        <f>P706*O687</f>
        <v>42.5</v>
      </c>
      <c r="P706" s="144">
        <v>30</v>
      </c>
      <c r="Q706" s="2"/>
    </row>
    <row r="707" spans="1:17">
      <c r="A707" s="14">
        <v>706</v>
      </c>
      <c r="B707" s="14" t="s">
        <v>1295</v>
      </c>
      <c r="C707" s="14" t="s">
        <v>50</v>
      </c>
      <c r="D707" s="14" t="s">
        <v>837</v>
      </c>
      <c r="E707" s="14" t="s">
        <v>767</v>
      </c>
      <c r="F707" s="15" t="s">
        <v>838</v>
      </c>
      <c r="G707" s="15"/>
      <c r="H707" s="39">
        <f t="shared" si="57"/>
        <v>155.83333333333334</v>
      </c>
      <c r="I707" s="231"/>
      <c r="J707" s="27">
        <f t="shared" si="53"/>
        <v>93.5</v>
      </c>
      <c r="K707" s="27">
        <f t="shared" si="56"/>
        <v>249.33333333333334</v>
      </c>
      <c r="L707" s="136"/>
      <c r="M707" s="41"/>
      <c r="N707" s="143"/>
      <c r="O707" s="29">
        <f>O687*P707</f>
        <v>155.83333333333334</v>
      </c>
      <c r="P707" s="144">
        <v>110</v>
      </c>
      <c r="Q707" s="2"/>
    </row>
    <row r="708" spans="1:17">
      <c r="A708" s="14">
        <v>707</v>
      </c>
      <c r="B708" s="14" t="s">
        <v>1295</v>
      </c>
      <c r="C708" s="14" t="s">
        <v>50</v>
      </c>
      <c r="D708" s="14" t="s">
        <v>837</v>
      </c>
      <c r="E708" s="14" t="s">
        <v>767</v>
      </c>
      <c r="F708" s="15" t="s">
        <v>839</v>
      </c>
      <c r="G708" s="15"/>
      <c r="H708" s="27">
        <f t="shared" si="57"/>
        <v>0</v>
      </c>
      <c r="I708" s="231"/>
      <c r="J708" s="27">
        <f t="shared" si="53"/>
        <v>0</v>
      </c>
      <c r="K708" s="27">
        <f t="shared" si="56"/>
        <v>0</v>
      </c>
      <c r="L708" s="136"/>
      <c r="M708" s="41"/>
      <c r="N708" s="143"/>
      <c r="O708" s="29"/>
      <c r="P708" s="144"/>
      <c r="Q708" s="2"/>
    </row>
    <row r="709" spans="1:17">
      <c r="A709" s="14">
        <v>708</v>
      </c>
      <c r="B709" s="14" t="s">
        <v>1295</v>
      </c>
      <c r="C709" s="14" t="s">
        <v>840</v>
      </c>
      <c r="D709" s="14" t="s">
        <v>841</v>
      </c>
      <c r="E709" s="14" t="s">
        <v>767</v>
      </c>
      <c r="F709" s="21" t="s">
        <v>842</v>
      </c>
      <c r="G709" s="21"/>
      <c r="H709" s="27">
        <f t="shared" si="57"/>
        <v>85</v>
      </c>
      <c r="I709" s="231"/>
      <c r="J709" s="27">
        <f t="shared" si="53"/>
        <v>51</v>
      </c>
      <c r="K709" s="27">
        <f t="shared" si="56"/>
        <v>136</v>
      </c>
      <c r="L709" s="136"/>
      <c r="M709" s="41"/>
      <c r="N709" s="143"/>
      <c r="O709" s="29">
        <f>P709*O687</f>
        <v>85</v>
      </c>
      <c r="P709" s="144">
        <v>60</v>
      </c>
      <c r="Q709" s="2"/>
    </row>
    <row r="710" spans="1:17">
      <c r="A710" s="14">
        <v>709</v>
      </c>
      <c r="B710" s="14" t="s">
        <v>1295</v>
      </c>
      <c r="C710" s="14" t="s">
        <v>840</v>
      </c>
      <c r="D710" s="14" t="s">
        <v>841</v>
      </c>
      <c r="E710" s="14" t="s">
        <v>767</v>
      </c>
      <c r="F710" s="21" t="s">
        <v>843</v>
      </c>
      <c r="G710" s="21"/>
      <c r="H710" s="27">
        <f t="shared" si="57"/>
        <v>85</v>
      </c>
      <c r="I710" s="231"/>
      <c r="J710" s="27">
        <f t="shared" si="53"/>
        <v>51</v>
      </c>
      <c r="K710" s="27">
        <f t="shared" si="56"/>
        <v>136</v>
      </c>
      <c r="L710" s="136"/>
      <c r="M710" s="41"/>
      <c r="N710" s="143"/>
      <c r="O710" s="29">
        <f>P710*O687</f>
        <v>85</v>
      </c>
      <c r="P710" s="144">
        <v>60</v>
      </c>
      <c r="Q710" s="2"/>
    </row>
    <row r="711" spans="1:17">
      <c r="A711" s="14">
        <v>710</v>
      </c>
      <c r="B711" s="14" t="s">
        <v>1295</v>
      </c>
      <c r="C711" s="14" t="s">
        <v>840</v>
      </c>
      <c r="D711" s="14" t="s">
        <v>841</v>
      </c>
      <c r="E711" s="14" t="s">
        <v>767</v>
      </c>
      <c r="F711" s="21" t="s">
        <v>844</v>
      </c>
      <c r="G711" s="21"/>
      <c r="H711" s="27">
        <f t="shared" si="57"/>
        <v>85</v>
      </c>
      <c r="I711" s="231"/>
      <c r="J711" s="27">
        <f t="shared" si="53"/>
        <v>51</v>
      </c>
      <c r="K711" s="27">
        <f>H711+I711</f>
        <v>85</v>
      </c>
      <c r="L711" s="136"/>
      <c r="M711" s="41"/>
      <c r="N711" s="143"/>
      <c r="O711" s="29">
        <f>P711*O687</f>
        <v>85</v>
      </c>
      <c r="P711" s="144">
        <v>60</v>
      </c>
      <c r="Q711" s="2"/>
    </row>
    <row r="712" spans="1:17">
      <c r="A712" s="14">
        <v>711</v>
      </c>
      <c r="B712" s="14" t="s">
        <v>1295</v>
      </c>
      <c r="C712" s="14" t="s">
        <v>840</v>
      </c>
      <c r="D712" s="14" t="s">
        <v>841</v>
      </c>
      <c r="E712" s="14" t="s">
        <v>767</v>
      </c>
      <c r="F712" s="21" t="s">
        <v>845</v>
      </c>
      <c r="G712" s="21"/>
      <c r="H712" s="27">
        <f t="shared" si="57"/>
        <v>85</v>
      </c>
      <c r="I712" s="231"/>
      <c r="J712" s="27">
        <f t="shared" ref="J712:J775" si="58">H712*$D$6</f>
        <v>51</v>
      </c>
      <c r="K712" s="27">
        <f>H712+I712</f>
        <v>85</v>
      </c>
      <c r="L712" s="136"/>
      <c r="M712" s="41"/>
      <c r="N712" s="143"/>
      <c r="O712" s="29">
        <f>P712*O687</f>
        <v>85</v>
      </c>
      <c r="P712" s="144">
        <v>60</v>
      </c>
      <c r="Q712" s="2"/>
    </row>
    <row r="713" spans="1:17">
      <c r="A713" s="14">
        <v>712</v>
      </c>
      <c r="B713" s="14" t="s">
        <v>1295</v>
      </c>
      <c r="C713" s="14" t="s">
        <v>840</v>
      </c>
      <c r="D713" s="14" t="s">
        <v>841</v>
      </c>
      <c r="E713" s="14" t="s">
        <v>767</v>
      </c>
      <c r="F713" s="21" t="s">
        <v>846</v>
      </c>
      <c r="G713" s="21"/>
      <c r="H713" s="27">
        <f t="shared" si="57"/>
        <v>85</v>
      </c>
      <c r="I713" s="231"/>
      <c r="J713" s="27">
        <f t="shared" si="58"/>
        <v>51</v>
      </c>
      <c r="K713" s="27">
        <f>H713+I713</f>
        <v>85</v>
      </c>
      <c r="L713" s="136"/>
      <c r="M713" s="41"/>
      <c r="N713" s="143"/>
      <c r="O713" s="29">
        <f>P713*O687</f>
        <v>85</v>
      </c>
      <c r="P713" s="144">
        <v>60</v>
      </c>
      <c r="Q713" s="2"/>
    </row>
    <row r="714" spans="1:17">
      <c r="A714" s="14">
        <v>713</v>
      </c>
      <c r="B714" s="14" t="s">
        <v>1295</v>
      </c>
      <c r="C714" s="14" t="s">
        <v>840</v>
      </c>
      <c r="D714" s="14" t="s">
        <v>841</v>
      </c>
      <c r="E714" s="14" t="s">
        <v>767</v>
      </c>
      <c r="F714" s="21" t="s">
        <v>53</v>
      </c>
      <c r="G714" s="21"/>
      <c r="H714" s="27">
        <f t="shared" si="57"/>
        <v>85</v>
      </c>
      <c r="I714" s="231"/>
      <c r="J714" s="27">
        <f t="shared" si="58"/>
        <v>51</v>
      </c>
      <c r="K714" s="27">
        <f>H714+I714</f>
        <v>85</v>
      </c>
      <c r="L714" s="106"/>
      <c r="O714" s="39">
        <f>P714*O687</f>
        <v>85</v>
      </c>
      <c r="P714" s="145">
        <v>60</v>
      </c>
      <c r="Q714" s="2"/>
    </row>
    <row r="715" spans="1:17">
      <c r="A715" s="14">
        <v>714</v>
      </c>
      <c r="B715" s="14" t="s">
        <v>1295</v>
      </c>
      <c r="C715" s="14" t="s">
        <v>840</v>
      </c>
      <c r="D715" s="14" t="s">
        <v>841</v>
      </c>
      <c r="E715" s="14" t="s">
        <v>767</v>
      </c>
      <c r="F715" s="21" t="s">
        <v>847</v>
      </c>
      <c r="G715" s="21"/>
      <c r="H715" s="27">
        <f t="shared" si="57"/>
        <v>85</v>
      </c>
      <c r="I715" s="231"/>
      <c r="J715" s="27">
        <f t="shared" si="58"/>
        <v>51</v>
      </c>
      <c r="K715" s="27">
        <f t="shared" ref="K715:K728" si="59">H715+I715+J715</f>
        <v>136</v>
      </c>
      <c r="L715" s="136"/>
      <c r="M715" s="41"/>
      <c r="N715" s="143"/>
      <c r="O715" s="29">
        <f>P715*O687</f>
        <v>85</v>
      </c>
      <c r="P715" s="144">
        <v>60</v>
      </c>
      <c r="Q715" s="2"/>
    </row>
    <row r="716" spans="1:17">
      <c r="A716" s="14">
        <v>715</v>
      </c>
      <c r="B716" s="14" t="s">
        <v>1295</v>
      </c>
      <c r="C716" s="14" t="s">
        <v>840</v>
      </c>
      <c r="D716" s="14" t="s">
        <v>841</v>
      </c>
      <c r="E716" s="14" t="s">
        <v>767</v>
      </c>
      <c r="F716" s="21" t="s">
        <v>848</v>
      </c>
      <c r="G716" s="21"/>
      <c r="H716" s="27">
        <f t="shared" si="57"/>
        <v>56.666666666666671</v>
      </c>
      <c r="I716" s="231"/>
      <c r="J716" s="27">
        <f t="shared" si="58"/>
        <v>34</v>
      </c>
      <c r="K716" s="27">
        <f t="shared" si="59"/>
        <v>90.666666666666671</v>
      </c>
      <c r="L716" s="136"/>
      <c r="M716" s="41"/>
      <c r="N716" s="143"/>
      <c r="O716" s="29">
        <f>P716*O687</f>
        <v>56.666666666666671</v>
      </c>
      <c r="P716" s="144">
        <v>40</v>
      </c>
      <c r="Q716" s="2"/>
    </row>
    <row r="717" spans="1:17">
      <c r="A717" s="14">
        <v>716</v>
      </c>
      <c r="B717" s="14" t="s">
        <v>1295</v>
      </c>
      <c r="C717" s="14" t="s">
        <v>840</v>
      </c>
      <c r="D717" s="14" t="s">
        <v>841</v>
      </c>
      <c r="E717" s="14" t="s">
        <v>767</v>
      </c>
      <c r="F717" s="21" t="s">
        <v>849</v>
      </c>
      <c r="G717" s="21"/>
      <c r="H717" s="27">
        <f t="shared" si="57"/>
        <v>42.5</v>
      </c>
      <c r="I717" s="231"/>
      <c r="J717" s="27">
        <f t="shared" si="58"/>
        <v>25.5</v>
      </c>
      <c r="K717" s="27">
        <f t="shared" si="59"/>
        <v>68</v>
      </c>
      <c r="L717" s="136"/>
      <c r="M717" s="41"/>
      <c r="N717" s="143"/>
      <c r="O717" s="29">
        <f>P717*O687</f>
        <v>42.5</v>
      </c>
      <c r="P717" s="144">
        <v>30</v>
      </c>
      <c r="Q717" s="2"/>
    </row>
    <row r="718" spans="1:17">
      <c r="A718" s="14">
        <v>717</v>
      </c>
      <c r="B718" s="14" t="s">
        <v>1295</v>
      </c>
      <c r="C718" s="14" t="s">
        <v>840</v>
      </c>
      <c r="D718" s="14" t="s">
        <v>841</v>
      </c>
      <c r="E718" s="14" t="s">
        <v>767</v>
      </c>
      <c r="F718" s="21" t="s">
        <v>850</v>
      </c>
      <c r="G718" s="21"/>
      <c r="H718" s="27">
        <f t="shared" si="57"/>
        <v>11.333333333333334</v>
      </c>
      <c r="I718" s="231"/>
      <c r="J718" s="27">
        <f t="shared" si="58"/>
        <v>6.8</v>
      </c>
      <c r="K718" s="27">
        <f t="shared" si="59"/>
        <v>18.133333333333333</v>
      </c>
      <c r="L718" s="136"/>
      <c r="M718" s="41"/>
      <c r="N718" s="143"/>
      <c r="O718" s="29">
        <f>O687*P718</f>
        <v>11.333333333333334</v>
      </c>
      <c r="P718" s="144">
        <v>8</v>
      </c>
      <c r="Q718" s="2"/>
    </row>
    <row r="719" spans="1:17">
      <c r="A719" s="14">
        <v>718</v>
      </c>
      <c r="B719" s="14" t="s">
        <v>1295</v>
      </c>
      <c r="C719" s="14" t="s">
        <v>840</v>
      </c>
      <c r="D719" s="14" t="s">
        <v>851</v>
      </c>
      <c r="E719" s="14" t="s">
        <v>767</v>
      </c>
      <c r="F719" s="15" t="s">
        <v>852</v>
      </c>
      <c r="G719" s="15"/>
      <c r="H719" s="27">
        <f t="shared" si="57"/>
        <v>17</v>
      </c>
      <c r="I719" s="231"/>
      <c r="J719" s="27">
        <f t="shared" si="58"/>
        <v>10.199999999999999</v>
      </c>
      <c r="K719" s="27">
        <f t="shared" si="59"/>
        <v>27.2</v>
      </c>
      <c r="L719" s="136"/>
      <c r="M719" s="41"/>
      <c r="N719" s="143"/>
      <c r="O719" s="29">
        <f>O687*P719</f>
        <v>17</v>
      </c>
      <c r="P719" s="144">
        <v>12</v>
      </c>
      <c r="Q719" s="2"/>
    </row>
    <row r="720" spans="1:17">
      <c r="A720" s="14">
        <v>719</v>
      </c>
      <c r="B720" s="14" t="s">
        <v>1295</v>
      </c>
      <c r="C720" s="14" t="s">
        <v>840</v>
      </c>
      <c r="D720" s="14" t="s">
        <v>851</v>
      </c>
      <c r="E720" s="14" t="s">
        <v>767</v>
      </c>
      <c r="F720" s="15" t="s">
        <v>54</v>
      </c>
      <c r="G720" s="15"/>
      <c r="H720" s="27">
        <f t="shared" si="57"/>
        <v>35.416666666666671</v>
      </c>
      <c r="I720" s="231"/>
      <c r="J720" s="27">
        <f t="shared" si="58"/>
        <v>21.250000000000004</v>
      </c>
      <c r="K720" s="27">
        <f t="shared" si="59"/>
        <v>56.666666666666671</v>
      </c>
      <c r="L720" s="136"/>
      <c r="M720" s="41"/>
      <c r="N720" s="143"/>
      <c r="O720" s="29">
        <f>O687*P720</f>
        <v>35.416666666666671</v>
      </c>
      <c r="P720" s="144">
        <v>25</v>
      </c>
      <c r="Q720" s="2"/>
    </row>
    <row r="721" spans="1:17">
      <c r="A721" s="14">
        <v>720</v>
      </c>
      <c r="B721" s="14" t="s">
        <v>1295</v>
      </c>
      <c r="C721" s="14" t="s">
        <v>840</v>
      </c>
      <c r="D721" s="14" t="s">
        <v>851</v>
      </c>
      <c r="E721" s="14" t="s">
        <v>767</v>
      </c>
      <c r="F721" s="15" t="s">
        <v>853</v>
      </c>
      <c r="G721" s="15"/>
      <c r="H721" s="27">
        <f t="shared" si="57"/>
        <v>14.166666666666668</v>
      </c>
      <c r="I721" s="231"/>
      <c r="J721" s="27">
        <f t="shared" si="58"/>
        <v>8.5</v>
      </c>
      <c r="K721" s="27">
        <f t="shared" si="59"/>
        <v>22.666666666666668</v>
      </c>
      <c r="L721" s="136"/>
      <c r="M721" s="41"/>
      <c r="N721" s="143"/>
      <c r="O721" s="29">
        <f>O687*P721</f>
        <v>14.166666666666668</v>
      </c>
      <c r="P721" s="144">
        <v>10</v>
      </c>
      <c r="Q721" s="2"/>
    </row>
    <row r="722" spans="1:17">
      <c r="A722" s="14">
        <v>721</v>
      </c>
      <c r="B722" s="14" t="s">
        <v>1295</v>
      </c>
      <c r="C722" s="14" t="s">
        <v>35</v>
      </c>
      <c r="D722" s="14" t="s">
        <v>854</v>
      </c>
      <c r="E722" s="14" t="s">
        <v>767</v>
      </c>
      <c r="G722" s="53"/>
      <c r="I722" s="232"/>
      <c r="J722" s="27">
        <f t="shared" si="58"/>
        <v>0</v>
      </c>
      <c r="K722" s="27">
        <f t="shared" si="59"/>
        <v>0</v>
      </c>
      <c r="L722" s="136"/>
      <c r="M722" s="41"/>
      <c r="N722" s="143"/>
      <c r="O722" s="29">
        <f>P722*O687</f>
        <v>21.25</v>
      </c>
      <c r="P722" s="144">
        <v>15</v>
      </c>
      <c r="Q722" s="2"/>
    </row>
    <row r="723" spans="1:17">
      <c r="A723" s="14">
        <v>722</v>
      </c>
      <c r="B723" s="14" t="s">
        <v>1295</v>
      </c>
      <c r="C723" s="14" t="s">
        <v>35</v>
      </c>
      <c r="D723" s="14" t="s">
        <v>854</v>
      </c>
      <c r="E723" s="14" t="s">
        <v>767</v>
      </c>
      <c r="F723" s="21" t="s">
        <v>855</v>
      </c>
      <c r="G723" s="21"/>
      <c r="H723" s="27">
        <f>O723</f>
        <v>14.166666666666668</v>
      </c>
      <c r="I723" s="231"/>
      <c r="J723" s="27">
        <f t="shared" si="58"/>
        <v>8.5</v>
      </c>
      <c r="K723" s="27">
        <f t="shared" si="59"/>
        <v>22.666666666666668</v>
      </c>
      <c r="L723" s="136"/>
      <c r="M723" s="41"/>
      <c r="N723" s="143"/>
      <c r="O723" s="29">
        <f>P723*O687</f>
        <v>14.166666666666668</v>
      </c>
      <c r="P723" s="144">
        <v>10</v>
      </c>
      <c r="Q723" s="2"/>
    </row>
    <row r="724" spans="1:17">
      <c r="A724" s="14">
        <v>723</v>
      </c>
      <c r="B724" s="14" t="s">
        <v>1295</v>
      </c>
      <c r="C724" s="14" t="s">
        <v>35</v>
      </c>
      <c r="D724" s="14" t="s">
        <v>854</v>
      </c>
      <c r="E724" s="14" t="s">
        <v>767</v>
      </c>
      <c r="F724" s="21" t="s">
        <v>856</v>
      </c>
      <c r="G724" s="21"/>
      <c r="H724" s="27">
        <f>O724</f>
        <v>14.166666666666668</v>
      </c>
      <c r="I724" s="231"/>
      <c r="J724" s="27">
        <f t="shared" si="58"/>
        <v>8.5</v>
      </c>
      <c r="K724" s="27">
        <f t="shared" si="59"/>
        <v>22.666666666666668</v>
      </c>
      <c r="L724" s="146"/>
      <c r="M724" s="24"/>
      <c r="N724" s="143"/>
      <c r="O724" s="29">
        <f>P724*O687</f>
        <v>14.166666666666668</v>
      </c>
      <c r="P724" s="144">
        <v>10</v>
      </c>
      <c r="Q724" s="2"/>
    </row>
    <row r="725" spans="1:17">
      <c r="A725" s="14">
        <v>724</v>
      </c>
      <c r="B725" s="14" t="s">
        <v>1295</v>
      </c>
      <c r="C725" s="14" t="s">
        <v>35</v>
      </c>
      <c r="D725" s="14" t="s">
        <v>854</v>
      </c>
      <c r="E725" s="14" t="s">
        <v>767</v>
      </c>
      <c r="F725" s="21" t="s">
        <v>857</v>
      </c>
      <c r="G725" s="21"/>
      <c r="H725" s="27">
        <f>O725</f>
        <v>17</v>
      </c>
      <c r="I725" s="231"/>
      <c r="J725" s="27">
        <f t="shared" si="58"/>
        <v>10.199999999999999</v>
      </c>
      <c r="K725" s="27">
        <f t="shared" si="59"/>
        <v>27.2</v>
      </c>
      <c r="L725" s="146"/>
      <c r="M725" s="24"/>
      <c r="N725" s="143"/>
      <c r="O725" s="29">
        <f>P725*$O$687</f>
        <v>17</v>
      </c>
      <c r="P725" s="144">
        <v>12</v>
      </c>
      <c r="Q725" s="2"/>
    </row>
    <row r="726" spans="1:17">
      <c r="A726" s="14">
        <v>725</v>
      </c>
      <c r="B726" s="14" t="s">
        <v>1295</v>
      </c>
      <c r="C726" s="14" t="s">
        <v>57</v>
      </c>
      <c r="D726" s="14" t="s">
        <v>858</v>
      </c>
      <c r="E726" s="14" t="s">
        <v>767</v>
      </c>
      <c r="G726" s="53"/>
      <c r="I726" s="232"/>
      <c r="J726" s="27">
        <f t="shared" si="58"/>
        <v>0</v>
      </c>
      <c r="K726" s="27">
        <f t="shared" si="59"/>
        <v>0</v>
      </c>
      <c r="L726" s="146"/>
      <c r="M726" s="24"/>
      <c r="N726" s="143"/>
      <c r="O726" s="29">
        <f>P726*$O$687</f>
        <v>42.5</v>
      </c>
      <c r="P726" s="144">
        <v>30</v>
      </c>
      <c r="Q726" s="2"/>
    </row>
    <row r="727" spans="1:17">
      <c r="A727" s="14">
        <v>726</v>
      </c>
      <c r="B727" s="14" t="s">
        <v>1295</v>
      </c>
      <c r="C727" s="14" t="s">
        <v>57</v>
      </c>
      <c r="D727" s="14" t="s">
        <v>858</v>
      </c>
      <c r="E727" s="14" t="s">
        <v>767</v>
      </c>
      <c r="F727" s="21" t="s">
        <v>859</v>
      </c>
      <c r="G727" s="21"/>
      <c r="H727" s="27">
        <f t="shared" ref="H727:H747" si="60">O727</f>
        <v>42.5</v>
      </c>
      <c r="I727" s="231"/>
      <c r="J727" s="27">
        <f t="shared" si="58"/>
        <v>25.5</v>
      </c>
      <c r="K727" s="27">
        <f t="shared" si="59"/>
        <v>68</v>
      </c>
      <c r="L727" s="146"/>
      <c r="M727" s="24"/>
      <c r="N727" s="143"/>
      <c r="O727" s="29">
        <f>P727*$O$687</f>
        <v>42.5</v>
      </c>
      <c r="P727" s="144">
        <v>30</v>
      </c>
      <c r="Q727" s="2"/>
    </row>
    <row r="728" spans="1:17">
      <c r="A728" s="14">
        <v>727</v>
      </c>
      <c r="B728" s="14" t="s">
        <v>1295</v>
      </c>
      <c r="C728" s="14" t="s">
        <v>57</v>
      </c>
      <c r="D728" s="14" t="s">
        <v>858</v>
      </c>
      <c r="E728" s="14" t="s">
        <v>767</v>
      </c>
      <c r="F728" s="21" t="s">
        <v>860</v>
      </c>
      <c r="G728" s="21"/>
      <c r="H728" s="27">
        <f t="shared" si="60"/>
        <v>28.333333333333336</v>
      </c>
      <c r="I728" s="231"/>
      <c r="J728" s="27">
        <f t="shared" si="58"/>
        <v>17</v>
      </c>
      <c r="K728" s="27">
        <f t="shared" si="59"/>
        <v>45.333333333333336</v>
      </c>
      <c r="L728" s="146"/>
      <c r="M728" s="24"/>
      <c r="N728" s="143"/>
      <c r="O728" s="29">
        <f>P728*$O$687</f>
        <v>28.333333333333336</v>
      </c>
      <c r="P728" s="144">
        <v>20</v>
      </c>
      <c r="Q728" s="2"/>
    </row>
    <row r="729" spans="1:17">
      <c r="A729" s="14">
        <v>728</v>
      </c>
      <c r="B729" s="14" t="s">
        <v>1295</v>
      </c>
      <c r="C729" s="14" t="s">
        <v>57</v>
      </c>
      <c r="D729" s="14" t="s">
        <v>858</v>
      </c>
      <c r="E729" s="14" t="s">
        <v>767</v>
      </c>
      <c r="F729" s="21" t="s">
        <v>861</v>
      </c>
      <c r="G729" s="21"/>
      <c r="H729" s="27">
        <f t="shared" si="60"/>
        <v>0</v>
      </c>
      <c r="I729" s="231"/>
      <c r="J729" s="27">
        <f t="shared" si="58"/>
        <v>0</v>
      </c>
      <c r="K729" s="27">
        <f>H729+I729</f>
        <v>0</v>
      </c>
      <c r="L729" s="106"/>
      <c r="M729" s="147"/>
      <c r="N729" s="36"/>
      <c r="O729" s="36"/>
      <c r="P729" s="37"/>
      <c r="Q729" s="2"/>
    </row>
    <row r="730" spans="1:17">
      <c r="A730" s="14">
        <v>729</v>
      </c>
      <c r="B730" s="14" t="s">
        <v>1295</v>
      </c>
      <c r="C730" s="14" t="s">
        <v>57</v>
      </c>
      <c r="D730" s="14" t="s">
        <v>858</v>
      </c>
      <c r="E730" s="14" t="s">
        <v>767</v>
      </c>
      <c r="F730" s="15" t="s">
        <v>862</v>
      </c>
      <c r="G730" s="15"/>
      <c r="H730" s="27">
        <f t="shared" si="60"/>
        <v>0</v>
      </c>
      <c r="I730" s="231"/>
      <c r="J730" s="27">
        <f t="shared" si="58"/>
        <v>0</v>
      </c>
      <c r="K730" s="27">
        <f t="shared" ref="K730:K736" si="61">H730+I730+J730</f>
        <v>0</v>
      </c>
      <c r="L730" s="146"/>
      <c r="M730" s="24"/>
      <c r="N730" s="143"/>
      <c r="O730" s="29">
        <f>P730*O687</f>
        <v>0</v>
      </c>
      <c r="P730" s="144"/>
      <c r="Q730" s="2">
        <v>8</v>
      </c>
    </row>
    <row r="731" spans="1:17">
      <c r="A731" s="14">
        <v>730</v>
      </c>
      <c r="B731" s="14" t="s">
        <v>1295</v>
      </c>
      <c r="C731" s="14" t="s">
        <v>57</v>
      </c>
      <c r="D731" s="14" t="s">
        <v>858</v>
      </c>
      <c r="E731" s="14" t="s">
        <v>767</v>
      </c>
      <c r="F731" s="21" t="s">
        <v>863</v>
      </c>
      <c r="G731" s="21"/>
      <c r="H731" s="27">
        <f t="shared" si="60"/>
        <v>21.25</v>
      </c>
      <c r="I731" s="231"/>
      <c r="J731" s="27">
        <f t="shared" si="58"/>
        <v>12.75</v>
      </c>
      <c r="K731" s="27">
        <f t="shared" si="61"/>
        <v>34</v>
      </c>
      <c r="L731" s="146"/>
      <c r="M731" s="24"/>
      <c r="N731" s="143"/>
      <c r="O731" s="29">
        <f>P731*O687</f>
        <v>21.25</v>
      </c>
      <c r="P731" s="144">
        <v>15</v>
      </c>
      <c r="Q731" s="2"/>
    </row>
    <row r="732" spans="1:17">
      <c r="A732" s="14">
        <v>731</v>
      </c>
      <c r="B732" s="14" t="s">
        <v>1295</v>
      </c>
      <c r="C732" s="14" t="s">
        <v>596</v>
      </c>
      <c r="D732" s="14" t="s">
        <v>864</v>
      </c>
      <c r="E732" s="14" t="s">
        <v>767</v>
      </c>
      <c r="F732" s="15" t="s">
        <v>865</v>
      </c>
      <c r="G732" s="15"/>
      <c r="H732" s="39">
        <f t="shared" si="60"/>
        <v>14.166666666666668</v>
      </c>
      <c r="I732" s="233"/>
      <c r="J732" s="27">
        <f t="shared" si="58"/>
        <v>8.5</v>
      </c>
      <c r="K732" s="27">
        <f t="shared" si="61"/>
        <v>22.666666666666668</v>
      </c>
      <c r="L732" s="146"/>
      <c r="M732" s="24"/>
      <c r="N732" s="143"/>
      <c r="O732" s="29">
        <f>P732*O687</f>
        <v>14.166666666666668</v>
      </c>
      <c r="P732" s="144">
        <v>10</v>
      </c>
      <c r="Q732" s="2"/>
    </row>
    <row r="733" spans="1:17">
      <c r="A733" s="14">
        <v>732</v>
      </c>
      <c r="B733" s="14" t="s">
        <v>1295</v>
      </c>
      <c r="C733" s="14" t="s">
        <v>596</v>
      </c>
      <c r="D733" s="14" t="s">
        <v>864</v>
      </c>
      <c r="E733" s="14" t="s">
        <v>767</v>
      </c>
      <c r="F733" s="15" t="s">
        <v>866</v>
      </c>
      <c r="G733" s="15"/>
      <c r="H733" s="27">
        <f t="shared" si="60"/>
        <v>0</v>
      </c>
      <c r="I733" s="231"/>
      <c r="J733" s="27">
        <f t="shared" si="58"/>
        <v>0</v>
      </c>
      <c r="K733" s="27">
        <f t="shared" si="61"/>
        <v>0</v>
      </c>
      <c r="L733" s="106"/>
      <c r="M733" s="147"/>
      <c r="N733" s="36"/>
      <c r="O733" s="36"/>
      <c r="P733" s="37"/>
      <c r="Q733" s="2"/>
    </row>
    <row r="734" spans="1:17">
      <c r="A734" s="14">
        <v>733</v>
      </c>
      <c r="B734" s="14" t="s">
        <v>1295</v>
      </c>
      <c r="C734" s="14" t="s">
        <v>596</v>
      </c>
      <c r="D734" s="14" t="s">
        <v>864</v>
      </c>
      <c r="E734" s="14" t="s">
        <v>767</v>
      </c>
      <c r="F734" s="15" t="s">
        <v>867</v>
      </c>
      <c r="G734" s="15"/>
      <c r="H734" s="27">
        <f t="shared" si="60"/>
        <v>85</v>
      </c>
      <c r="I734" s="231"/>
      <c r="J734" s="27">
        <f t="shared" si="58"/>
        <v>51</v>
      </c>
      <c r="K734" s="27">
        <f t="shared" si="61"/>
        <v>136</v>
      </c>
      <c r="L734" s="146"/>
      <c r="M734" s="24"/>
      <c r="N734" s="24"/>
      <c r="O734" s="23">
        <f>P734*O687</f>
        <v>85</v>
      </c>
      <c r="P734" s="144">
        <v>60</v>
      </c>
      <c r="Q734" s="2"/>
    </row>
    <row r="735" spans="1:17">
      <c r="A735" s="14">
        <v>734</v>
      </c>
      <c r="B735" s="14" t="s">
        <v>1295</v>
      </c>
      <c r="C735" s="14" t="s">
        <v>596</v>
      </c>
      <c r="D735" s="14" t="s">
        <v>864</v>
      </c>
      <c r="E735" s="14" t="s">
        <v>767</v>
      </c>
      <c r="F735" s="15" t="s">
        <v>868</v>
      </c>
      <c r="G735" s="15"/>
      <c r="H735" s="27">
        <f t="shared" si="60"/>
        <v>53.125</v>
      </c>
      <c r="I735" s="231"/>
      <c r="J735" s="27">
        <f t="shared" si="58"/>
        <v>31.875</v>
      </c>
      <c r="K735" s="27">
        <f t="shared" si="61"/>
        <v>85</v>
      </c>
      <c r="L735" s="146"/>
      <c r="M735" s="24"/>
      <c r="N735" s="24"/>
      <c r="O735" s="23">
        <f>P735*O687</f>
        <v>53.125</v>
      </c>
      <c r="P735" s="144">
        <v>37.5</v>
      </c>
      <c r="Q735" s="2"/>
    </row>
    <row r="736" spans="1:17">
      <c r="A736" s="14">
        <v>735</v>
      </c>
      <c r="B736" s="14" t="s">
        <v>1295</v>
      </c>
      <c r="C736" s="14" t="s">
        <v>596</v>
      </c>
      <c r="D736" s="14" t="s">
        <v>864</v>
      </c>
      <c r="E736" s="14" t="s">
        <v>767</v>
      </c>
      <c r="F736" s="15" t="s">
        <v>869</v>
      </c>
      <c r="G736" s="15"/>
      <c r="H736" s="27">
        <f t="shared" si="60"/>
        <v>170</v>
      </c>
      <c r="I736" s="231"/>
      <c r="J736" s="27">
        <f t="shared" si="58"/>
        <v>102</v>
      </c>
      <c r="K736" s="27">
        <f t="shared" si="61"/>
        <v>272</v>
      </c>
      <c r="L736" s="146"/>
      <c r="M736" s="24"/>
      <c r="N736" s="24"/>
      <c r="O736" s="23">
        <f>P736*O687</f>
        <v>170</v>
      </c>
      <c r="P736" s="148">
        <v>120</v>
      </c>
      <c r="Q736" s="2"/>
    </row>
    <row r="737" spans="1:17">
      <c r="A737" s="14">
        <v>736</v>
      </c>
      <c r="B737" s="14" t="s">
        <v>1295</v>
      </c>
      <c r="C737" s="14" t="s">
        <v>596</v>
      </c>
      <c r="D737" s="14" t="s">
        <v>864</v>
      </c>
      <c r="E737" s="14" t="s">
        <v>767</v>
      </c>
      <c r="F737" s="15" t="s">
        <v>870</v>
      </c>
      <c r="G737" s="15"/>
      <c r="H737" s="27">
        <f t="shared" si="60"/>
        <v>35.416666666666671</v>
      </c>
      <c r="I737" s="231"/>
      <c r="J737" s="27">
        <f t="shared" si="58"/>
        <v>21.250000000000004</v>
      </c>
      <c r="K737" s="27">
        <f>J737+I737+H737</f>
        <v>56.666666666666671</v>
      </c>
      <c r="L737" s="146"/>
      <c r="M737" s="24"/>
      <c r="N737" s="24"/>
      <c r="O737" s="23">
        <f>P737*O687</f>
        <v>35.416666666666671</v>
      </c>
      <c r="P737" s="148">
        <v>25</v>
      </c>
      <c r="Q737" s="2"/>
    </row>
    <row r="738" spans="1:17">
      <c r="A738" s="14">
        <v>737</v>
      </c>
      <c r="B738" s="14" t="s">
        <v>1295</v>
      </c>
      <c r="C738" s="14" t="s">
        <v>596</v>
      </c>
      <c r="D738" s="14" t="s">
        <v>864</v>
      </c>
      <c r="E738" s="14" t="s">
        <v>767</v>
      </c>
      <c r="F738" s="21" t="s">
        <v>871</v>
      </c>
      <c r="G738" s="21"/>
      <c r="H738" s="27">
        <f t="shared" si="60"/>
        <v>340</v>
      </c>
      <c r="I738" s="231"/>
      <c r="J738" s="27">
        <f t="shared" si="58"/>
        <v>204</v>
      </c>
      <c r="K738" s="27">
        <f t="shared" ref="K738:K758" si="62">H738+I738+J738</f>
        <v>544</v>
      </c>
      <c r="L738" s="146"/>
      <c r="M738" s="24"/>
      <c r="N738" s="24"/>
      <c r="O738" s="23">
        <f>O687*P738</f>
        <v>340</v>
      </c>
      <c r="P738" s="148">
        <v>240</v>
      </c>
      <c r="Q738" s="2"/>
    </row>
    <row r="739" spans="1:17">
      <c r="A739" s="14">
        <v>738</v>
      </c>
      <c r="B739" s="14" t="s">
        <v>1295</v>
      </c>
      <c r="C739" s="14" t="s">
        <v>596</v>
      </c>
      <c r="D739" s="14" t="s">
        <v>864</v>
      </c>
      <c r="E739" s="14" t="s">
        <v>767</v>
      </c>
      <c r="F739" s="21" t="s">
        <v>872</v>
      </c>
      <c r="G739" s="21"/>
      <c r="H739" s="27">
        <f t="shared" si="60"/>
        <v>35.416666666666671</v>
      </c>
      <c r="I739" s="231"/>
      <c r="J739" s="27">
        <f t="shared" si="58"/>
        <v>21.250000000000004</v>
      </c>
      <c r="K739" s="27">
        <f t="shared" si="62"/>
        <v>56.666666666666671</v>
      </c>
      <c r="L739" s="106"/>
      <c r="M739" s="147"/>
      <c r="N739" s="36"/>
      <c r="O739" s="38">
        <f>P739*O687</f>
        <v>35.416666666666671</v>
      </c>
      <c r="P739" s="149">
        <v>25</v>
      </c>
      <c r="Q739" s="2"/>
    </row>
    <row r="740" spans="1:17">
      <c r="A740" s="14">
        <v>739</v>
      </c>
      <c r="B740" s="14" t="s">
        <v>1295</v>
      </c>
      <c r="C740" s="14" t="s">
        <v>596</v>
      </c>
      <c r="D740" s="14" t="s">
        <v>864</v>
      </c>
      <c r="E740" s="14" t="s">
        <v>767</v>
      </c>
      <c r="F740" s="21" t="s">
        <v>873</v>
      </c>
      <c r="G740" s="21"/>
      <c r="H740" s="27">
        <f t="shared" si="60"/>
        <v>35.416666666666671</v>
      </c>
      <c r="I740" s="231"/>
      <c r="J740" s="27">
        <f t="shared" si="58"/>
        <v>21.250000000000004</v>
      </c>
      <c r="K740" s="27">
        <f t="shared" si="62"/>
        <v>56.666666666666671</v>
      </c>
      <c r="L740" s="146"/>
      <c r="M740" s="24"/>
      <c r="N740" s="143"/>
      <c r="O740" s="29">
        <f>P740*O687</f>
        <v>35.416666666666671</v>
      </c>
      <c r="P740" s="144">
        <v>25</v>
      </c>
      <c r="Q740" s="2"/>
    </row>
    <row r="741" spans="1:17">
      <c r="A741" s="14">
        <v>740</v>
      </c>
      <c r="B741" s="14" t="s">
        <v>1295</v>
      </c>
      <c r="C741" s="14" t="s">
        <v>596</v>
      </c>
      <c r="D741" s="14" t="s">
        <v>864</v>
      </c>
      <c r="E741" s="14" t="s">
        <v>767</v>
      </c>
      <c r="F741" s="21" t="s">
        <v>874</v>
      </c>
      <c r="G741" s="21"/>
      <c r="H741" s="27">
        <f t="shared" si="60"/>
        <v>42.5</v>
      </c>
      <c r="I741" s="231"/>
      <c r="J741" s="27">
        <f t="shared" si="58"/>
        <v>25.5</v>
      </c>
      <c r="K741" s="27">
        <f t="shared" si="62"/>
        <v>68</v>
      </c>
      <c r="L741" s="146"/>
      <c r="M741" s="24"/>
      <c r="N741" s="143"/>
      <c r="O741" s="29">
        <f>P741*O687</f>
        <v>42.5</v>
      </c>
      <c r="P741" s="144">
        <v>30</v>
      </c>
      <c r="Q741" s="2"/>
    </row>
    <row r="742" spans="1:17">
      <c r="A742" s="14">
        <v>741</v>
      </c>
      <c r="B742" s="14" t="s">
        <v>1295</v>
      </c>
      <c r="C742" s="14" t="s">
        <v>596</v>
      </c>
      <c r="D742" s="14" t="s">
        <v>864</v>
      </c>
      <c r="E742" s="14" t="s">
        <v>767</v>
      </c>
      <c r="F742" s="21" t="s">
        <v>875</v>
      </c>
      <c r="G742" s="21"/>
      <c r="H742" s="27">
        <f t="shared" si="60"/>
        <v>53.125</v>
      </c>
      <c r="I742" s="231"/>
      <c r="J742" s="27">
        <f t="shared" si="58"/>
        <v>31.875</v>
      </c>
      <c r="K742" s="27">
        <f t="shared" si="62"/>
        <v>85</v>
      </c>
      <c r="L742" s="146"/>
      <c r="M742" s="24"/>
      <c r="N742" s="143"/>
      <c r="O742" s="29">
        <f>P742*O687</f>
        <v>53.125</v>
      </c>
      <c r="P742" s="144">
        <v>37.5</v>
      </c>
      <c r="Q742" s="2"/>
    </row>
    <row r="743" spans="1:17">
      <c r="A743" s="14">
        <v>742</v>
      </c>
      <c r="B743" s="14" t="s">
        <v>1295</v>
      </c>
      <c r="C743" s="14" t="s">
        <v>596</v>
      </c>
      <c r="D743" s="14" t="s">
        <v>876</v>
      </c>
      <c r="E743" s="14" t="s">
        <v>767</v>
      </c>
      <c r="F743" s="21" t="s">
        <v>877</v>
      </c>
      <c r="G743" s="21"/>
      <c r="H743" s="27">
        <f t="shared" si="60"/>
        <v>42.5</v>
      </c>
      <c r="I743" s="231"/>
      <c r="J743" s="27">
        <f t="shared" si="58"/>
        <v>25.5</v>
      </c>
      <c r="K743" s="27">
        <f t="shared" si="62"/>
        <v>68</v>
      </c>
      <c r="L743" s="146"/>
      <c r="M743" s="24"/>
      <c r="N743" s="143"/>
      <c r="O743" s="29">
        <f>P743*O687</f>
        <v>42.5</v>
      </c>
      <c r="P743" s="144">
        <v>30</v>
      </c>
      <c r="Q743" s="2"/>
    </row>
    <row r="744" spans="1:17">
      <c r="A744" s="14">
        <v>743</v>
      </c>
      <c r="B744" s="14" t="s">
        <v>1295</v>
      </c>
      <c r="C744" s="14" t="s">
        <v>596</v>
      </c>
      <c r="D744" s="14" t="s">
        <v>876</v>
      </c>
      <c r="E744" s="14" t="s">
        <v>767</v>
      </c>
      <c r="F744" s="21" t="s">
        <v>104</v>
      </c>
      <c r="G744" s="21"/>
      <c r="H744" s="27">
        <f t="shared" si="60"/>
        <v>1.7708333333333335</v>
      </c>
      <c r="I744" s="231"/>
      <c r="J744" s="27">
        <f t="shared" si="58"/>
        <v>1.0625</v>
      </c>
      <c r="K744" s="27">
        <f t="shared" si="62"/>
        <v>2.8333333333333335</v>
      </c>
      <c r="L744" s="136"/>
      <c r="M744" s="24"/>
      <c r="N744" s="143"/>
      <c r="O744" s="29">
        <f>O687*P744</f>
        <v>1.7708333333333335</v>
      </c>
      <c r="P744" s="144">
        <v>1.25</v>
      </c>
      <c r="Q744" s="2"/>
    </row>
    <row r="745" spans="1:17">
      <c r="A745" s="14">
        <v>744</v>
      </c>
      <c r="B745" s="14" t="s">
        <v>1295</v>
      </c>
      <c r="C745" s="14" t="s">
        <v>596</v>
      </c>
      <c r="D745" s="14" t="s">
        <v>876</v>
      </c>
      <c r="E745" s="14" t="s">
        <v>767</v>
      </c>
      <c r="F745" s="21" t="s">
        <v>104</v>
      </c>
      <c r="G745" s="21"/>
      <c r="H745" s="27">
        <f t="shared" si="60"/>
        <v>9.9166666666666679</v>
      </c>
      <c r="I745" s="231"/>
      <c r="J745" s="27">
        <f t="shared" si="58"/>
        <v>5.95</v>
      </c>
      <c r="K745" s="27">
        <f t="shared" si="62"/>
        <v>15.866666666666667</v>
      </c>
      <c r="L745" s="136"/>
      <c r="M745" s="41"/>
      <c r="N745" s="143"/>
      <c r="O745" s="29">
        <f>P745*O687</f>
        <v>9.9166666666666679</v>
      </c>
      <c r="P745" s="144">
        <v>7</v>
      </c>
      <c r="Q745" s="2"/>
    </row>
    <row r="746" spans="1:17">
      <c r="A746" s="14">
        <v>745</v>
      </c>
      <c r="B746" s="14" t="s">
        <v>1295</v>
      </c>
      <c r="C746" s="14" t="s">
        <v>596</v>
      </c>
      <c r="D746" s="14" t="s">
        <v>876</v>
      </c>
      <c r="E746" s="14" t="s">
        <v>767</v>
      </c>
      <c r="F746" s="21" t="s">
        <v>104</v>
      </c>
      <c r="G746" s="21"/>
      <c r="H746" s="27">
        <f t="shared" si="60"/>
        <v>14.166666666666668</v>
      </c>
      <c r="I746" s="231"/>
      <c r="J746" s="27">
        <f t="shared" si="58"/>
        <v>8.5</v>
      </c>
      <c r="K746" s="27">
        <f t="shared" si="62"/>
        <v>22.666666666666668</v>
      </c>
      <c r="L746" s="146"/>
      <c r="M746" s="24"/>
      <c r="N746" s="143"/>
      <c r="O746" s="29">
        <f>P746*O687</f>
        <v>14.166666666666668</v>
      </c>
      <c r="P746" s="144">
        <v>10</v>
      </c>
      <c r="Q746" s="2"/>
    </row>
    <row r="747" spans="1:17">
      <c r="A747" s="14">
        <v>746</v>
      </c>
      <c r="B747" s="14" t="s">
        <v>1295</v>
      </c>
      <c r="C747" s="14" t="s">
        <v>596</v>
      </c>
      <c r="D747" s="14" t="s">
        <v>876</v>
      </c>
      <c r="E747" s="14" t="s">
        <v>767</v>
      </c>
      <c r="F747" s="21"/>
      <c r="G747" s="21"/>
      <c r="H747" s="27">
        <f t="shared" si="60"/>
        <v>28.333333333333336</v>
      </c>
      <c r="I747" s="231"/>
      <c r="J747" s="27">
        <f t="shared" si="58"/>
        <v>17</v>
      </c>
      <c r="K747" s="27">
        <f t="shared" si="62"/>
        <v>45.333333333333336</v>
      </c>
      <c r="L747" s="146"/>
      <c r="M747" s="24"/>
      <c r="N747" s="143"/>
      <c r="O747" s="29">
        <f>P747*O687</f>
        <v>28.333333333333336</v>
      </c>
      <c r="P747" s="144">
        <v>20</v>
      </c>
      <c r="Q747" s="2"/>
    </row>
    <row r="748" spans="1:17">
      <c r="A748" s="14">
        <v>747</v>
      </c>
      <c r="B748" s="14" t="s">
        <v>1295</v>
      </c>
      <c r="C748" s="14" t="s">
        <v>105</v>
      </c>
      <c r="D748" s="14" t="s">
        <v>878</v>
      </c>
      <c r="E748" s="14" t="s">
        <v>9</v>
      </c>
      <c r="F748" s="21" t="s">
        <v>879</v>
      </c>
      <c r="G748" s="21"/>
      <c r="H748" s="27">
        <v>400</v>
      </c>
      <c r="I748" s="231"/>
      <c r="J748" s="27">
        <f>H748*$D$6</f>
        <v>240</v>
      </c>
      <c r="K748" s="27">
        <f t="shared" si="62"/>
        <v>640</v>
      </c>
      <c r="L748" s="146"/>
      <c r="M748" s="24"/>
      <c r="N748" s="29"/>
      <c r="O748" s="23">
        <f>P748*O687</f>
        <v>1.4166666666666667</v>
      </c>
      <c r="P748" s="144">
        <v>1</v>
      </c>
      <c r="Q748" s="2"/>
    </row>
    <row r="749" spans="1:17">
      <c r="A749" s="14">
        <v>748</v>
      </c>
      <c r="B749" s="14" t="s">
        <v>1295</v>
      </c>
      <c r="C749" s="14" t="s">
        <v>105</v>
      </c>
      <c r="D749" s="14" t="s">
        <v>880</v>
      </c>
      <c r="E749" s="14" t="s">
        <v>9</v>
      </c>
      <c r="G749" s="90"/>
      <c r="H749" s="27"/>
      <c r="I749" s="231"/>
      <c r="J749" s="27">
        <f t="shared" si="58"/>
        <v>0</v>
      </c>
      <c r="K749" s="27">
        <f t="shared" si="62"/>
        <v>0</v>
      </c>
      <c r="L749" s="136"/>
      <c r="M749" s="41"/>
      <c r="N749" s="24"/>
      <c r="O749" s="23">
        <f t="shared" ref="O749:O754" si="63">P749*$O$687</f>
        <v>18.888841666666668</v>
      </c>
      <c r="P749" s="144">
        <v>13.333299999999999</v>
      </c>
      <c r="Q749" s="2"/>
    </row>
    <row r="750" spans="1:17">
      <c r="A750" s="14">
        <v>749</v>
      </c>
      <c r="B750" s="14" t="s">
        <v>1295</v>
      </c>
      <c r="C750" s="14" t="s">
        <v>105</v>
      </c>
      <c r="D750" s="14" t="s">
        <v>880</v>
      </c>
      <c r="E750" s="14" t="s">
        <v>9</v>
      </c>
      <c r="F750" s="21" t="s">
        <v>881</v>
      </c>
      <c r="G750" s="21"/>
      <c r="H750" s="27">
        <v>100</v>
      </c>
      <c r="I750" s="231"/>
      <c r="J750" s="27">
        <f t="shared" si="58"/>
        <v>60</v>
      </c>
      <c r="K750" s="27">
        <f t="shared" si="62"/>
        <v>160</v>
      </c>
      <c r="L750" s="146"/>
      <c r="M750" s="24"/>
      <c r="N750" s="10"/>
      <c r="O750" s="23">
        <f t="shared" si="63"/>
        <v>425</v>
      </c>
      <c r="P750" s="144">
        <v>300</v>
      </c>
      <c r="Q750" s="2"/>
    </row>
    <row r="751" spans="1:17">
      <c r="A751" s="14">
        <v>750</v>
      </c>
      <c r="B751" s="14" t="s">
        <v>1295</v>
      </c>
      <c r="C751" s="14" t="s">
        <v>105</v>
      </c>
      <c r="D751" s="14" t="s">
        <v>880</v>
      </c>
      <c r="E751" s="14" t="s">
        <v>9</v>
      </c>
      <c r="F751" s="21" t="s">
        <v>882</v>
      </c>
      <c r="G751" s="21"/>
      <c r="H751" s="27">
        <v>50</v>
      </c>
      <c r="I751" s="231"/>
      <c r="J751" s="27">
        <f t="shared" si="58"/>
        <v>30</v>
      </c>
      <c r="K751" s="27">
        <f t="shared" si="62"/>
        <v>80</v>
      </c>
      <c r="L751" s="146"/>
      <c r="M751" s="24"/>
      <c r="N751" s="10"/>
      <c r="O751" s="23">
        <f t="shared" si="63"/>
        <v>0</v>
      </c>
      <c r="P751" s="144"/>
      <c r="Q751" s="2"/>
    </row>
    <row r="752" spans="1:17">
      <c r="A752" s="14">
        <v>751</v>
      </c>
      <c r="B752" s="14" t="s">
        <v>1295</v>
      </c>
      <c r="C752" s="14" t="s">
        <v>105</v>
      </c>
      <c r="D752" s="14" t="s">
        <v>880</v>
      </c>
      <c r="E752" s="14" t="s">
        <v>9</v>
      </c>
      <c r="F752" s="21" t="s">
        <v>883</v>
      </c>
      <c r="G752" s="21"/>
      <c r="H752" s="27">
        <v>350</v>
      </c>
      <c r="I752" s="231"/>
      <c r="J752" s="27">
        <f t="shared" si="58"/>
        <v>210</v>
      </c>
      <c r="K752" s="27">
        <f t="shared" si="62"/>
        <v>560</v>
      </c>
      <c r="L752" s="146"/>
      <c r="M752" s="24"/>
      <c r="N752" s="10"/>
      <c r="O752" s="23">
        <f t="shared" si="63"/>
        <v>0</v>
      </c>
      <c r="P752" s="144"/>
      <c r="Q752" s="2"/>
    </row>
    <row r="753" spans="1:17">
      <c r="A753" s="14">
        <v>752</v>
      </c>
      <c r="B753" s="14" t="s">
        <v>1295</v>
      </c>
      <c r="C753" s="14" t="s">
        <v>105</v>
      </c>
      <c r="D753" s="14" t="s">
        <v>884</v>
      </c>
      <c r="E753" s="14" t="s">
        <v>9</v>
      </c>
      <c r="G753" s="90"/>
      <c r="H753" s="27"/>
      <c r="I753" s="231"/>
      <c r="J753" s="27">
        <f t="shared" si="58"/>
        <v>0</v>
      </c>
      <c r="K753" s="27">
        <f t="shared" si="62"/>
        <v>0</v>
      </c>
      <c r="L753" s="146"/>
      <c r="M753" s="24"/>
      <c r="N753" s="10"/>
      <c r="O753" s="23">
        <f t="shared" si="63"/>
        <v>0</v>
      </c>
      <c r="P753" s="144"/>
      <c r="Q753" s="2"/>
    </row>
    <row r="754" spans="1:17" ht="13.5" thickBot="1">
      <c r="A754" s="14">
        <v>753</v>
      </c>
      <c r="B754" s="14" t="s">
        <v>1295</v>
      </c>
      <c r="C754" s="14" t="s">
        <v>105</v>
      </c>
      <c r="D754" s="14" t="s">
        <v>884</v>
      </c>
      <c r="E754" s="14" t="s">
        <v>9</v>
      </c>
      <c r="F754" s="21" t="s">
        <v>885</v>
      </c>
      <c r="G754" s="21"/>
      <c r="H754" s="27">
        <v>120</v>
      </c>
      <c r="I754" s="231"/>
      <c r="J754" s="27">
        <f t="shared" si="58"/>
        <v>72</v>
      </c>
      <c r="K754" s="27">
        <f t="shared" si="62"/>
        <v>192</v>
      </c>
      <c r="L754" s="150"/>
      <c r="M754" s="133"/>
      <c r="N754" s="113"/>
      <c r="O754" s="26">
        <f t="shared" si="63"/>
        <v>0</v>
      </c>
      <c r="P754" s="151"/>
      <c r="Q754" s="2"/>
    </row>
    <row r="755" spans="1:17" ht="13.5" thickTop="1">
      <c r="A755" s="14">
        <v>754</v>
      </c>
      <c r="B755" s="14" t="s">
        <v>1295</v>
      </c>
      <c r="C755" s="14" t="s">
        <v>105</v>
      </c>
      <c r="D755" s="14" t="s">
        <v>884</v>
      </c>
      <c r="E755" s="14" t="s">
        <v>9</v>
      </c>
      <c r="F755" s="21"/>
      <c r="G755" s="21"/>
      <c r="H755" s="27">
        <v>360</v>
      </c>
      <c r="I755" s="231"/>
      <c r="J755" s="27">
        <f t="shared" si="58"/>
        <v>216</v>
      </c>
      <c r="K755" s="27">
        <f t="shared" si="62"/>
        <v>576</v>
      </c>
      <c r="L755" s="136"/>
      <c r="M755" s="41"/>
      <c r="N755" s="24"/>
      <c r="O755" s="23"/>
      <c r="P755" s="144"/>
      <c r="Q755" s="2"/>
    </row>
    <row r="756" spans="1:17">
      <c r="A756" s="14">
        <v>755</v>
      </c>
      <c r="B756" s="14" t="s">
        <v>1295</v>
      </c>
      <c r="C756" s="14" t="s">
        <v>105</v>
      </c>
      <c r="D756" s="14" t="s">
        <v>886</v>
      </c>
      <c r="E756" s="14" t="s">
        <v>9</v>
      </c>
      <c r="F756" s="21" t="s">
        <v>887</v>
      </c>
      <c r="G756" s="21"/>
      <c r="H756" s="27">
        <f>O756</f>
        <v>0</v>
      </c>
      <c r="I756" s="231"/>
      <c r="J756" s="27">
        <f t="shared" si="58"/>
        <v>0</v>
      </c>
      <c r="K756" s="27">
        <f t="shared" si="62"/>
        <v>0</v>
      </c>
      <c r="L756" s="136"/>
      <c r="M756" s="41"/>
      <c r="N756" s="24"/>
      <c r="O756" s="23"/>
      <c r="P756" s="144"/>
      <c r="Q756" s="2"/>
    </row>
    <row r="757" spans="1:17">
      <c r="A757" s="14">
        <v>756</v>
      </c>
      <c r="B757" s="14" t="s">
        <v>1295</v>
      </c>
      <c r="C757" s="14" t="s">
        <v>105</v>
      </c>
      <c r="D757" s="14" t="s">
        <v>886</v>
      </c>
      <c r="E757" s="14" t="s">
        <v>9</v>
      </c>
      <c r="F757" s="21" t="s">
        <v>888</v>
      </c>
      <c r="G757" s="21"/>
      <c r="H757" s="27">
        <v>40</v>
      </c>
      <c r="I757" s="231"/>
      <c r="J757" s="27">
        <f t="shared" si="58"/>
        <v>24</v>
      </c>
      <c r="K757" s="27">
        <f t="shared" si="62"/>
        <v>64</v>
      </c>
      <c r="L757" s="136"/>
      <c r="M757" s="41"/>
      <c r="N757" s="24"/>
      <c r="O757" s="23"/>
      <c r="P757" s="144"/>
      <c r="Q757" s="2"/>
    </row>
    <row r="758" spans="1:17">
      <c r="A758" s="14">
        <v>757</v>
      </c>
      <c r="B758" s="14" t="s">
        <v>1295</v>
      </c>
      <c r="C758" s="14" t="s">
        <v>105</v>
      </c>
      <c r="D758" s="14" t="s">
        <v>886</v>
      </c>
      <c r="E758" s="14" t="s">
        <v>9</v>
      </c>
      <c r="F758" s="21" t="s">
        <v>889</v>
      </c>
      <c r="G758" s="21"/>
      <c r="H758" s="27">
        <v>200</v>
      </c>
      <c r="I758" s="231"/>
      <c r="J758" s="27">
        <f t="shared" si="58"/>
        <v>120</v>
      </c>
      <c r="K758" s="27">
        <f t="shared" si="62"/>
        <v>320</v>
      </c>
      <c r="L758" s="136"/>
      <c r="M758" s="41"/>
      <c r="N758" s="24"/>
      <c r="O758" s="23"/>
      <c r="P758" s="144"/>
      <c r="Q758" s="2"/>
    </row>
    <row r="759" spans="1:17">
      <c r="A759" s="14">
        <v>760</v>
      </c>
      <c r="B759" s="14" t="s">
        <v>1295</v>
      </c>
      <c r="C759" s="14" t="s">
        <v>105</v>
      </c>
      <c r="D759" s="14" t="s">
        <v>890</v>
      </c>
      <c r="E759" s="14" t="s">
        <v>8</v>
      </c>
      <c r="F759" s="21" t="s">
        <v>891</v>
      </c>
      <c r="G759" s="21"/>
      <c r="H759" s="27">
        <v>1280</v>
      </c>
      <c r="I759" s="231"/>
      <c r="J759" s="27">
        <f t="shared" si="58"/>
        <v>768</v>
      </c>
      <c r="K759" s="27">
        <v>2048</v>
      </c>
      <c r="L759" s="136"/>
      <c r="M759" s="41"/>
      <c r="N759" s="24"/>
      <c r="O759" s="23"/>
      <c r="P759" s="144"/>
      <c r="Q759" s="2"/>
    </row>
    <row r="760" spans="1:17">
      <c r="A760" s="14">
        <v>761</v>
      </c>
      <c r="B760" s="14" t="s">
        <v>1295</v>
      </c>
      <c r="C760" s="14" t="s">
        <v>105</v>
      </c>
      <c r="D760" s="14" t="s">
        <v>890</v>
      </c>
      <c r="E760" s="14" t="s">
        <v>8</v>
      </c>
      <c r="F760" s="21" t="s">
        <v>892</v>
      </c>
      <c r="G760" s="21"/>
      <c r="H760" s="27">
        <v>1280</v>
      </c>
      <c r="I760" s="238"/>
      <c r="J760" s="27">
        <f t="shared" si="58"/>
        <v>768</v>
      </c>
      <c r="K760" s="27">
        <v>2048</v>
      </c>
      <c r="L760" s="136"/>
      <c r="M760" s="41"/>
      <c r="N760" s="24"/>
      <c r="O760" s="23"/>
      <c r="P760" s="144"/>
      <c r="Q760" s="2"/>
    </row>
    <row r="761" spans="1:17">
      <c r="A761" s="14">
        <v>762</v>
      </c>
      <c r="B761" s="14" t="s">
        <v>1295</v>
      </c>
      <c r="C761" s="14" t="s">
        <v>105</v>
      </c>
      <c r="D761" s="14" t="s">
        <v>890</v>
      </c>
      <c r="E761" s="14" t="s">
        <v>8</v>
      </c>
      <c r="F761" s="21" t="s">
        <v>893</v>
      </c>
      <c r="G761" s="21"/>
      <c r="H761" s="27">
        <v>720</v>
      </c>
      <c r="I761" s="231"/>
      <c r="J761" s="27">
        <f t="shared" si="58"/>
        <v>432</v>
      </c>
      <c r="K761" s="27">
        <v>1152</v>
      </c>
      <c r="L761" s="136"/>
      <c r="M761" s="41"/>
      <c r="N761" s="24"/>
      <c r="O761" s="23"/>
      <c r="P761" s="144"/>
      <c r="Q761" s="2"/>
    </row>
    <row r="762" spans="1:17">
      <c r="A762" s="14">
        <v>763</v>
      </c>
      <c r="B762" s="14" t="s">
        <v>1349</v>
      </c>
      <c r="C762" s="14" t="s">
        <v>105</v>
      </c>
      <c r="D762" s="14" t="s">
        <v>890</v>
      </c>
      <c r="E762" s="14" t="s">
        <v>8</v>
      </c>
      <c r="F762" s="21" t="s">
        <v>894</v>
      </c>
      <c r="G762" s="21"/>
      <c r="H762" s="27">
        <v>160</v>
      </c>
      <c r="I762" s="231"/>
      <c r="J762" s="27">
        <f t="shared" si="58"/>
        <v>96</v>
      </c>
      <c r="K762" s="27">
        <v>256</v>
      </c>
      <c r="L762" s="136"/>
      <c r="M762" s="41"/>
      <c r="N762" s="24"/>
      <c r="O762" s="23"/>
      <c r="P762" s="144"/>
      <c r="Q762" s="2"/>
    </row>
    <row r="763" spans="1:17">
      <c r="A763" s="14">
        <v>764</v>
      </c>
      <c r="B763" s="14" t="s">
        <v>1349</v>
      </c>
      <c r="C763" s="14" t="s">
        <v>105</v>
      </c>
      <c r="D763" s="14" t="s">
        <v>890</v>
      </c>
      <c r="E763" s="14" t="s">
        <v>8</v>
      </c>
      <c r="F763" s="21" t="s">
        <v>895</v>
      </c>
      <c r="G763" s="21"/>
      <c r="H763" s="27">
        <v>80</v>
      </c>
      <c r="I763" s="231"/>
      <c r="J763" s="27">
        <f t="shared" si="58"/>
        <v>48</v>
      </c>
      <c r="K763" s="27">
        <v>128</v>
      </c>
      <c r="L763" s="136"/>
      <c r="M763" s="41"/>
      <c r="N763" s="24"/>
      <c r="O763" s="23">
        <f>P763*O687</f>
        <v>85</v>
      </c>
      <c r="P763" s="144">
        <v>60</v>
      </c>
      <c r="Q763" s="2"/>
    </row>
    <row r="764" spans="1:17" ht="13.5" thickBot="1">
      <c r="A764" s="14">
        <v>765</v>
      </c>
      <c r="B764" s="14" t="s">
        <v>1349</v>
      </c>
      <c r="C764" s="14" t="s">
        <v>105</v>
      </c>
      <c r="D764" s="14" t="s">
        <v>1353</v>
      </c>
      <c r="E764" s="14" t="s">
        <v>8</v>
      </c>
      <c r="F764" s="21" t="s">
        <v>896</v>
      </c>
      <c r="G764" s="21"/>
      <c r="H764" s="27">
        <v>240</v>
      </c>
      <c r="I764" s="231"/>
      <c r="J764" s="27">
        <f t="shared" si="58"/>
        <v>144</v>
      </c>
      <c r="K764" s="27">
        <v>384</v>
      </c>
      <c r="L764" s="152"/>
      <c r="M764" s="51"/>
      <c r="N764" s="133"/>
      <c r="O764" s="26"/>
      <c r="P764" s="151"/>
      <c r="Q764" s="2"/>
    </row>
    <row r="765" spans="1:17" ht="14.25" thickTop="1" thickBot="1">
      <c r="A765" s="14">
        <v>766</v>
      </c>
      <c r="B765" s="14" t="s">
        <v>1349</v>
      </c>
      <c r="C765" s="14" t="s">
        <v>105</v>
      </c>
      <c r="D765" s="14" t="s">
        <v>890</v>
      </c>
      <c r="E765" s="14" t="s">
        <v>8</v>
      </c>
      <c r="F765" s="21" t="s">
        <v>897</v>
      </c>
      <c r="G765" s="21"/>
      <c r="H765" s="27">
        <v>260</v>
      </c>
      <c r="I765" s="231"/>
      <c r="J765" s="27">
        <f t="shared" si="58"/>
        <v>156</v>
      </c>
      <c r="K765" s="27">
        <v>416</v>
      </c>
      <c r="L765" s="153"/>
      <c r="M765" s="21"/>
      <c r="N765" s="21"/>
      <c r="O765" s="27"/>
      <c r="P765" s="154"/>
      <c r="Q765" s="2"/>
    </row>
    <row r="766" spans="1:17" ht="14.25" thickTop="1" thickBot="1">
      <c r="A766" s="14">
        <v>767</v>
      </c>
      <c r="B766" s="14" t="s">
        <v>1295</v>
      </c>
      <c r="C766" s="14" t="s">
        <v>105</v>
      </c>
      <c r="D766" s="14" t="s">
        <v>890</v>
      </c>
      <c r="E766" s="14" t="s">
        <v>8</v>
      </c>
      <c r="F766" s="21" t="s">
        <v>898</v>
      </c>
      <c r="G766" s="21"/>
      <c r="H766" s="27">
        <v>18.666666666666664</v>
      </c>
      <c r="I766" s="231"/>
      <c r="J766" s="27">
        <f t="shared" si="58"/>
        <v>11.199999999999998</v>
      </c>
      <c r="K766" s="27">
        <v>29.86666666666666</v>
      </c>
      <c r="L766" s="155"/>
      <c r="M766" s="156"/>
      <c r="N766" s="121" t="s">
        <v>759</v>
      </c>
      <c r="O766" s="121" t="s">
        <v>760</v>
      </c>
      <c r="P766" s="283" t="s">
        <v>761</v>
      </c>
      <c r="Q766" s="2"/>
    </row>
    <row r="767" spans="1:17" ht="14.25" thickTop="1" thickBot="1">
      <c r="A767" s="14">
        <v>768</v>
      </c>
      <c r="B767" s="14" t="s">
        <v>1295</v>
      </c>
      <c r="C767" s="14" t="s">
        <v>105</v>
      </c>
      <c r="D767" s="14" t="s">
        <v>890</v>
      </c>
      <c r="E767" s="14" t="s">
        <v>8</v>
      </c>
      <c r="F767" s="21" t="s">
        <v>899</v>
      </c>
      <c r="G767" s="21"/>
      <c r="H767" s="27">
        <v>33.333333333333329</v>
      </c>
      <c r="I767" s="231"/>
      <c r="J767" s="27">
        <f t="shared" si="58"/>
        <v>19.999999999999996</v>
      </c>
      <c r="K767" s="27">
        <v>53.333333333333329</v>
      </c>
      <c r="L767" s="2"/>
      <c r="M767" s="157"/>
      <c r="N767" s="138">
        <v>80</v>
      </c>
      <c r="O767" s="138">
        <f>N767/60</f>
        <v>1.3333333333333333</v>
      </c>
      <c r="P767" s="284"/>
      <c r="Q767" s="2"/>
    </row>
    <row r="768" spans="1:17" ht="13.5" thickTop="1">
      <c r="A768" s="14">
        <v>769</v>
      </c>
      <c r="B768" s="14" t="s">
        <v>1295</v>
      </c>
      <c r="C768" s="14" t="s">
        <v>105</v>
      </c>
      <c r="D768" s="14" t="s">
        <v>890</v>
      </c>
      <c r="E768" s="14" t="s">
        <v>8</v>
      </c>
      <c r="F768" s="21" t="s">
        <v>900</v>
      </c>
      <c r="G768" s="21"/>
      <c r="H768" s="27">
        <v>40</v>
      </c>
      <c r="I768" s="231"/>
      <c r="J768" s="27">
        <f t="shared" si="58"/>
        <v>24</v>
      </c>
      <c r="K768" s="27">
        <v>64</v>
      </c>
      <c r="L768" s="153"/>
      <c r="M768" s="158"/>
      <c r="N768" s="159"/>
      <c r="O768" s="160">
        <v>1280</v>
      </c>
      <c r="P768" s="161">
        <v>960</v>
      </c>
      <c r="Q768" s="2"/>
    </row>
    <row r="769" spans="1:17">
      <c r="A769" s="14">
        <v>770</v>
      </c>
      <c r="B769" s="14" t="s">
        <v>1295</v>
      </c>
      <c r="C769" s="14" t="s">
        <v>105</v>
      </c>
      <c r="D769" s="14" t="s">
        <v>890</v>
      </c>
      <c r="E769" s="14" t="s">
        <v>8</v>
      </c>
      <c r="F769" s="21" t="s">
        <v>106</v>
      </c>
      <c r="G769" s="21"/>
      <c r="H769" s="27">
        <v>80</v>
      </c>
      <c r="I769" s="231"/>
      <c r="J769" s="27">
        <f t="shared" si="58"/>
        <v>48</v>
      </c>
      <c r="K769" s="27">
        <v>128</v>
      </c>
      <c r="L769" s="153"/>
      <c r="M769" s="52"/>
      <c r="N769" s="162"/>
      <c r="O769" s="163">
        <v>1280</v>
      </c>
      <c r="P769" s="164">
        <v>960</v>
      </c>
      <c r="Q769" s="2"/>
    </row>
    <row r="770" spans="1:17">
      <c r="A770" s="14">
        <v>771</v>
      </c>
      <c r="B770" s="14" t="s">
        <v>1295</v>
      </c>
      <c r="C770" s="14" t="s">
        <v>105</v>
      </c>
      <c r="D770" s="14" t="s">
        <v>890</v>
      </c>
      <c r="E770" s="14" t="s">
        <v>8</v>
      </c>
      <c r="F770" s="21"/>
      <c r="G770" s="21"/>
      <c r="H770" s="27"/>
      <c r="I770" s="231"/>
      <c r="J770" s="27">
        <f t="shared" si="58"/>
        <v>0</v>
      </c>
      <c r="K770" s="27">
        <v>0</v>
      </c>
      <c r="L770" s="153"/>
      <c r="M770" s="52"/>
      <c r="N770" s="162"/>
      <c r="O770" s="163">
        <v>720</v>
      </c>
      <c r="P770" s="164">
        <v>540</v>
      </c>
      <c r="Q770" s="2"/>
    </row>
    <row r="771" spans="1:17">
      <c r="A771" s="14">
        <v>772</v>
      </c>
      <c r="B771" s="14" t="s">
        <v>1295</v>
      </c>
      <c r="C771" s="14" t="s">
        <v>11</v>
      </c>
      <c r="G771" s="30"/>
      <c r="H771" s="27"/>
      <c r="I771" s="231"/>
      <c r="J771" s="27">
        <f t="shared" si="58"/>
        <v>0</v>
      </c>
      <c r="K771" s="27">
        <v>0</v>
      </c>
      <c r="L771" s="153"/>
      <c r="M771" s="52"/>
      <c r="N771" s="162"/>
      <c r="O771" s="163">
        <v>160</v>
      </c>
      <c r="P771" s="164">
        <v>120</v>
      </c>
      <c r="Q771" s="2"/>
    </row>
    <row r="772" spans="1:17">
      <c r="A772" s="14">
        <v>773</v>
      </c>
      <c r="B772" s="14" t="s">
        <v>1295</v>
      </c>
      <c r="C772" s="14" t="s">
        <v>11</v>
      </c>
      <c r="D772" s="14" t="s">
        <v>1222</v>
      </c>
      <c r="E772" s="14" t="s">
        <v>8</v>
      </c>
      <c r="F772" s="21" t="s">
        <v>1206</v>
      </c>
      <c r="G772" s="21" t="s">
        <v>1219</v>
      </c>
      <c r="H772" s="27">
        <v>40</v>
      </c>
      <c r="I772" s="231"/>
      <c r="J772" s="27">
        <f t="shared" si="58"/>
        <v>24</v>
      </c>
      <c r="K772" s="27">
        <f t="shared" ref="K772:K779" si="64">H772+I772+J772</f>
        <v>64</v>
      </c>
      <c r="L772" s="153"/>
      <c r="M772" s="52"/>
      <c r="N772" s="162"/>
      <c r="O772" s="163">
        <v>80</v>
      </c>
      <c r="P772" s="164">
        <v>60</v>
      </c>
      <c r="Q772" s="2"/>
    </row>
    <row r="773" spans="1:17">
      <c r="A773" s="14">
        <v>774</v>
      </c>
      <c r="B773" s="14" t="s">
        <v>1295</v>
      </c>
      <c r="C773" s="14" t="s">
        <v>11</v>
      </c>
      <c r="D773" s="14" t="s">
        <v>1222</v>
      </c>
      <c r="E773" s="14" t="s">
        <v>8</v>
      </c>
      <c r="F773" s="21" t="s">
        <v>1220</v>
      </c>
      <c r="G773" s="21" t="s">
        <v>1221</v>
      </c>
      <c r="H773" s="27">
        <v>80</v>
      </c>
      <c r="I773" s="231"/>
      <c r="J773" s="27">
        <f t="shared" si="58"/>
        <v>48</v>
      </c>
      <c r="K773" s="27">
        <f t="shared" si="64"/>
        <v>128</v>
      </c>
      <c r="L773" s="153"/>
      <c r="M773" s="52"/>
      <c r="N773" s="162"/>
      <c r="O773" s="163">
        <v>240</v>
      </c>
      <c r="P773" s="164">
        <v>180</v>
      </c>
      <c r="Q773" s="2"/>
    </row>
    <row r="774" spans="1:17">
      <c r="A774" s="14">
        <v>775</v>
      </c>
      <c r="B774" s="14" t="s">
        <v>1295</v>
      </c>
      <c r="C774" s="14" t="s">
        <v>11</v>
      </c>
      <c r="D774" s="14" t="s">
        <v>15</v>
      </c>
      <c r="E774" s="14" t="s">
        <v>8</v>
      </c>
      <c r="F774" s="21" t="s">
        <v>17</v>
      </c>
      <c r="G774" s="21"/>
      <c r="H774" s="27">
        <v>80</v>
      </c>
      <c r="I774" s="231"/>
      <c r="J774" s="27">
        <f t="shared" si="58"/>
        <v>48</v>
      </c>
      <c r="K774" s="27">
        <f t="shared" si="64"/>
        <v>128</v>
      </c>
      <c r="L774" s="153"/>
      <c r="M774" s="52"/>
      <c r="N774" s="162"/>
      <c r="O774" s="163">
        <v>240</v>
      </c>
      <c r="P774" s="164">
        <v>180</v>
      </c>
      <c r="Q774" s="2"/>
    </row>
    <row r="775" spans="1:17">
      <c r="A775" s="14">
        <v>776</v>
      </c>
      <c r="B775" s="14" t="s">
        <v>1295</v>
      </c>
      <c r="C775" s="14" t="s">
        <v>11</v>
      </c>
      <c r="D775" s="14" t="s">
        <v>15</v>
      </c>
      <c r="E775" s="14" t="s">
        <v>8</v>
      </c>
      <c r="F775" s="21" t="s">
        <v>205</v>
      </c>
      <c r="G775" s="21"/>
      <c r="H775" s="27">
        <v>13.333333333333332</v>
      </c>
      <c r="I775" s="231"/>
      <c r="J775" s="27">
        <f t="shared" si="58"/>
        <v>7.9999999999999991</v>
      </c>
      <c r="K775" s="27">
        <f t="shared" si="64"/>
        <v>21.333333333333332</v>
      </c>
      <c r="L775" s="153"/>
      <c r="M775" s="52"/>
      <c r="N775" s="162"/>
      <c r="O775" s="163">
        <v>18.666666666666664</v>
      </c>
      <c r="P775" s="164">
        <v>14</v>
      </c>
      <c r="Q775" s="2"/>
    </row>
    <row r="776" spans="1:17">
      <c r="A776" s="14">
        <v>777</v>
      </c>
      <c r="B776" s="14" t="s">
        <v>1295</v>
      </c>
      <c r="C776" s="14" t="s">
        <v>11</v>
      </c>
      <c r="D776" s="14" t="s">
        <v>15</v>
      </c>
      <c r="E776" s="14" t="s">
        <v>8</v>
      </c>
      <c r="F776" s="21" t="s">
        <v>20</v>
      </c>
      <c r="G776" s="21"/>
      <c r="H776" s="27">
        <v>13.333333333333332</v>
      </c>
      <c r="I776" s="231"/>
      <c r="J776" s="27">
        <f t="shared" ref="J776:J839" si="65">H776*$D$6</f>
        <v>7.9999999999999991</v>
      </c>
      <c r="K776" s="27">
        <f t="shared" si="64"/>
        <v>21.333333333333332</v>
      </c>
      <c r="L776" s="153"/>
      <c r="M776" s="52"/>
      <c r="N776" s="162"/>
      <c r="O776" s="163">
        <v>33.333333333333329</v>
      </c>
      <c r="P776" s="164">
        <v>25</v>
      </c>
      <c r="Q776" s="2"/>
    </row>
    <row r="777" spans="1:17">
      <c r="A777" s="14">
        <v>778</v>
      </c>
      <c r="B777" s="14" t="s">
        <v>1295</v>
      </c>
      <c r="C777" s="14" t="s">
        <v>11</v>
      </c>
      <c r="D777" s="14" t="s">
        <v>15</v>
      </c>
      <c r="E777" s="14" t="s">
        <v>8</v>
      </c>
      <c r="F777" s="21" t="s">
        <v>206</v>
      </c>
      <c r="G777" s="21"/>
      <c r="H777" s="27">
        <v>13.333333333333332</v>
      </c>
      <c r="I777" s="231"/>
      <c r="J777" s="27">
        <f t="shared" si="65"/>
        <v>7.9999999999999991</v>
      </c>
      <c r="K777" s="27">
        <f t="shared" si="64"/>
        <v>21.333333333333332</v>
      </c>
      <c r="L777" s="153"/>
      <c r="M777" s="165"/>
      <c r="N777" s="162"/>
      <c r="O777" s="163">
        <v>40</v>
      </c>
      <c r="P777" s="164">
        <v>30</v>
      </c>
      <c r="Q777" s="2"/>
    </row>
    <row r="778" spans="1:17">
      <c r="A778" s="14">
        <v>779</v>
      </c>
      <c r="B778" s="14" t="s">
        <v>1295</v>
      </c>
      <c r="C778" s="14" t="s">
        <v>11</v>
      </c>
      <c r="D778" s="14" t="s">
        <v>15</v>
      </c>
      <c r="E778" s="14" t="s">
        <v>8</v>
      </c>
      <c r="F778" s="21" t="s">
        <v>19</v>
      </c>
      <c r="G778" s="21"/>
      <c r="H778" s="27">
        <v>13.333333333333332</v>
      </c>
      <c r="I778" s="231"/>
      <c r="J778" s="27">
        <f t="shared" si="65"/>
        <v>7.9999999999999991</v>
      </c>
      <c r="K778" s="27">
        <f t="shared" si="64"/>
        <v>21.333333333333332</v>
      </c>
      <c r="L778" s="153"/>
      <c r="M778" s="165"/>
      <c r="N778" s="162"/>
      <c r="O778" s="163">
        <v>80</v>
      </c>
      <c r="P778" s="164">
        <v>60</v>
      </c>
      <c r="Q778" s="2"/>
    </row>
    <row r="779" spans="1:17">
      <c r="A779" s="14">
        <v>780</v>
      </c>
      <c r="B779" s="14" t="s">
        <v>1295</v>
      </c>
      <c r="C779" s="14" t="s">
        <v>11</v>
      </c>
      <c r="D779" s="14" t="s">
        <v>15</v>
      </c>
      <c r="E779" s="14" t="s">
        <v>8</v>
      </c>
      <c r="F779" s="21" t="s">
        <v>21</v>
      </c>
      <c r="G779" s="21"/>
      <c r="H779" s="27">
        <v>80</v>
      </c>
      <c r="I779" s="231"/>
      <c r="J779" s="27">
        <f t="shared" si="65"/>
        <v>48</v>
      </c>
      <c r="K779" s="27">
        <f t="shared" si="64"/>
        <v>128</v>
      </c>
      <c r="L779" s="2"/>
      <c r="M779" s="165"/>
      <c r="N779" s="162"/>
      <c r="O779" s="163"/>
      <c r="P779" s="164"/>
      <c r="Q779" s="2"/>
    </row>
    <row r="780" spans="1:17">
      <c r="A780" s="14">
        <v>781</v>
      </c>
      <c r="B780" s="14" t="s">
        <v>1295</v>
      </c>
      <c r="C780" s="14" t="s">
        <v>23</v>
      </c>
      <c r="D780" s="14" t="s">
        <v>15</v>
      </c>
      <c r="E780" s="14" t="s">
        <v>8</v>
      </c>
      <c r="F780" s="21"/>
      <c r="G780" s="21"/>
      <c r="H780" s="27"/>
      <c r="I780" s="231"/>
      <c r="J780" s="27">
        <f t="shared" si="65"/>
        <v>0</v>
      </c>
      <c r="K780" s="27">
        <v>0</v>
      </c>
      <c r="L780" s="2"/>
      <c r="M780" s="52"/>
      <c r="N780" s="162"/>
      <c r="O780" s="163"/>
      <c r="P780" s="164"/>
      <c r="Q780" s="2"/>
    </row>
    <row r="781" spans="1:17">
      <c r="A781" s="14">
        <v>782</v>
      </c>
      <c r="B781" s="14" t="s">
        <v>1295</v>
      </c>
      <c r="C781" s="14" t="s">
        <v>23</v>
      </c>
      <c r="D781" s="14" t="s">
        <v>901</v>
      </c>
      <c r="E781" s="14" t="s">
        <v>8</v>
      </c>
      <c r="G781" s="30"/>
      <c r="H781" s="27"/>
      <c r="I781" s="231"/>
      <c r="J781" s="27">
        <f t="shared" si="65"/>
        <v>0</v>
      </c>
      <c r="K781" s="27">
        <v>0</v>
      </c>
      <c r="L781" s="153"/>
      <c r="M781" s="41"/>
      <c r="N781" s="29"/>
      <c r="O781" s="23">
        <v>40</v>
      </c>
      <c r="P781" s="166">
        <v>30</v>
      </c>
      <c r="Q781" s="2"/>
    </row>
    <row r="782" spans="1:17">
      <c r="A782" s="14">
        <v>783</v>
      </c>
      <c r="B782" s="14" t="s">
        <v>1295</v>
      </c>
      <c r="C782" s="14" t="s">
        <v>23</v>
      </c>
      <c r="D782" s="14" t="s">
        <v>901</v>
      </c>
      <c r="E782" s="14" t="s">
        <v>8</v>
      </c>
      <c r="F782" s="21" t="s">
        <v>22</v>
      </c>
      <c r="G782" s="21"/>
      <c r="H782" s="27">
        <v>60</v>
      </c>
      <c r="I782" s="231"/>
      <c r="J782" s="27">
        <f t="shared" si="65"/>
        <v>36</v>
      </c>
      <c r="K782" s="27">
        <v>96</v>
      </c>
      <c r="L782" s="153"/>
      <c r="M782" s="41"/>
      <c r="N782" s="29"/>
      <c r="O782" s="23">
        <v>80</v>
      </c>
      <c r="P782" s="167">
        <v>60</v>
      </c>
      <c r="Q782" s="2"/>
    </row>
    <row r="783" spans="1:17">
      <c r="A783" s="14">
        <v>784</v>
      </c>
      <c r="B783" s="14" t="s">
        <v>1295</v>
      </c>
      <c r="C783" s="14" t="s">
        <v>23</v>
      </c>
      <c r="D783" s="14" t="s">
        <v>901</v>
      </c>
      <c r="E783" s="14" t="s">
        <v>8</v>
      </c>
      <c r="F783" s="21" t="s">
        <v>902</v>
      </c>
      <c r="G783" s="21"/>
      <c r="H783" s="27">
        <v>26.666666666666664</v>
      </c>
      <c r="I783" s="231"/>
      <c r="J783" s="27">
        <f t="shared" si="65"/>
        <v>15.999999999999998</v>
      </c>
      <c r="K783" s="27">
        <v>42.666666666666664</v>
      </c>
      <c r="L783" s="153"/>
      <c r="M783" s="52"/>
      <c r="N783" s="162"/>
      <c r="O783" s="44">
        <v>80</v>
      </c>
      <c r="P783" s="168">
        <v>60</v>
      </c>
      <c r="Q783" s="2"/>
    </row>
    <row r="784" spans="1:17">
      <c r="A784" s="14">
        <v>785</v>
      </c>
      <c r="B784" s="14" t="s">
        <v>1295</v>
      </c>
      <c r="C784" s="14" t="s">
        <v>23</v>
      </c>
      <c r="D784" s="14" t="s">
        <v>901</v>
      </c>
      <c r="E784" s="14" t="s">
        <v>8</v>
      </c>
      <c r="F784" s="21" t="s">
        <v>903</v>
      </c>
      <c r="G784" s="21"/>
      <c r="H784" s="27">
        <v>80</v>
      </c>
      <c r="I784" s="231"/>
      <c r="J784" s="27">
        <f t="shared" si="65"/>
        <v>48</v>
      </c>
      <c r="K784" s="27">
        <v>128</v>
      </c>
      <c r="L784" s="153"/>
      <c r="M784" s="41"/>
      <c r="N784" s="29"/>
      <c r="O784" s="23">
        <v>13.333333333333332</v>
      </c>
      <c r="P784" s="169">
        <v>10</v>
      </c>
      <c r="Q784" s="2"/>
    </row>
    <row r="785" spans="1:17">
      <c r="A785" s="14">
        <v>786</v>
      </c>
      <c r="B785" s="14" t="s">
        <v>1295</v>
      </c>
      <c r="C785" s="14" t="s">
        <v>23</v>
      </c>
      <c r="D785" s="14" t="s">
        <v>901</v>
      </c>
      <c r="E785" s="14" t="s">
        <v>8</v>
      </c>
      <c r="F785" s="21" t="s">
        <v>904</v>
      </c>
      <c r="G785" s="21"/>
      <c r="H785" s="27">
        <v>160</v>
      </c>
      <c r="I785" s="231"/>
      <c r="J785" s="27">
        <f t="shared" si="65"/>
        <v>96</v>
      </c>
      <c r="K785" s="27">
        <v>256</v>
      </c>
      <c r="L785" s="153"/>
      <c r="M785" s="41"/>
      <c r="N785" s="29"/>
      <c r="O785" s="23">
        <v>13.333333333333332</v>
      </c>
      <c r="P785" s="169">
        <v>10</v>
      </c>
      <c r="Q785" s="2"/>
    </row>
    <row r="786" spans="1:17">
      <c r="A786" s="14">
        <v>787</v>
      </c>
      <c r="B786" s="14" t="s">
        <v>1295</v>
      </c>
      <c r="C786" s="14" t="s">
        <v>23</v>
      </c>
      <c r="D786" s="14" t="s">
        <v>901</v>
      </c>
      <c r="E786" s="14" t="s">
        <v>8</v>
      </c>
      <c r="F786" s="21" t="s">
        <v>905</v>
      </c>
      <c r="G786" s="21"/>
      <c r="H786" s="27">
        <v>16</v>
      </c>
      <c r="I786" s="231"/>
      <c r="J786" s="27">
        <f t="shared" si="65"/>
        <v>9.6</v>
      </c>
      <c r="K786" s="27">
        <v>25.6</v>
      </c>
      <c r="L786" s="153"/>
      <c r="M786" s="41"/>
      <c r="N786" s="29"/>
      <c r="O786" s="23">
        <v>13.333333333333332</v>
      </c>
      <c r="P786" s="169">
        <v>10</v>
      </c>
      <c r="Q786" s="2"/>
    </row>
    <row r="787" spans="1:17">
      <c r="A787" s="14">
        <v>788</v>
      </c>
      <c r="B787" s="14" t="s">
        <v>1295</v>
      </c>
      <c r="C787" s="14" t="s">
        <v>23</v>
      </c>
      <c r="D787" s="14" t="s">
        <v>901</v>
      </c>
      <c r="E787" s="14" t="s">
        <v>8</v>
      </c>
      <c r="F787" s="21" t="s">
        <v>906</v>
      </c>
      <c r="G787" s="21"/>
      <c r="H787" s="27">
        <v>120</v>
      </c>
      <c r="I787" s="231"/>
      <c r="J787" s="27">
        <f t="shared" si="65"/>
        <v>72</v>
      </c>
      <c r="K787" s="27">
        <v>192</v>
      </c>
      <c r="L787" s="153"/>
      <c r="M787" s="41"/>
      <c r="N787" s="29"/>
      <c r="O787" s="23">
        <v>13.333333333333332</v>
      </c>
      <c r="P787" s="169">
        <v>10</v>
      </c>
      <c r="Q787" s="2"/>
    </row>
    <row r="788" spans="1:17">
      <c r="A788" s="14">
        <v>789</v>
      </c>
      <c r="B788" s="14" t="s">
        <v>1295</v>
      </c>
      <c r="C788" s="14" t="s">
        <v>23</v>
      </c>
      <c r="D788" s="14" t="s">
        <v>901</v>
      </c>
      <c r="E788" s="14" t="s">
        <v>8</v>
      </c>
      <c r="F788" s="21" t="s">
        <v>907</v>
      </c>
      <c r="G788" s="21"/>
      <c r="H788" s="27">
        <v>40</v>
      </c>
      <c r="I788" s="231"/>
      <c r="J788" s="27">
        <f t="shared" si="65"/>
        <v>24</v>
      </c>
      <c r="K788" s="27">
        <v>64</v>
      </c>
      <c r="L788" s="153"/>
      <c r="M788" s="41"/>
      <c r="N788" s="29"/>
      <c r="O788" s="23">
        <v>80</v>
      </c>
      <c r="P788" s="169">
        <v>60</v>
      </c>
      <c r="Q788" s="2"/>
    </row>
    <row r="789" spans="1:17">
      <c r="A789" s="14">
        <v>790</v>
      </c>
      <c r="B789" s="14" t="s">
        <v>1295</v>
      </c>
      <c r="C789" s="14" t="s">
        <v>23</v>
      </c>
      <c r="D789" s="14" t="s">
        <v>901</v>
      </c>
      <c r="E789" s="14" t="s">
        <v>8</v>
      </c>
      <c r="F789" s="21" t="s">
        <v>908</v>
      </c>
      <c r="G789" s="21"/>
      <c r="H789" s="27">
        <v>80</v>
      </c>
      <c r="I789" s="231"/>
      <c r="J789" s="27">
        <f t="shared" si="65"/>
        <v>48</v>
      </c>
      <c r="K789" s="27">
        <v>128</v>
      </c>
      <c r="L789" s="2"/>
      <c r="M789" s="41"/>
      <c r="N789" s="29"/>
      <c r="O789" s="23"/>
      <c r="P789" s="169"/>
      <c r="Q789" s="2"/>
    </row>
    <row r="790" spans="1:17">
      <c r="A790" s="14">
        <v>791</v>
      </c>
      <c r="B790" s="14" t="s">
        <v>1295</v>
      </c>
      <c r="C790" s="14" t="s">
        <v>23</v>
      </c>
      <c r="D790" s="14" t="s">
        <v>901</v>
      </c>
      <c r="E790" s="14" t="s">
        <v>8</v>
      </c>
      <c r="F790" s="21" t="s">
        <v>909</v>
      </c>
      <c r="G790" s="21"/>
      <c r="H790" s="27">
        <v>40</v>
      </c>
      <c r="I790" s="231"/>
      <c r="J790" s="27">
        <f t="shared" si="65"/>
        <v>24</v>
      </c>
      <c r="K790" s="27">
        <v>64</v>
      </c>
      <c r="L790" s="2"/>
      <c r="M790" s="41"/>
      <c r="N790" s="29"/>
      <c r="O790" s="23"/>
      <c r="P790" s="169"/>
      <c r="Q790" s="2"/>
    </row>
    <row r="791" spans="1:17">
      <c r="A791" s="14">
        <v>792</v>
      </c>
      <c r="B791" s="14" t="s">
        <v>1295</v>
      </c>
      <c r="C791" s="14" t="s">
        <v>23</v>
      </c>
      <c r="D791" s="14" t="s">
        <v>104</v>
      </c>
      <c r="E791" s="14" t="s">
        <v>8</v>
      </c>
      <c r="G791" s="80"/>
      <c r="H791" s="27">
        <v>1.3333333333333333</v>
      </c>
      <c r="I791" s="231"/>
      <c r="J791" s="27">
        <f t="shared" si="65"/>
        <v>0.79999999999999993</v>
      </c>
      <c r="K791" s="27">
        <v>2.1333333333333333</v>
      </c>
      <c r="L791" s="153"/>
      <c r="M791" s="41"/>
      <c r="N791" s="29"/>
      <c r="O791" s="23">
        <v>60</v>
      </c>
      <c r="P791" s="169">
        <v>45</v>
      </c>
      <c r="Q791" s="2"/>
    </row>
    <row r="792" spans="1:17">
      <c r="A792" s="14">
        <v>793</v>
      </c>
      <c r="B792" s="14" t="s">
        <v>1295</v>
      </c>
      <c r="C792" s="14" t="s">
        <v>23</v>
      </c>
      <c r="D792" s="14" t="s">
        <v>104</v>
      </c>
      <c r="E792" s="14" t="s">
        <v>8</v>
      </c>
      <c r="G792" s="80"/>
      <c r="H792" s="27">
        <v>1.3333333333333333</v>
      </c>
      <c r="I792" s="231"/>
      <c r="J792" s="27">
        <f t="shared" si="65"/>
        <v>0.79999999999999993</v>
      </c>
      <c r="K792" s="27">
        <v>2.1333333333333333</v>
      </c>
      <c r="L792" s="153"/>
      <c r="M792" s="41"/>
      <c r="N792" s="29"/>
      <c r="O792" s="23">
        <v>26.666666666666664</v>
      </c>
      <c r="P792" s="170">
        <v>20</v>
      </c>
      <c r="Q792" s="2"/>
    </row>
    <row r="793" spans="1:17">
      <c r="A793" s="14">
        <v>794</v>
      </c>
      <c r="B793" s="14" t="s">
        <v>1295</v>
      </c>
      <c r="C793" s="14" t="s">
        <v>23</v>
      </c>
      <c r="D793" s="14" t="s">
        <v>104</v>
      </c>
      <c r="E793" s="14" t="s">
        <v>8</v>
      </c>
      <c r="G793" s="80"/>
      <c r="H793" s="27">
        <v>1.3333333333333333</v>
      </c>
      <c r="I793" s="231"/>
      <c r="J793" s="27">
        <f t="shared" si="65"/>
        <v>0.79999999999999993</v>
      </c>
      <c r="K793" s="27">
        <v>2.1333333333333333</v>
      </c>
      <c r="L793" s="153"/>
      <c r="M793" s="52"/>
      <c r="N793" s="162"/>
      <c r="O793" s="44">
        <v>80</v>
      </c>
      <c r="P793" s="171">
        <v>60</v>
      </c>
      <c r="Q793" s="2"/>
    </row>
    <row r="794" spans="1:17">
      <c r="A794" s="14">
        <v>795</v>
      </c>
      <c r="B794" s="14" t="s">
        <v>1295</v>
      </c>
      <c r="C794" s="14" t="s">
        <v>23</v>
      </c>
      <c r="D794" s="14" t="s">
        <v>104</v>
      </c>
      <c r="E794" s="14" t="s">
        <v>8</v>
      </c>
      <c r="H794" s="27"/>
      <c r="I794" s="231"/>
      <c r="J794" s="27">
        <f t="shared" si="65"/>
        <v>0</v>
      </c>
      <c r="K794" s="27"/>
      <c r="L794" s="153"/>
      <c r="M794" s="52"/>
      <c r="N794" s="162"/>
      <c r="O794" s="44">
        <v>160</v>
      </c>
      <c r="P794" s="171">
        <v>120</v>
      </c>
      <c r="Q794" s="2"/>
    </row>
    <row r="795" spans="1:17">
      <c r="A795" s="14">
        <v>796</v>
      </c>
      <c r="B795" s="14" t="s">
        <v>1295</v>
      </c>
      <c r="C795" s="14" t="s">
        <v>23</v>
      </c>
      <c r="D795" s="14" t="s">
        <v>910</v>
      </c>
      <c r="E795" s="14" t="s">
        <v>8</v>
      </c>
      <c r="G795" s="30"/>
      <c r="H795" s="27">
        <v>0</v>
      </c>
      <c r="I795" s="231"/>
      <c r="J795" s="27">
        <f t="shared" si="65"/>
        <v>0</v>
      </c>
      <c r="K795" s="27">
        <v>0</v>
      </c>
      <c r="L795" s="153"/>
      <c r="M795" s="52"/>
      <c r="N795" s="162"/>
      <c r="O795" s="44">
        <v>16</v>
      </c>
      <c r="P795" s="172">
        <v>12</v>
      </c>
      <c r="Q795" s="2"/>
    </row>
    <row r="796" spans="1:17">
      <c r="A796" s="14">
        <v>797</v>
      </c>
      <c r="B796" s="14" t="s">
        <v>1295</v>
      </c>
      <c r="C796" s="14" t="s">
        <v>23</v>
      </c>
      <c r="D796" s="14" t="s">
        <v>910</v>
      </c>
      <c r="E796" s="14" t="s">
        <v>8</v>
      </c>
      <c r="F796" s="21" t="s">
        <v>911</v>
      </c>
      <c r="G796" s="21"/>
      <c r="H796" s="27">
        <v>40</v>
      </c>
      <c r="I796" s="231"/>
      <c r="J796" s="27">
        <f t="shared" si="65"/>
        <v>24</v>
      </c>
      <c r="K796" s="27">
        <v>64</v>
      </c>
      <c r="L796" s="153"/>
      <c r="M796" s="41"/>
      <c r="N796" s="29"/>
      <c r="O796" s="23">
        <v>120</v>
      </c>
      <c r="P796" s="169">
        <v>90</v>
      </c>
      <c r="Q796" s="2"/>
    </row>
    <row r="797" spans="1:17">
      <c r="A797" s="14">
        <v>798</v>
      </c>
      <c r="B797" s="14" t="s">
        <v>1295</v>
      </c>
      <c r="C797" s="14" t="s">
        <v>559</v>
      </c>
      <c r="D797" s="14" t="s">
        <v>910</v>
      </c>
      <c r="E797" s="14" t="s">
        <v>8</v>
      </c>
      <c r="F797" s="21" t="s">
        <v>912</v>
      </c>
      <c r="G797" s="21"/>
      <c r="H797" s="27">
        <v>20</v>
      </c>
      <c r="I797" s="231"/>
      <c r="J797" s="27">
        <f t="shared" si="65"/>
        <v>12</v>
      </c>
      <c r="K797" s="27">
        <v>32</v>
      </c>
      <c r="L797" s="153"/>
      <c r="M797" s="41"/>
      <c r="N797" s="29"/>
      <c r="O797" s="23">
        <v>40</v>
      </c>
      <c r="P797" s="169">
        <v>30</v>
      </c>
      <c r="Q797" s="2"/>
    </row>
    <row r="798" spans="1:17">
      <c r="A798" s="14">
        <v>799</v>
      </c>
      <c r="B798" s="14" t="s">
        <v>1295</v>
      </c>
      <c r="C798" s="14" t="s">
        <v>559</v>
      </c>
      <c r="D798" s="14" t="s">
        <v>910</v>
      </c>
      <c r="E798" s="14" t="s">
        <v>8</v>
      </c>
      <c r="F798" s="21" t="s">
        <v>913</v>
      </c>
      <c r="G798" s="21"/>
      <c r="H798" s="27">
        <v>26.666666666666664</v>
      </c>
      <c r="I798" s="231"/>
      <c r="J798" s="27">
        <f t="shared" si="65"/>
        <v>15.999999999999998</v>
      </c>
      <c r="K798" s="27">
        <v>42.666666666666664</v>
      </c>
      <c r="L798" s="153"/>
      <c r="M798" s="52"/>
      <c r="N798" s="162"/>
      <c r="O798" s="44">
        <v>80</v>
      </c>
      <c r="P798" s="164">
        <v>60</v>
      </c>
      <c r="Q798" s="2"/>
    </row>
    <row r="799" spans="1:17">
      <c r="A799" s="14">
        <v>800</v>
      </c>
      <c r="B799" s="14" t="s">
        <v>1295</v>
      </c>
      <c r="C799" s="14" t="s">
        <v>559</v>
      </c>
      <c r="D799" s="14" t="s">
        <v>910</v>
      </c>
      <c r="E799" s="14" t="s">
        <v>8</v>
      </c>
      <c r="F799" s="21" t="s">
        <v>914</v>
      </c>
      <c r="G799" s="21"/>
      <c r="H799" s="27">
        <v>40</v>
      </c>
      <c r="I799" s="231"/>
      <c r="J799" s="27">
        <f t="shared" si="65"/>
        <v>24</v>
      </c>
      <c r="K799" s="27">
        <v>64</v>
      </c>
      <c r="L799" s="153"/>
      <c r="M799" s="52"/>
      <c r="N799" s="162"/>
      <c r="O799" s="44">
        <v>40</v>
      </c>
      <c r="P799" s="171">
        <v>30</v>
      </c>
      <c r="Q799" s="2"/>
    </row>
    <row r="800" spans="1:17">
      <c r="A800" s="14">
        <v>801</v>
      </c>
      <c r="B800" s="14" t="s">
        <v>1295</v>
      </c>
      <c r="C800" s="14" t="s">
        <v>559</v>
      </c>
      <c r="D800" s="14" t="s">
        <v>910</v>
      </c>
      <c r="E800" s="14" t="s">
        <v>8</v>
      </c>
      <c r="G800" s="80"/>
      <c r="H800" s="27">
        <v>0</v>
      </c>
      <c r="I800" s="231"/>
      <c r="J800" s="27">
        <f t="shared" si="65"/>
        <v>0</v>
      </c>
      <c r="K800" s="27">
        <v>0</v>
      </c>
      <c r="L800" s="153"/>
      <c r="M800" s="52"/>
      <c r="N800" s="162"/>
      <c r="O800" s="44">
        <v>1.3333333333333333</v>
      </c>
      <c r="P800" s="171">
        <v>1</v>
      </c>
      <c r="Q800" s="2"/>
    </row>
    <row r="801" spans="1:17">
      <c r="A801" s="14">
        <v>802</v>
      </c>
      <c r="B801" s="14" t="s">
        <v>1295</v>
      </c>
      <c r="C801" s="14" t="s">
        <v>559</v>
      </c>
      <c r="D801" s="14" t="s">
        <v>910</v>
      </c>
      <c r="E801" s="14" t="s">
        <v>8</v>
      </c>
      <c r="F801" s="21"/>
      <c r="G801" s="21"/>
      <c r="H801" s="27"/>
      <c r="I801" s="231"/>
      <c r="J801" s="27">
        <f t="shared" si="65"/>
        <v>0</v>
      </c>
      <c r="K801" s="27"/>
      <c r="L801" s="153"/>
      <c r="M801" s="52"/>
      <c r="N801" s="162"/>
      <c r="O801" s="44">
        <v>1.3333333333333333</v>
      </c>
      <c r="P801" s="171">
        <v>1</v>
      </c>
      <c r="Q801" s="2"/>
    </row>
    <row r="802" spans="1:17">
      <c r="A802" s="14">
        <v>803</v>
      </c>
      <c r="B802" s="14" t="s">
        <v>1295</v>
      </c>
      <c r="C802" s="14" t="s">
        <v>33</v>
      </c>
      <c r="D802" s="14" t="s">
        <v>915</v>
      </c>
      <c r="E802" s="14" t="s">
        <v>8</v>
      </c>
      <c r="F802" s="21" t="s">
        <v>916</v>
      </c>
      <c r="G802" s="21"/>
      <c r="H802" s="27">
        <v>6.6666666666666661</v>
      </c>
      <c r="I802" s="231"/>
      <c r="J802" s="27">
        <f t="shared" si="65"/>
        <v>3.9999999999999996</v>
      </c>
      <c r="K802" s="27">
        <v>10.666666666666666</v>
      </c>
      <c r="L802" s="153"/>
      <c r="M802" s="52"/>
      <c r="N802" s="162"/>
      <c r="O802" s="44">
        <v>1.3333333333333333</v>
      </c>
      <c r="P802" s="171">
        <v>1</v>
      </c>
      <c r="Q802" s="2"/>
    </row>
    <row r="803" spans="1:17">
      <c r="A803" s="14">
        <v>804</v>
      </c>
      <c r="B803" s="14" t="s">
        <v>1295</v>
      </c>
      <c r="C803" s="14" t="s">
        <v>33</v>
      </c>
      <c r="D803" s="14" t="s">
        <v>915</v>
      </c>
      <c r="E803" s="14" t="s">
        <v>8</v>
      </c>
      <c r="F803" s="21" t="s">
        <v>917</v>
      </c>
      <c r="G803" s="21"/>
      <c r="H803" s="27">
        <v>33.333333333333329</v>
      </c>
      <c r="I803" s="231"/>
      <c r="J803" s="27">
        <f t="shared" si="65"/>
        <v>19.999999999999996</v>
      </c>
      <c r="K803" s="27">
        <v>53.333333333333329</v>
      </c>
      <c r="L803" s="153"/>
      <c r="M803" s="52"/>
      <c r="N803" s="162"/>
      <c r="O803" s="44"/>
      <c r="P803" s="171"/>
      <c r="Q803" s="2"/>
    </row>
    <row r="804" spans="1:17">
      <c r="A804" s="14">
        <v>805</v>
      </c>
      <c r="B804" s="14" t="s">
        <v>1295</v>
      </c>
      <c r="C804" s="14" t="s">
        <v>33</v>
      </c>
      <c r="D804" s="14" t="s">
        <v>915</v>
      </c>
      <c r="E804" s="14" t="s">
        <v>8</v>
      </c>
      <c r="F804" s="21" t="s">
        <v>918</v>
      </c>
      <c r="G804" s="21"/>
      <c r="H804" s="27">
        <v>64</v>
      </c>
      <c r="I804" s="231"/>
      <c r="J804" s="27">
        <f t="shared" si="65"/>
        <v>38.4</v>
      </c>
      <c r="K804" s="27">
        <v>102.4</v>
      </c>
      <c r="L804" s="153"/>
      <c r="M804" s="52"/>
      <c r="N804" s="162"/>
      <c r="O804" s="44">
        <v>0</v>
      </c>
      <c r="P804" s="164"/>
      <c r="Q804" s="2"/>
    </row>
    <row r="805" spans="1:17">
      <c r="A805" s="14">
        <v>806</v>
      </c>
      <c r="B805" s="14" t="s">
        <v>1295</v>
      </c>
      <c r="C805" s="14" t="s">
        <v>34</v>
      </c>
      <c r="D805" s="14" t="s">
        <v>915</v>
      </c>
      <c r="E805" s="14" t="s">
        <v>8</v>
      </c>
      <c r="F805" s="21" t="s">
        <v>919</v>
      </c>
      <c r="G805" s="21"/>
      <c r="H805" s="27">
        <v>0</v>
      </c>
      <c r="I805" s="231"/>
      <c r="J805" s="27">
        <f t="shared" si="65"/>
        <v>0</v>
      </c>
      <c r="K805" s="27">
        <v>0</v>
      </c>
      <c r="L805" s="153"/>
      <c r="M805" s="52"/>
      <c r="N805" s="162"/>
      <c r="O805" s="44">
        <v>40</v>
      </c>
      <c r="P805" s="164">
        <v>30</v>
      </c>
      <c r="Q805" s="2"/>
    </row>
    <row r="806" spans="1:17">
      <c r="A806" s="14">
        <v>807</v>
      </c>
      <c r="B806" s="14" t="s">
        <v>1295</v>
      </c>
      <c r="C806" s="14" t="s">
        <v>67</v>
      </c>
      <c r="D806" s="14" t="s">
        <v>915</v>
      </c>
      <c r="E806" s="14" t="s">
        <v>8</v>
      </c>
      <c r="F806" s="21" t="s">
        <v>920</v>
      </c>
      <c r="G806" s="21"/>
      <c r="H806" s="27">
        <v>20</v>
      </c>
      <c r="I806" s="231"/>
      <c r="J806" s="27">
        <f t="shared" si="65"/>
        <v>12</v>
      </c>
      <c r="K806" s="27">
        <v>32</v>
      </c>
      <c r="L806" s="173"/>
      <c r="M806" s="24"/>
      <c r="N806" s="29"/>
      <c r="O806" s="23">
        <v>20</v>
      </c>
      <c r="P806" s="169">
        <v>15</v>
      </c>
      <c r="Q806" s="2"/>
    </row>
    <row r="807" spans="1:17">
      <c r="A807" s="14">
        <v>808</v>
      </c>
      <c r="B807" s="14" t="s">
        <v>1295</v>
      </c>
      <c r="C807" s="14" t="s">
        <v>33</v>
      </c>
      <c r="D807" s="14" t="s">
        <v>915</v>
      </c>
      <c r="E807" s="14" t="s">
        <v>8</v>
      </c>
      <c r="F807" s="21" t="s">
        <v>921</v>
      </c>
      <c r="G807" s="21"/>
      <c r="H807" s="27">
        <v>80</v>
      </c>
      <c r="I807" s="231"/>
      <c r="J807" s="27">
        <f t="shared" si="65"/>
        <v>48</v>
      </c>
      <c r="K807" s="27">
        <v>128</v>
      </c>
      <c r="L807" s="173"/>
      <c r="M807" s="24"/>
      <c r="N807" s="29"/>
      <c r="O807" s="23">
        <v>26.666666666666664</v>
      </c>
      <c r="P807" s="169">
        <v>20</v>
      </c>
      <c r="Q807" s="2"/>
    </row>
    <row r="808" spans="1:17">
      <c r="A808" s="14">
        <v>809</v>
      </c>
      <c r="B808" s="14" t="s">
        <v>1295</v>
      </c>
      <c r="C808" s="14" t="s">
        <v>922</v>
      </c>
      <c r="D808" s="14" t="s">
        <v>915</v>
      </c>
      <c r="E808" s="14" t="s">
        <v>8</v>
      </c>
      <c r="F808" s="21" t="s">
        <v>923</v>
      </c>
      <c r="G808" s="21"/>
      <c r="H808" s="27">
        <v>10.666666666666666</v>
      </c>
      <c r="I808" s="231"/>
      <c r="J808" s="27">
        <f t="shared" si="65"/>
        <v>6.3999999999999995</v>
      </c>
      <c r="K808" s="27">
        <v>17.066666666666666</v>
      </c>
      <c r="L808" s="173"/>
      <c r="M808" s="24"/>
      <c r="N808" s="29"/>
      <c r="O808" s="23">
        <v>40</v>
      </c>
      <c r="P808" s="169">
        <v>30</v>
      </c>
      <c r="Q808" s="2"/>
    </row>
    <row r="809" spans="1:17">
      <c r="A809" s="14">
        <v>810</v>
      </c>
      <c r="B809" s="14" t="s">
        <v>1295</v>
      </c>
      <c r="C809" s="14" t="s">
        <v>63</v>
      </c>
      <c r="D809" s="14" t="s">
        <v>915</v>
      </c>
      <c r="E809" s="14" t="s">
        <v>8</v>
      </c>
      <c r="F809" s="21" t="s">
        <v>924</v>
      </c>
      <c r="G809" s="21"/>
      <c r="H809" s="27">
        <v>2.6666666666666665</v>
      </c>
      <c r="I809" s="231"/>
      <c r="J809" s="27">
        <f t="shared" si="65"/>
        <v>1.5999999999999999</v>
      </c>
      <c r="K809" s="27">
        <v>4.2666666666666666</v>
      </c>
      <c r="L809" s="173"/>
      <c r="M809" s="24"/>
      <c r="N809" s="29"/>
      <c r="O809" s="23">
        <v>0</v>
      </c>
      <c r="P809" s="169"/>
      <c r="Q809" s="2"/>
    </row>
    <row r="810" spans="1:17">
      <c r="A810" s="14">
        <v>811</v>
      </c>
      <c r="B810" s="14" t="s">
        <v>1295</v>
      </c>
      <c r="C810" s="14" t="s">
        <v>41</v>
      </c>
      <c r="D810" s="14" t="s">
        <v>915</v>
      </c>
      <c r="E810" s="14" t="s">
        <v>8</v>
      </c>
      <c r="F810" s="21" t="s">
        <v>925</v>
      </c>
      <c r="G810" s="21"/>
      <c r="H810" s="27">
        <v>6.6666666666666661</v>
      </c>
      <c r="I810" s="231"/>
      <c r="J810" s="27">
        <f t="shared" si="65"/>
        <v>3.9999999999999996</v>
      </c>
      <c r="K810" s="27">
        <v>10.666666666666666</v>
      </c>
      <c r="L810" s="2"/>
      <c r="M810" s="41"/>
      <c r="N810" s="29"/>
      <c r="O810" s="23"/>
      <c r="P810" s="169"/>
      <c r="Q810" s="2"/>
    </row>
    <row r="811" spans="1:17">
      <c r="A811" s="14">
        <v>812</v>
      </c>
      <c r="B811" s="14" t="s">
        <v>1295</v>
      </c>
      <c r="C811" s="14" t="s">
        <v>69</v>
      </c>
      <c r="D811" s="14" t="s">
        <v>915</v>
      </c>
      <c r="E811" s="14" t="s">
        <v>8</v>
      </c>
      <c r="F811" s="21" t="s">
        <v>926</v>
      </c>
      <c r="G811" s="21"/>
      <c r="H811" s="27">
        <v>32</v>
      </c>
      <c r="I811" s="231"/>
      <c r="J811" s="27">
        <f t="shared" si="65"/>
        <v>19.2</v>
      </c>
      <c r="K811" s="27">
        <v>51.2</v>
      </c>
      <c r="L811" s="2"/>
      <c r="M811" s="41"/>
      <c r="N811" s="29"/>
      <c r="O811" s="23">
        <v>6.6666666666666661</v>
      </c>
      <c r="P811" s="169">
        <v>5</v>
      </c>
      <c r="Q811" s="2"/>
    </row>
    <row r="812" spans="1:17">
      <c r="A812" s="14">
        <v>813</v>
      </c>
      <c r="B812" s="14" t="s">
        <v>1295</v>
      </c>
      <c r="C812" s="14" t="s">
        <v>69</v>
      </c>
      <c r="D812" s="14" t="s">
        <v>915</v>
      </c>
      <c r="E812" s="14" t="s">
        <v>8</v>
      </c>
      <c r="F812" s="21" t="s">
        <v>927</v>
      </c>
      <c r="G812" s="21"/>
      <c r="H812" s="27">
        <v>13.333333333333332</v>
      </c>
      <c r="I812" s="231"/>
      <c r="J812" s="27">
        <f t="shared" si="65"/>
        <v>7.9999999999999991</v>
      </c>
      <c r="K812" s="27">
        <v>21.333333333333332</v>
      </c>
      <c r="L812" s="2"/>
      <c r="M812" s="41"/>
      <c r="N812" s="29"/>
      <c r="O812" s="23">
        <v>33.333333333333329</v>
      </c>
      <c r="P812" s="169">
        <v>25</v>
      </c>
      <c r="Q812" s="2"/>
    </row>
    <row r="813" spans="1:17">
      <c r="A813" s="14">
        <v>814</v>
      </c>
      <c r="B813" s="14" t="s">
        <v>1295</v>
      </c>
      <c r="C813" s="14" t="s">
        <v>42</v>
      </c>
      <c r="D813" s="14" t="s">
        <v>915</v>
      </c>
      <c r="E813" s="14" t="s">
        <v>8</v>
      </c>
      <c r="F813" s="21" t="s">
        <v>928</v>
      </c>
      <c r="G813" s="21"/>
      <c r="H813" s="27">
        <v>426.66666666666663</v>
      </c>
      <c r="I813" s="231"/>
      <c r="J813" s="27">
        <f t="shared" si="65"/>
        <v>255.99999999999997</v>
      </c>
      <c r="K813" s="27">
        <v>682.66666666666663</v>
      </c>
      <c r="L813" s="2"/>
      <c r="M813" s="41"/>
      <c r="N813" s="29"/>
      <c r="O813" s="23">
        <v>64</v>
      </c>
      <c r="P813" s="169">
        <v>48</v>
      </c>
      <c r="Q813" s="2"/>
    </row>
    <row r="814" spans="1:17">
      <c r="A814" s="14">
        <v>815</v>
      </c>
      <c r="B814" s="14" t="s">
        <v>1295</v>
      </c>
      <c r="C814" s="14" t="s">
        <v>42</v>
      </c>
      <c r="D814" s="14" t="s">
        <v>915</v>
      </c>
      <c r="E814" s="14" t="s">
        <v>8</v>
      </c>
      <c r="F814" s="21" t="s">
        <v>929</v>
      </c>
      <c r="G814" s="21"/>
      <c r="H814" s="27">
        <v>160</v>
      </c>
      <c r="I814" s="231"/>
      <c r="J814" s="27">
        <f t="shared" si="65"/>
        <v>96</v>
      </c>
      <c r="K814" s="27">
        <v>256</v>
      </c>
      <c r="L814" s="2"/>
      <c r="M814" s="41"/>
      <c r="N814" s="29"/>
      <c r="O814" s="23">
        <v>0</v>
      </c>
      <c r="P814" s="169"/>
      <c r="Q814" s="2">
        <v>5</v>
      </c>
    </row>
    <row r="815" spans="1:17">
      <c r="A815" s="14">
        <v>816</v>
      </c>
      <c r="B815" s="14" t="s">
        <v>1295</v>
      </c>
      <c r="C815" s="14" t="s">
        <v>33</v>
      </c>
      <c r="D815" s="14" t="s">
        <v>915</v>
      </c>
      <c r="E815" s="14" t="s">
        <v>8</v>
      </c>
      <c r="I815" s="231"/>
      <c r="J815" s="27">
        <f t="shared" si="65"/>
        <v>0</v>
      </c>
      <c r="K815" s="27">
        <v>0</v>
      </c>
      <c r="L815" s="2"/>
      <c r="M815" s="41"/>
      <c r="N815" s="29"/>
      <c r="O815" s="23">
        <v>20</v>
      </c>
      <c r="P815" s="169">
        <v>15</v>
      </c>
      <c r="Q815" s="2"/>
    </row>
    <row r="816" spans="1:17">
      <c r="A816" s="14">
        <v>817</v>
      </c>
      <c r="B816" s="14" t="s">
        <v>1295</v>
      </c>
      <c r="C816" s="14" t="s">
        <v>26</v>
      </c>
      <c r="D816" s="14" t="s">
        <v>930</v>
      </c>
      <c r="E816" s="14" t="s">
        <v>8</v>
      </c>
      <c r="G816" s="30"/>
      <c r="I816" s="231"/>
      <c r="J816" s="27">
        <f t="shared" si="65"/>
        <v>0</v>
      </c>
      <c r="K816" s="27">
        <v>0</v>
      </c>
      <c r="L816" s="2"/>
      <c r="M816" s="49"/>
      <c r="N816" s="174"/>
      <c r="O816" s="43">
        <v>80</v>
      </c>
      <c r="P816" s="175">
        <v>60</v>
      </c>
      <c r="Q816" s="2"/>
    </row>
    <row r="817" spans="1:17">
      <c r="A817" s="14">
        <v>818</v>
      </c>
      <c r="B817" s="14" t="s">
        <v>1295</v>
      </c>
      <c r="C817" s="14" t="s">
        <v>26</v>
      </c>
      <c r="D817" s="14" t="s">
        <v>930</v>
      </c>
      <c r="E817" s="14" t="s">
        <v>8</v>
      </c>
      <c r="F817" s="21" t="s">
        <v>930</v>
      </c>
      <c r="G817" s="21"/>
      <c r="H817" s="39">
        <v>40</v>
      </c>
      <c r="I817" s="231"/>
      <c r="J817" s="27">
        <f t="shared" si="65"/>
        <v>24</v>
      </c>
      <c r="K817" s="27">
        <v>64</v>
      </c>
      <c r="L817" s="176"/>
      <c r="M817" s="24"/>
      <c r="N817" s="29"/>
      <c r="O817" s="23">
        <v>10.666666666666666</v>
      </c>
      <c r="P817" s="169">
        <v>8</v>
      </c>
      <c r="Q817" s="2"/>
    </row>
    <row r="818" spans="1:17">
      <c r="A818" s="14">
        <v>819</v>
      </c>
      <c r="B818" s="14" t="s">
        <v>1295</v>
      </c>
      <c r="C818" s="14" t="s">
        <v>26</v>
      </c>
      <c r="D818" s="14" t="s">
        <v>930</v>
      </c>
      <c r="E818" s="14" t="s">
        <v>8</v>
      </c>
      <c r="F818" s="21" t="s">
        <v>931</v>
      </c>
      <c r="G818" s="21"/>
      <c r="H818" s="39">
        <v>0</v>
      </c>
      <c r="I818" s="231"/>
      <c r="J818" s="27">
        <f t="shared" si="65"/>
        <v>0</v>
      </c>
      <c r="K818" s="27">
        <v>0</v>
      </c>
      <c r="L818" s="176"/>
      <c r="M818" s="24"/>
      <c r="N818" s="29"/>
      <c r="O818" s="23">
        <v>2.6666666666666665</v>
      </c>
      <c r="P818" s="169">
        <v>2</v>
      </c>
      <c r="Q818" s="2"/>
    </row>
    <row r="819" spans="1:17">
      <c r="A819" s="14">
        <v>820</v>
      </c>
      <c r="B819" s="14" t="s">
        <v>1295</v>
      </c>
      <c r="C819" s="14" t="s">
        <v>26</v>
      </c>
      <c r="D819" s="14" t="s">
        <v>930</v>
      </c>
      <c r="E819" s="14" t="s">
        <v>8</v>
      </c>
      <c r="F819" s="21" t="s">
        <v>932</v>
      </c>
      <c r="G819" s="21"/>
      <c r="H819" s="39">
        <v>0</v>
      </c>
      <c r="I819" s="231"/>
      <c r="J819" s="27">
        <f t="shared" si="65"/>
        <v>0</v>
      </c>
      <c r="K819" s="27">
        <v>0</v>
      </c>
      <c r="L819" s="176"/>
      <c r="M819" s="24"/>
      <c r="N819" s="29"/>
      <c r="O819" s="23">
        <v>6.6666666666666661</v>
      </c>
      <c r="P819" s="169">
        <v>5</v>
      </c>
      <c r="Q819" s="2"/>
    </row>
    <row r="820" spans="1:17">
      <c r="A820" s="14">
        <v>821</v>
      </c>
      <c r="B820" s="14" t="s">
        <v>1295</v>
      </c>
      <c r="C820" s="14" t="s">
        <v>26</v>
      </c>
      <c r="D820" s="14" t="s">
        <v>930</v>
      </c>
      <c r="E820" s="14" t="s">
        <v>8</v>
      </c>
      <c r="F820" s="21" t="s">
        <v>933</v>
      </c>
      <c r="G820" s="21"/>
      <c r="H820" s="39">
        <v>10.666666666666666</v>
      </c>
      <c r="I820" s="231"/>
      <c r="J820" s="27">
        <f t="shared" si="65"/>
        <v>6.3999999999999995</v>
      </c>
      <c r="K820" s="27">
        <v>17.066666666666666</v>
      </c>
      <c r="L820" s="176"/>
      <c r="M820" s="24"/>
      <c r="N820" s="29"/>
      <c r="O820" s="23">
        <v>32</v>
      </c>
      <c r="P820" s="177">
        <v>24</v>
      </c>
      <c r="Q820" s="2"/>
    </row>
    <row r="821" spans="1:17">
      <c r="A821" s="14">
        <v>822</v>
      </c>
      <c r="B821" s="14" t="s">
        <v>1295</v>
      </c>
      <c r="C821" s="14" t="s">
        <v>26</v>
      </c>
      <c r="D821" s="14" t="s">
        <v>930</v>
      </c>
      <c r="E821" s="14" t="s">
        <v>8</v>
      </c>
      <c r="F821" s="17" t="s">
        <v>934</v>
      </c>
      <c r="G821" s="17"/>
      <c r="H821" s="39">
        <v>4</v>
      </c>
      <c r="I821" s="231"/>
      <c r="J821" s="27">
        <f t="shared" si="65"/>
        <v>2.4</v>
      </c>
      <c r="K821" s="27">
        <v>6.4</v>
      </c>
      <c r="L821" s="176"/>
      <c r="M821" s="24"/>
      <c r="N821" s="29"/>
      <c r="O821" s="43">
        <v>13.333333333333332</v>
      </c>
      <c r="P821" s="178">
        <v>10</v>
      </c>
      <c r="Q821" s="2"/>
    </row>
    <row r="822" spans="1:17">
      <c r="A822" s="14">
        <v>823</v>
      </c>
      <c r="B822" s="14" t="s">
        <v>1295</v>
      </c>
      <c r="C822" s="14" t="s">
        <v>26</v>
      </c>
      <c r="D822" s="14" t="s">
        <v>930</v>
      </c>
      <c r="E822" s="14" t="s">
        <v>8</v>
      </c>
      <c r="F822" s="17" t="s">
        <v>935</v>
      </c>
      <c r="G822" s="17"/>
      <c r="H822" s="39">
        <v>0</v>
      </c>
      <c r="I822" s="231"/>
      <c r="J822" s="27">
        <f t="shared" si="65"/>
        <v>0</v>
      </c>
      <c r="K822" s="27">
        <v>0</v>
      </c>
      <c r="L822" s="176"/>
      <c r="M822" s="24"/>
      <c r="N822" s="29"/>
      <c r="O822" s="43">
        <v>426.66666666666663</v>
      </c>
      <c r="P822" s="178">
        <v>320</v>
      </c>
      <c r="Q822" s="2"/>
    </row>
    <row r="823" spans="1:17">
      <c r="A823" s="14">
        <v>824</v>
      </c>
      <c r="B823" s="14" t="s">
        <v>1295</v>
      </c>
      <c r="C823" s="14" t="s">
        <v>26</v>
      </c>
      <c r="D823" s="14" t="s">
        <v>930</v>
      </c>
      <c r="E823" s="14" t="s">
        <v>8</v>
      </c>
      <c r="F823" s="17"/>
      <c r="G823" s="17"/>
      <c r="H823" s="39"/>
      <c r="I823" s="231"/>
      <c r="J823" s="27">
        <f t="shared" si="65"/>
        <v>0</v>
      </c>
      <c r="K823" s="27">
        <v>0</v>
      </c>
      <c r="L823" s="176"/>
      <c r="M823" s="24"/>
      <c r="N823" s="29"/>
      <c r="O823" s="43">
        <v>160</v>
      </c>
      <c r="P823" s="178">
        <v>120</v>
      </c>
      <c r="Q823" s="2"/>
    </row>
    <row r="824" spans="1:17">
      <c r="A824" s="14">
        <v>825</v>
      </c>
      <c r="B824" s="14" t="s">
        <v>1295</v>
      </c>
      <c r="C824" s="14" t="s">
        <v>68</v>
      </c>
      <c r="D824" s="14" t="s">
        <v>936</v>
      </c>
      <c r="E824" s="14" t="s">
        <v>8</v>
      </c>
      <c r="G824" s="30"/>
      <c r="I824" s="231"/>
      <c r="J824" s="27">
        <f t="shared" si="65"/>
        <v>0</v>
      </c>
      <c r="K824" s="27">
        <v>0</v>
      </c>
      <c r="L824" s="176"/>
      <c r="M824" s="147"/>
      <c r="N824" s="36"/>
      <c r="O824" s="43">
        <v>0</v>
      </c>
      <c r="P824" s="175"/>
      <c r="Q824" s="2"/>
    </row>
    <row r="825" spans="1:17">
      <c r="A825" s="14">
        <v>826</v>
      </c>
      <c r="B825" s="14" t="s">
        <v>1295</v>
      </c>
      <c r="C825" s="14" t="s">
        <v>68</v>
      </c>
      <c r="D825" s="14" t="s">
        <v>936</v>
      </c>
      <c r="E825" s="14" t="s">
        <v>8</v>
      </c>
      <c r="F825" s="21" t="s">
        <v>937</v>
      </c>
      <c r="G825" s="21"/>
      <c r="H825" s="27">
        <v>20</v>
      </c>
      <c r="I825" s="231"/>
      <c r="J825" s="27">
        <f t="shared" si="65"/>
        <v>12</v>
      </c>
      <c r="K825" s="27">
        <v>32</v>
      </c>
      <c r="L825" s="176"/>
      <c r="M825" s="147"/>
      <c r="N825" s="36"/>
      <c r="O825" s="43">
        <v>0</v>
      </c>
      <c r="P825" s="175"/>
      <c r="Q825" s="2"/>
    </row>
    <row r="826" spans="1:17">
      <c r="A826" s="14">
        <v>827</v>
      </c>
      <c r="B826" s="14" t="s">
        <v>1295</v>
      </c>
      <c r="C826" s="14" t="s">
        <v>68</v>
      </c>
      <c r="D826" s="14" t="s">
        <v>936</v>
      </c>
      <c r="E826" s="14" t="s">
        <v>8</v>
      </c>
      <c r="F826" s="21" t="s">
        <v>938</v>
      </c>
      <c r="G826" s="21"/>
      <c r="H826" s="27">
        <v>20</v>
      </c>
      <c r="I826" s="231"/>
      <c r="J826" s="27">
        <f t="shared" si="65"/>
        <v>12</v>
      </c>
      <c r="K826" s="27">
        <v>32</v>
      </c>
      <c r="L826" s="176"/>
      <c r="M826" s="147"/>
      <c r="N826" s="36"/>
      <c r="O826" s="43">
        <v>40</v>
      </c>
      <c r="P826" s="175">
        <v>30</v>
      </c>
      <c r="Q826" s="2"/>
    </row>
    <row r="827" spans="1:17">
      <c r="A827" s="14">
        <v>828</v>
      </c>
      <c r="B827" s="14" t="s">
        <v>1295</v>
      </c>
      <c r="C827" s="14" t="s">
        <v>68</v>
      </c>
      <c r="D827" s="14" t="s">
        <v>936</v>
      </c>
      <c r="E827" s="14" t="s">
        <v>8</v>
      </c>
      <c r="F827" s="21" t="s">
        <v>939</v>
      </c>
      <c r="G827" s="21"/>
      <c r="H827" s="27">
        <v>6.6666666666666661</v>
      </c>
      <c r="I827" s="231"/>
      <c r="J827" s="27">
        <f t="shared" si="65"/>
        <v>3.9999999999999996</v>
      </c>
      <c r="K827" s="27">
        <v>10.666666666666666</v>
      </c>
      <c r="L827" s="176"/>
      <c r="M827" s="147"/>
      <c r="N827" s="36"/>
      <c r="O827" s="43">
        <v>0</v>
      </c>
      <c r="P827" s="175"/>
      <c r="Q827" s="2"/>
    </row>
    <row r="828" spans="1:17">
      <c r="A828" s="14">
        <v>829</v>
      </c>
      <c r="B828" s="14" t="s">
        <v>1295</v>
      </c>
      <c r="C828" s="14" t="s">
        <v>68</v>
      </c>
      <c r="D828" s="14" t="s">
        <v>936</v>
      </c>
      <c r="E828" s="14" t="s">
        <v>8</v>
      </c>
      <c r="F828" s="21" t="s">
        <v>940</v>
      </c>
      <c r="G828" s="21"/>
      <c r="H828" s="27">
        <v>40</v>
      </c>
      <c r="I828" s="231"/>
      <c r="J828" s="27">
        <f t="shared" si="65"/>
        <v>24</v>
      </c>
      <c r="K828" s="27">
        <v>64</v>
      </c>
      <c r="L828" s="176"/>
      <c r="M828" s="147"/>
      <c r="N828" s="36"/>
      <c r="O828" s="43">
        <v>0</v>
      </c>
      <c r="P828" s="175"/>
      <c r="Q828" s="2"/>
    </row>
    <row r="829" spans="1:17">
      <c r="A829" s="14">
        <v>830</v>
      </c>
      <c r="B829" s="14" t="s">
        <v>1295</v>
      </c>
      <c r="C829" s="14" t="s">
        <v>68</v>
      </c>
      <c r="D829" s="14" t="s">
        <v>936</v>
      </c>
      <c r="E829" s="14" t="s">
        <v>8</v>
      </c>
      <c r="F829" s="21" t="s">
        <v>941</v>
      </c>
      <c r="G829" s="21"/>
      <c r="H829" s="27">
        <v>6.6666666666666661</v>
      </c>
      <c r="I829" s="231"/>
      <c r="J829" s="27">
        <f t="shared" si="65"/>
        <v>3.9999999999999996</v>
      </c>
      <c r="K829" s="27">
        <v>10.666666666666666</v>
      </c>
      <c r="O829" s="43">
        <v>10.666666666666666</v>
      </c>
      <c r="P829" s="175">
        <v>8</v>
      </c>
      <c r="Q829" s="2"/>
    </row>
    <row r="830" spans="1:17">
      <c r="A830" s="14">
        <v>831</v>
      </c>
      <c r="B830" s="14" t="s">
        <v>1295</v>
      </c>
      <c r="C830" s="14" t="s">
        <v>68</v>
      </c>
      <c r="D830" s="14" t="s">
        <v>936</v>
      </c>
      <c r="E830" s="14" t="s">
        <v>8</v>
      </c>
      <c r="F830" s="21" t="s">
        <v>942</v>
      </c>
      <c r="G830" s="21"/>
      <c r="H830" s="27">
        <v>13.333333333333332</v>
      </c>
      <c r="I830" s="231"/>
      <c r="J830" s="27">
        <f t="shared" si="65"/>
        <v>7.9999999999999991</v>
      </c>
      <c r="K830" s="27">
        <v>21.333333333333332</v>
      </c>
      <c r="L830" s="176"/>
      <c r="M830" s="147"/>
      <c r="N830" s="36"/>
      <c r="O830" s="43">
        <v>4</v>
      </c>
      <c r="P830" s="175">
        <v>3</v>
      </c>
      <c r="Q830" s="2"/>
    </row>
    <row r="831" spans="1:17">
      <c r="A831" s="14">
        <v>832</v>
      </c>
      <c r="B831" s="14" t="s">
        <v>1295</v>
      </c>
      <c r="C831" s="14" t="s">
        <v>68</v>
      </c>
      <c r="D831" s="14" t="s">
        <v>936</v>
      </c>
      <c r="E831" s="14" t="s">
        <v>8</v>
      </c>
      <c r="F831" s="21" t="s">
        <v>943</v>
      </c>
      <c r="G831" s="21"/>
      <c r="H831" s="27">
        <v>13.333333333333332</v>
      </c>
      <c r="I831" s="231"/>
      <c r="J831" s="27">
        <f t="shared" si="65"/>
        <v>7.9999999999999991</v>
      </c>
      <c r="K831" s="27">
        <v>21.333333333333332</v>
      </c>
      <c r="L831" s="176"/>
      <c r="M831" s="147"/>
      <c r="N831" s="36"/>
      <c r="O831" s="179">
        <v>0</v>
      </c>
      <c r="P831" s="149">
        <v>0</v>
      </c>
      <c r="Q831" s="2"/>
    </row>
    <row r="832" spans="1:17">
      <c r="A832" s="14">
        <v>833</v>
      </c>
      <c r="B832" s="14" t="s">
        <v>1295</v>
      </c>
      <c r="C832" s="14" t="s">
        <v>44</v>
      </c>
      <c r="D832" s="14" t="s">
        <v>936</v>
      </c>
      <c r="E832" s="14" t="s">
        <v>8</v>
      </c>
      <c r="F832" s="21" t="s">
        <v>937</v>
      </c>
      <c r="G832" s="30"/>
      <c r="H832" s="27"/>
      <c r="I832" s="231"/>
      <c r="J832" s="27">
        <f t="shared" si="65"/>
        <v>0</v>
      </c>
      <c r="K832" s="27">
        <v>0</v>
      </c>
      <c r="L832" s="176"/>
      <c r="O832" s="34"/>
      <c r="P832" s="180"/>
      <c r="Q832" s="2"/>
    </row>
    <row r="833" spans="1:17">
      <c r="A833" s="14">
        <v>834</v>
      </c>
      <c r="B833" s="14" t="s">
        <v>1295</v>
      </c>
      <c r="C833" s="14" t="s">
        <v>44</v>
      </c>
      <c r="D833" s="14" t="s">
        <v>936</v>
      </c>
      <c r="E833" s="14" t="s">
        <v>8</v>
      </c>
      <c r="F833" s="21" t="s">
        <v>938</v>
      </c>
      <c r="G833" s="21"/>
      <c r="H833" s="27">
        <v>20</v>
      </c>
      <c r="I833" s="231"/>
      <c r="J833" s="27">
        <f t="shared" si="65"/>
        <v>12</v>
      </c>
      <c r="K833" s="27">
        <v>32</v>
      </c>
      <c r="L833" s="181"/>
      <c r="Q833" s="2"/>
    </row>
    <row r="834" spans="1:17">
      <c r="A834" s="14">
        <v>835</v>
      </c>
      <c r="B834" s="14" t="s">
        <v>1295</v>
      </c>
      <c r="C834" s="14" t="s">
        <v>44</v>
      </c>
      <c r="D834" s="14" t="s">
        <v>936</v>
      </c>
      <c r="E834" s="14" t="s">
        <v>8</v>
      </c>
      <c r="F834" s="21" t="s">
        <v>939</v>
      </c>
      <c r="G834" s="21"/>
      <c r="H834" s="39">
        <v>20</v>
      </c>
      <c r="I834" s="231"/>
      <c r="J834" s="27">
        <f t="shared" si="65"/>
        <v>12</v>
      </c>
      <c r="K834" s="27">
        <v>32</v>
      </c>
      <c r="L834" s="176"/>
      <c r="M834" s="24"/>
      <c r="N834" s="29"/>
      <c r="O834" s="23">
        <v>20</v>
      </c>
      <c r="P834" s="169">
        <v>15</v>
      </c>
      <c r="Q834" s="2"/>
    </row>
    <row r="835" spans="1:17">
      <c r="A835" s="14">
        <v>836</v>
      </c>
      <c r="B835" s="14" t="s">
        <v>1295</v>
      </c>
      <c r="C835" s="14" t="s">
        <v>44</v>
      </c>
      <c r="D835" s="14" t="s">
        <v>936</v>
      </c>
      <c r="E835" s="14" t="s">
        <v>8</v>
      </c>
      <c r="F835" s="21" t="s">
        <v>940</v>
      </c>
      <c r="G835" s="21"/>
      <c r="H835" s="39">
        <v>6.6666666666666661</v>
      </c>
      <c r="I835" s="231"/>
      <c r="J835" s="27">
        <f t="shared" si="65"/>
        <v>3.9999999999999996</v>
      </c>
      <c r="K835" s="27">
        <v>10.666666666666666</v>
      </c>
      <c r="L835" s="176"/>
      <c r="M835" s="24"/>
      <c r="N835" s="29"/>
      <c r="O835" s="23">
        <v>20</v>
      </c>
      <c r="P835" s="169">
        <v>15</v>
      </c>
      <c r="Q835" s="2"/>
    </row>
    <row r="836" spans="1:17">
      <c r="A836" s="14">
        <v>837</v>
      </c>
      <c r="B836" s="14" t="s">
        <v>1295</v>
      </c>
      <c r="C836" s="14" t="s">
        <v>44</v>
      </c>
      <c r="D836" s="14" t="s">
        <v>936</v>
      </c>
      <c r="E836" s="14" t="s">
        <v>8</v>
      </c>
      <c r="F836" s="21" t="s">
        <v>941</v>
      </c>
      <c r="G836" s="21"/>
      <c r="H836" s="39">
        <v>40</v>
      </c>
      <c r="I836" s="231"/>
      <c r="J836" s="27">
        <f t="shared" si="65"/>
        <v>24</v>
      </c>
      <c r="K836" s="27">
        <v>64</v>
      </c>
      <c r="L836" s="176"/>
      <c r="M836" s="24"/>
      <c r="N836" s="29"/>
      <c r="O836" s="23">
        <v>6.6666666666666661</v>
      </c>
      <c r="P836" s="169">
        <v>5</v>
      </c>
      <c r="Q836" s="2"/>
    </row>
    <row r="837" spans="1:17">
      <c r="A837" s="14">
        <v>838</v>
      </c>
      <c r="B837" s="14" t="s">
        <v>1295</v>
      </c>
      <c r="C837" s="14" t="s">
        <v>44</v>
      </c>
      <c r="D837" s="14" t="s">
        <v>936</v>
      </c>
      <c r="E837" s="14" t="s">
        <v>8</v>
      </c>
      <c r="F837" s="21" t="s">
        <v>942</v>
      </c>
      <c r="G837" s="30"/>
      <c r="H837" s="39">
        <v>6.6666666666666661</v>
      </c>
      <c r="I837" s="231"/>
      <c r="J837" s="27">
        <f t="shared" si="65"/>
        <v>3.9999999999999996</v>
      </c>
      <c r="K837" s="27">
        <v>10.666666666666666</v>
      </c>
      <c r="L837" s="176"/>
      <c r="M837" s="24"/>
      <c r="N837" s="29"/>
      <c r="O837" s="23">
        <v>40</v>
      </c>
      <c r="P837" s="169">
        <v>30</v>
      </c>
      <c r="Q837" s="2"/>
    </row>
    <row r="838" spans="1:17">
      <c r="A838" s="14">
        <v>839</v>
      </c>
      <c r="B838" s="14" t="s">
        <v>1295</v>
      </c>
      <c r="C838" s="14" t="s">
        <v>44</v>
      </c>
      <c r="D838" s="14" t="s">
        <v>936</v>
      </c>
      <c r="E838" s="14" t="s">
        <v>8</v>
      </c>
      <c r="F838" s="21" t="s">
        <v>943</v>
      </c>
      <c r="G838" s="21"/>
      <c r="H838" s="39">
        <v>13.333333333333332</v>
      </c>
      <c r="I838" s="231"/>
      <c r="J838" s="27">
        <f t="shared" si="65"/>
        <v>7.9999999999999991</v>
      </c>
      <c r="K838" s="27">
        <v>21.333333333333332</v>
      </c>
      <c r="L838" s="176"/>
      <c r="M838" s="24"/>
      <c r="N838" s="29"/>
      <c r="O838" s="23">
        <v>6.6666666666666661</v>
      </c>
      <c r="P838" s="169">
        <v>5</v>
      </c>
      <c r="Q838" s="2"/>
    </row>
    <row r="839" spans="1:17">
      <c r="A839" s="14">
        <v>840</v>
      </c>
      <c r="B839" s="14" t="s">
        <v>1295</v>
      </c>
      <c r="C839" s="14" t="s">
        <v>44</v>
      </c>
      <c r="D839" s="14" t="s">
        <v>936</v>
      </c>
      <c r="E839" s="14" t="s">
        <v>8</v>
      </c>
      <c r="G839" s="21"/>
      <c r="H839" s="39">
        <v>13.333333333333332</v>
      </c>
      <c r="I839" s="231"/>
      <c r="J839" s="27">
        <f t="shared" si="65"/>
        <v>7.9999999999999991</v>
      </c>
      <c r="K839" s="27">
        <v>21.333333333333332</v>
      </c>
      <c r="L839" s="176"/>
      <c r="M839" s="24"/>
      <c r="N839" s="29"/>
      <c r="O839" s="23">
        <v>13.333333333333332</v>
      </c>
      <c r="P839" s="169">
        <v>10</v>
      </c>
      <c r="Q839" s="2"/>
    </row>
    <row r="840" spans="1:17">
      <c r="A840" s="14">
        <v>841</v>
      </c>
      <c r="B840" s="14" t="s">
        <v>1295</v>
      </c>
      <c r="C840" s="14" t="s">
        <v>41</v>
      </c>
      <c r="D840" s="14" t="s">
        <v>944</v>
      </c>
      <c r="E840" s="14" t="s">
        <v>8</v>
      </c>
      <c r="F840" s="21" t="s">
        <v>945</v>
      </c>
      <c r="G840" s="21"/>
      <c r="H840" s="27">
        <v>20</v>
      </c>
      <c r="I840" s="231"/>
      <c r="J840" s="27">
        <f t="shared" ref="J840:J903" si="66">H840*$D$6</f>
        <v>12</v>
      </c>
      <c r="K840" s="27">
        <v>32</v>
      </c>
      <c r="L840" s="176"/>
      <c r="M840" s="24"/>
      <c r="N840" s="29"/>
      <c r="O840" s="23">
        <v>13.333333333333332</v>
      </c>
      <c r="P840" s="169">
        <v>10</v>
      </c>
      <c r="Q840" s="2"/>
    </row>
    <row r="841" spans="1:17">
      <c r="A841" s="14">
        <v>842</v>
      </c>
      <c r="B841" s="14" t="s">
        <v>1295</v>
      </c>
      <c r="C841" s="14" t="s">
        <v>41</v>
      </c>
      <c r="D841" s="14" t="s">
        <v>944</v>
      </c>
      <c r="E841" s="14" t="s">
        <v>8</v>
      </c>
      <c r="F841" s="21" t="s">
        <v>946</v>
      </c>
      <c r="G841" s="21"/>
      <c r="H841" s="27">
        <v>40</v>
      </c>
      <c r="I841" s="231"/>
      <c r="J841" s="27">
        <f t="shared" si="66"/>
        <v>24</v>
      </c>
      <c r="K841" s="27">
        <v>64</v>
      </c>
      <c r="L841" s="176"/>
      <c r="M841" s="24"/>
      <c r="N841" s="29"/>
      <c r="O841" s="23"/>
      <c r="P841" s="169"/>
      <c r="Q841" s="2"/>
    </row>
    <row r="842" spans="1:17">
      <c r="A842" s="14">
        <v>843</v>
      </c>
      <c r="B842" s="14" t="s">
        <v>1295</v>
      </c>
      <c r="C842" s="14" t="s">
        <v>41</v>
      </c>
      <c r="D842" s="14" t="s">
        <v>944</v>
      </c>
      <c r="E842" s="14" t="s">
        <v>8</v>
      </c>
      <c r="F842" s="21" t="s">
        <v>947</v>
      </c>
      <c r="G842" s="21"/>
      <c r="H842" s="27">
        <v>26.666666666666664</v>
      </c>
      <c r="I842" s="231"/>
      <c r="J842" s="27">
        <f t="shared" si="66"/>
        <v>15.999999999999998</v>
      </c>
      <c r="K842" s="27">
        <v>42.666666666666664</v>
      </c>
      <c r="L842" s="176"/>
      <c r="M842" s="24"/>
      <c r="N842" s="29"/>
      <c r="O842" s="23">
        <v>20</v>
      </c>
      <c r="P842" s="169">
        <v>15</v>
      </c>
      <c r="Q842" s="2"/>
    </row>
    <row r="843" spans="1:17">
      <c r="A843" s="14">
        <v>844</v>
      </c>
      <c r="B843" s="14" t="s">
        <v>1295</v>
      </c>
      <c r="C843" s="14" t="s">
        <v>41</v>
      </c>
      <c r="D843" s="14" t="s">
        <v>944</v>
      </c>
      <c r="E843" s="14" t="s">
        <v>8</v>
      </c>
      <c r="F843" s="21"/>
      <c r="G843" s="21"/>
      <c r="H843" s="27"/>
      <c r="I843" s="231"/>
      <c r="J843" s="27">
        <f t="shared" si="66"/>
        <v>0</v>
      </c>
      <c r="K843" s="27">
        <v>0</v>
      </c>
      <c r="L843" s="181"/>
      <c r="M843" s="182"/>
      <c r="N843" s="36"/>
      <c r="O843" s="38">
        <v>20</v>
      </c>
      <c r="P843" s="169">
        <v>15</v>
      </c>
      <c r="Q843" s="2"/>
    </row>
    <row r="844" spans="1:17">
      <c r="A844" s="14">
        <v>845</v>
      </c>
      <c r="B844" s="14" t="s">
        <v>1295</v>
      </c>
      <c r="C844" s="14" t="s">
        <v>69</v>
      </c>
      <c r="D844" s="14" t="s">
        <v>948</v>
      </c>
      <c r="E844" s="14" t="s">
        <v>8</v>
      </c>
      <c r="G844" s="21"/>
      <c r="H844" s="27"/>
      <c r="I844" s="231"/>
      <c r="J844" s="27">
        <f t="shared" si="66"/>
        <v>0</v>
      </c>
      <c r="K844" s="27">
        <v>0</v>
      </c>
      <c r="L844" s="181"/>
      <c r="M844" s="182"/>
      <c r="N844" s="36"/>
      <c r="O844" s="38">
        <v>6.6666666666666661</v>
      </c>
      <c r="P844" s="169">
        <v>5</v>
      </c>
      <c r="Q844" s="2"/>
    </row>
    <row r="845" spans="1:17">
      <c r="A845" s="14">
        <v>846</v>
      </c>
      <c r="B845" s="14" t="s">
        <v>1295</v>
      </c>
      <c r="C845" s="14" t="s">
        <v>69</v>
      </c>
      <c r="D845" s="14" t="s">
        <v>948</v>
      </c>
      <c r="E845" s="14" t="s">
        <v>8</v>
      </c>
      <c r="F845" s="21" t="s">
        <v>949</v>
      </c>
      <c r="G845" s="21"/>
      <c r="H845" s="27">
        <v>20</v>
      </c>
      <c r="I845" s="231"/>
      <c r="J845" s="27">
        <f t="shared" si="66"/>
        <v>12</v>
      </c>
      <c r="K845" s="27">
        <v>32</v>
      </c>
      <c r="L845" s="181"/>
      <c r="M845" s="147"/>
      <c r="N845" s="36"/>
      <c r="O845" s="38">
        <v>40</v>
      </c>
      <c r="P845" s="169">
        <v>30</v>
      </c>
      <c r="Q845" s="2"/>
    </row>
    <row r="846" spans="1:17">
      <c r="A846" s="14">
        <v>847</v>
      </c>
      <c r="B846" s="14" t="s">
        <v>1295</v>
      </c>
      <c r="C846" s="14" t="s">
        <v>69</v>
      </c>
      <c r="D846" s="14" t="s">
        <v>948</v>
      </c>
      <c r="E846" s="14" t="s">
        <v>8</v>
      </c>
      <c r="F846" s="21" t="s">
        <v>950</v>
      </c>
      <c r="G846" s="21"/>
      <c r="H846" s="27">
        <v>8</v>
      </c>
      <c r="I846" s="231"/>
      <c r="J846" s="27">
        <f t="shared" si="66"/>
        <v>4.8</v>
      </c>
      <c r="K846" s="27">
        <v>12.8</v>
      </c>
      <c r="L846" s="181"/>
      <c r="M846" s="147"/>
      <c r="N846" s="36"/>
      <c r="O846" s="38">
        <v>6.6666666666666661</v>
      </c>
      <c r="P846" s="169">
        <v>5</v>
      </c>
      <c r="Q846" s="2"/>
    </row>
    <row r="847" spans="1:17">
      <c r="A847" s="14">
        <v>848</v>
      </c>
      <c r="B847" s="14" t="s">
        <v>1295</v>
      </c>
      <c r="C847" s="14" t="s">
        <v>69</v>
      </c>
      <c r="D847" s="14" t="s">
        <v>948</v>
      </c>
      <c r="E847" s="14" t="s">
        <v>8</v>
      </c>
      <c r="F847" s="21" t="s">
        <v>951</v>
      </c>
      <c r="G847" s="21"/>
      <c r="H847" s="27">
        <v>13.333333333333332</v>
      </c>
      <c r="I847" s="231"/>
      <c r="J847" s="27">
        <f t="shared" si="66"/>
        <v>7.9999999999999991</v>
      </c>
      <c r="K847" s="27">
        <v>21.333333333333332</v>
      </c>
      <c r="L847" s="181"/>
      <c r="M847" s="147"/>
      <c r="N847" s="36"/>
      <c r="O847" s="38">
        <v>13.333333333333332</v>
      </c>
      <c r="P847" s="183">
        <v>10</v>
      </c>
      <c r="Q847" s="2"/>
    </row>
    <row r="848" spans="1:17">
      <c r="A848" s="14">
        <v>849</v>
      </c>
      <c r="B848" s="14" t="s">
        <v>1295</v>
      </c>
      <c r="C848" s="14" t="s">
        <v>69</v>
      </c>
      <c r="D848" s="14" t="s">
        <v>948</v>
      </c>
      <c r="E848" s="14" t="s">
        <v>8</v>
      </c>
      <c r="F848" s="21" t="s">
        <v>952</v>
      </c>
      <c r="G848" s="21"/>
      <c r="H848" s="39">
        <v>44</v>
      </c>
      <c r="I848" s="231"/>
      <c r="J848" s="27">
        <f t="shared" si="66"/>
        <v>26.4</v>
      </c>
      <c r="K848" s="27">
        <v>70.400000000000006</v>
      </c>
      <c r="L848" s="181"/>
      <c r="M848" s="147"/>
      <c r="N848" s="36"/>
      <c r="O848" s="38">
        <v>13.333333333333332</v>
      </c>
      <c r="P848" s="169">
        <v>10</v>
      </c>
      <c r="Q848" s="2"/>
    </row>
    <row r="849" spans="1:17">
      <c r="A849" s="14">
        <v>850</v>
      </c>
      <c r="B849" s="14" t="s">
        <v>1295</v>
      </c>
      <c r="C849" s="14" t="s">
        <v>69</v>
      </c>
      <c r="D849" s="14" t="s">
        <v>948</v>
      </c>
      <c r="E849" s="14" t="s">
        <v>8</v>
      </c>
      <c r="F849" s="21" t="s">
        <v>953</v>
      </c>
      <c r="G849" s="21"/>
      <c r="H849" s="39">
        <v>20</v>
      </c>
      <c r="I849" s="231"/>
      <c r="J849" s="27">
        <f t="shared" si="66"/>
        <v>12</v>
      </c>
      <c r="K849" s="27">
        <v>32</v>
      </c>
      <c r="L849" s="184"/>
      <c r="M849" s="24"/>
      <c r="N849" s="29"/>
      <c r="O849" s="23">
        <v>20</v>
      </c>
      <c r="P849" s="183">
        <v>15</v>
      </c>
      <c r="Q849" s="2"/>
    </row>
    <row r="850" spans="1:17">
      <c r="A850" s="14">
        <v>851</v>
      </c>
      <c r="B850" s="14" t="s">
        <v>1295</v>
      </c>
      <c r="C850" s="14" t="s">
        <v>69</v>
      </c>
      <c r="D850" s="14" t="s">
        <v>948</v>
      </c>
      <c r="E850" s="14" t="s">
        <v>8</v>
      </c>
      <c r="F850" s="21" t="s">
        <v>954</v>
      </c>
      <c r="G850" s="21"/>
      <c r="H850" s="39">
        <v>24</v>
      </c>
      <c r="I850" s="231"/>
      <c r="J850" s="27">
        <f t="shared" si="66"/>
        <v>14.399999999999999</v>
      </c>
      <c r="K850" s="27">
        <v>38.4</v>
      </c>
      <c r="L850" s="184"/>
      <c r="M850" s="24"/>
      <c r="N850" s="29"/>
      <c r="O850" s="23">
        <v>40</v>
      </c>
      <c r="P850" s="183">
        <v>30</v>
      </c>
      <c r="Q850" s="2"/>
    </row>
    <row r="851" spans="1:17">
      <c r="A851" s="14">
        <v>852</v>
      </c>
      <c r="B851" s="14" t="s">
        <v>1295</v>
      </c>
      <c r="C851" s="14" t="s">
        <v>69</v>
      </c>
      <c r="D851" s="14" t="s">
        <v>948</v>
      </c>
      <c r="E851" s="14" t="s">
        <v>8</v>
      </c>
      <c r="F851" s="21" t="s">
        <v>955</v>
      </c>
      <c r="G851" s="21"/>
      <c r="H851" s="39">
        <v>13.333333333333332</v>
      </c>
      <c r="I851" s="231"/>
      <c r="J851" s="27">
        <f t="shared" si="66"/>
        <v>7.9999999999999991</v>
      </c>
      <c r="K851" s="27">
        <v>21.333333333333332</v>
      </c>
      <c r="L851" s="184"/>
      <c r="M851" s="24"/>
      <c r="N851" s="29"/>
      <c r="O851" s="23">
        <v>26.666666666666664</v>
      </c>
      <c r="P851" s="183">
        <v>20</v>
      </c>
      <c r="Q851" s="2"/>
    </row>
    <row r="852" spans="1:17">
      <c r="A852" s="14">
        <v>853</v>
      </c>
      <c r="B852" s="14" t="s">
        <v>1295</v>
      </c>
      <c r="C852" s="14" t="s">
        <v>69</v>
      </c>
      <c r="D852" s="14" t="s">
        <v>948</v>
      </c>
      <c r="E852" s="14" t="s">
        <v>8</v>
      </c>
      <c r="F852" s="21" t="s">
        <v>956</v>
      </c>
      <c r="G852" s="21"/>
      <c r="H852" s="39">
        <v>33.333333333333329</v>
      </c>
      <c r="I852" s="231"/>
      <c r="J852" s="27">
        <f t="shared" si="66"/>
        <v>19.999999999999996</v>
      </c>
      <c r="K852" s="27">
        <v>53.333333333333329</v>
      </c>
      <c r="L852" s="184"/>
      <c r="M852" s="24"/>
      <c r="N852" s="29"/>
      <c r="O852" s="23"/>
      <c r="P852" s="169"/>
      <c r="Q852" s="2"/>
    </row>
    <row r="853" spans="1:17">
      <c r="A853" s="14">
        <v>854</v>
      </c>
      <c r="B853" s="14" t="s">
        <v>1295</v>
      </c>
      <c r="C853" s="14" t="s">
        <v>69</v>
      </c>
      <c r="D853" s="14" t="s">
        <v>948</v>
      </c>
      <c r="E853" s="14" t="s">
        <v>8</v>
      </c>
      <c r="F853" s="21" t="s">
        <v>957</v>
      </c>
      <c r="G853" s="21"/>
      <c r="H853" s="39">
        <v>6.6666666666666661</v>
      </c>
      <c r="I853" s="231"/>
      <c r="J853" s="27">
        <f t="shared" si="66"/>
        <v>3.9999999999999996</v>
      </c>
      <c r="K853" s="27">
        <v>10.666666666666666</v>
      </c>
      <c r="L853" s="184"/>
      <c r="M853" s="24"/>
      <c r="N853" s="29"/>
      <c r="O853" s="23"/>
      <c r="P853" s="169"/>
      <c r="Q853" s="2"/>
    </row>
    <row r="854" spans="1:17">
      <c r="A854" s="14">
        <v>855</v>
      </c>
      <c r="B854" s="14" t="s">
        <v>1295</v>
      </c>
      <c r="C854" s="14" t="s">
        <v>69</v>
      </c>
      <c r="D854" s="14" t="s">
        <v>948</v>
      </c>
      <c r="E854" s="14" t="s">
        <v>8</v>
      </c>
      <c r="F854" s="21" t="s">
        <v>46</v>
      </c>
      <c r="G854" s="90"/>
      <c r="H854" s="39">
        <v>80</v>
      </c>
      <c r="I854" s="231"/>
      <c r="J854" s="27">
        <f t="shared" si="66"/>
        <v>48</v>
      </c>
      <c r="K854" s="27">
        <v>128</v>
      </c>
      <c r="L854" s="184"/>
      <c r="M854" s="24"/>
      <c r="N854" s="29"/>
      <c r="O854" s="23">
        <v>20</v>
      </c>
      <c r="P854" s="169">
        <v>15</v>
      </c>
      <c r="Q854" s="2"/>
    </row>
    <row r="855" spans="1:17">
      <c r="A855" s="14">
        <v>856</v>
      </c>
      <c r="B855" s="14" t="s">
        <v>1295</v>
      </c>
      <c r="C855" s="14" t="s">
        <v>69</v>
      </c>
      <c r="D855" s="14" t="s">
        <v>948</v>
      </c>
      <c r="E855" s="14" t="s">
        <v>8</v>
      </c>
      <c r="F855" s="21" t="s">
        <v>47</v>
      </c>
      <c r="G855" s="21"/>
      <c r="H855" s="39">
        <v>320</v>
      </c>
      <c r="I855" s="231"/>
      <c r="J855" s="27">
        <f t="shared" si="66"/>
        <v>192</v>
      </c>
      <c r="K855" s="27">
        <v>512</v>
      </c>
      <c r="L855" s="184"/>
      <c r="M855" s="24"/>
      <c r="N855" s="29"/>
      <c r="O855" s="23">
        <v>8</v>
      </c>
      <c r="P855" s="169">
        <v>6</v>
      </c>
      <c r="Q855" s="2"/>
    </row>
    <row r="856" spans="1:17">
      <c r="A856" s="14">
        <v>857</v>
      </c>
      <c r="B856" s="14" t="s">
        <v>1295</v>
      </c>
      <c r="C856" s="14" t="s">
        <v>69</v>
      </c>
      <c r="D856" s="14" t="s">
        <v>948</v>
      </c>
      <c r="E856" s="14" t="s">
        <v>8</v>
      </c>
      <c r="F856" s="21" t="s">
        <v>958</v>
      </c>
      <c r="G856" s="21"/>
      <c r="H856" s="39">
        <v>40</v>
      </c>
      <c r="I856" s="231"/>
      <c r="J856" s="27">
        <f t="shared" si="66"/>
        <v>24</v>
      </c>
      <c r="K856" s="27">
        <v>64</v>
      </c>
      <c r="L856" s="184"/>
      <c r="M856" s="24"/>
      <c r="N856" s="29"/>
      <c r="O856" s="23">
        <v>13.333333333333332</v>
      </c>
      <c r="P856" s="169">
        <v>10</v>
      </c>
      <c r="Q856" s="2"/>
    </row>
    <row r="857" spans="1:17">
      <c r="A857" s="14">
        <v>858</v>
      </c>
      <c r="B857" s="14" t="s">
        <v>1295</v>
      </c>
      <c r="C857" s="14" t="s">
        <v>69</v>
      </c>
      <c r="D857" s="14" t="s">
        <v>948</v>
      </c>
      <c r="E857" s="14" t="s">
        <v>8</v>
      </c>
      <c r="F857" s="21" t="s">
        <v>959</v>
      </c>
      <c r="G857" s="21"/>
      <c r="H857" s="39">
        <v>320</v>
      </c>
      <c r="I857" s="231"/>
      <c r="J857" s="27">
        <f t="shared" si="66"/>
        <v>192</v>
      </c>
      <c r="K857" s="27">
        <v>512</v>
      </c>
      <c r="L857" s="181"/>
      <c r="M857" s="182"/>
      <c r="N857" s="36"/>
      <c r="O857" s="38">
        <v>44</v>
      </c>
      <c r="P857" s="169">
        <v>33</v>
      </c>
      <c r="Q857" s="2"/>
    </row>
    <row r="858" spans="1:17">
      <c r="A858" s="14">
        <v>859</v>
      </c>
      <c r="B858" s="14" t="s">
        <v>1295</v>
      </c>
      <c r="C858" s="14" t="s">
        <v>69</v>
      </c>
      <c r="D858" s="14" t="s">
        <v>948</v>
      </c>
      <c r="E858" s="14" t="s">
        <v>8</v>
      </c>
      <c r="F858" s="21" t="s">
        <v>960</v>
      </c>
      <c r="G858" s="21"/>
      <c r="H858" s="39">
        <v>60</v>
      </c>
      <c r="I858" s="231"/>
      <c r="J858" s="27">
        <f t="shared" si="66"/>
        <v>36</v>
      </c>
      <c r="K858" s="27">
        <v>96</v>
      </c>
      <c r="L858" s="181"/>
      <c r="M858" s="182"/>
      <c r="N858" s="36"/>
      <c r="O858" s="38">
        <v>20</v>
      </c>
      <c r="P858" s="169">
        <v>15</v>
      </c>
      <c r="Q858" s="2"/>
    </row>
    <row r="859" spans="1:17">
      <c r="A859" s="14">
        <v>860</v>
      </c>
      <c r="B859" s="14" t="s">
        <v>1295</v>
      </c>
      <c r="C859" s="14" t="s">
        <v>69</v>
      </c>
      <c r="D859" s="14" t="s">
        <v>948</v>
      </c>
      <c r="E859" s="14" t="s">
        <v>8</v>
      </c>
      <c r="F859" s="21" t="s">
        <v>961</v>
      </c>
      <c r="G859" s="21"/>
      <c r="H859" s="39">
        <v>38</v>
      </c>
      <c r="I859" s="231"/>
      <c r="J859" s="27">
        <f t="shared" si="66"/>
        <v>22.8</v>
      </c>
      <c r="K859" s="27">
        <v>60.8</v>
      </c>
      <c r="L859" s="181"/>
      <c r="M859" s="182"/>
      <c r="N859" s="36"/>
      <c r="O859" s="38">
        <v>24</v>
      </c>
      <c r="P859" s="185">
        <v>18</v>
      </c>
      <c r="Q859" s="2"/>
    </row>
    <row r="860" spans="1:17">
      <c r="A860" s="14">
        <v>861</v>
      </c>
      <c r="B860" s="14" t="s">
        <v>1295</v>
      </c>
      <c r="C860" s="14" t="s">
        <v>69</v>
      </c>
      <c r="D860" s="14" t="s">
        <v>948</v>
      </c>
      <c r="E860" s="14" t="s">
        <v>8</v>
      </c>
      <c r="F860" s="21" t="s">
        <v>962</v>
      </c>
      <c r="G860" s="22"/>
      <c r="H860" s="39">
        <v>120</v>
      </c>
      <c r="I860" s="231"/>
      <c r="J860" s="27">
        <f t="shared" si="66"/>
        <v>72</v>
      </c>
      <c r="K860" s="27">
        <v>192</v>
      </c>
      <c r="L860" s="181"/>
      <c r="M860" s="182"/>
      <c r="N860" s="36"/>
      <c r="O860" s="38">
        <v>13.333333333333332</v>
      </c>
      <c r="P860" s="169">
        <v>10</v>
      </c>
      <c r="Q860" s="2"/>
    </row>
    <row r="861" spans="1:17">
      <c r="A861" s="14">
        <v>862</v>
      </c>
      <c r="B861" s="14" t="s">
        <v>1295</v>
      </c>
      <c r="C861" s="14" t="s">
        <v>69</v>
      </c>
      <c r="D861" s="14" t="s">
        <v>963</v>
      </c>
      <c r="E861" s="14" t="s">
        <v>8</v>
      </c>
      <c r="F861" s="21" t="s">
        <v>964</v>
      </c>
      <c r="G861" s="30"/>
      <c r="I861" s="231"/>
      <c r="J861" s="27">
        <f t="shared" si="66"/>
        <v>0</v>
      </c>
      <c r="K861" s="27"/>
      <c r="L861" s="181"/>
      <c r="M861" s="182"/>
      <c r="N861" s="36"/>
      <c r="O861" s="38">
        <v>33.333333333333329</v>
      </c>
      <c r="P861" s="169">
        <v>25</v>
      </c>
      <c r="Q861" s="2"/>
    </row>
    <row r="862" spans="1:17">
      <c r="A862" s="14">
        <v>863</v>
      </c>
      <c r="B862" s="14" t="s">
        <v>1295</v>
      </c>
      <c r="C862" s="14" t="s">
        <v>69</v>
      </c>
      <c r="D862" s="14" t="s">
        <v>963</v>
      </c>
      <c r="E862" s="14" t="s">
        <v>8</v>
      </c>
      <c r="F862" s="21" t="s">
        <v>965</v>
      </c>
      <c r="G862" s="21"/>
      <c r="H862" s="27">
        <v>80</v>
      </c>
      <c r="I862" s="231"/>
      <c r="J862" s="27">
        <f t="shared" si="66"/>
        <v>48</v>
      </c>
      <c r="K862" s="27">
        <v>128</v>
      </c>
      <c r="L862" s="181"/>
      <c r="M862" s="182"/>
      <c r="N862" s="36"/>
      <c r="O862" s="38">
        <v>6.6666666666666661</v>
      </c>
      <c r="P862" s="169">
        <v>5</v>
      </c>
      <c r="Q862" s="2"/>
    </row>
    <row r="863" spans="1:17">
      <c r="A863" s="14">
        <v>864</v>
      </c>
      <c r="B863" s="14" t="s">
        <v>1295</v>
      </c>
      <c r="C863" s="14" t="s">
        <v>69</v>
      </c>
      <c r="D863" s="14" t="s">
        <v>963</v>
      </c>
      <c r="E863" s="14" t="s">
        <v>8</v>
      </c>
      <c r="F863" s="21" t="s">
        <v>966</v>
      </c>
      <c r="G863" s="21"/>
      <c r="H863" s="27">
        <v>6.6666666666666661</v>
      </c>
      <c r="I863" s="231"/>
      <c r="J863" s="27">
        <f t="shared" si="66"/>
        <v>3.9999999999999996</v>
      </c>
      <c r="K863" s="27">
        <v>10.666666666666666</v>
      </c>
      <c r="L863" s="181"/>
      <c r="M863" s="182"/>
      <c r="N863" s="36"/>
      <c r="O863" s="38">
        <v>80</v>
      </c>
      <c r="P863" s="169">
        <v>60</v>
      </c>
      <c r="Q863" s="2"/>
    </row>
    <row r="864" spans="1:17">
      <c r="A864" s="14">
        <v>865</v>
      </c>
      <c r="B864" s="14" t="s">
        <v>1295</v>
      </c>
      <c r="C864" s="14" t="s">
        <v>69</v>
      </c>
      <c r="D864" s="14" t="s">
        <v>963</v>
      </c>
      <c r="E864" s="14" t="s">
        <v>8</v>
      </c>
      <c r="F864" s="21" t="s">
        <v>967</v>
      </c>
      <c r="G864" s="21"/>
      <c r="H864" s="27">
        <v>6.6666666666666661</v>
      </c>
      <c r="I864" s="231"/>
      <c r="J864" s="27">
        <f t="shared" si="66"/>
        <v>3.9999999999999996</v>
      </c>
      <c r="K864" s="27">
        <v>10.666666666666666</v>
      </c>
      <c r="L864" s="181"/>
      <c r="M864" s="182"/>
      <c r="N864" s="36"/>
      <c r="O864" s="38">
        <v>320</v>
      </c>
      <c r="P864" s="169">
        <v>240</v>
      </c>
      <c r="Q864" s="2"/>
    </row>
    <row r="865" spans="1:17">
      <c r="A865" s="14">
        <v>866</v>
      </c>
      <c r="B865" s="14" t="s">
        <v>1295</v>
      </c>
      <c r="C865" s="14" t="s">
        <v>69</v>
      </c>
      <c r="D865" s="14" t="s">
        <v>963</v>
      </c>
      <c r="E865" s="14" t="s">
        <v>8</v>
      </c>
      <c r="F865" s="21" t="s">
        <v>968</v>
      </c>
      <c r="G865" s="21"/>
      <c r="H865" s="27">
        <v>6.6666666666666661</v>
      </c>
      <c r="I865" s="231"/>
      <c r="J865" s="27">
        <f t="shared" si="66"/>
        <v>3.9999999999999996</v>
      </c>
      <c r="K865" s="27">
        <v>10.666666666666666</v>
      </c>
      <c r="L865" s="181"/>
      <c r="M865" s="182"/>
      <c r="N865" s="36"/>
      <c r="O865" s="38">
        <v>40</v>
      </c>
      <c r="P865" s="169">
        <v>30</v>
      </c>
      <c r="Q865" s="2"/>
    </row>
    <row r="866" spans="1:17">
      <c r="A866" s="14">
        <v>867</v>
      </c>
      <c r="B866" s="14" t="s">
        <v>1295</v>
      </c>
      <c r="C866" s="14" t="s">
        <v>69</v>
      </c>
      <c r="D866" s="14" t="s">
        <v>963</v>
      </c>
      <c r="E866" s="14" t="s">
        <v>8</v>
      </c>
      <c r="F866" s="22" t="s">
        <v>969</v>
      </c>
      <c r="G866" s="21"/>
      <c r="H866" s="27">
        <v>6.6666666666666661</v>
      </c>
      <c r="I866" s="231"/>
      <c r="J866" s="27">
        <f t="shared" si="66"/>
        <v>3.9999999999999996</v>
      </c>
      <c r="K866" s="27">
        <v>10.666666666666666</v>
      </c>
      <c r="L866" s="181"/>
      <c r="M866" s="182"/>
      <c r="N866" s="36"/>
      <c r="O866" s="38">
        <v>320</v>
      </c>
      <c r="P866" s="169">
        <v>240</v>
      </c>
      <c r="Q866" s="2"/>
    </row>
    <row r="867" spans="1:17">
      <c r="A867" s="14">
        <v>868</v>
      </c>
      <c r="B867" s="14" t="s">
        <v>1295</v>
      </c>
      <c r="C867" s="14" t="s">
        <v>69</v>
      </c>
      <c r="D867" s="14" t="s">
        <v>963</v>
      </c>
      <c r="E867" s="14" t="s">
        <v>8</v>
      </c>
      <c r="F867" s="22"/>
      <c r="G867" s="21"/>
      <c r="H867" s="27">
        <v>6.6666666666666661</v>
      </c>
      <c r="I867" s="231"/>
      <c r="J867" s="27">
        <f t="shared" si="66"/>
        <v>3.9999999999999996</v>
      </c>
      <c r="K867" s="27">
        <v>10.666666666666666</v>
      </c>
      <c r="L867" s="181"/>
      <c r="M867" s="182"/>
      <c r="N867" s="36"/>
      <c r="O867" s="38">
        <v>60</v>
      </c>
      <c r="P867" s="169">
        <v>45</v>
      </c>
      <c r="Q867" s="2"/>
    </row>
    <row r="868" spans="1:17">
      <c r="A868" s="14">
        <v>869</v>
      </c>
      <c r="B868" s="14" t="s">
        <v>1295</v>
      </c>
      <c r="C868" s="14" t="s">
        <v>69</v>
      </c>
      <c r="D868" s="14" t="s">
        <v>963</v>
      </c>
      <c r="E868" s="14" t="s">
        <v>8</v>
      </c>
      <c r="F868" s="21" t="s">
        <v>970</v>
      </c>
      <c r="G868" s="30"/>
      <c r="I868" s="231"/>
      <c r="J868" s="27">
        <f t="shared" si="66"/>
        <v>0</v>
      </c>
      <c r="K868" s="27"/>
      <c r="L868" s="181"/>
      <c r="M868" s="182"/>
      <c r="N868" s="36"/>
      <c r="O868" s="38">
        <v>38</v>
      </c>
      <c r="P868" s="169">
        <v>28.5</v>
      </c>
      <c r="Q868" s="2"/>
    </row>
    <row r="869" spans="1:17">
      <c r="A869" s="14">
        <v>870</v>
      </c>
      <c r="B869" s="14" t="s">
        <v>1295</v>
      </c>
      <c r="C869" s="14" t="s">
        <v>69</v>
      </c>
      <c r="D869" s="14" t="s">
        <v>971</v>
      </c>
      <c r="E869" s="14" t="s">
        <v>8</v>
      </c>
      <c r="G869" s="21"/>
      <c r="H869" s="27">
        <v>0</v>
      </c>
      <c r="I869" s="231"/>
      <c r="J869" s="27">
        <f t="shared" si="66"/>
        <v>0</v>
      </c>
      <c r="K869" s="27">
        <v>0</v>
      </c>
      <c r="L869" s="181"/>
      <c r="M869" s="182"/>
      <c r="N869" s="36"/>
      <c r="O869" s="38">
        <v>120</v>
      </c>
      <c r="P869" s="169">
        <v>90</v>
      </c>
      <c r="Q869" s="2"/>
    </row>
    <row r="870" spans="1:17">
      <c r="A870" s="14">
        <v>871</v>
      </c>
      <c r="B870" s="14" t="s">
        <v>1295</v>
      </c>
      <c r="C870" s="14" t="s">
        <v>69</v>
      </c>
      <c r="D870" s="14" t="s">
        <v>971</v>
      </c>
      <c r="E870" s="14" t="s">
        <v>8</v>
      </c>
      <c r="F870" s="21" t="s">
        <v>972</v>
      </c>
      <c r="G870" s="21"/>
      <c r="H870" s="27">
        <v>33.333333333333329</v>
      </c>
      <c r="I870" s="231"/>
      <c r="J870" s="27">
        <f t="shared" si="66"/>
        <v>19.999999999999996</v>
      </c>
      <c r="K870" s="27">
        <v>53.333333333333329</v>
      </c>
      <c r="L870" s="181"/>
      <c r="M870" s="182"/>
      <c r="N870" s="36"/>
      <c r="O870" s="36"/>
      <c r="P870" s="36"/>
      <c r="Q870" s="2"/>
    </row>
    <row r="871" spans="1:17">
      <c r="A871" s="14">
        <v>872</v>
      </c>
      <c r="B871" s="14" t="s">
        <v>1295</v>
      </c>
      <c r="C871" s="14" t="s">
        <v>69</v>
      </c>
      <c r="D871" s="14" t="s">
        <v>971</v>
      </c>
      <c r="E871" s="14" t="s">
        <v>8</v>
      </c>
      <c r="F871" s="21" t="s">
        <v>973</v>
      </c>
      <c r="G871" s="21"/>
      <c r="H871" s="27">
        <v>4</v>
      </c>
      <c r="I871" s="231"/>
      <c r="J871" s="27">
        <f t="shared" si="66"/>
        <v>2.4</v>
      </c>
      <c r="K871" s="27">
        <v>6.4</v>
      </c>
      <c r="L871" s="176"/>
      <c r="M871" s="24"/>
      <c r="N871" s="29"/>
      <c r="O871" s="23">
        <v>80</v>
      </c>
      <c r="P871" s="169">
        <v>60</v>
      </c>
      <c r="Q871" s="2"/>
    </row>
    <row r="872" spans="1:17">
      <c r="A872" s="14">
        <v>873</v>
      </c>
      <c r="B872" s="14" t="s">
        <v>1295</v>
      </c>
      <c r="C872" s="14" t="s">
        <v>69</v>
      </c>
      <c r="D872" s="14" t="s">
        <v>971</v>
      </c>
      <c r="E872" s="14" t="s">
        <v>8</v>
      </c>
      <c r="F872" s="21" t="s">
        <v>974</v>
      </c>
      <c r="G872" s="21"/>
      <c r="H872" s="27">
        <v>20</v>
      </c>
      <c r="I872" s="231"/>
      <c r="J872" s="27">
        <f t="shared" si="66"/>
        <v>12</v>
      </c>
      <c r="K872" s="27">
        <v>32</v>
      </c>
      <c r="L872" s="176"/>
      <c r="M872" s="24"/>
      <c r="N872" s="29"/>
      <c r="O872" s="23">
        <v>6.6666666666666661</v>
      </c>
      <c r="P872" s="169">
        <v>5</v>
      </c>
      <c r="Q872" s="2"/>
    </row>
    <row r="873" spans="1:17">
      <c r="A873" s="14">
        <v>874</v>
      </c>
      <c r="B873" s="14" t="s">
        <v>1295</v>
      </c>
      <c r="C873" s="14" t="s">
        <v>69</v>
      </c>
      <c r="D873" s="14" t="s">
        <v>971</v>
      </c>
      <c r="E873" s="14" t="s">
        <v>8</v>
      </c>
      <c r="F873" s="21" t="s">
        <v>975</v>
      </c>
      <c r="H873" s="27">
        <v>48</v>
      </c>
      <c r="I873" s="231"/>
      <c r="J873" s="27">
        <f t="shared" si="66"/>
        <v>28.799999999999997</v>
      </c>
      <c r="K873" s="27">
        <v>76.8</v>
      </c>
      <c r="L873" s="176"/>
      <c r="M873" s="24"/>
      <c r="N873" s="29"/>
      <c r="O873" s="23">
        <v>6.6666666666666661</v>
      </c>
      <c r="P873" s="169">
        <v>5</v>
      </c>
      <c r="Q873" s="2"/>
    </row>
    <row r="874" spans="1:17">
      <c r="A874" s="14">
        <v>875</v>
      </c>
      <c r="B874" s="14" t="s">
        <v>1295</v>
      </c>
      <c r="C874" s="14" t="s">
        <v>69</v>
      </c>
      <c r="D874" s="14" t="s">
        <v>976</v>
      </c>
      <c r="E874" s="14" t="s">
        <v>8</v>
      </c>
      <c r="H874" s="27"/>
      <c r="I874" s="231"/>
      <c r="J874" s="27">
        <f t="shared" si="66"/>
        <v>0</v>
      </c>
      <c r="K874" s="27">
        <v>0</v>
      </c>
      <c r="L874" s="176"/>
      <c r="M874" s="24"/>
      <c r="N874" s="29"/>
      <c r="O874" s="23">
        <v>6.6666666666666661</v>
      </c>
      <c r="P874" s="169">
        <v>5</v>
      </c>
      <c r="Q874" s="2"/>
    </row>
    <row r="875" spans="1:17">
      <c r="A875" s="14">
        <v>876</v>
      </c>
      <c r="B875" s="14" t="s">
        <v>1295</v>
      </c>
      <c r="C875" s="14" t="s">
        <v>69</v>
      </c>
      <c r="D875" s="14" t="s">
        <v>976</v>
      </c>
      <c r="E875" s="14" t="s">
        <v>8</v>
      </c>
      <c r="F875" s="21" t="s">
        <v>977</v>
      </c>
      <c r="H875" s="27">
        <v>80</v>
      </c>
      <c r="I875" s="231"/>
      <c r="J875" s="27">
        <f t="shared" si="66"/>
        <v>48</v>
      </c>
      <c r="K875" s="27">
        <v>128</v>
      </c>
      <c r="L875" s="176"/>
      <c r="M875" s="21"/>
      <c r="N875" s="64"/>
      <c r="O875" s="27">
        <v>6.6666666666666661</v>
      </c>
      <c r="P875" s="186">
        <v>5</v>
      </c>
      <c r="Q875" s="2"/>
    </row>
    <row r="876" spans="1:17">
      <c r="A876" s="14">
        <v>877</v>
      </c>
      <c r="B876" s="14" t="s">
        <v>1295</v>
      </c>
      <c r="C876" s="14" t="s">
        <v>69</v>
      </c>
      <c r="D876" s="14" t="s">
        <v>976</v>
      </c>
      <c r="E876" s="14" t="s">
        <v>8</v>
      </c>
      <c r="F876" s="21" t="s">
        <v>978</v>
      </c>
      <c r="H876" s="27">
        <v>33.333333333333329</v>
      </c>
      <c r="I876" s="231"/>
      <c r="J876" s="27">
        <f t="shared" si="66"/>
        <v>19.999999999999996</v>
      </c>
      <c r="K876" s="27">
        <v>81.333333333333329</v>
      </c>
      <c r="L876" s="176"/>
      <c r="M876" s="21"/>
      <c r="N876" s="64"/>
      <c r="O876" s="27">
        <v>6.6666666666666661</v>
      </c>
      <c r="P876" s="186">
        <v>5</v>
      </c>
      <c r="Q876" s="2"/>
    </row>
    <row r="877" spans="1:17">
      <c r="A877" s="14">
        <v>878</v>
      </c>
      <c r="B877" s="14" t="s">
        <v>1295</v>
      </c>
      <c r="C877" s="14" t="s">
        <v>69</v>
      </c>
      <c r="D877" s="14" t="s">
        <v>976</v>
      </c>
      <c r="E877" s="14" t="s">
        <v>8</v>
      </c>
      <c r="F877" s="21" t="s">
        <v>979</v>
      </c>
      <c r="H877" s="27">
        <v>20</v>
      </c>
      <c r="I877" s="231"/>
      <c r="J877" s="27">
        <f t="shared" si="66"/>
        <v>12</v>
      </c>
      <c r="K877" s="27">
        <v>32</v>
      </c>
      <c r="L877" s="181"/>
      <c r="Q877" s="187"/>
    </row>
    <row r="878" spans="1:17">
      <c r="A878" s="14">
        <v>879</v>
      </c>
      <c r="B878" s="14" t="s">
        <v>1295</v>
      </c>
      <c r="C878" s="14" t="s">
        <v>69</v>
      </c>
      <c r="D878" s="14" t="s">
        <v>980</v>
      </c>
      <c r="E878" s="14" t="s">
        <v>8</v>
      </c>
      <c r="F878" s="131" t="s">
        <v>981</v>
      </c>
      <c r="G878" s="131"/>
      <c r="H878" s="27">
        <f t="shared" ref="H878:H892" si="67">O878</f>
        <v>0</v>
      </c>
      <c r="I878" s="231"/>
      <c r="J878" s="27">
        <f t="shared" si="66"/>
        <v>0</v>
      </c>
      <c r="K878" s="27">
        <f t="shared" ref="K878:K909" si="68">H878+I878+J878</f>
        <v>0</v>
      </c>
      <c r="L878" s="176"/>
      <c r="M878" s="24"/>
      <c r="N878" s="29"/>
      <c r="O878" s="23">
        <v>0</v>
      </c>
      <c r="P878" s="169"/>
      <c r="Q878" s="188">
        <f>W878</f>
        <v>0</v>
      </c>
    </row>
    <row r="879" spans="1:17">
      <c r="A879" s="14">
        <v>880</v>
      </c>
      <c r="B879" s="14" t="s">
        <v>1295</v>
      </c>
      <c r="C879" s="14" t="s">
        <v>69</v>
      </c>
      <c r="D879" s="14" t="s">
        <v>982</v>
      </c>
      <c r="E879" s="14" t="s">
        <v>8</v>
      </c>
      <c r="F879" s="131" t="s">
        <v>983</v>
      </c>
      <c r="G879" s="131"/>
      <c r="H879" s="27">
        <f t="shared" si="67"/>
        <v>33.333333333333329</v>
      </c>
      <c r="I879" s="231"/>
      <c r="J879" s="27">
        <f t="shared" si="66"/>
        <v>19.999999999999996</v>
      </c>
      <c r="K879" s="27">
        <f t="shared" si="68"/>
        <v>53.333333333333329</v>
      </c>
      <c r="L879" s="176"/>
      <c r="M879" s="24"/>
      <c r="N879" s="29"/>
      <c r="O879" s="23">
        <v>33.333333333333329</v>
      </c>
      <c r="P879" s="169">
        <v>25</v>
      </c>
      <c r="Q879" s="188"/>
    </row>
    <row r="880" spans="1:17">
      <c r="A880" s="14">
        <v>881</v>
      </c>
      <c r="B880" s="14" t="s">
        <v>1295</v>
      </c>
      <c r="C880" s="14" t="s">
        <v>69</v>
      </c>
      <c r="D880" s="14" t="s">
        <v>982</v>
      </c>
      <c r="E880" s="14" t="s">
        <v>8</v>
      </c>
      <c r="F880" s="131" t="s">
        <v>984</v>
      </c>
      <c r="G880" s="131"/>
      <c r="H880" s="27">
        <f t="shared" si="67"/>
        <v>4</v>
      </c>
      <c r="I880" s="231"/>
      <c r="J880" s="27">
        <f t="shared" si="66"/>
        <v>2.4</v>
      </c>
      <c r="K880" s="27">
        <f t="shared" si="68"/>
        <v>6.4</v>
      </c>
      <c r="L880" s="176"/>
      <c r="M880" s="24"/>
      <c r="N880" s="29"/>
      <c r="O880" s="23">
        <v>4</v>
      </c>
      <c r="P880" s="169">
        <v>3</v>
      </c>
      <c r="Q880" s="188"/>
    </row>
    <row r="881" spans="1:17">
      <c r="A881" s="14">
        <v>882</v>
      </c>
      <c r="B881" s="14" t="s">
        <v>1295</v>
      </c>
      <c r="C881" s="14" t="s">
        <v>69</v>
      </c>
      <c r="D881" s="14" t="s">
        <v>982</v>
      </c>
      <c r="E881" s="14" t="s">
        <v>8</v>
      </c>
      <c r="F881" s="131" t="s">
        <v>985</v>
      </c>
      <c r="G881" s="131"/>
      <c r="H881" s="27">
        <f t="shared" si="67"/>
        <v>20</v>
      </c>
      <c r="I881" s="231"/>
      <c r="J881" s="27">
        <f t="shared" si="66"/>
        <v>12</v>
      </c>
      <c r="K881" s="27">
        <f t="shared" si="68"/>
        <v>32</v>
      </c>
      <c r="L881" s="176"/>
      <c r="M881" s="189"/>
      <c r="N881" s="174"/>
      <c r="O881" s="43">
        <v>20</v>
      </c>
      <c r="P881" s="175">
        <v>15</v>
      </c>
      <c r="Q881" s="188"/>
    </row>
    <row r="882" spans="1:17">
      <c r="A882" s="14">
        <v>883</v>
      </c>
      <c r="B882" s="14" t="s">
        <v>1295</v>
      </c>
      <c r="C882" s="14" t="s">
        <v>69</v>
      </c>
      <c r="D882" s="14" t="s">
        <v>982</v>
      </c>
      <c r="E882" s="14" t="s">
        <v>8</v>
      </c>
      <c r="F882" s="131" t="s">
        <v>986</v>
      </c>
      <c r="G882" s="131"/>
      <c r="H882" s="27">
        <f t="shared" si="67"/>
        <v>48</v>
      </c>
      <c r="I882" s="231"/>
      <c r="J882" s="27">
        <f t="shared" si="66"/>
        <v>28.799999999999997</v>
      </c>
      <c r="K882" s="27">
        <f t="shared" si="68"/>
        <v>76.8</v>
      </c>
      <c r="O882" s="43">
        <v>48</v>
      </c>
      <c r="P882" s="175">
        <v>36</v>
      </c>
      <c r="Q882" s="188"/>
    </row>
    <row r="883" spans="1:17">
      <c r="A883" s="14">
        <v>884</v>
      </c>
      <c r="B883" s="14" t="s">
        <v>1295</v>
      </c>
      <c r="C883" s="14" t="s">
        <v>69</v>
      </c>
      <c r="D883" s="14" t="s">
        <v>987</v>
      </c>
      <c r="E883" s="14" t="s">
        <v>8</v>
      </c>
      <c r="F883" s="131" t="s">
        <v>988</v>
      </c>
      <c r="G883" s="131"/>
      <c r="H883" s="27">
        <f t="shared" si="67"/>
        <v>0</v>
      </c>
      <c r="I883" s="231"/>
      <c r="J883" s="27">
        <f t="shared" si="66"/>
        <v>0</v>
      </c>
      <c r="K883" s="27">
        <f t="shared" si="68"/>
        <v>0</v>
      </c>
      <c r="O883" s="43"/>
      <c r="P883" s="175"/>
      <c r="Q883" s="188"/>
    </row>
    <row r="884" spans="1:17">
      <c r="A884" s="14">
        <v>885</v>
      </c>
      <c r="B884" s="14" t="s">
        <v>1295</v>
      </c>
      <c r="C884" s="14" t="s">
        <v>69</v>
      </c>
      <c r="D884" s="14" t="s">
        <v>987</v>
      </c>
      <c r="E884" s="14" t="s">
        <v>8</v>
      </c>
      <c r="F884" s="131" t="s">
        <v>989</v>
      </c>
      <c r="G884" s="131"/>
      <c r="H884" s="27">
        <f t="shared" si="67"/>
        <v>80</v>
      </c>
      <c r="I884" s="231"/>
      <c r="J884" s="27">
        <f t="shared" si="66"/>
        <v>48</v>
      </c>
      <c r="K884" s="27">
        <f t="shared" si="68"/>
        <v>128</v>
      </c>
      <c r="O884" s="43">
        <v>80</v>
      </c>
      <c r="P884" s="175">
        <v>60</v>
      </c>
      <c r="Q884" s="188"/>
    </row>
    <row r="885" spans="1:17">
      <c r="A885" s="14">
        <v>886</v>
      </c>
      <c r="B885" s="14" t="s">
        <v>1295</v>
      </c>
      <c r="C885" s="14" t="s">
        <v>69</v>
      </c>
      <c r="D885" s="14" t="s">
        <v>987</v>
      </c>
      <c r="E885" s="14" t="s">
        <v>8</v>
      </c>
      <c r="F885" s="21"/>
      <c r="G885" s="21"/>
      <c r="H885" s="27">
        <f t="shared" si="67"/>
        <v>33.333333333333329</v>
      </c>
      <c r="I885" s="231"/>
      <c r="J885" s="27">
        <f t="shared" si="66"/>
        <v>19.999999999999996</v>
      </c>
      <c r="K885" s="27">
        <f t="shared" si="68"/>
        <v>53.333333333333329</v>
      </c>
      <c r="O885" s="43">
        <v>33.333333333333329</v>
      </c>
      <c r="P885" s="175">
        <v>25</v>
      </c>
      <c r="Q885" s="188"/>
    </row>
    <row r="886" spans="1:17">
      <c r="A886" s="14">
        <v>887</v>
      </c>
      <c r="B886" s="14" t="s">
        <v>1295</v>
      </c>
      <c r="C886" s="14" t="s">
        <v>69</v>
      </c>
      <c r="D886" s="14" t="s">
        <v>990</v>
      </c>
      <c r="E886" s="14" t="s">
        <v>8</v>
      </c>
      <c r="F886" s="131" t="s">
        <v>991</v>
      </c>
      <c r="G886" s="131"/>
      <c r="H886" s="27">
        <f t="shared" si="67"/>
        <v>20</v>
      </c>
      <c r="I886" s="231"/>
      <c r="J886" s="27">
        <f t="shared" si="66"/>
        <v>12</v>
      </c>
      <c r="K886" s="27">
        <f t="shared" si="68"/>
        <v>32</v>
      </c>
      <c r="O886" s="43">
        <v>20</v>
      </c>
      <c r="P886" s="175">
        <v>15</v>
      </c>
      <c r="Q886" s="188"/>
    </row>
    <row r="887" spans="1:17">
      <c r="A887" s="14">
        <v>888</v>
      </c>
      <c r="B887" s="14" t="s">
        <v>1295</v>
      </c>
      <c r="C887" s="14" t="s">
        <v>69</v>
      </c>
      <c r="D887" s="14" t="s">
        <v>992</v>
      </c>
      <c r="E887" s="14" t="s">
        <v>8</v>
      </c>
      <c r="F887" s="131" t="s">
        <v>993</v>
      </c>
      <c r="G887" s="131"/>
      <c r="H887" s="27">
        <f t="shared" si="67"/>
        <v>80</v>
      </c>
      <c r="I887" s="231"/>
      <c r="J887" s="27">
        <f t="shared" si="66"/>
        <v>48</v>
      </c>
      <c r="K887" s="27">
        <f t="shared" si="68"/>
        <v>128</v>
      </c>
      <c r="L887" s="190"/>
      <c r="M887" s="191"/>
      <c r="N887" s="192"/>
      <c r="O887" s="193">
        <f t="shared" ref="O887:O899" si="69">P887*$O$767</f>
        <v>80</v>
      </c>
      <c r="P887" s="166">
        <v>60</v>
      </c>
      <c r="Q887" s="188"/>
    </row>
    <row r="888" spans="1:17">
      <c r="A888" s="14">
        <v>889</v>
      </c>
      <c r="B888" s="14" t="s">
        <v>1295</v>
      </c>
      <c r="C888" s="14" t="s">
        <v>69</v>
      </c>
      <c r="D888" s="14" t="s">
        <v>992</v>
      </c>
      <c r="E888" s="14" t="s">
        <v>8</v>
      </c>
      <c r="F888" s="131" t="s">
        <v>994</v>
      </c>
      <c r="G888" s="131"/>
      <c r="H888" s="27">
        <f t="shared" si="67"/>
        <v>160</v>
      </c>
      <c r="I888" s="231"/>
      <c r="J888" s="27">
        <f t="shared" si="66"/>
        <v>96</v>
      </c>
      <c r="K888" s="27">
        <f t="shared" si="68"/>
        <v>256</v>
      </c>
      <c r="L888" s="190"/>
      <c r="M888" s="191"/>
      <c r="N888" s="192"/>
      <c r="O888" s="193">
        <f t="shared" si="69"/>
        <v>160</v>
      </c>
      <c r="P888" s="166">
        <v>120</v>
      </c>
      <c r="Q888" s="188"/>
    </row>
    <row r="889" spans="1:17">
      <c r="A889" s="14">
        <v>890</v>
      </c>
      <c r="B889" s="14" t="s">
        <v>1295</v>
      </c>
      <c r="C889" s="14" t="s">
        <v>69</v>
      </c>
      <c r="D889" s="14" t="s">
        <v>992</v>
      </c>
      <c r="E889" s="14" t="s">
        <v>8</v>
      </c>
      <c r="F889" s="131" t="s">
        <v>995</v>
      </c>
      <c r="G889" s="131"/>
      <c r="H889" s="27">
        <f t="shared" si="67"/>
        <v>160</v>
      </c>
      <c r="I889" s="231"/>
      <c r="J889" s="27">
        <f t="shared" si="66"/>
        <v>96</v>
      </c>
      <c r="K889" s="27">
        <f t="shared" si="68"/>
        <v>256</v>
      </c>
      <c r="L889" s="190"/>
      <c r="M889" s="191"/>
      <c r="N889" s="192"/>
      <c r="O889" s="193">
        <f t="shared" si="69"/>
        <v>160</v>
      </c>
      <c r="P889" s="194">
        <v>120</v>
      </c>
      <c r="Q889" s="188"/>
    </row>
    <row r="890" spans="1:17">
      <c r="A890" s="14">
        <v>891</v>
      </c>
      <c r="B890" s="14" t="s">
        <v>1295</v>
      </c>
      <c r="C890" s="14" t="s">
        <v>69</v>
      </c>
      <c r="D890" s="14" t="s">
        <v>992</v>
      </c>
      <c r="E890" s="14" t="s">
        <v>8</v>
      </c>
      <c r="F890" s="131" t="s">
        <v>996</v>
      </c>
      <c r="G890" s="131"/>
      <c r="H890" s="27">
        <f t="shared" si="67"/>
        <v>60</v>
      </c>
      <c r="I890" s="231"/>
      <c r="J890" s="27">
        <f t="shared" si="66"/>
        <v>36</v>
      </c>
      <c r="K890" s="27">
        <f t="shared" si="68"/>
        <v>96</v>
      </c>
      <c r="L890" s="190"/>
      <c r="M890" s="191"/>
      <c r="N890" s="192"/>
      <c r="O890" s="193">
        <f t="shared" si="69"/>
        <v>60</v>
      </c>
      <c r="P890" s="194">
        <v>45</v>
      </c>
      <c r="Q890" s="188"/>
    </row>
    <row r="891" spans="1:17">
      <c r="A891" s="14">
        <v>892</v>
      </c>
      <c r="B891" s="14" t="s">
        <v>1295</v>
      </c>
      <c r="C891" s="14" t="s">
        <v>69</v>
      </c>
      <c r="D891" s="14" t="s">
        <v>997</v>
      </c>
      <c r="E891" s="14" t="s">
        <v>8</v>
      </c>
      <c r="F891" s="131" t="s">
        <v>998</v>
      </c>
      <c r="G891" s="131"/>
      <c r="H891" s="27">
        <f t="shared" si="67"/>
        <v>40</v>
      </c>
      <c r="I891" s="231"/>
      <c r="J891" s="27">
        <f t="shared" si="66"/>
        <v>24</v>
      </c>
      <c r="K891" s="27">
        <f t="shared" si="68"/>
        <v>64</v>
      </c>
      <c r="L891" s="190"/>
      <c r="M891" s="191"/>
      <c r="N891" s="192"/>
      <c r="O891" s="193">
        <f t="shared" si="69"/>
        <v>40</v>
      </c>
      <c r="P891" s="194">
        <v>30</v>
      </c>
      <c r="Q891" s="188"/>
    </row>
    <row r="892" spans="1:17">
      <c r="A892" s="14">
        <v>893</v>
      </c>
      <c r="B892" s="14" t="s">
        <v>1295</v>
      </c>
      <c r="C892" s="14" t="s">
        <v>69</v>
      </c>
      <c r="D892" s="14" t="s">
        <v>997</v>
      </c>
      <c r="E892" s="14" t="s">
        <v>8</v>
      </c>
      <c r="F892" s="131" t="s">
        <v>999</v>
      </c>
      <c r="G892" s="131"/>
      <c r="H892" s="27">
        <f t="shared" si="67"/>
        <v>160</v>
      </c>
      <c r="I892" s="231"/>
      <c r="J892" s="27">
        <f t="shared" si="66"/>
        <v>96</v>
      </c>
      <c r="K892" s="27">
        <f t="shared" si="68"/>
        <v>256</v>
      </c>
      <c r="L892" s="190"/>
      <c r="M892" s="191"/>
      <c r="N892" s="192"/>
      <c r="O892" s="193">
        <f t="shared" si="69"/>
        <v>160</v>
      </c>
      <c r="P892" s="194">
        <v>120</v>
      </c>
      <c r="Q892" s="188"/>
    </row>
    <row r="893" spans="1:17">
      <c r="A893" s="14">
        <v>894</v>
      </c>
      <c r="B893" s="14" t="s">
        <v>1295</v>
      </c>
      <c r="C893" s="14" t="s">
        <v>69</v>
      </c>
      <c r="D893" s="14" t="s">
        <v>997</v>
      </c>
      <c r="E893" s="14" t="s">
        <v>8</v>
      </c>
      <c r="F893" s="21"/>
      <c r="G893" s="21"/>
      <c r="H893" s="27"/>
      <c r="I893" s="231"/>
      <c r="J893" s="27">
        <f t="shared" si="66"/>
        <v>0</v>
      </c>
      <c r="K893" s="27">
        <f t="shared" si="68"/>
        <v>0</v>
      </c>
      <c r="L893" s="190"/>
      <c r="M893" s="191"/>
      <c r="N893" s="192"/>
      <c r="O893" s="193">
        <f t="shared" si="69"/>
        <v>160</v>
      </c>
      <c r="P893" s="194">
        <v>120</v>
      </c>
      <c r="Q893" s="188"/>
    </row>
    <row r="894" spans="1:17">
      <c r="A894" s="14">
        <v>895</v>
      </c>
      <c r="B894" s="14" t="s">
        <v>1295</v>
      </c>
      <c r="C894" s="14" t="s">
        <v>69</v>
      </c>
      <c r="D894" s="14" t="s">
        <v>997</v>
      </c>
      <c r="E894" s="14" t="s">
        <v>8</v>
      </c>
      <c r="F894" s="21" t="s">
        <v>444</v>
      </c>
      <c r="G894" s="21"/>
      <c r="H894" s="27"/>
      <c r="I894" s="231"/>
      <c r="J894" s="27">
        <f t="shared" si="66"/>
        <v>0</v>
      </c>
      <c r="K894" s="27">
        <f t="shared" si="68"/>
        <v>0</v>
      </c>
      <c r="L894" s="176"/>
      <c r="M894" s="24"/>
      <c r="N894" s="29"/>
      <c r="O894" s="23">
        <f t="shared" si="69"/>
        <v>0</v>
      </c>
      <c r="P894" s="175"/>
      <c r="Q894" s="188"/>
    </row>
    <row r="895" spans="1:17">
      <c r="A895" s="14">
        <v>896</v>
      </c>
      <c r="B895" s="14" t="s">
        <v>1295</v>
      </c>
      <c r="C895" s="14" t="s">
        <v>69</v>
      </c>
      <c r="D895" s="14" t="s">
        <v>997</v>
      </c>
      <c r="E895" s="14" t="s">
        <v>8</v>
      </c>
      <c r="F895" s="21"/>
      <c r="G895" s="21"/>
      <c r="H895" s="27"/>
      <c r="I895" s="231"/>
      <c r="J895" s="27">
        <f t="shared" si="66"/>
        <v>0</v>
      </c>
      <c r="K895" s="27">
        <f t="shared" si="68"/>
        <v>0</v>
      </c>
      <c r="L895" s="190"/>
      <c r="M895" s="191"/>
      <c r="N895" s="192"/>
      <c r="O895" s="193">
        <f t="shared" si="69"/>
        <v>1280</v>
      </c>
      <c r="P895" s="194">
        <f>120*8</f>
        <v>960</v>
      </c>
      <c r="Q895" s="188"/>
    </row>
    <row r="896" spans="1:17">
      <c r="A896" s="14">
        <v>897</v>
      </c>
      <c r="B896" s="14" t="s">
        <v>1295</v>
      </c>
      <c r="C896" s="14" t="s">
        <v>69</v>
      </c>
      <c r="D896" s="14" t="s">
        <v>997</v>
      </c>
      <c r="E896" s="14" t="s">
        <v>8</v>
      </c>
      <c r="F896" s="21"/>
      <c r="G896" s="21"/>
      <c r="H896" s="27"/>
      <c r="I896" s="231"/>
      <c r="J896" s="27">
        <f t="shared" si="66"/>
        <v>0</v>
      </c>
      <c r="K896" s="27">
        <f t="shared" si="68"/>
        <v>0</v>
      </c>
      <c r="L896" s="190"/>
      <c r="M896" s="191"/>
      <c r="N896" s="192"/>
      <c r="O896" s="193">
        <f t="shared" si="69"/>
        <v>53.333333333333329</v>
      </c>
      <c r="P896" s="194">
        <v>40</v>
      </c>
      <c r="Q896" s="188"/>
    </row>
    <row r="897" spans="1:17">
      <c r="A897" s="14">
        <v>898</v>
      </c>
      <c r="B897" s="14" t="s">
        <v>1295</v>
      </c>
      <c r="C897" s="14" t="s">
        <v>69</v>
      </c>
      <c r="D897" s="14" t="s">
        <v>997</v>
      </c>
      <c r="E897" s="14" t="s">
        <v>8</v>
      </c>
      <c r="F897" s="21"/>
      <c r="G897" s="21"/>
      <c r="H897" s="27"/>
      <c r="I897" s="231"/>
      <c r="J897" s="27">
        <f t="shared" si="66"/>
        <v>0</v>
      </c>
      <c r="K897" s="27">
        <f t="shared" si="68"/>
        <v>0</v>
      </c>
      <c r="L897" s="190"/>
      <c r="M897" s="191"/>
      <c r="N897" s="192"/>
      <c r="O897" s="193">
        <f t="shared" si="69"/>
        <v>120</v>
      </c>
      <c r="P897" s="194">
        <v>90</v>
      </c>
      <c r="Q897" s="188"/>
    </row>
    <row r="898" spans="1:17">
      <c r="A898" s="14">
        <v>899</v>
      </c>
      <c r="B898" s="14" t="s">
        <v>1295</v>
      </c>
      <c r="C898" s="14" t="s">
        <v>69</v>
      </c>
      <c r="D898" s="14" t="s">
        <v>997</v>
      </c>
      <c r="E898" s="14" t="s">
        <v>8</v>
      </c>
      <c r="F898" s="21"/>
      <c r="G898" s="21"/>
      <c r="H898" s="27"/>
      <c r="I898" s="231"/>
      <c r="J898" s="27">
        <f t="shared" si="66"/>
        <v>0</v>
      </c>
      <c r="K898" s="27">
        <f t="shared" si="68"/>
        <v>0</v>
      </c>
      <c r="L898" s="190"/>
      <c r="M898" s="191"/>
      <c r="N898" s="192"/>
      <c r="O898" s="193">
        <f t="shared" si="69"/>
        <v>80</v>
      </c>
      <c r="P898" s="194">
        <v>60</v>
      </c>
      <c r="Q898" s="188"/>
    </row>
    <row r="899" spans="1:17">
      <c r="A899" s="14">
        <v>900</v>
      </c>
      <c r="B899" s="14" t="s">
        <v>1295</v>
      </c>
      <c r="C899" s="14" t="s">
        <v>69</v>
      </c>
      <c r="D899" s="14" t="s">
        <v>997</v>
      </c>
      <c r="E899" s="14" t="s">
        <v>8</v>
      </c>
      <c r="F899" s="21"/>
      <c r="G899" s="21"/>
      <c r="H899" s="27"/>
      <c r="I899" s="231"/>
      <c r="J899" s="27">
        <f t="shared" si="66"/>
        <v>0</v>
      </c>
      <c r="K899" s="27">
        <f t="shared" si="68"/>
        <v>0</v>
      </c>
      <c r="L899" s="190"/>
      <c r="M899" s="191"/>
      <c r="N899" s="192"/>
      <c r="O899" s="193">
        <f t="shared" si="69"/>
        <v>120</v>
      </c>
      <c r="P899" s="194">
        <v>90</v>
      </c>
      <c r="Q899" s="188"/>
    </row>
    <row r="900" spans="1:17">
      <c r="A900" s="14">
        <v>901</v>
      </c>
      <c r="B900" s="14" t="s">
        <v>1295</v>
      </c>
      <c r="C900" s="14" t="s">
        <v>69</v>
      </c>
      <c r="D900" s="14" t="s">
        <v>997</v>
      </c>
      <c r="E900" s="14" t="s">
        <v>8</v>
      </c>
      <c r="F900" s="21"/>
      <c r="G900" s="21"/>
      <c r="H900" s="27"/>
      <c r="I900" s="231"/>
      <c r="J900" s="27">
        <f t="shared" si="66"/>
        <v>0</v>
      </c>
      <c r="K900" s="27">
        <f t="shared" si="68"/>
        <v>0</v>
      </c>
      <c r="L900" s="190"/>
      <c r="M900" s="191"/>
      <c r="N900" s="192"/>
      <c r="O900" s="193">
        <f>P900*$O$767</f>
        <v>40</v>
      </c>
      <c r="P900" s="194">
        <v>30</v>
      </c>
      <c r="Q900" s="188"/>
    </row>
    <row r="901" spans="1:17">
      <c r="A901" s="14">
        <v>902</v>
      </c>
      <c r="B901" s="14" t="s">
        <v>1295</v>
      </c>
      <c r="C901" s="14" t="s">
        <v>69</v>
      </c>
      <c r="D901" s="14" t="s">
        <v>997</v>
      </c>
      <c r="E901" s="14" t="s">
        <v>8</v>
      </c>
      <c r="F901" s="21"/>
      <c r="G901" s="21"/>
      <c r="H901" s="27"/>
      <c r="I901" s="231"/>
      <c r="J901" s="27">
        <f t="shared" si="66"/>
        <v>0</v>
      </c>
      <c r="K901" s="27">
        <f t="shared" si="68"/>
        <v>0</v>
      </c>
      <c r="L901" s="190"/>
      <c r="M901" s="191"/>
      <c r="N901" s="192"/>
      <c r="O901" s="193">
        <f>P901*$O$767</f>
        <v>53.333333333333329</v>
      </c>
      <c r="P901" s="194">
        <v>40</v>
      </c>
      <c r="Q901" s="188"/>
    </row>
    <row r="902" spans="1:17">
      <c r="A902" s="14">
        <v>903</v>
      </c>
      <c r="B902" s="14" t="s">
        <v>1295</v>
      </c>
      <c r="C902" s="14" t="s">
        <v>69</v>
      </c>
      <c r="D902" s="14" t="s">
        <v>997</v>
      </c>
      <c r="E902" s="14" t="s">
        <v>8</v>
      </c>
      <c r="F902" s="21"/>
      <c r="G902" s="21"/>
      <c r="H902" s="27"/>
      <c r="I902" s="231"/>
      <c r="J902" s="27">
        <f t="shared" si="66"/>
        <v>0</v>
      </c>
      <c r="K902" s="27">
        <f t="shared" si="68"/>
        <v>0</v>
      </c>
      <c r="L902" s="176"/>
      <c r="M902" s="189"/>
      <c r="N902" s="174"/>
      <c r="O902" s="43"/>
      <c r="P902" s="175"/>
      <c r="Q902" s="188"/>
    </row>
    <row r="903" spans="1:17">
      <c r="A903" s="14">
        <v>904</v>
      </c>
      <c r="B903" s="14" t="s">
        <v>1295</v>
      </c>
      <c r="C903" s="14" t="s">
        <v>69</v>
      </c>
      <c r="D903" s="14" t="s">
        <v>997</v>
      </c>
      <c r="E903" s="14" t="s">
        <v>8</v>
      </c>
      <c r="F903" s="21"/>
      <c r="G903" s="21"/>
      <c r="H903" s="27"/>
      <c r="I903" s="231"/>
      <c r="J903" s="27">
        <f t="shared" si="66"/>
        <v>0</v>
      </c>
      <c r="K903" s="27">
        <f t="shared" si="68"/>
        <v>0</v>
      </c>
      <c r="L903" s="176"/>
      <c r="M903" s="189"/>
      <c r="N903" s="174"/>
      <c r="O903" s="43"/>
      <c r="P903" s="175"/>
      <c r="Q903" s="188"/>
    </row>
    <row r="904" spans="1:17">
      <c r="A904" s="14">
        <v>905</v>
      </c>
      <c r="B904" s="14" t="s">
        <v>1295</v>
      </c>
      <c r="C904" s="14" t="s">
        <v>69</v>
      </c>
      <c r="D904" s="14" t="s">
        <v>997</v>
      </c>
      <c r="E904" s="14" t="s">
        <v>8</v>
      </c>
      <c r="F904" s="21" t="s">
        <v>1000</v>
      </c>
      <c r="G904" s="21"/>
      <c r="H904" s="27">
        <v>1000</v>
      </c>
      <c r="I904" s="231"/>
      <c r="J904" s="27">
        <f t="shared" ref="J904:J967" si="70">H904*$D$6</f>
        <v>600</v>
      </c>
      <c r="K904" s="27">
        <f t="shared" si="68"/>
        <v>1600</v>
      </c>
      <c r="L904" s="176"/>
      <c r="M904" s="189"/>
      <c r="N904" s="174"/>
      <c r="O904" s="43"/>
      <c r="P904" s="175"/>
      <c r="Q904" s="188"/>
    </row>
    <row r="905" spans="1:17">
      <c r="A905" s="14">
        <v>906</v>
      </c>
      <c r="B905" s="14" t="s">
        <v>1295</v>
      </c>
      <c r="C905" s="14" t="s">
        <v>69</v>
      </c>
      <c r="D905" s="14" t="s">
        <v>997</v>
      </c>
      <c r="E905" s="14" t="s">
        <v>8</v>
      </c>
      <c r="F905" s="21" t="s">
        <v>1001</v>
      </c>
      <c r="G905" s="21"/>
      <c r="H905" s="27">
        <f t="shared" ref="H905:H932" si="71">O905</f>
        <v>0</v>
      </c>
      <c r="I905" s="231"/>
      <c r="J905" s="27">
        <f t="shared" si="70"/>
        <v>0</v>
      </c>
      <c r="K905" s="27">
        <f t="shared" si="68"/>
        <v>0</v>
      </c>
      <c r="L905" s="176"/>
      <c r="M905" s="189"/>
      <c r="N905" s="174"/>
      <c r="O905" s="43"/>
      <c r="P905" s="175"/>
      <c r="Q905" s="188"/>
    </row>
    <row r="906" spans="1:17">
      <c r="A906" s="14">
        <v>907</v>
      </c>
      <c r="B906" s="14" t="s">
        <v>1295</v>
      </c>
      <c r="C906" s="14" t="s">
        <v>69</v>
      </c>
      <c r="D906" s="14" t="s">
        <v>997</v>
      </c>
      <c r="E906" s="14" t="s">
        <v>8</v>
      </c>
      <c r="F906" s="21" t="s">
        <v>1002</v>
      </c>
      <c r="G906" s="21"/>
      <c r="H906" s="27">
        <f t="shared" si="71"/>
        <v>0</v>
      </c>
      <c r="I906" s="231"/>
      <c r="J906" s="27">
        <f t="shared" si="70"/>
        <v>0</v>
      </c>
      <c r="K906" s="27">
        <f t="shared" si="68"/>
        <v>0</v>
      </c>
      <c r="L906" s="176"/>
      <c r="M906" s="189"/>
      <c r="N906" s="174"/>
      <c r="O906" s="43"/>
      <c r="P906" s="175"/>
      <c r="Q906" s="188"/>
    </row>
    <row r="907" spans="1:17">
      <c r="A907" s="14">
        <v>908</v>
      </c>
      <c r="B907" s="14" t="s">
        <v>1295</v>
      </c>
      <c r="C907" s="14" t="s">
        <v>69</v>
      </c>
      <c r="D907" s="14" t="s">
        <v>997</v>
      </c>
      <c r="E907" s="14" t="s">
        <v>8</v>
      </c>
      <c r="F907" s="21"/>
      <c r="G907" s="21"/>
      <c r="H907" s="27">
        <f t="shared" si="71"/>
        <v>0</v>
      </c>
      <c r="I907" s="231"/>
      <c r="J907" s="27">
        <f t="shared" si="70"/>
        <v>0</v>
      </c>
      <c r="K907" s="27">
        <f t="shared" si="68"/>
        <v>0</v>
      </c>
      <c r="L907" s="176"/>
      <c r="M907" s="189"/>
      <c r="N907" s="174"/>
      <c r="O907" s="43"/>
      <c r="P907" s="175"/>
      <c r="Q907" s="188"/>
    </row>
    <row r="908" spans="1:17">
      <c r="A908" s="14">
        <v>909</v>
      </c>
      <c r="B908" s="14" t="s">
        <v>1295</v>
      </c>
      <c r="C908" s="14" t="s">
        <v>69</v>
      </c>
      <c r="D908" s="14" t="s">
        <v>997</v>
      </c>
      <c r="E908" s="14" t="s">
        <v>8</v>
      </c>
      <c r="F908" s="21"/>
      <c r="G908" s="21"/>
      <c r="H908" s="27">
        <f t="shared" si="71"/>
        <v>0</v>
      </c>
      <c r="I908" s="231"/>
      <c r="J908" s="27">
        <f t="shared" si="70"/>
        <v>0</v>
      </c>
      <c r="K908" s="27">
        <f t="shared" si="68"/>
        <v>0</v>
      </c>
      <c r="L908" s="176"/>
      <c r="M908" s="189"/>
      <c r="N908" s="174"/>
      <c r="O908" s="43"/>
      <c r="P908" s="175"/>
      <c r="Q908" s="188"/>
    </row>
    <row r="909" spans="1:17">
      <c r="A909" s="14">
        <v>910</v>
      </c>
      <c r="B909" s="14" t="s">
        <v>1295</v>
      </c>
      <c r="C909" s="14" t="s">
        <v>69</v>
      </c>
      <c r="D909" s="14" t="s">
        <v>997</v>
      </c>
      <c r="E909" s="14" t="s">
        <v>8</v>
      </c>
      <c r="F909" s="21" t="s">
        <v>1003</v>
      </c>
      <c r="G909" s="21"/>
      <c r="H909" s="27">
        <f t="shared" si="71"/>
        <v>0</v>
      </c>
      <c r="I909" s="231"/>
      <c r="J909" s="27">
        <f t="shared" si="70"/>
        <v>0</v>
      </c>
      <c r="K909" s="27">
        <f t="shared" si="68"/>
        <v>0</v>
      </c>
      <c r="L909" s="176"/>
      <c r="M909" s="189"/>
      <c r="N909" s="174"/>
      <c r="O909" s="43"/>
      <c r="P909" s="175"/>
      <c r="Q909" s="188"/>
    </row>
    <row r="910" spans="1:17">
      <c r="A910" s="14">
        <v>911</v>
      </c>
      <c r="B910" s="14" t="s">
        <v>1295</v>
      </c>
      <c r="C910" s="14" t="s">
        <v>69</v>
      </c>
      <c r="D910" s="14" t="s">
        <v>997</v>
      </c>
      <c r="E910" s="14" t="s">
        <v>8</v>
      </c>
      <c r="F910" s="21" t="s">
        <v>1005</v>
      </c>
      <c r="G910" s="21"/>
      <c r="H910" s="27">
        <f t="shared" si="71"/>
        <v>0</v>
      </c>
      <c r="I910" s="231"/>
      <c r="J910" s="27">
        <f t="shared" si="70"/>
        <v>0</v>
      </c>
      <c r="K910" s="27">
        <f t="shared" ref="K910:K941" si="72">H910+I910+J910</f>
        <v>0</v>
      </c>
      <c r="L910" s="176"/>
      <c r="M910" s="189"/>
      <c r="N910" s="174"/>
      <c r="O910" s="43"/>
      <c r="P910" s="175"/>
      <c r="Q910" s="188"/>
    </row>
    <row r="911" spans="1:17">
      <c r="A911" s="14">
        <v>912</v>
      </c>
      <c r="B911" s="14" t="s">
        <v>1295</v>
      </c>
      <c r="C911" s="14" t="s">
        <v>69</v>
      </c>
      <c r="D911" s="14" t="s">
        <v>997</v>
      </c>
      <c r="E911" s="14" t="s">
        <v>8</v>
      </c>
      <c r="F911" s="21"/>
      <c r="G911" s="21"/>
      <c r="H911" s="27">
        <f t="shared" si="71"/>
        <v>0</v>
      </c>
      <c r="I911" s="231"/>
      <c r="J911" s="27">
        <f t="shared" si="70"/>
        <v>0</v>
      </c>
      <c r="K911" s="27">
        <f t="shared" si="72"/>
        <v>0</v>
      </c>
      <c r="L911" s="176"/>
      <c r="M911" s="189"/>
      <c r="N911" s="174"/>
      <c r="O911" s="43"/>
      <c r="P911" s="175"/>
      <c r="Q911" s="188"/>
    </row>
    <row r="912" spans="1:17">
      <c r="A912" s="14">
        <v>913</v>
      </c>
      <c r="B912" s="14" t="s">
        <v>1295</v>
      </c>
      <c r="C912" s="14" t="s">
        <v>69</v>
      </c>
      <c r="D912" s="14" t="s">
        <v>997</v>
      </c>
      <c r="E912" s="14" t="s">
        <v>8</v>
      </c>
      <c r="F912" s="21"/>
      <c r="G912" s="21"/>
      <c r="H912" s="27">
        <f t="shared" si="71"/>
        <v>0</v>
      </c>
      <c r="I912" s="231"/>
      <c r="J912" s="27">
        <f t="shared" si="70"/>
        <v>0</v>
      </c>
      <c r="K912" s="27">
        <f t="shared" si="72"/>
        <v>0</v>
      </c>
      <c r="L912" s="176"/>
      <c r="M912" s="189"/>
      <c r="N912" s="174"/>
      <c r="O912" s="43"/>
      <c r="P912" s="175"/>
      <c r="Q912" s="188"/>
    </row>
    <row r="913" spans="1:18" ht="13.5" thickBot="1">
      <c r="A913" s="14">
        <v>914</v>
      </c>
      <c r="B913" s="14" t="s">
        <v>1295</v>
      </c>
      <c r="C913" s="14" t="s">
        <v>69</v>
      </c>
      <c r="D913" s="14" t="s">
        <v>997</v>
      </c>
      <c r="E913" s="14" t="s">
        <v>8</v>
      </c>
      <c r="F913" s="21" t="s">
        <v>1006</v>
      </c>
      <c r="G913" s="21"/>
      <c r="H913" s="27">
        <f t="shared" si="71"/>
        <v>0</v>
      </c>
      <c r="I913" s="231"/>
      <c r="J913" s="27">
        <f t="shared" si="70"/>
        <v>0</v>
      </c>
      <c r="K913" s="27">
        <f t="shared" si="72"/>
        <v>0</v>
      </c>
      <c r="L913" s="176"/>
      <c r="M913" s="189"/>
      <c r="N913" s="174"/>
      <c r="O913" s="43"/>
      <c r="P913" s="175"/>
      <c r="Q913" s="188"/>
    </row>
    <row r="914" spans="1:18" ht="13.5" thickTop="1">
      <c r="A914" s="14">
        <v>915</v>
      </c>
      <c r="B914" s="14" t="s">
        <v>1295</v>
      </c>
      <c r="C914" s="14" t="s">
        <v>69</v>
      </c>
      <c r="D914" s="14" t="s">
        <v>997</v>
      </c>
      <c r="E914" s="14" t="s">
        <v>8</v>
      </c>
      <c r="F914" s="21" t="s">
        <v>1007</v>
      </c>
      <c r="G914" s="21"/>
      <c r="H914" s="27">
        <f t="shared" si="71"/>
        <v>40</v>
      </c>
      <c r="I914" s="231"/>
      <c r="J914" s="27">
        <f t="shared" si="70"/>
        <v>24</v>
      </c>
      <c r="K914" s="27">
        <f t="shared" si="72"/>
        <v>64</v>
      </c>
      <c r="L914" s="176"/>
      <c r="M914" s="195"/>
      <c r="N914" s="159"/>
      <c r="O914" s="50">
        <f t="shared" ref="O914:O934" si="73">P914*$O$767</f>
        <v>40</v>
      </c>
      <c r="P914" s="196">
        <v>30</v>
      </c>
      <c r="Q914" s="188"/>
    </row>
    <row r="915" spans="1:18">
      <c r="A915" s="14">
        <v>916</v>
      </c>
      <c r="B915" s="14" t="s">
        <v>1295</v>
      </c>
      <c r="C915" s="14" t="s">
        <v>69</v>
      </c>
      <c r="D915" s="14" t="s">
        <v>997</v>
      </c>
      <c r="E915" s="14" t="s">
        <v>8</v>
      </c>
      <c r="F915" s="21"/>
      <c r="G915" s="21"/>
      <c r="H915" s="27">
        <f t="shared" si="71"/>
        <v>40</v>
      </c>
      <c r="I915" s="231"/>
      <c r="J915" s="27">
        <f t="shared" si="70"/>
        <v>24</v>
      </c>
      <c r="K915" s="27">
        <f t="shared" si="72"/>
        <v>64</v>
      </c>
      <c r="L915" s="176"/>
      <c r="M915" s="24"/>
      <c r="N915" s="29"/>
      <c r="O915" s="23">
        <f t="shared" si="73"/>
        <v>40</v>
      </c>
      <c r="P915" s="197">
        <v>30</v>
      </c>
      <c r="Q915" s="188"/>
    </row>
    <row r="916" spans="1:18">
      <c r="A916" s="14">
        <v>917</v>
      </c>
      <c r="B916" s="14" t="s">
        <v>1295</v>
      </c>
      <c r="C916" s="14" t="s">
        <v>69</v>
      </c>
      <c r="D916" s="14" t="s">
        <v>997</v>
      </c>
      <c r="E916" s="14" t="s">
        <v>8</v>
      </c>
      <c r="F916" s="21"/>
      <c r="G916" s="21"/>
      <c r="H916" s="27">
        <f t="shared" si="71"/>
        <v>0</v>
      </c>
      <c r="I916" s="231"/>
      <c r="J916" s="27">
        <f t="shared" si="70"/>
        <v>0</v>
      </c>
      <c r="K916" s="27">
        <f t="shared" si="72"/>
        <v>0</v>
      </c>
      <c r="L916" s="176"/>
      <c r="M916" s="24"/>
      <c r="N916" s="29"/>
      <c r="O916" s="23">
        <f t="shared" si="73"/>
        <v>0</v>
      </c>
      <c r="P916" s="197"/>
      <c r="Q916" s="188"/>
    </row>
    <row r="917" spans="1:18">
      <c r="A917" s="14">
        <v>918</v>
      </c>
      <c r="B917" s="14" t="s">
        <v>1295</v>
      </c>
      <c r="C917" s="14" t="s">
        <v>69</v>
      </c>
      <c r="D917" s="14" t="s">
        <v>997</v>
      </c>
      <c r="E917" s="14" t="s">
        <v>8</v>
      </c>
      <c r="F917" s="21" t="s">
        <v>1008</v>
      </c>
      <c r="G917" s="21"/>
      <c r="H917" s="27">
        <f t="shared" si="71"/>
        <v>0</v>
      </c>
      <c r="I917" s="231"/>
      <c r="J917" s="27">
        <f t="shared" si="70"/>
        <v>0</v>
      </c>
      <c r="K917" s="27">
        <f t="shared" si="72"/>
        <v>0</v>
      </c>
      <c r="L917" s="176"/>
      <c r="M917" s="24"/>
      <c r="N917" s="29"/>
      <c r="O917" s="23">
        <f t="shared" si="73"/>
        <v>0</v>
      </c>
      <c r="P917" s="197"/>
      <c r="Q917" s="188"/>
    </row>
    <row r="918" spans="1:18">
      <c r="A918" s="14">
        <v>919</v>
      </c>
      <c r="B918" s="14" t="s">
        <v>1295</v>
      </c>
      <c r="C918" s="14" t="s">
        <v>69</v>
      </c>
      <c r="D918" s="14" t="s">
        <v>997</v>
      </c>
      <c r="E918" s="14" t="s">
        <v>8</v>
      </c>
      <c r="F918" s="21" t="s">
        <v>1009</v>
      </c>
      <c r="G918" s="21"/>
      <c r="H918" s="27">
        <f t="shared" si="71"/>
        <v>80</v>
      </c>
      <c r="I918" s="231"/>
      <c r="J918" s="27">
        <f t="shared" si="70"/>
        <v>48</v>
      </c>
      <c r="K918" s="27">
        <f t="shared" si="72"/>
        <v>128</v>
      </c>
      <c r="L918" s="176"/>
      <c r="M918" s="24"/>
      <c r="N918" s="29"/>
      <c r="O918" s="23">
        <f t="shared" si="73"/>
        <v>80</v>
      </c>
      <c r="P918" s="197">
        <v>60</v>
      </c>
      <c r="Q918" s="188"/>
      <c r="R918" s="14" t="s">
        <v>1004</v>
      </c>
    </row>
    <row r="919" spans="1:18">
      <c r="A919" s="14">
        <v>920</v>
      </c>
      <c r="B919" s="14" t="s">
        <v>1295</v>
      </c>
      <c r="C919" s="14" t="s">
        <v>69</v>
      </c>
      <c r="D919" s="14" t="s">
        <v>997</v>
      </c>
      <c r="E919" s="14" t="s">
        <v>8</v>
      </c>
      <c r="F919" s="21" t="s">
        <v>1010</v>
      </c>
      <c r="G919" s="21"/>
      <c r="H919" s="27">
        <f t="shared" si="71"/>
        <v>80</v>
      </c>
      <c r="I919" s="231"/>
      <c r="J919" s="27">
        <f t="shared" si="70"/>
        <v>48</v>
      </c>
      <c r="K919" s="27">
        <f t="shared" si="72"/>
        <v>128</v>
      </c>
      <c r="L919" s="176"/>
      <c r="M919" s="24"/>
      <c r="N919" s="29"/>
      <c r="O919" s="23">
        <f t="shared" si="73"/>
        <v>80</v>
      </c>
      <c r="P919" s="197">
        <v>60</v>
      </c>
      <c r="Q919" s="188"/>
    </row>
    <row r="920" spans="1:18">
      <c r="A920" s="14">
        <v>921</v>
      </c>
      <c r="B920" s="14" t="s">
        <v>1295</v>
      </c>
      <c r="C920" s="14" t="s">
        <v>69</v>
      </c>
      <c r="D920" s="14" t="s">
        <v>997</v>
      </c>
      <c r="E920" s="14" t="s">
        <v>8</v>
      </c>
      <c r="F920" s="21"/>
      <c r="G920" s="21"/>
      <c r="H920" s="27">
        <f t="shared" si="71"/>
        <v>0</v>
      </c>
      <c r="I920" s="231"/>
      <c r="J920" s="27">
        <f t="shared" si="70"/>
        <v>0</v>
      </c>
      <c r="K920" s="27">
        <f t="shared" si="72"/>
        <v>0</v>
      </c>
      <c r="L920" s="176"/>
      <c r="M920" s="24"/>
      <c r="N920" s="29"/>
      <c r="O920" s="23">
        <f t="shared" si="73"/>
        <v>0</v>
      </c>
      <c r="P920" s="197"/>
      <c r="Q920" s="188"/>
    </row>
    <row r="921" spans="1:18">
      <c r="A921" s="14">
        <v>922</v>
      </c>
      <c r="B921" s="14" t="s">
        <v>1295</v>
      </c>
      <c r="C921" s="14" t="s">
        <v>69</v>
      </c>
      <c r="D921" s="14" t="s">
        <v>997</v>
      </c>
      <c r="E921" s="14" t="s">
        <v>8</v>
      </c>
      <c r="F921" s="21"/>
      <c r="G921" s="21"/>
      <c r="H921" s="27">
        <f t="shared" si="71"/>
        <v>0</v>
      </c>
      <c r="I921" s="231"/>
      <c r="J921" s="27">
        <f t="shared" si="70"/>
        <v>0</v>
      </c>
      <c r="K921" s="27">
        <f t="shared" si="72"/>
        <v>0</v>
      </c>
      <c r="L921" s="176"/>
      <c r="M921" s="24"/>
      <c r="N921" s="29"/>
      <c r="O921" s="23">
        <f t="shared" si="73"/>
        <v>0</v>
      </c>
      <c r="P921" s="197"/>
      <c r="Q921" s="188"/>
    </row>
    <row r="922" spans="1:18">
      <c r="A922" s="14">
        <v>923</v>
      </c>
      <c r="B922" s="14" t="s">
        <v>1295</v>
      </c>
      <c r="C922" s="14" t="s">
        <v>69</v>
      </c>
      <c r="D922" s="14" t="s">
        <v>997</v>
      </c>
      <c r="E922" s="14" t="s">
        <v>8</v>
      </c>
      <c r="H922" s="27">
        <f t="shared" si="71"/>
        <v>40</v>
      </c>
      <c r="I922" s="231"/>
      <c r="J922" s="27">
        <f t="shared" si="70"/>
        <v>24</v>
      </c>
      <c r="K922" s="27">
        <f t="shared" si="72"/>
        <v>64</v>
      </c>
      <c r="L922" s="176"/>
      <c r="M922" s="24"/>
      <c r="N922" s="29"/>
      <c r="O922" s="23">
        <f t="shared" si="73"/>
        <v>40</v>
      </c>
      <c r="P922" s="197">
        <v>30</v>
      </c>
      <c r="Q922" s="188"/>
    </row>
    <row r="923" spans="1:18">
      <c r="A923" s="14">
        <v>924</v>
      </c>
      <c r="B923" s="14" t="s">
        <v>1295</v>
      </c>
      <c r="C923" s="14" t="s">
        <v>69</v>
      </c>
      <c r="D923" s="14" t="s">
        <v>997</v>
      </c>
      <c r="E923" s="14" t="s">
        <v>8</v>
      </c>
      <c r="F923" s="21"/>
      <c r="G923" s="21"/>
      <c r="H923" s="27">
        <f t="shared" si="71"/>
        <v>20</v>
      </c>
      <c r="I923" s="231"/>
      <c r="J923" s="27">
        <f t="shared" si="70"/>
        <v>12</v>
      </c>
      <c r="K923" s="27">
        <f t="shared" si="72"/>
        <v>32</v>
      </c>
      <c r="L923" s="176"/>
      <c r="M923" s="24"/>
      <c r="N923" s="29"/>
      <c r="O923" s="23">
        <f t="shared" si="73"/>
        <v>20</v>
      </c>
      <c r="P923" s="197">
        <v>15</v>
      </c>
      <c r="Q923" s="188"/>
    </row>
    <row r="924" spans="1:18">
      <c r="A924" s="14">
        <v>925</v>
      </c>
      <c r="B924" s="14" t="s">
        <v>1295</v>
      </c>
      <c r="C924" s="14" t="s">
        <v>69</v>
      </c>
      <c r="D924" s="14" t="s">
        <v>997</v>
      </c>
      <c r="E924" s="14" t="s">
        <v>8</v>
      </c>
      <c r="F924" s="21"/>
      <c r="G924" s="21"/>
      <c r="H924" s="27">
        <f t="shared" si="71"/>
        <v>0</v>
      </c>
      <c r="I924" s="231"/>
      <c r="J924" s="27">
        <f t="shared" si="70"/>
        <v>0</v>
      </c>
      <c r="K924" s="27">
        <f t="shared" si="72"/>
        <v>0</v>
      </c>
      <c r="L924" s="176"/>
      <c r="M924" s="24"/>
      <c r="N924" s="29"/>
      <c r="O924" s="23">
        <f t="shared" si="73"/>
        <v>0</v>
      </c>
      <c r="P924" s="197"/>
      <c r="Q924" s="188"/>
    </row>
    <row r="925" spans="1:18">
      <c r="A925" s="14">
        <v>926</v>
      </c>
      <c r="B925" s="14" t="s">
        <v>1295</v>
      </c>
      <c r="C925" s="14" t="s">
        <v>69</v>
      </c>
      <c r="D925" s="14" t="s">
        <v>997</v>
      </c>
      <c r="E925" s="14" t="s">
        <v>8</v>
      </c>
      <c r="F925" s="21" t="s">
        <v>1011</v>
      </c>
      <c r="G925" s="21"/>
      <c r="H925" s="27">
        <f t="shared" si="71"/>
        <v>0</v>
      </c>
      <c r="I925" s="231"/>
      <c r="J925" s="27">
        <f t="shared" si="70"/>
        <v>0</v>
      </c>
      <c r="K925" s="27">
        <f t="shared" si="72"/>
        <v>0</v>
      </c>
      <c r="L925" s="176"/>
      <c r="M925" s="24"/>
      <c r="N925" s="29"/>
      <c r="O925" s="23">
        <f t="shared" si="73"/>
        <v>0</v>
      </c>
      <c r="P925" s="197"/>
      <c r="Q925" s="188"/>
    </row>
    <row r="926" spans="1:18">
      <c r="A926" s="14">
        <v>927</v>
      </c>
      <c r="B926" s="14" t="s">
        <v>1295</v>
      </c>
      <c r="C926" s="14" t="s">
        <v>69</v>
      </c>
      <c r="D926" s="14" t="s">
        <v>997</v>
      </c>
      <c r="E926" s="14" t="s">
        <v>8</v>
      </c>
      <c r="F926" s="21" t="s">
        <v>1012</v>
      </c>
      <c r="G926" s="21"/>
      <c r="H926" s="27">
        <f t="shared" si="71"/>
        <v>120</v>
      </c>
      <c r="I926" s="231"/>
      <c r="J926" s="27">
        <f t="shared" si="70"/>
        <v>72</v>
      </c>
      <c r="K926" s="27">
        <f t="shared" si="72"/>
        <v>192</v>
      </c>
      <c r="L926" s="176"/>
      <c r="M926" s="24"/>
      <c r="N926" s="29"/>
      <c r="O926" s="23">
        <f t="shared" si="73"/>
        <v>120</v>
      </c>
      <c r="P926" s="197">
        <v>90</v>
      </c>
      <c r="Q926" s="188"/>
    </row>
    <row r="927" spans="1:18">
      <c r="A927" s="14">
        <v>928</v>
      </c>
      <c r="B927" s="14" t="s">
        <v>1295</v>
      </c>
      <c r="C927" s="14" t="s">
        <v>69</v>
      </c>
      <c r="D927" s="14" t="s">
        <v>997</v>
      </c>
      <c r="E927" s="14" t="s">
        <v>8</v>
      </c>
      <c r="F927" s="21" t="s">
        <v>1013</v>
      </c>
      <c r="G927" s="21"/>
      <c r="H927" s="27">
        <f t="shared" si="71"/>
        <v>7.333333333333333</v>
      </c>
      <c r="I927" s="231"/>
      <c r="J927" s="27">
        <f t="shared" si="70"/>
        <v>4.3999999999999995</v>
      </c>
      <c r="K927" s="27">
        <f t="shared" si="72"/>
        <v>11.733333333333333</v>
      </c>
      <c r="L927" s="176"/>
      <c r="M927" s="24"/>
      <c r="N927" s="29"/>
      <c r="O927" s="23">
        <f t="shared" si="73"/>
        <v>7.333333333333333</v>
      </c>
      <c r="P927" s="198">
        <v>5.5</v>
      </c>
      <c r="Q927" s="188"/>
    </row>
    <row r="928" spans="1:18">
      <c r="A928" s="14">
        <v>929</v>
      </c>
      <c r="B928" s="14" t="s">
        <v>1295</v>
      </c>
      <c r="C928" s="14" t="s">
        <v>69</v>
      </c>
      <c r="D928" s="14" t="s">
        <v>997</v>
      </c>
      <c r="E928" s="14" t="s">
        <v>8</v>
      </c>
      <c r="F928" s="21" t="s">
        <v>1014</v>
      </c>
      <c r="G928" s="21"/>
      <c r="H928" s="27">
        <f t="shared" si="71"/>
        <v>40</v>
      </c>
      <c r="I928" s="231"/>
      <c r="J928" s="27">
        <f t="shared" si="70"/>
        <v>24</v>
      </c>
      <c r="K928" s="27">
        <f t="shared" si="72"/>
        <v>64</v>
      </c>
      <c r="L928" s="176"/>
      <c r="M928" s="24"/>
      <c r="N928" s="29"/>
      <c r="O928" s="23">
        <f t="shared" si="73"/>
        <v>40</v>
      </c>
      <c r="P928" s="197">
        <v>30</v>
      </c>
      <c r="Q928" s="188"/>
    </row>
    <row r="929" spans="1:19">
      <c r="A929" s="14">
        <v>932</v>
      </c>
      <c r="B929" s="14" t="s">
        <v>1295</v>
      </c>
      <c r="C929" s="14" t="s">
        <v>101</v>
      </c>
      <c r="D929" s="14" t="s">
        <v>1015</v>
      </c>
      <c r="E929" s="14" t="s">
        <v>8</v>
      </c>
      <c r="F929" s="21" t="s">
        <v>1016</v>
      </c>
      <c r="G929" s="21"/>
      <c r="H929" s="39">
        <f t="shared" si="71"/>
        <v>0</v>
      </c>
      <c r="I929" s="233"/>
      <c r="J929" s="27">
        <f t="shared" si="70"/>
        <v>0</v>
      </c>
      <c r="K929" s="27">
        <f t="shared" si="72"/>
        <v>0</v>
      </c>
      <c r="L929" s="176"/>
      <c r="M929" s="24"/>
      <c r="N929" s="29"/>
      <c r="O929" s="23">
        <f t="shared" si="73"/>
        <v>0</v>
      </c>
      <c r="P929" s="197"/>
      <c r="Q929" s="188"/>
    </row>
    <row r="930" spans="1:19">
      <c r="A930" s="14">
        <v>933</v>
      </c>
      <c r="B930" s="14" t="s">
        <v>1295</v>
      </c>
      <c r="C930" s="14" t="s">
        <v>101</v>
      </c>
      <c r="D930" s="14" t="s">
        <v>1015</v>
      </c>
      <c r="E930" s="14" t="s">
        <v>8</v>
      </c>
      <c r="F930" s="21" t="s">
        <v>1017</v>
      </c>
      <c r="G930" s="21"/>
      <c r="H930" s="27">
        <f t="shared" si="71"/>
        <v>0</v>
      </c>
      <c r="I930" s="233"/>
      <c r="J930" s="27">
        <f t="shared" si="70"/>
        <v>0</v>
      </c>
      <c r="K930" s="27">
        <f t="shared" si="72"/>
        <v>0</v>
      </c>
      <c r="L930" s="176"/>
      <c r="M930" s="24"/>
      <c r="N930" s="29"/>
      <c r="O930" s="23">
        <f t="shared" si="73"/>
        <v>0</v>
      </c>
      <c r="P930" s="197"/>
      <c r="Q930" s="188"/>
    </row>
    <row r="931" spans="1:19">
      <c r="A931" s="14">
        <v>934</v>
      </c>
      <c r="B931" s="14" t="s">
        <v>1295</v>
      </c>
      <c r="C931" s="14" t="s">
        <v>101</v>
      </c>
      <c r="D931" s="14" t="s">
        <v>1015</v>
      </c>
      <c r="E931" s="14" t="s">
        <v>8</v>
      </c>
      <c r="F931" s="21" t="s">
        <v>1018</v>
      </c>
      <c r="G931" s="21"/>
      <c r="H931" s="27">
        <f t="shared" si="71"/>
        <v>0</v>
      </c>
      <c r="I931" s="233"/>
      <c r="J931" s="27">
        <f t="shared" si="70"/>
        <v>0</v>
      </c>
      <c r="K931" s="27">
        <f t="shared" si="72"/>
        <v>0</v>
      </c>
      <c r="L931" s="176"/>
      <c r="M931" s="24"/>
      <c r="N931" s="29"/>
      <c r="O931" s="23">
        <f t="shared" si="73"/>
        <v>0</v>
      </c>
      <c r="P931" s="197"/>
      <c r="Q931" s="188"/>
    </row>
    <row r="932" spans="1:19">
      <c r="A932" s="14">
        <v>935</v>
      </c>
      <c r="B932" s="14" t="s">
        <v>1295</v>
      </c>
      <c r="C932" s="14" t="s">
        <v>101</v>
      </c>
      <c r="D932" s="14" t="s">
        <v>1015</v>
      </c>
      <c r="E932" s="14" t="s">
        <v>8</v>
      </c>
      <c r="F932" s="21" t="s">
        <v>1020</v>
      </c>
      <c r="G932" s="21"/>
      <c r="H932" s="27">
        <f t="shared" si="71"/>
        <v>0</v>
      </c>
      <c r="I932" s="233"/>
      <c r="J932" s="27">
        <f t="shared" si="70"/>
        <v>0</v>
      </c>
      <c r="K932" s="27">
        <f t="shared" si="72"/>
        <v>0</v>
      </c>
      <c r="L932" s="176"/>
      <c r="M932" s="24"/>
      <c r="N932" s="29"/>
      <c r="O932" s="23">
        <f t="shared" si="73"/>
        <v>0</v>
      </c>
      <c r="P932" s="197"/>
      <c r="Q932" s="188"/>
    </row>
    <row r="933" spans="1:19">
      <c r="A933" s="14">
        <v>936</v>
      </c>
      <c r="B933" s="14" t="s">
        <v>1295</v>
      </c>
      <c r="C933" s="14" t="s">
        <v>101</v>
      </c>
      <c r="D933" s="14" t="s">
        <v>1015</v>
      </c>
      <c r="E933" s="14" t="s">
        <v>8</v>
      </c>
      <c r="I933" s="233"/>
      <c r="J933" s="27">
        <f t="shared" si="70"/>
        <v>0</v>
      </c>
      <c r="K933" s="27">
        <f t="shared" si="72"/>
        <v>0</v>
      </c>
      <c r="L933" s="176"/>
      <c r="M933" s="24"/>
      <c r="N933" s="29"/>
      <c r="O933" s="23">
        <f t="shared" si="73"/>
        <v>0</v>
      </c>
      <c r="P933" s="197"/>
      <c r="Q933" s="188"/>
    </row>
    <row r="934" spans="1:19">
      <c r="A934" s="14">
        <v>937</v>
      </c>
      <c r="B934" s="14" t="s">
        <v>1295</v>
      </c>
      <c r="C934" s="14" t="s">
        <v>101</v>
      </c>
      <c r="D934" s="14" t="s">
        <v>1015</v>
      </c>
      <c r="E934" s="14" t="s">
        <v>8</v>
      </c>
      <c r="F934" s="21" t="s">
        <v>1021</v>
      </c>
      <c r="G934" s="21"/>
      <c r="H934" s="27">
        <f>O934</f>
        <v>640</v>
      </c>
      <c r="I934" s="233"/>
      <c r="J934" s="27">
        <f t="shared" si="70"/>
        <v>384</v>
      </c>
      <c r="K934" s="27">
        <f t="shared" si="72"/>
        <v>1024</v>
      </c>
      <c r="L934" s="176"/>
      <c r="M934" s="24"/>
      <c r="N934" s="29"/>
      <c r="O934" s="23">
        <f t="shared" si="73"/>
        <v>640</v>
      </c>
      <c r="P934" s="197">
        <v>480</v>
      </c>
      <c r="Q934" s="188">
        <f>W934</f>
        <v>0</v>
      </c>
    </row>
    <row r="935" spans="1:19">
      <c r="A935" s="14">
        <v>938</v>
      </c>
      <c r="B935" s="14" t="s">
        <v>1295</v>
      </c>
      <c r="C935" s="14" t="s">
        <v>101</v>
      </c>
      <c r="D935" s="14" t="s">
        <v>1015</v>
      </c>
      <c r="E935" s="14" t="s">
        <v>8</v>
      </c>
      <c r="F935" s="21" t="s">
        <v>1022</v>
      </c>
      <c r="G935" s="21"/>
      <c r="H935" s="27">
        <f>O935</f>
        <v>1280</v>
      </c>
      <c r="I935" s="233"/>
      <c r="J935" s="27">
        <f t="shared" si="70"/>
        <v>768</v>
      </c>
      <c r="K935" s="27">
        <f t="shared" si="72"/>
        <v>2048</v>
      </c>
      <c r="L935" s="176"/>
      <c r="M935" s="24"/>
      <c r="N935" s="29"/>
      <c r="O935" s="23">
        <f>P935*O767</f>
        <v>1280</v>
      </c>
      <c r="P935" s="197">
        <v>960</v>
      </c>
      <c r="Q935" s="188">
        <f>W935</f>
        <v>0</v>
      </c>
    </row>
    <row r="936" spans="1:19" ht="13.5" thickBot="1">
      <c r="A936" s="14">
        <v>939</v>
      </c>
      <c r="B936" s="14" t="s">
        <v>1295</v>
      </c>
      <c r="C936" s="14" t="s">
        <v>101</v>
      </c>
      <c r="D936" s="14" t="s">
        <v>1015</v>
      </c>
      <c r="E936" s="14" t="s">
        <v>8</v>
      </c>
      <c r="F936" s="21" t="s">
        <v>1023</v>
      </c>
      <c r="G936" s="21"/>
      <c r="H936" s="27">
        <f>O936</f>
        <v>80</v>
      </c>
      <c r="I936" s="233"/>
      <c r="J936" s="27">
        <f t="shared" si="70"/>
        <v>48</v>
      </c>
      <c r="K936" s="27">
        <f t="shared" si="72"/>
        <v>128</v>
      </c>
      <c r="L936" s="176"/>
      <c r="M936" s="133"/>
      <c r="N936" s="199"/>
      <c r="O936" s="26">
        <f>P936*O767</f>
        <v>80</v>
      </c>
      <c r="P936" s="200">
        <v>60</v>
      </c>
      <c r="Q936" s="188">
        <f>W936</f>
        <v>0</v>
      </c>
    </row>
    <row r="937" spans="1:19" ht="13.5" thickTop="1">
      <c r="A937" s="14">
        <v>940</v>
      </c>
      <c r="B937" s="14" t="s">
        <v>1295</v>
      </c>
      <c r="C937" s="14" t="s">
        <v>101</v>
      </c>
      <c r="D937" s="14" t="s">
        <v>1015</v>
      </c>
      <c r="E937" s="14" t="s">
        <v>8</v>
      </c>
      <c r="F937" s="21"/>
      <c r="G937" s="21"/>
      <c r="H937" s="27"/>
      <c r="I937" s="233"/>
      <c r="J937" s="27">
        <f t="shared" si="70"/>
        <v>0</v>
      </c>
      <c r="K937" s="27">
        <f t="shared" si="72"/>
        <v>0</v>
      </c>
      <c r="L937" s="176"/>
      <c r="M937" s="165"/>
      <c r="N937" s="162"/>
      <c r="O937" s="44">
        <f>P937*O767</f>
        <v>26.666666666666664</v>
      </c>
      <c r="P937" s="171">
        <v>20</v>
      </c>
      <c r="Q937" s="188">
        <f>W937</f>
        <v>0</v>
      </c>
    </row>
    <row r="938" spans="1:19">
      <c r="A938" s="14">
        <v>941</v>
      </c>
      <c r="B938" s="14" t="s">
        <v>1295</v>
      </c>
      <c r="C938" s="14" t="s">
        <v>101</v>
      </c>
      <c r="D938" s="14" t="s">
        <v>1015</v>
      </c>
      <c r="E938" s="14" t="s">
        <v>8</v>
      </c>
      <c r="F938" s="21" t="s">
        <v>1024</v>
      </c>
      <c r="G938" s="21"/>
      <c r="H938" s="27">
        <f>O938</f>
        <v>0</v>
      </c>
      <c r="I938" s="231"/>
      <c r="J938" s="27">
        <f t="shared" si="70"/>
        <v>0</v>
      </c>
      <c r="K938" s="27">
        <f t="shared" si="72"/>
        <v>0</v>
      </c>
      <c r="L938" s="176"/>
      <c r="M938" s="21"/>
      <c r="N938" s="64"/>
      <c r="O938" s="27"/>
      <c r="P938" s="186"/>
      <c r="Q938" s="187"/>
    </row>
    <row r="939" spans="1:19">
      <c r="A939" s="14">
        <v>942</v>
      </c>
      <c r="B939" s="14" t="s">
        <v>1295</v>
      </c>
      <c r="C939" s="14" t="s">
        <v>101</v>
      </c>
      <c r="D939" s="14" t="s">
        <v>1015</v>
      </c>
      <c r="E939" s="14" t="s">
        <v>8</v>
      </c>
      <c r="F939" s="21" t="s">
        <v>102</v>
      </c>
      <c r="G939" s="21"/>
      <c r="H939" s="27">
        <f>O939</f>
        <v>0</v>
      </c>
      <c r="I939" s="231"/>
      <c r="J939" s="27">
        <f t="shared" si="70"/>
        <v>0</v>
      </c>
      <c r="K939" s="27">
        <f t="shared" si="72"/>
        <v>0</v>
      </c>
      <c r="L939" s="181"/>
      <c r="Q939" s="2"/>
    </row>
    <row r="940" spans="1:19">
      <c r="A940" s="14">
        <v>943</v>
      </c>
      <c r="B940" s="14" t="s">
        <v>1295</v>
      </c>
      <c r="C940" s="14" t="s">
        <v>101</v>
      </c>
      <c r="D940" s="14" t="s">
        <v>1015</v>
      </c>
      <c r="E940" s="14" t="s">
        <v>8</v>
      </c>
      <c r="F940" s="21" t="s">
        <v>103</v>
      </c>
      <c r="G940" s="21"/>
      <c r="H940" s="27">
        <f>O940</f>
        <v>66.666666666666657</v>
      </c>
      <c r="I940" s="231"/>
      <c r="J940" s="27">
        <f t="shared" si="70"/>
        <v>39.999999999999993</v>
      </c>
      <c r="K940" s="27">
        <f t="shared" si="72"/>
        <v>106.66666666666666</v>
      </c>
      <c r="L940" s="181"/>
      <c r="O940" s="39">
        <f>P940*O767</f>
        <v>66.666666666666657</v>
      </c>
      <c r="P940" s="180">
        <v>50</v>
      </c>
      <c r="Q940" s="2"/>
    </row>
    <row r="941" spans="1:19">
      <c r="A941" s="14">
        <v>944</v>
      </c>
      <c r="B941" s="14" t="s">
        <v>1295</v>
      </c>
      <c r="C941" s="14" t="s">
        <v>101</v>
      </c>
      <c r="D941" s="14" t="s">
        <v>1015</v>
      </c>
      <c r="E941" s="14" t="s">
        <v>8</v>
      </c>
      <c r="F941" s="15" t="s">
        <v>36</v>
      </c>
      <c r="G941" s="15"/>
      <c r="H941" s="27">
        <f>O941</f>
        <v>96</v>
      </c>
      <c r="I941" s="231"/>
      <c r="J941" s="27">
        <f t="shared" si="70"/>
        <v>57.599999999999994</v>
      </c>
      <c r="K941" s="27">
        <f t="shared" si="72"/>
        <v>153.6</v>
      </c>
      <c r="L941" s="176"/>
      <c r="M941" s="24"/>
      <c r="N941" s="29"/>
      <c r="O941" s="23">
        <f>P941*O767</f>
        <v>96</v>
      </c>
      <c r="P941" s="169">
        <v>72</v>
      </c>
      <c r="Q941" s="2"/>
    </row>
    <row r="942" spans="1:19">
      <c r="A942" s="14">
        <v>945</v>
      </c>
      <c r="B942" s="14" t="s">
        <v>1295</v>
      </c>
      <c r="C942" s="14" t="s">
        <v>101</v>
      </c>
      <c r="D942" s="14" t="s">
        <v>1015</v>
      </c>
      <c r="E942" s="14" t="s">
        <v>8</v>
      </c>
      <c r="I942" s="232"/>
      <c r="J942" s="27">
        <f t="shared" si="70"/>
        <v>0</v>
      </c>
      <c r="K942" s="27">
        <f t="shared" ref="K942:K954" si="74">H942+I942+J942</f>
        <v>0</v>
      </c>
      <c r="L942" s="176"/>
      <c r="M942" s="24"/>
      <c r="N942" s="29"/>
      <c r="O942" s="23">
        <f>P942*O767</f>
        <v>120</v>
      </c>
      <c r="P942" s="169">
        <v>90</v>
      </c>
      <c r="Q942" s="2"/>
      <c r="S942" s="34" t="s">
        <v>1019</v>
      </c>
    </row>
    <row r="943" spans="1:19">
      <c r="A943" s="14">
        <v>946</v>
      </c>
      <c r="B943" s="14" t="s">
        <v>1295</v>
      </c>
      <c r="C943" s="14" t="s">
        <v>101</v>
      </c>
      <c r="D943" s="14" t="s">
        <v>1015</v>
      </c>
      <c r="E943" s="14" t="s">
        <v>8</v>
      </c>
      <c r="F943" s="21" t="s">
        <v>1025</v>
      </c>
      <c r="G943" s="21"/>
      <c r="H943" s="27">
        <f t="shared" ref="H943:H955" si="75">O943</f>
        <v>156</v>
      </c>
      <c r="I943" s="231"/>
      <c r="J943" s="27">
        <f t="shared" si="70"/>
        <v>93.6</v>
      </c>
      <c r="K943" s="27">
        <f t="shared" si="74"/>
        <v>249.6</v>
      </c>
      <c r="L943" s="176"/>
      <c r="M943" s="24"/>
      <c r="N943" s="29"/>
      <c r="O943" s="23">
        <f>P943*O767</f>
        <v>156</v>
      </c>
      <c r="P943" s="169">
        <v>117</v>
      </c>
      <c r="Q943" s="2"/>
      <c r="S943" s="201" t="e">
        <f>IF(#REF!&gt;24,4,IF(#REF!&gt;18,3,IF(#REF!&gt;12,2,IF(#REF!&gt;6,0,))))</f>
        <v>#REF!</v>
      </c>
    </row>
    <row r="944" spans="1:19">
      <c r="A944" s="14">
        <v>947</v>
      </c>
      <c r="B944" s="14" t="s">
        <v>1295</v>
      </c>
      <c r="C944" s="14" t="s">
        <v>101</v>
      </c>
      <c r="D944" s="14" t="s">
        <v>1015</v>
      </c>
      <c r="E944" s="14" t="s">
        <v>8</v>
      </c>
      <c r="F944" s="21" t="s">
        <v>1026</v>
      </c>
      <c r="G944" s="21"/>
      <c r="H944" s="27">
        <f t="shared" si="75"/>
        <v>0</v>
      </c>
      <c r="I944" s="231"/>
      <c r="J944" s="27">
        <f t="shared" si="70"/>
        <v>0</v>
      </c>
      <c r="K944" s="27">
        <f t="shared" si="74"/>
        <v>0</v>
      </c>
      <c r="L944" s="181"/>
      <c r="Q944" s="2"/>
    </row>
    <row r="945" spans="1:17">
      <c r="A945" s="14">
        <v>948</v>
      </c>
      <c r="B945" s="14" t="s">
        <v>1295</v>
      </c>
      <c r="C945" s="14" t="s">
        <v>101</v>
      </c>
      <c r="D945" s="14" t="s">
        <v>1015</v>
      </c>
      <c r="E945" s="14" t="s">
        <v>8</v>
      </c>
      <c r="F945" s="21"/>
      <c r="G945" s="21"/>
      <c r="H945" s="27">
        <f t="shared" si="75"/>
        <v>156</v>
      </c>
      <c r="I945" s="231"/>
      <c r="J945" s="27">
        <f t="shared" si="70"/>
        <v>93.6</v>
      </c>
      <c r="K945" s="27">
        <f t="shared" si="74"/>
        <v>249.6</v>
      </c>
      <c r="L945" s="176"/>
      <c r="M945" s="24"/>
      <c r="N945" s="29"/>
      <c r="O945" s="23">
        <f>P945*O767</f>
        <v>156</v>
      </c>
      <c r="P945" s="169">
        <v>117</v>
      </c>
      <c r="Q945" s="2"/>
    </row>
    <row r="946" spans="1:17">
      <c r="A946" s="14">
        <v>949</v>
      </c>
      <c r="B946" s="14" t="s">
        <v>1295</v>
      </c>
      <c r="C946" s="14" t="s">
        <v>101</v>
      </c>
      <c r="D946" s="14" t="s">
        <v>1027</v>
      </c>
      <c r="E946" s="14" t="s">
        <v>8</v>
      </c>
      <c r="G946" s="202"/>
      <c r="H946" s="27">
        <f t="shared" si="75"/>
        <v>182.66666666666666</v>
      </c>
      <c r="I946" s="231"/>
      <c r="J946" s="27">
        <f t="shared" si="70"/>
        <v>109.6</v>
      </c>
      <c r="K946" s="27">
        <f t="shared" si="74"/>
        <v>292.26666666666665</v>
      </c>
      <c r="L946" s="176"/>
      <c r="M946" s="24"/>
      <c r="N946" s="29"/>
      <c r="O946" s="23">
        <f>P946*O767</f>
        <v>182.66666666666666</v>
      </c>
      <c r="P946" s="169">
        <v>137</v>
      </c>
      <c r="Q946" s="2"/>
    </row>
    <row r="947" spans="1:17">
      <c r="A947" s="14">
        <v>950</v>
      </c>
      <c r="B947" s="14" t="s">
        <v>1295</v>
      </c>
      <c r="C947" s="14" t="s">
        <v>101</v>
      </c>
      <c r="D947" s="14" t="s">
        <v>1027</v>
      </c>
      <c r="E947" s="14" t="s">
        <v>8</v>
      </c>
      <c r="F947" s="21"/>
      <c r="G947" s="21"/>
      <c r="H947" s="27">
        <f t="shared" si="75"/>
        <v>225.33333333333331</v>
      </c>
      <c r="I947" s="231"/>
      <c r="J947" s="27">
        <f t="shared" si="70"/>
        <v>135.19999999999999</v>
      </c>
      <c r="K947" s="27">
        <f t="shared" si="74"/>
        <v>360.5333333333333</v>
      </c>
      <c r="L947" s="176"/>
      <c r="M947" s="189"/>
      <c r="N947" s="174"/>
      <c r="O947" s="43">
        <f>P947*O767</f>
        <v>225.33333333333331</v>
      </c>
      <c r="P947" s="175">
        <v>169</v>
      </c>
      <c r="Q947" s="2"/>
    </row>
    <row r="948" spans="1:17">
      <c r="A948" s="14">
        <v>951</v>
      </c>
      <c r="B948" s="14" t="s">
        <v>1295</v>
      </c>
      <c r="C948" s="14" t="s">
        <v>101</v>
      </c>
      <c r="D948" s="14" t="s">
        <v>1027</v>
      </c>
      <c r="E948" s="14" t="s">
        <v>8</v>
      </c>
      <c r="F948" s="21" t="s">
        <v>1028</v>
      </c>
      <c r="G948" s="21"/>
      <c r="H948" s="27">
        <f t="shared" si="75"/>
        <v>0</v>
      </c>
      <c r="I948" s="231"/>
      <c r="J948" s="27">
        <f t="shared" si="70"/>
        <v>0</v>
      </c>
      <c r="K948" s="27">
        <f t="shared" si="74"/>
        <v>0</v>
      </c>
      <c r="L948" s="2"/>
      <c r="M948" s="189"/>
      <c r="N948" s="174"/>
      <c r="O948" s="43"/>
      <c r="P948" s="175"/>
      <c r="Q948" s="2"/>
    </row>
    <row r="949" spans="1:17">
      <c r="A949" s="14">
        <v>952</v>
      </c>
      <c r="B949" s="14" t="s">
        <v>1295</v>
      </c>
      <c r="C949" s="14" t="s">
        <v>101</v>
      </c>
      <c r="D949" s="14" t="s">
        <v>1027</v>
      </c>
      <c r="E949" s="14" t="s">
        <v>8</v>
      </c>
      <c r="F949" s="21" t="s">
        <v>1029</v>
      </c>
      <c r="G949" s="21"/>
      <c r="H949" s="27">
        <f t="shared" si="75"/>
        <v>160</v>
      </c>
      <c r="I949" s="231"/>
      <c r="J949" s="27">
        <f t="shared" si="70"/>
        <v>96</v>
      </c>
      <c r="K949" s="27">
        <f t="shared" si="74"/>
        <v>256</v>
      </c>
      <c r="L949" s="45"/>
      <c r="M949" s="10"/>
      <c r="N949" s="29"/>
      <c r="O949" s="23">
        <f>P949*O767</f>
        <v>160</v>
      </c>
      <c r="P949" s="169">
        <v>120</v>
      </c>
      <c r="Q949" s="2"/>
    </row>
    <row r="950" spans="1:17">
      <c r="A950" s="14">
        <v>953</v>
      </c>
      <c r="B950" s="14" t="s">
        <v>1295</v>
      </c>
      <c r="C950" s="14" t="s">
        <v>101</v>
      </c>
      <c r="D950" s="14" t="s">
        <v>1027</v>
      </c>
      <c r="E950" s="14" t="s">
        <v>8</v>
      </c>
      <c r="F950" s="21" t="s">
        <v>1030</v>
      </c>
      <c r="G950" s="21"/>
      <c r="H950" s="27">
        <f t="shared" si="75"/>
        <v>80</v>
      </c>
      <c r="I950" s="231"/>
      <c r="J950" s="27">
        <f t="shared" si="70"/>
        <v>48</v>
      </c>
      <c r="K950" s="27">
        <f t="shared" si="74"/>
        <v>128</v>
      </c>
      <c r="L950" s="45"/>
      <c r="M950" s="10"/>
      <c r="N950" s="29"/>
      <c r="O950" s="23">
        <f>P950*O767</f>
        <v>80</v>
      </c>
      <c r="P950" s="169">
        <v>60</v>
      </c>
      <c r="Q950" s="2"/>
    </row>
    <row r="951" spans="1:17">
      <c r="A951" s="14">
        <v>954</v>
      </c>
      <c r="B951" s="14" t="s">
        <v>1295</v>
      </c>
      <c r="C951" s="14" t="s">
        <v>101</v>
      </c>
      <c r="D951" s="14" t="s">
        <v>1027</v>
      </c>
      <c r="E951" s="14" t="s">
        <v>8</v>
      </c>
      <c r="F951" s="21" t="s">
        <v>1031</v>
      </c>
      <c r="G951" s="21"/>
      <c r="H951" s="27">
        <f t="shared" si="75"/>
        <v>66.666666666666657</v>
      </c>
      <c r="I951" s="231"/>
      <c r="J951" s="27">
        <f t="shared" si="70"/>
        <v>39.999999999999993</v>
      </c>
      <c r="K951" s="27">
        <f t="shared" si="74"/>
        <v>106.66666666666666</v>
      </c>
      <c r="L951" s="45"/>
      <c r="M951" s="10"/>
      <c r="N951" s="29"/>
      <c r="O951" s="23">
        <f>P951*$O$767</f>
        <v>66.666666666666657</v>
      </c>
      <c r="P951" s="169">
        <v>50</v>
      </c>
      <c r="Q951" s="2"/>
    </row>
    <row r="952" spans="1:17">
      <c r="A952" s="14">
        <v>955</v>
      </c>
      <c r="B952" s="14" t="s">
        <v>1295</v>
      </c>
      <c r="C952" s="14" t="s">
        <v>101</v>
      </c>
      <c r="D952" s="14" t="s">
        <v>1027</v>
      </c>
      <c r="E952" s="14" t="s">
        <v>8</v>
      </c>
      <c r="F952" s="21" t="s">
        <v>1032</v>
      </c>
      <c r="G952" s="21"/>
      <c r="H952" s="27">
        <f t="shared" si="75"/>
        <v>80</v>
      </c>
      <c r="I952" s="231"/>
      <c r="J952" s="27">
        <f t="shared" si="70"/>
        <v>48</v>
      </c>
      <c r="K952" s="27">
        <f t="shared" si="74"/>
        <v>128</v>
      </c>
      <c r="L952" s="2"/>
      <c r="M952" s="21"/>
      <c r="N952" s="64"/>
      <c r="O952" s="23">
        <f>P952*$O$767</f>
        <v>80</v>
      </c>
      <c r="P952" s="186">
        <v>60</v>
      </c>
      <c r="Q952" s="2"/>
    </row>
    <row r="953" spans="1:17">
      <c r="A953" s="14">
        <v>956</v>
      </c>
      <c r="B953" s="14" t="s">
        <v>1295</v>
      </c>
      <c r="C953" s="14" t="s">
        <v>101</v>
      </c>
      <c r="D953" s="14" t="s">
        <v>1027</v>
      </c>
      <c r="E953" s="14" t="s">
        <v>8</v>
      </c>
      <c r="F953" s="21" t="s">
        <v>1033</v>
      </c>
      <c r="G953" s="21"/>
      <c r="H953" s="27">
        <f t="shared" si="75"/>
        <v>0</v>
      </c>
      <c r="I953" s="231"/>
      <c r="J953" s="27">
        <f t="shared" si="70"/>
        <v>0</v>
      </c>
      <c r="K953" s="27">
        <f t="shared" si="74"/>
        <v>0</v>
      </c>
      <c r="Q953" s="2"/>
    </row>
    <row r="954" spans="1:17">
      <c r="A954" s="14">
        <v>957</v>
      </c>
      <c r="B954" s="14" t="s">
        <v>1295</v>
      </c>
      <c r="C954" s="14" t="s">
        <v>101</v>
      </c>
      <c r="D954" s="14" t="s">
        <v>1027</v>
      </c>
      <c r="E954" s="14" t="s">
        <v>8</v>
      </c>
      <c r="F954" s="21" t="s">
        <v>1034</v>
      </c>
      <c r="G954" s="21"/>
      <c r="H954" s="27">
        <f t="shared" si="75"/>
        <v>40</v>
      </c>
      <c r="I954" s="231"/>
      <c r="J954" s="27">
        <f t="shared" si="70"/>
        <v>24</v>
      </c>
      <c r="K954" s="27">
        <f t="shared" si="74"/>
        <v>64</v>
      </c>
      <c r="L954" s="176"/>
      <c r="M954" s="24"/>
      <c r="N954" s="29"/>
      <c r="O954" s="23">
        <f>P954*O767</f>
        <v>40</v>
      </c>
      <c r="P954" s="169">
        <v>30</v>
      </c>
      <c r="Q954" s="2"/>
    </row>
    <row r="955" spans="1:17">
      <c r="A955" s="14">
        <v>961</v>
      </c>
      <c r="B955" s="14" t="s">
        <v>1295</v>
      </c>
      <c r="C955" s="14" t="s">
        <v>34</v>
      </c>
      <c r="D955" s="14" t="s">
        <v>1035</v>
      </c>
      <c r="E955" s="14" t="s">
        <v>767</v>
      </c>
      <c r="F955" s="21" t="s">
        <v>1036</v>
      </c>
      <c r="G955" s="21"/>
      <c r="H955" s="27">
        <f t="shared" si="75"/>
        <v>96</v>
      </c>
      <c r="I955" s="231"/>
      <c r="J955" s="27">
        <f t="shared" si="70"/>
        <v>57.599999999999994</v>
      </c>
      <c r="K955" s="27">
        <f>H955+I955</f>
        <v>96</v>
      </c>
      <c r="L955" s="176"/>
      <c r="M955" s="165"/>
      <c r="N955" s="162"/>
      <c r="O955" s="163">
        <f>P955*$O$767</f>
        <v>96</v>
      </c>
      <c r="P955" s="171">
        <v>72</v>
      </c>
      <c r="Q955" s="2"/>
    </row>
    <row r="956" spans="1:17">
      <c r="A956" s="14">
        <v>962</v>
      </c>
      <c r="B956" s="14" t="s">
        <v>1295</v>
      </c>
      <c r="C956" s="14" t="s">
        <v>105</v>
      </c>
      <c r="D956" s="14" t="s">
        <v>1035</v>
      </c>
      <c r="E956" s="14" t="s">
        <v>767</v>
      </c>
      <c r="F956" s="21" t="s">
        <v>1036</v>
      </c>
      <c r="G956" s="21"/>
      <c r="H956" s="27"/>
      <c r="I956" s="231"/>
      <c r="J956" s="27">
        <f t="shared" si="70"/>
        <v>0</v>
      </c>
      <c r="K956" s="27"/>
      <c r="L956" s="176"/>
      <c r="M956" s="165"/>
      <c r="N956" s="162"/>
      <c r="O956" s="163"/>
      <c r="P956" s="171"/>
      <c r="Q956" s="2"/>
    </row>
    <row r="957" spans="1:17">
      <c r="A957" s="14">
        <v>963</v>
      </c>
      <c r="B957" s="14" t="s">
        <v>1295</v>
      </c>
      <c r="C957" s="14" t="s">
        <v>105</v>
      </c>
      <c r="D957" s="14" t="s">
        <v>1035</v>
      </c>
      <c r="E957" s="14" t="s">
        <v>767</v>
      </c>
      <c r="F957" s="21"/>
      <c r="I957" s="232"/>
      <c r="J957" s="27">
        <f t="shared" si="70"/>
        <v>0</v>
      </c>
      <c r="K957" s="27">
        <f>H957+I957+J957</f>
        <v>0</v>
      </c>
      <c r="L957" s="176"/>
      <c r="M957" s="165"/>
      <c r="N957" s="162"/>
      <c r="O957" s="163"/>
      <c r="P957" s="171"/>
      <c r="Q957" s="2"/>
    </row>
    <row r="958" spans="1:17">
      <c r="A958" s="14">
        <v>964</v>
      </c>
      <c r="B958" s="14" t="s">
        <v>1295</v>
      </c>
      <c r="C958" s="14" t="s">
        <v>105</v>
      </c>
      <c r="D958" s="14" t="s">
        <v>1035</v>
      </c>
      <c r="E958" s="14" t="s">
        <v>767</v>
      </c>
      <c r="G958" s="30"/>
      <c r="I958" s="232"/>
      <c r="J958" s="27">
        <f t="shared" si="70"/>
        <v>0</v>
      </c>
      <c r="K958" s="27">
        <f>H958+I958+J958</f>
        <v>0</v>
      </c>
      <c r="L958" s="176"/>
      <c r="M958" s="165"/>
      <c r="N958" s="162"/>
      <c r="O958" s="163"/>
      <c r="P958" s="171"/>
      <c r="Q958" s="2"/>
    </row>
    <row r="959" spans="1:17">
      <c r="A959" s="14">
        <v>965</v>
      </c>
      <c r="B959" s="14" t="s">
        <v>1295</v>
      </c>
      <c r="C959" s="14" t="s">
        <v>105</v>
      </c>
      <c r="D959" s="14" t="s">
        <v>1037</v>
      </c>
      <c r="E959" s="14" t="s">
        <v>767</v>
      </c>
      <c r="G959" s="21"/>
      <c r="H959" s="39">
        <f>O959</f>
        <v>37.333333333333329</v>
      </c>
      <c r="I959" s="233"/>
      <c r="J959" s="27">
        <f t="shared" si="70"/>
        <v>22.399999999999995</v>
      </c>
      <c r="K959" s="27">
        <f>H959+I959+J959</f>
        <v>59.73333333333332</v>
      </c>
      <c r="L959" s="176"/>
      <c r="M959" s="165"/>
      <c r="N959" s="162"/>
      <c r="O959" s="44">
        <f t="shared" ref="O959:O969" si="76">P959*$O$767</f>
        <v>37.333333333333329</v>
      </c>
      <c r="P959" s="171">
        <v>28</v>
      </c>
      <c r="Q959" s="2"/>
    </row>
    <row r="960" spans="1:17">
      <c r="A960" s="14">
        <v>966</v>
      </c>
      <c r="B960" s="14" t="s">
        <v>1295</v>
      </c>
      <c r="C960" s="14" t="s">
        <v>105</v>
      </c>
      <c r="D960" s="14" t="s">
        <v>1037</v>
      </c>
      <c r="E960" s="14" t="s">
        <v>767</v>
      </c>
      <c r="F960" s="21" t="s">
        <v>1038</v>
      </c>
      <c r="G960" s="21"/>
      <c r="H960" s="27">
        <f>O960</f>
        <v>120</v>
      </c>
      <c r="I960" s="231"/>
      <c r="J960" s="27">
        <f t="shared" si="70"/>
        <v>72</v>
      </c>
      <c r="K960" s="27">
        <f>H960+I960+J960</f>
        <v>192</v>
      </c>
      <c r="L960" s="176"/>
      <c r="M960" s="165"/>
      <c r="N960" s="162"/>
      <c r="O960" s="44">
        <f t="shared" si="76"/>
        <v>120</v>
      </c>
      <c r="P960" s="171">
        <v>90</v>
      </c>
      <c r="Q960" s="2"/>
    </row>
    <row r="961" spans="1:17">
      <c r="A961" s="14">
        <v>967</v>
      </c>
      <c r="B961" s="14" t="s">
        <v>1295</v>
      </c>
      <c r="C961" s="14" t="s">
        <v>105</v>
      </c>
      <c r="D961" s="14" t="s">
        <v>1037</v>
      </c>
      <c r="E961" s="14" t="s">
        <v>767</v>
      </c>
      <c r="F961" s="21" t="s">
        <v>1039</v>
      </c>
      <c r="G961" s="21"/>
      <c r="H961" s="27">
        <f>O961</f>
        <v>120</v>
      </c>
      <c r="I961" s="231"/>
      <c r="J961" s="27">
        <f t="shared" si="70"/>
        <v>72</v>
      </c>
      <c r="K961" s="27">
        <f>H961+I961+J961</f>
        <v>192</v>
      </c>
      <c r="L961" s="176"/>
      <c r="M961" s="165"/>
      <c r="N961" s="162"/>
      <c r="O961" s="44">
        <f t="shared" si="76"/>
        <v>120</v>
      </c>
      <c r="P961" s="171">
        <v>90</v>
      </c>
      <c r="Q961" s="2"/>
    </row>
    <row r="962" spans="1:17">
      <c r="A962" s="14">
        <v>968</v>
      </c>
      <c r="B962" s="14" t="s">
        <v>1295</v>
      </c>
      <c r="C962" s="14" t="s">
        <v>105</v>
      </c>
      <c r="D962" s="14" t="s">
        <v>1037</v>
      </c>
      <c r="E962" s="14" t="s">
        <v>767</v>
      </c>
      <c r="F962" s="21" t="s">
        <v>1040</v>
      </c>
      <c r="G962" s="21"/>
      <c r="H962" s="27"/>
      <c r="I962" s="231"/>
      <c r="J962" s="27">
        <f t="shared" si="70"/>
        <v>0</v>
      </c>
      <c r="K962" s="27"/>
      <c r="L962" s="176"/>
      <c r="M962" s="165"/>
      <c r="N962" s="162"/>
      <c r="O962" s="44">
        <f t="shared" si="76"/>
        <v>120</v>
      </c>
      <c r="P962" s="171">
        <v>90</v>
      </c>
      <c r="Q962" s="2"/>
    </row>
    <row r="963" spans="1:17">
      <c r="A963" s="14">
        <v>969</v>
      </c>
      <c r="B963" s="14" t="s">
        <v>1295</v>
      </c>
      <c r="C963" s="14" t="s">
        <v>105</v>
      </c>
      <c r="D963" s="14" t="s">
        <v>1037</v>
      </c>
      <c r="E963" s="14" t="s">
        <v>767</v>
      </c>
      <c r="F963" s="21"/>
      <c r="G963" s="30"/>
      <c r="H963" s="27"/>
      <c r="I963" s="231"/>
      <c r="J963" s="27">
        <f t="shared" si="70"/>
        <v>0</v>
      </c>
      <c r="K963" s="27">
        <f t="shared" ref="K963:K999" si="77">H963+I963+J963</f>
        <v>0</v>
      </c>
      <c r="L963" s="176"/>
      <c r="M963" s="165"/>
      <c r="N963" s="162"/>
      <c r="O963" s="44">
        <f t="shared" si="76"/>
        <v>120</v>
      </c>
      <c r="P963" s="171">
        <v>90</v>
      </c>
      <c r="Q963" s="2"/>
    </row>
    <row r="964" spans="1:17">
      <c r="A964" s="14">
        <v>970</v>
      </c>
      <c r="B964" s="14" t="s">
        <v>1295</v>
      </c>
      <c r="C964" s="14" t="s">
        <v>105</v>
      </c>
      <c r="D964" s="14" t="s">
        <v>1041</v>
      </c>
      <c r="E964" s="14" t="s">
        <v>767</v>
      </c>
      <c r="G964" s="30"/>
      <c r="H964" s="27"/>
      <c r="I964" s="231"/>
      <c r="J964" s="27">
        <f t="shared" si="70"/>
        <v>0</v>
      </c>
      <c r="K964" s="27">
        <f t="shared" si="77"/>
        <v>0</v>
      </c>
      <c r="L964" s="176"/>
      <c r="M964" s="165"/>
      <c r="N964" s="162"/>
      <c r="O964" s="44">
        <f t="shared" si="76"/>
        <v>120</v>
      </c>
      <c r="P964" s="171">
        <v>90</v>
      </c>
      <c r="Q964" s="2"/>
    </row>
    <row r="965" spans="1:17">
      <c r="A965" s="14">
        <v>971</v>
      </c>
      <c r="B965" s="14" t="s">
        <v>1295</v>
      </c>
      <c r="C965" s="14" t="s">
        <v>105</v>
      </c>
      <c r="D965" s="14" t="s">
        <v>1041</v>
      </c>
      <c r="E965" s="14" t="s">
        <v>767</v>
      </c>
      <c r="F965" s="21" t="s">
        <v>1042</v>
      </c>
      <c r="G965" s="21"/>
      <c r="H965" s="27">
        <f>O965</f>
        <v>120</v>
      </c>
      <c r="I965" s="231"/>
      <c r="J965" s="27">
        <f t="shared" si="70"/>
        <v>72</v>
      </c>
      <c r="K965" s="27">
        <f t="shared" si="77"/>
        <v>192</v>
      </c>
      <c r="L965" s="176"/>
      <c r="M965" s="165"/>
      <c r="N965" s="162"/>
      <c r="O965" s="44">
        <f t="shared" si="76"/>
        <v>120</v>
      </c>
      <c r="P965" s="171">
        <v>90</v>
      </c>
      <c r="Q965" s="2"/>
    </row>
    <row r="966" spans="1:17">
      <c r="A966" s="14">
        <v>972</v>
      </c>
      <c r="B966" s="14" t="s">
        <v>1295</v>
      </c>
      <c r="C966" s="14" t="s">
        <v>105</v>
      </c>
      <c r="D966" s="14" t="s">
        <v>1041</v>
      </c>
      <c r="E966" s="14" t="s">
        <v>767</v>
      </c>
      <c r="F966" s="21" t="s">
        <v>1043</v>
      </c>
      <c r="G966" s="21"/>
      <c r="H966" s="27">
        <f>P966</f>
        <v>110</v>
      </c>
      <c r="I966" s="231"/>
      <c r="J966" s="27">
        <f t="shared" si="70"/>
        <v>66</v>
      </c>
      <c r="K966" s="27">
        <f t="shared" si="77"/>
        <v>176</v>
      </c>
      <c r="L966" s="176"/>
      <c r="M966" s="165"/>
      <c r="N966" s="162"/>
      <c r="O966" s="44">
        <f t="shared" si="76"/>
        <v>146.66666666666666</v>
      </c>
      <c r="P966" s="171">
        <v>110</v>
      </c>
      <c r="Q966" s="2"/>
    </row>
    <row r="967" spans="1:17">
      <c r="A967" s="14">
        <v>973</v>
      </c>
      <c r="B967" s="14" t="s">
        <v>1295</v>
      </c>
      <c r="C967" s="14" t="s">
        <v>105</v>
      </c>
      <c r="D967" s="14" t="s">
        <v>1041</v>
      </c>
      <c r="E967" s="14" t="s">
        <v>767</v>
      </c>
      <c r="F967" s="21"/>
      <c r="G967" s="21"/>
      <c r="H967" s="27"/>
      <c r="I967" s="231"/>
      <c r="J967" s="27">
        <f t="shared" si="70"/>
        <v>0</v>
      </c>
      <c r="K967" s="27">
        <f t="shared" si="77"/>
        <v>0</v>
      </c>
      <c r="L967" s="176"/>
      <c r="M967" s="165"/>
      <c r="N967" s="162"/>
      <c r="O967" s="44">
        <f t="shared" si="76"/>
        <v>0</v>
      </c>
      <c r="P967" s="171"/>
      <c r="Q967" s="2"/>
    </row>
    <row r="968" spans="1:17">
      <c r="A968" s="14">
        <v>974</v>
      </c>
      <c r="B968" s="14" t="s">
        <v>1295</v>
      </c>
      <c r="C968" s="14" t="s">
        <v>105</v>
      </c>
      <c r="D968" s="14" t="s">
        <v>1044</v>
      </c>
      <c r="E968" s="14" t="s">
        <v>767</v>
      </c>
      <c r="G968" s="30"/>
      <c r="H968" s="27"/>
      <c r="I968" s="231"/>
      <c r="J968" s="27">
        <f t="shared" ref="J968:J1029" si="78">H968*$D$6</f>
        <v>0</v>
      </c>
      <c r="K968" s="27">
        <f t="shared" si="77"/>
        <v>0</v>
      </c>
      <c r="L968" s="176"/>
      <c r="M968" s="165"/>
      <c r="N968" s="162"/>
      <c r="O968" s="44">
        <f t="shared" si="76"/>
        <v>0</v>
      </c>
      <c r="P968" s="171"/>
      <c r="Q968" s="2"/>
    </row>
    <row r="969" spans="1:17">
      <c r="A969" s="14">
        <v>975</v>
      </c>
      <c r="B969" s="14" t="s">
        <v>1295</v>
      </c>
      <c r="C969" s="14" t="s">
        <v>105</v>
      </c>
      <c r="D969" s="14" t="s">
        <v>1044</v>
      </c>
      <c r="E969" s="14" t="s">
        <v>767</v>
      </c>
      <c r="F969" s="21" t="s">
        <v>1045</v>
      </c>
      <c r="G969" s="21"/>
      <c r="H969" s="27">
        <f>O969</f>
        <v>6.6666666666666661</v>
      </c>
      <c r="I969" s="231"/>
      <c r="J969" s="27">
        <f t="shared" si="78"/>
        <v>3.9999999999999996</v>
      </c>
      <c r="K969" s="27">
        <f t="shared" si="77"/>
        <v>10.666666666666666</v>
      </c>
      <c r="L969" s="176"/>
      <c r="M969" s="21"/>
      <c r="N969" s="64"/>
      <c r="O969" s="44">
        <f t="shared" si="76"/>
        <v>6.6666666666666661</v>
      </c>
      <c r="P969" s="186">
        <v>5</v>
      </c>
      <c r="Q969" s="2"/>
    </row>
    <row r="970" spans="1:17">
      <c r="A970" s="14">
        <v>976</v>
      </c>
      <c r="B970" s="14" t="s">
        <v>1295</v>
      </c>
      <c r="C970" s="14" t="s">
        <v>105</v>
      </c>
      <c r="D970" s="14" t="s">
        <v>1044</v>
      </c>
      <c r="E970" s="14" t="s">
        <v>767</v>
      </c>
      <c r="F970" s="21" t="s">
        <v>1046</v>
      </c>
      <c r="G970" s="21"/>
      <c r="H970" s="27">
        <f>O970</f>
        <v>0</v>
      </c>
      <c r="I970" s="231"/>
      <c r="J970" s="27">
        <f t="shared" si="78"/>
        <v>0</v>
      </c>
      <c r="K970" s="27">
        <f t="shared" si="77"/>
        <v>0</v>
      </c>
      <c r="L970" s="176"/>
      <c r="M970" s="21"/>
      <c r="N970" s="64"/>
      <c r="O970" s="28"/>
      <c r="P970" s="186"/>
      <c r="Q970" s="2"/>
    </row>
    <row r="971" spans="1:17">
      <c r="A971" s="14">
        <v>977</v>
      </c>
      <c r="B971" s="14" t="s">
        <v>1295</v>
      </c>
      <c r="C971" s="14" t="s">
        <v>105</v>
      </c>
      <c r="D971" s="14" t="s">
        <v>1044</v>
      </c>
      <c r="E971" s="14" t="s">
        <v>767</v>
      </c>
      <c r="F971" s="21"/>
      <c r="G971" s="21"/>
      <c r="H971" s="27"/>
      <c r="I971" s="231"/>
      <c r="J971" s="27">
        <f t="shared" si="78"/>
        <v>0</v>
      </c>
      <c r="K971" s="27">
        <f t="shared" si="77"/>
        <v>0</v>
      </c>
      <c r="L971" s="181"/>
      <c r="Q971" s="2"/>
    </row>
    <row r="972" spans="1:17">
      <c r="A972" s="14">
        <v>978</v>
      </c>
      <c r="B972" s="14" t="s">
        <v>1295</v>
      </c>
      <c r="C972" s="14" t="s">
        <v>105</v>
      </c>
      <c r="D972" s="14" t="s">
        <v>1047</v>
      </c>
      <c r="E972" s="14" t="s">
        <v>767</v>
      </c>
      <c r="G972" s="30"/>
      <c r="H972" s="27"/>
      <c r="I972" s="231"/>
      <c r="J972" s="27">
        <f t="shared" si="78"/>
        <v>0</v>
      </c>
      <c r="K972" s="27">
        <f t="shared" si="77"/>
        <v>0</v>
      </c>
      <c r="L972" s="181"/>
      <c r="Q972" s="2"/>
    </row>
    <row r="973" spans="1:17">
      <c r="A973" s="14">
        <v>979</v>
      </c>
      <c r="B973" s="14" t="s">
        <v>1349</v>
      </c>
      <c r="C973" s="14" t="s">
        <v>105</v>
      </c>
      <c r="D973" s="14" t="s">
        <v>1047</v>
      </c>
      <c r="E973" s="14" t="s">
        <v>767</v>
      </c>
      <c r="F973" s="21" t="s">
        <v>1048</v>
      </c>
      <c r="G973" s="21"/>
      <c r="H973" s="27">
        <f>O973</f>
        <v>10.666666666666666</v>
      </c>
      <c r="I973" s="231"/>
      <c r="J973" s="27">
        <f t="shared" si="78"/>
        <v>6.3999999999999995</v>
      </c>
      <c r="K973" s="27">
        <f t="shared" si="77"/>
        <v>17.066666666666666</v>
      </c>
      <c r="L973" s="181"/>
      <c r="O973" s="39">
        <f>O767*P973</f>
        <v>10.666666666666666</v>
      </c>
      <c r="P973" s="180">
        <v>8</v>
      </c>
      <c r="Q973" s="2"/>
    </row>
    <row r="974" spans="1:17">
      <c r="A974" s="14">
        <v>980</v>
      </c>
      <c r="B974" s="14" t="s">
        <v>1295</v>
      </c>
      <c r="C974" s="14" t="s">
        <v>105</v>
      </c>
      <c r="D974" s="14" t="s">
        <v>1047</v>
      </c>
      <c r="E974" s="14" t="s">
        <v>767</v>
      </c>
      <c r="F974" s="21"/>
      <c r="G974" s="21"/>
      <c r="H974" s="27"/>
      <c r="I974" s="231"/>
      <c r="J974" s="27">
        <f t="shared" si="78"/>
        <v>0</v>
      </c>
      <c r="K974" s="27">
        <f t="shared" si="77"/>
        <v>0</v>
      </c>
      <c r="L974" s="176"/>
      <c r="M974" s="24"/>
      <c r="N974" s="29"/>
      <c r="O974" s="23">
        <f>O767*P974</f>
        <v>20</v>
      </c>
      <c r="P974" s="169">
        <v>15</v>
      </c>
      <c r="Q974" s="2"/>
    </row>
    <row r="975" spans="1:17">
      <c r="A975" s="14">
        <v>981</v>
      </c>
      <c r="B975" s="14" t="s">
        <v>1295</v>
      </c>
      <c r="C975" s="14" t="s">
        <v>105</v>
      </c>
      <c r="D975" s="14" t="s">
        <v>1047</v>
      </c>
      <c r="E975" s="14" t="s">
        <v>767</v>
      </c>
      <c r="F975" s="21"/>
      <c r="G975" s="21"/>
      <c r="H975" s="27"/>
      <c r="I975" s="231"/>
      <c r="J975" s="27">
        <f t="shared" si="78"/>
        <v>0</v>
      </c>
      <c r="K975" s="27">
        <f t="shared" si="77"/>
        <v>0</v>
      </c>
      <c r="L975" s="176"/>
      <c r="M975" s="24"/>
      <c r="N975" s="29"/>
      <c r="O975" s="23">
        <f>P975*O767</f>
        <v>24</v>
      </c>
      <c r="P975" s="169">
        <v>18</v>
      </c>
      <c r="Q975" s="2"/>
    </row>
    <row r="976" spans="1:17">
      <c r="A976" s="14">
        <v>982</v>
      </c>
      <c r="B976" s="14" t="s">
        <v>1295</v>
      </c>
      <c r="C976" s="14" t="s">
        <v>105</v>
      </c>
      <c r="D976" s="14" t="s">
        <v>1049</v>
      </c>
      <c r="E976" s="14" t="s">
        <v>767</v>
      </c>
      <c r="G976" s="30"/>
      <c r="H976" s="27"/>
      <c r="I976" s="231"/>
      <c r="J976" s="27">
        <f t="shared" si="78"/>
        <v>0</v>
      </c>
      <c r="K976" s="27">
        <f t="shared" si="77"/>
        <v>0</v>
      </c>
      <c r="L976" s="176"/>
      <c r="M976" s="24"/>
      <c r="N976" s="29"/>
      <c r="O976" s="23"/>
      <c r="P976" s="169"/>
      <c r="Q976" s="2"/>
    </row>
    <row r="977" spans="1:17">
      <c r="A977" s="14">
        <v>983</v>
      </c>
      <c r="B977" s="14" t="s">
        <v>1295</v>
      </c>
      <c r="C977" s="14" t="s">
        <v>105</v>
      </c>
      <c r="D977" s="14" t="s">
        <v>1049</v>
      </c>
      <c r="E977" s="14" t="s">
        <v>767</v>
      </c>
      <c r="F977" s="21" t="s">
        <v>1050</v>
      </c>
      <c r="G977" s="21"/>
      <c r="H977" s="27">
        <f t="shared" ref="H977:H983" si="79">O977</f>
        <v>0</v>
      </c>
      <c r="I977" s="231"/>
      <c r="J977" s="27">
        <f t="shared" si="78"/>
        <v>0</v>
      </c>
      <c r="K977" s="27">
        <f t="shared" si="77"/>
        <v>0</v>
      </c>
      <c r="L977" s="176"/>
      <c r="M977" s="24"/>
      <c r="N977" s="29"/>
      <c r="O977" s="23"/>
      <c r="P977" s="169"/>
      <c r="Q977" s="2"/>
    </row>
    <row r="978" spans="1:17">
      <c r="A978" s="14">
        <v>984</v>
      </c>
      <c r="B978" s="14" t="s">
        <v>1295</v>
      </c>
      <c r="C978" s="14" t="s">
        <v>105</v>
      </c>
      <c r="D978" s="14" t="s">
        <v>1049</v>
      </c>
      <c r="E978" s="14" t="s">
        <v>767</v>
      </c>
      <c r="F978" s="21" t="s">
        <v>1051</v>
      </c>
      <c r="G978" s="21"/>
      <c r="H978" s="27">
        <f t="shared" si="79"/>
        <v>0</v>
      </c>
      <c r="I978" s="231"/>
      <c r="J978" s="27">
        <f t="shared" si="78"/>
        <v>0</v>
      </c>
      <c r="K978" s="27">
        <f t="shared" si="77"/>
        <v>0</v>
      </c>
      <c r="L978" s="176"/>
      <c r="M978" s="24"/>
      <c r="N978" s="29"/>
      <c r="O978" s="23"/>
      <c r="P978" s="169"/>
      <c r="Q978" s="2"/>
    </row>
    <row r="979" spans="1:17">
      <c r="A979" s="14">
        <v>985</v>
      </c>
      <c r="B979" s="14" t="s">
        <v>1295</v>
      </c>
      <c r="C979" s="14" t="s">
        <v>105</v>
      </c>
      <c r="D979" s="14" t="s">
        <v>1049</v>
      </c>
      <c r="E979" s="14" t="s">
        <v>767</v>
      </c>
      <c r="F979" s="21" t="s">
        <v>1052</v>
      </c>
      <c r="G979" s="21"/>
      <c r="H979" s="27">
        <f t="shared" si="79"/>
        <v>19.2</v>
      </c>
      <c r="I979" s="231"/>
      <c r="J979" s="27">
        <f t="shared" si="78"/>
        <v>11.52</v>
      </c>
      <c r="K979" s="27">
        <f t="shared" si="77"/>
        <v>30.72</v>
      </c>
      <c r="L979" s="176"/>
      <c r="M979" s="24"/>
      <c r="N979" s="29"/>
      <c r="O979" s="23">
        <f>O767*P979</f>
        <v>19.2</v>
      </c>
      <c r="P979" s="169">
        <v>14.4</v>
      </c>
      <c r="Q979" s="2"/>
    </row>
    <row r="980" spans="1:17">
      <c r="A980" s="14">
        <v>986</v>
      </c>
      <c r="B980" s="14" t="s">
        <v>1295</v>
      </c>
      <c r="C980" s="14" t="s">
        <v>105</v>
      </c>
      <c r="D980" s="14" t="s">
        <v>1049</v>
      </c>
      <c r="E980" s="14" t="s">
        <v>767</v>
      </c>
      <c r="F980" s="21" t="s">
        <v>1053</v>
      </c>
      <c r="G980" s="21"/>
      <c r="H980" s="27">
        <f t="shared" si="79"/>
        <v>4</v>
      </c>
      <c r="I980" s="231"/>
      <c r="J980" s="27">
        <f t="shared" si="78"/>
        <v>2.4</v>
      </c>
      <c r="K980" s="27">
        <f t="shared" si="77"/>
        <v>6.4</v>
      </c>
      <c r="L980" s="176"/>
      <c r="M980" s="24"/>
      <c r="N980" s="29"/>
      <c r="O980" s="23">
        <f>P980*O767</f>
        <v>4</v>
      </c>
      <c r="P980" s="169">
        <v>3</v>
      </c>
      <c r="Q980" s="2"/>
    </row>
    <row r="981" spans="1:17">
      <c r="A981" s="14">
        <v>987</v>
      </c>
      <c r="B981" s="14" t="s">
        <v>1295</v>
      </c>
      <c r="C981" s="14" t="s">
        <v>105</v>
      </c>
      <c r="D981" s="14" t="s">
        <v>1049</v>
      </c>
      <c r="E981" s="14" t="s">
        <v>767</v>
      </c>
      <c r="F981" s="21" t="s">
        <v>1054</v>
      </c>
      <c r="G981" s="21"/>
      <c r="H981" s="27">
        <f t="shared" si="79"/>
        <v>0</v>
      </c>
      <c r="I981" s="231"/>
      <c r="J981" s="27">
        <f t="shared" si="78"/>
        <v>0</v>
      </c>
      <c r="K981" s="27">
        <f t="shared" si="77"/>
        <v>0</v>
      </c>
      <c r="L981" s="176"/>
      <c r="M981" s="24"/>
      <c r="N981" s="29"/>
      <c r="O981" s="23"/>
      <c r="P981" s="169"/>
      <c r="Q981" s="2"/>
    </row>
    <row r="982" spans="1:17">
      <c r="A982" s="14">
        <v>988</v>
      </c>
      <c r="B982" s="14" t="s">
        <v>1295</v>
      </c>
      <c r="C982" s="14" t="s">
        <v>105</v>
      </c>
      <c r="D982" s="14" t="s">
        <v>1049</v>
      </c>
      <c r="E982" s="14" t="s">
        <v>767</v>
      </c>
      <c r="F982" s="21" t="s">
        <v>1055</v>
      </c>
      <c r="G982" s="21"/>
      <c r="H982" s="27">
        <f t="shared" si="79"/>
        <v>0</v>
      </c>
      <c r="I982" s="231"/>
      <c r="J982" s="27">
        <f t="shared" si="78"/>
        <v>0</v>
      </c>
      <c r="K982" s="27">
        <f t="shared" si="77"/>
        <v>0</v>
      </c>
      <c r="L982" s="176"/>
      <c r="M982" s="24"/>
      <c r="N982" s="29"/>
      <c r="O982" s="23"/>
      <c r="P982" s="169"/>
      <c r="Q982" s="2"/>
    </row>
    <row r="983" spans="1:17">
      <c r="A983" s="14">
        <v>989</v>
      </c>
      <c r="B983" s="14" t="s">
        <v>1295</v>
      </c>
      <c r="C983" s="14" t="s">
        <v>105</v>
      </c>
      <c r="D983" s="14" t="s">
        <v>1049</v>
      </c>
      <c r="E983" s="14" t="s">
        <v>767</v>
      </c>
      <c r="F983" s="21" t="s">
        <v>1056</v>
      </c>
      <c r="G983" s="21"/>
      <c r="H983" s="27">
        <f t="shared" si="79"/>
        <v>8</v>
      </c>
      <c r="I983" s="231"/>
      <c r="J983" s="27">
        <f t="shared" si="78"/>
        <v>4.8</v>
      </c>
      <c r="K983" s="27">
        <f t="shared" si="77"/>
        <v>12.8</v>
      </c>
      <c r="L983" s="176"/>
      <c r="M983" s="24"/>
      <c r="N983" s="10"/>
      <c r="O983" s="23">
        <f>O767*P983</f>
        <v>8</v>
      </c>
      <c r="P983" s="169">
        <v>6</v>
      </c>
      <c r="Q983" s="2"/>
    </row>
    <row r="984" spans="1:17">
      <c r="A984" s="14">
        <v>990</v>
      </c>
      <c r="B984" s="14" t="s">
        <v>1295</v>
      </c>
      <c r="C984" s="14" t="s">
        <v>105</v>
      </c>
      <c r="F984" s="21"/>
      <c r="G984" s="21"/>
      <c r="H984" s="27"/>
      <c r="I984" s="231"/>
      <c r="J984" s="234">
        <f t="shared" si="78"/>
        <v>0</v>
      </c>
      <c r="K984" s="27">
        <f t="shared" si="77"/>
        <v>0</v>
      </c>
      <c r="L984" s="176"/>
      <c r="M984" s="24"/>
      <c r="N984" s="10"/>
      <c r="O984" s="23">
        <f>P984*O767</f>
        <v>16</v>
      </c>
      <c r="P984" s="169">
        <v>12</v>
      </c>
      <c r="Q984" s="2"/>
    </row>
    <row r="985" spans="1:17">
      <c r="A985" s="14">
        <v>991</v>
      </c>
      <c r="B985" s="14" t="s">
        <v>1295</v>
      </c>
      <c r="C985" s="14" t="s">
        <v>105</v>
      </c>
      <c r="D985" s="14" t="s">
        <v>1057</v>
      </c>
      <c r="E985" s="14" t="s">
        <v>767</v>
      </c>
      <c r="F985" s="21" t="s">
        <v>1234</v>
      </c>
      <c r="G985" s="21"/>
      <c r="H985" s="27"/>
      <c r="I985" s="231"/>
      <c r="J985" s="234">
        <f t="shared" si="78"/>
        <v>0</v>
      </c>
      <c r="K985" s="27">
        <f t="shared" si="77"/>
        <v>0</v>
      </c>
      <c r="L985" s="176"/>
      <c r="M985" s="24"/>
      <c r="N985" s="10"/>
      <c r="O985" s="23"/>
      <c r="P985" s="169"/>
      <c r="Q985" s="2"/>
    </row>
    <row r="986" spans="1:17">
      <c r="A986" s="14">
        <v>992</v>
      </c>
      <c r="B986" s="14" t="s">
        <v>1295</v>
      </c>
      <c r="C986" s="14" t="s">
        <v>105</v>
      </c>
      <c r="D986" s="14" t="s">
        <v>1057</v>
      </c>
      <c r="E986" s="14" t="s">
        <v>767</v>
      </c>
      <c r="F986" s="21" t="s">
        <v>1058</v>
      </c>
      <c r="G986" s="21"/>
      <c r="H986" s="27"/>
      <c r="I986" s="231"/>
      <c r="J986" s="234">
        <f t="shared" si="78"/>
        <v>0</v>
      </c>
      <c r="K986" s="27">
        <f t="shared" si="77"/>
        <v>0</v>
      </c>
      <c r="L986" s="176"/>
      <c r="M986" s="24"/>
      <c r="N986" s="10"/>
      <c r="O986" s="23"/>
      <c r="P986" s="169"/>
      <c r="Q986" s="2"/>
    </row>
    <row r="987" spans="1:17">
      <c r="A987" s="14">
        <v>993</v>
      </c>
      <c r="B987" s="14" t="s">
        <v>1295</v>
      </c>
      <c r="C987" s="14" t="s">
        <v>105</v>
      </c>
      <c r="D987" s="14" t="s">
        <v>1057</v>
      </c>
      <c r="E987" s="14" t="s">
        <v>767</v>
      </c>
      <c r="F987" s="21" t="s">
        <v>1235</v>
      </c>
      <c r="G987" s="21"/>
      <c r="H987" s="27"/>
      <c r="I987" s="231"/>
      <c r="J987" s="234">
        <f t="shared" si="78"/>
        <v>0</v>
      </c>
      <c r="K987" s="27">
        <f t="shared" si="77"/>
        <v>0</v>
      </c>
      <c r="L987" s="176"/>
      <c r="M987" s="24"/>
      <c r="N987" s="29"/>
      <c r="O987" s="23">
        <f>O767*P987</f>
        <v>5.333333333333333</v>
      </c>
      <c r="P987" s="169">
        <v>4</v>
      </c>
      <c r="Q987" s="2"/>
    </row>
    <row r="988" spans="1:17">
      <c r="A988" s="14">
        <v>994</v>
      </c>
      <c r="B988" s="14" t="s">
        <v>1295</v>
      </c>
      <c r="C988" s="14" t="s">
        <v>105</v>
      </c>
      <c r="D988" s="14" t="s">
        <v>1057</v>
      </c>
      <c r="E988" s="14" t="s">
        <v>767</v>
      </c>
      <c r="F988" s="21" t="s">
        <v>1059</v>
      </c>
      <c r="G988" s="21"/>
      <c r="H988" s="27"/>
      <c r="I988" s="231"/>
      <c r="J988" s="234">
        <f t="shared" si="78"/>
        <v>0</v>
      </c>
      <c r="K988" s="27">
        <f t="shared" si="77"/>
        <v>0</v>
      </c>
      <c r="L988" s="176"/>
      <c r="M988" s="24"/>
      <c r="N988" s="29"/>
      <c r="O988" s="23"/>
      <c r="P988" s="169"/>
      <c r="Q988" s="2"/>
    </row>
    <row r="989" spans="1:17">
      <c r="A989" s="14">
        <v>995</v>
      </c>
      <c r="B989" s="14" t="s">
        <v>1295</v>
      </c>
      <c r="C989" s="14" t="s">
        <v>105</v>
      </c>
      <c r="D989" s="14" t="s">
        <v>1057</v>
      </c>
      <c r="E989" s="14" t="s">
        <v>767</v>
      </c>
      <c r="F989" s="21" t="s">
        <v>1236</v>
      </c>
      <c r="G989" s="21"/>
      <c r="H989" s="27"/>
      <c r="I989" s="231"/>
      <c r="J989" s="234">
        <f t="shared" si="78"/>
        <v>0</v>
      </c>
      <c r="K989" s="27">
        <f t="shared" si="77"/>
        <v>0</v>
      </c>
      <c r="L989" s="176"/>
      <c r="M989" s="24"/>
      <c r="N989" s="29"/>
      <c r="O989" s="23"/>
      <c r="P989" s="169"/>
      <c r="Q989" s="2"/>
    </row>
    <row r="990" spans="1:17">
      <c r="A990" s="14">
        <v>996</v>
      </c>
      <c r="B990" s="14" t="s">
        <v>1295</v>
      </c>
      <c r="C990" s="14" t="s">
        <v>105</v>
      </c>
      <c r="D990" s="14" t="s">
        <v>1057</v>
      </c>
      <c r="E990" s="14" t="s">
        <v>767</v>
      </c>
      <c r="F990" s="21" t="s">
        <v>1237</v>
      </c>
      <c r="G990" s="21"/>
      <c r="H990" s="27"/>
      <c r="I990" s="231"/>
      <c r="J990" s="234">
        <f t="shared" si="78"/>
        <v>0</v>
      </c>
      <c r="K990" s="27">
        <f t="shared" si="77"/>
        <v>0</v>
      </c>
      <c r="L990" s="176"/>
      <c r="M990" s="24"/>
      <c r="N990" s="29"/>
      <c r="O990" s="23"/>
      <c r="P990" s="169"/>
      <c r="Q990" s="2"/>
    </row>
    <row r="991" spans="1:17">
      <c r="A991" s="14">
        <v>997</v>
      </c>
      <c r="B991" s="14" t="s">
        <v>1295</v>
      </c>
      <c r="C991" s="14" t="s">
        <v>105</v>
      </c>
      <c r="D991" s="14" t="s">
        <v>1057</v>
      </c>
      <c r="E991" s="14" t="s">
        <v>767</v>
      </c>
      <c r="F991" s="21" t="s">
        <v>1238</v>
      </c>
      <c r="G991" s="21"/>
      <c r="H991" s="27"/>
      <c r="I991" s="231"/>
      <c r="J991" s="234">
        <f t="shared" si="78"/>
        <v>0</v>
      </c>
      <c r="K991" s="27">
        <f t="shared" si="77"/>
        <v>0</v>
      </c>
      <c r="L991" s="176"/>
      <c r="M991" s="24"/>
      <c r="N991" s="29"/>
      <c r="O991" s="23">
        <f>O767*P991</f>
        <v>2.9333333333333336</v>
      </c>
      <c r="P991" s="177">
        <v>2.2000000000000002</v>
      </c>
      <c r="Q991" s="2"/>
    </row>
    <row r="992" spans="1:17">
      <c r="A992" s="14">
        <v>998</v>
      </c>
      <c r="B992" s="14" t="s">
        <v>1295</v>
      </c>
      <c r="C992" s="14" t="s">
        <v>105</v>
      </c>
      <c r="D992" s="14" t="s">
        <v>1057</v>
      </c>
      <c r="E992" s="14" t="s">
        <v>767</v>
      </c>
      <c r="F992" s="116" t="s">
        <v>1239</v>
      </c>
      <c r="G992" s="116"/>
      <c r="H992" s="27">
        <f>O992</f>
        <v>5.8666666666666671</v>
      </c>
      <c r="I992" s="231"/>
      <c r="J992" s="27">
        <f t="shared" si="78"/>
        <v>3.52</v>
      </c>
      <c r="K992" s="27">
        <f t="shared" si="77"/>
        <v>9.3866666666666667</v>
      </c>
      <c r="L992" s="176"/>
      <c r="M992" s="24"/>
      <c r="N992" s="29"/>
      <c r="O992" s="23">
        <f>P992*O767</f>
        <v>5.8666666666666671</v>
      </c>
      <c r="P992" s="177">
        <v>4.4000000000000004</v>
      </c>
      <c r="Q992" s="2"/>
    </row>
    <row r="993" spans="1:17">
      <c r="A993" s="14">
        <v>999</v>
      </c>
      <c r="B993" s="14" t="s">
        <v>1295</v>
      </c>
      <c r="C993" s="14" t="s">
        <v>105</v>
      </c>
      <c r="D993" s="14" t="s">
        <v>1057</v>
      </c>
      <c r="E993" s="14" t="s">
        <v>767</v>
      </c>
      <c r="F993" s="116" t="s">
        <v>1240</v>
      </c>
      <c r="G993" s="116"/>
      <c r="H993" s="27">
        <f>O993</f>
        <v>4.3999999999999995</v>
      </c>
      <c r="I993" s="231"/>
      <c r="J993" s="27">
        <f t="shared" si="78"/>
        <v>2.6399999999999997</v>
      </c>
      <c r="K993" s="27">
        <f t="shared" si="77"/>
        <v>7.0399999999999991</v>
      </c>
      <c r="L993" s="176"/>
      <c r="M993" s="24"/>
      <c r="N993" s="29"/>
      <c r="O993" s="23">
        <f>P993*O767</f>
        <v>4.3999999999999995</v>
      </c>
      <c r="P993" s="177">
        <v>3.3</v>
      </c>
      <c r="Q993" s="2"/>
    </row>
    <row r="994" spans="1:17">
      <c r="A994" s="14">
        <v>1000</v>
      </c>
      <c r="B994" s="14" t="s">
        <v>1295</v>
      </c>
      <c r="C994" s="14" t="s">
        <v>105</v>
      </c>
      <c r="D994" s="14" t="s">
        <v>1057</v>
      </c>
      <c r="E994" s="14" t="s">
        <v>767</v>
      </c>
      <c r="F994" s="116" t="s">
        <v>1241</v>
      </c>
      <c r="G994" s="116"/>
      <c r="H994" s="27">
        <f>O994</f>
        <v>4.3999999999999995</v>
      </c>
      <c r="I994" s="231"/>
      <c r="J994" s="27">
        <f t="shared" si="78"/>
        <v>2.6399999999999997</v>
      </c>
      <c r="K994" s="27">
        <f t="shared" si="77"/>
        <v>7.0399999999999991</v>
      </c>
      <c r="L994" s="176"/>
      <c r="M994" s="24"/>
      <c r="N994" s="29"/>
      <c r="O994" s="23">
        <f>P994*O767</f>
        <v>4.3999999999999995</v>
      </c>
      <c r="P994" s="177">
        <v>3.3</v>
      </c>
      <c r="Q994" s="2"/>
    </row>
    <row r="995" spans="1:17">
      <c r="A995" s="14">
        <v>1001</v>
      </c>
      <c r="B995" s="14" t="s">
        <v>1295</v>
      </c>
      <c r="C995" s="14" t="s">
        <v>105</v>
      </c>
      <c r="D995" s="14" t="s">
        <v>1057</v>
      </c>
      <c r="E995" s="14" t="s">
        <v>767</v>
      </c>
      <c r="F995" s="116" t="s">
        <v>1060</v>
      </c>
      <c r="G995" s="116"/>
      <c r="H995" s="27">
        <f>O995</f>
        <v>5.8666666666666671</v>
      </c>
      <c r="I995" s="231"/>
      <c r="J995" s="27">
        <f t="shared" si="78"/>
        <v>3.52</v>
      </c>
      <c r="K995" s="27">
        <f t="shared" si="77"/>
        <v>9.3866666666666667</v>
      </c>
      <c r="L995" s="176"/>
      <c r="M995" s="24"/>
      <c r="N995" s="29"/>
      <c r="O995" s="23">
        <f>P995*O767</f>
        <v>5.8666666666666671</v>
      </c>
      <c r="P995" s="177">
        <v>4.4000000000000004</v>
      </c>
      <c r="Q995" s="2"/>
    </row>
    <row r="996" spans="1:17">
      <c r="A996" s="14">
        <v>1002</v>
      </c>
      <c r="B996" s="14" t="s">
        <v>1295</v>
      </c>
      <c r="C996" s="14" t="s">
        <v>105</v>
      </c>
      <c r="D996" s="14" t="s">
        <v>1057</v>
      </c>
      <c r="E996" s="14" t="s">
        <v>767</v>
      </c>
      <c r="F996" s="21" t="s">
        <v>1061</v>
      </c>
      <c r="G996" s="21"/>
      <c r="H996" s="27">
        <f>O996</f>
        <v>40</v>
      </c>
      <c r="I996" s="231"/>
      <c r="J996" s="27">
        <f t="shared" si="78"/>
        <v>24</v>
      </c>
      <c r="K996" s="27">
        <f t="shared" si="77"/>
        <v>64</v>
      </c>
      <c r="L996" s="176"/>
      <c r="M996" s="24"/>
      <c r="N996" s="29"/>
      <c r="O996" s="23">
        <f>P996*O767</f>
        <v>40</v>
      </c>
      <c r="P996" s="177">
        <v>30</v>
      </c>
      <c r="Q996" s="203"/>
    </row>
    <row r="997" spans="1:17">
      <c r="A997" s="14">
        <v>1003</v>
      </c>
      <c r="B997" s="14" t="s">
        <v>1295</v>
      </c>
      <c r="C997" s="14" t="s">
        <v>105</v>
      </c>
      <c r="D997" s="14" t="s">
        <v>1057</v>
      </c>
      <c r="E997" s="14" t="s">
        <v>767</v>
      </c>
      <c r="F997" s="21" t="s">
        <v>1062</v>
      </c>
      <c r="H997" s="27"/>
      <c r="I997" s="231"/>
      <c r="J997" s="27">
        <f t="shared" si="78"/>
        <v>0</v>
      </c>
      <c r="K997" s="27">
        <f t="shared" si="77"/>
        <v>0</v>
      </c>
      <c r="L997" s="176"/>
      <c r="M997" s="24"/>
      <c r="N997" s="29"/>
      <c r="O997" s="23">
        <f>P997*O767</f>
        <v>40</v>
      </c>
      <c r="P997" s="177">
        <v>30</v>
      </c>
      <c r="Q997" s="2"/>
    </row>
    <row r="998" spans="1:17">
      <c r="A998" s="14">
        <v>1004</v>
      </c>
      <c r="B998" s="14" t="s">
        <v>1295</v>
      </c>
      <c r="C998" s="14" t="s">
        <v>105</v>
      </c>
      <c r="D998" s="14" t="s">
        <v>1057</v>
      </c>
      <c r="E998" s="14" t="s">
        <v>767</v>
      </c>
      <c r="F998" s="21"/>
      <c r="G998" s="21"/>
      <c r="H998" s="27"/>
      <c r="I998" s="231"/>
      <c r="J998" s="27">
        <f t="shared" si="78"/>
        <v>0</v>
      </c>
      <c r="K998" s="27">
        <f t="shared" si="77"/>
        <v>0</v>
      </c>
      <c r="L998" s="176"/>
      <c r="M998" s="24"/>
      <c r="N998" s="29"/>
      <c r="O998" s="23"/>
      <c r="P998" s="177"/>
      <c r="Q998" s="2"/>
    </row>
    <row r="999" spans="1:17">
      <c r="A999" s="14">
        <v>1005</v>
      </c>
      <c r="B999" s="14" t="s">
        <v>1295</v>
      </c>
      <c r="C999" s="14" t="s">
        <v>105</v>
      </c>
      <c r="D999" s="14" t="s">
        <v>1063</v>
      </c>
      <c r="E999" s="14" t="s">
        <v>767</v>
      </c>
      <c r="F999" s="21" t="s">
        <v>1200</v>
      </c>
      <c r="G999" s="21"/>
      <c r="H999" s="27">
        <v>630</v>
      </c>
      <c r="I999" s="231"/>
      <c r="J999" s="27">
        <f t="shared" si="78"/>
        <v>378</v>
      </c>
      <c r="K999" s="27">
        <f t="shared" si="77"/>
        <v>1008</v>
      </c>
      <c r="L999" s="176"/>
      <c r="M999" s="24"/>
      <c r="N999" s="29"/>
      <c r="O999" s="23"/>
      <c r="P999" s="177"/>
      <c r="Q999" s="2"/>
    </row>
    <row r="1000" spans="1:17">
      <c r="A1000" s="14">
        <v>1006</v>
      </c>
      <c r="B1000" s="14" t="s">
        <v>1295</v>
      </c>
      <c r="C1000" s="14" t="s">
        <v>105</v>
      </c>
      <c r="D1000" s="14" t="s">
        <v>1063</v>
      </c>
      <c r="E1000" s="14" t="s">
        <v>767</v>
      </c>
      <c r="F1000" s="21" t="s">
        <v>1225</v>
      </c>
      <c r="G1000" s="21"/>
      <c r="H1000" s="27">
        <v>750</v>
      </c>
      <c r="I1000" s="231"/>
      <c r="J1000" s="27">
        <f t="shared" si="78"/>
        <v>450</v>
      </c>
      <c r="K1000" s="27">
        <f>SUM(H1000:J1000)</f>
        <v>1200</v>
      </c>
      <c r="L1000" s="176"/>
      <c r="M1000" s="24"/>
      <c r="N1000" s="29"/>
      <c r="O1000" s="23"/>
      <c r="P1000" s="177"/>
      <c r="Q1000" s="2"/>
    </row>
    <row r="1001" spans="1:17">
      <c r="A1001" s="14">
        <v>1007</v>
      </c>
      <c r="B1001" s="14" t="s">
        <v>1295</v>
      </c>
      <c r="C1001" s="14" t="s">
        <v>105</v>
      </c>
      <c r="D1001" s="14" t="s">
        <v>1063</v>
      </c>
      <c r="E1001" s="14" t="s">
        <v>767</v>
      </c>
      <c r="F1001" s="21" t="s">
        <v>1201</v>
      </c>
      <c r="G1001" s="40"/>
      <c r="H1001" s="27">
        <v>870</v>
      </c>
      <c r="I1001" s="231"/>
      <c r="J1001" s="27">
        <f t="shared" si="78"/>
        <v>522</v>
      </c>
      <c r="K1001" s="27">
        <f t="shared" ref="K1001:K1012" si="80">H1001+I1001+J1001</f>
        <v>1392</v>
      </c>
      <c r="L1001" s="176"/>
      <c r="M1001" s="24"/>
      <c r="N1001" s="29"/>
      <c r="O1001" s="23"/>
      <c r="P1001" s="177"/>
      <c r="Q1001" s="2"/>
    </row>
    <row r="1002" spans="1:17">
      <c r="A1002" s="14">
        <v>1008</v>
      </c>
      <c r="B1002" s="14" t="s">
        <v>1295</v>
      </c>
      <c r="C1002" s="14" t="s">
        <v>105</v>
      </c>
      <c r="D1002" s="14" t="s">
        <v>1063</v>
      </c>
      <c r="E1002" s="14" t="s">
        <v>767</v>
      </c>
      <c r="F1002" s="21" t="s">
        <v>1223</v>
      </c>
      <c r="G1002" s="21"/>
      <c r="H1002" s="27">
        <v>150</v>
      </c>
      <c r="I1002" s="231"/>
      <c r="J1002" s="27">
        <f t="shared" si="78"/>
        <v>90</v>
      </c>
      <c r="K1002" s="27">
        <f t="shared" si="80"/>
        <v>240</v>
      </c>
      <c r="L1002" s="176"/>
      <c r="M1002" s="24"/>
      <c r="N1002" s="29"/>
      <c r="O1002" s="23"/>
      <c r="P1002" s="177"/>
      <c r="Q1002" s="2"/>
    </row>
    <row r="1003" spans="1:17">
      <c r="A1003" s="14">
        <v>1009</v>
      </c>
      <c r="B1003" s="14" t="s">
        <v>1295</v>
      </c>
      <c r="C1003" s="14" t="s">
        <v>105</v>
      </c>
      <c r="D1003" s="14" t="s">
        <v>1063</v>
      </c>
      <c r="E1003" s="14" t="s">
        <v>767</v>
      </c>
      <c r="F1003" s="21" t="s">
        <v>1224</v>
      </c>
      <c r="G1003" s="21"/>
      <c r="H1003" s="27">
        <v>150</v>
      </c>
      <c r="I1003" s="231"/>
      <c r="J1003" s="27">
        <f t="shared" si="78"/>
        <v>90</v>
      </c>
      <c r="K1003" s="27">
        <f t="shared" si="80"/>
        <v>240</v>
      </c>
      <c r="L1003" s="176"/>
      <c r="M1003" s="24"/>
      <c r="N1003" s="29"/>
      <c r="O1003" s="23"/>
      <c r="P1003" s="177"/>
      <c r="Q1003" s="2"/>
    </row>
    <row r="1004" spans="1:17">
      <c r="A1004" s="14">
        <v>1010</v>
      </c>
      <c r="B1004" s="14" t="s">
        <v>1295</v>
      </c>
      <c r="C1004" s="14" t="s">
        <v>105</v>
      </c>
      <c r="D1004" s="14" t="s">
        <v>1063</v>
      </c>
      <c r="E1004" s="14" t="s">
        <v>767</v>
      </c>
      <c r="F1004" s="21" t="s">
        <v>1064</v>
      </c>
      <c r="G1004" s="21"/>
      <c r="H1004" s="27">
        <v>50</v>
      </c>
      <c r="I1004" s="231"/>
      <c r="J1004" s="27">
        <f t="shared" si="78"/>
        <v>30</v>
      </c>
      <c r="K1004" s="27">
        <f t="shared" si="80"/>
        <v>80</v>
      </c>
      <c r="L1004" s="176"/>
      <c r="M1004" s="24"/>
      <c r="N1004" s="29"/>
      <c r="O1004" s="23"/>
      <c r="P1004" s="177"/>
      <c r="Q1004" s="2"/>
    </row>
    <row r="1005" spans="1:17">
      <c r="A1005" s="14">
        <v>1011</v>
      </c>
      <c r="B1005" s="14" t="s">
        <v>1349</v>
      </c>
      <c r="C1005" s="14" t="s">
        <v>105</v>
      </c>
      <c r="D1005" s="14" t="s">
        <v>1226</v>
      </c>
      <c r="E1005" s="14" t="s">
        <v>767</v>
      </c>
      <c r="F1005" s="21" t="s">
        <v>1227</v>
      </c>
      <c r="G1005" s="21"/>
      <c r="H1005" s="27">
        <v>120</v>
      </c>
      <c r="I1005" s="231"/>
      <c r="J1005" s="27">
        <f t="shared" si="78"/>
        <v>72</v>
      </c>
      <c r="K1005" s="27">
        <f t="shared" si="80"/>
        <v>192</v>
      </c>
      <c r="L1005" s="176"/>
      <c r="M1005" s="24"/>
      <c r="N1005" s="29"/>
      <c r="O1005" s="23"/>
      <c r="P1005" s="177"/>
      <c r="Q1005" s="2"/>
    </row>
    <row r="1006" spans="1:17">
      <c r="A1006" s="14">
        <v>1012</v>
      </c>
      <c r="B1006" s="14" t="s">
        <v>1295</v>
      </c>
      <c r="C1006" s="14" t="s">
        <v>105</v>
      </c>
      <c r="D1006" s="14" t="s">
        <v>1226</v>
      </c>
      <c r="E1006" s="14" t="s">
        <v>767</v>
      </c>
      <c r="F1006" s="21" t="s">
        <v>1228</v>
      </c>
      <c r="G1006" s="21"/>
      <c r="H1006" s="27">
        <v>60</v>
      </c>
      <c r="I1006" s="231"/>
      <c r="J1006" s="27">
        <f t="shared" si="78"/>
        <v>36</v>
      </c>
      <c r="K1006" s="27">
        <f t="shared" si="80"/>
        <v>96</v>
      </c>
      <c r="L1006" s="176"/>
      <c r="M1006" s="24"/>
      <c r="N1006" s="29"/>
      <c r="O1006" s="23">
        <f>O767*P1006</f>
        <v>168</v>
      </c>
      <c r="P1006" s="169">
        <v>126</v>
      </c>
      <c r="Q1006" s="2"/>
    </row>
    <row r="1007" spans="1:17">
      <c r="A1007" s="14">
        <v>1013</v>
      </c>
      <c r="B1007" s="14" t="s">
        <v>1295</v>
      </c>
      <c r="C1007" s="14" t="s">
        <v>105</v>
      </c>
      <c r="D1007" s="14" t="s">
        <v>1226</v>
      </c>
      <c r="E1007" s="14" t="s">
        <v>767</v>
      </c>
      <c r="F1007" s="21" t="s">
        <v>1229</v>
      </c>
      <c r="G1007" s="21"/>
      <c r="H1007" s="27">
        <v>750</v>
      </c>
      <c r="I1007" s="231"/>
      <c r="J1007" s="27">
        <f t="shared" si="78"/>
        <v>450</v>
      </c>
      <c r="K1007" s="27">
        <f t="shared" si="80"/>
        <v>1200</v>
      </c>
      <c r="L1007" s="2"/>
      <c r="M1007" s="41"/>
      <c r="N1007" s="29"/>
      <c r="O1007" s="23">
        <f>O767*P1007</f>
        <v>268.79999999999995</v>
      </c>
      <c r="P1007" s="169">
        <v>201.6</v>
      </c>
      <c r="Q1007" s="2"/>
    </row>
    <row r="1008" spans="1:17">
      <c r="A1008" s="14">
        <v>1014</v>
      </c>
      <c r="B1008" s="14" t="s">
        <v>1295</v>
      </c>
      <c r="C1008" s="14" t="s">
        <v>105</v>
      </c>
      <c r="D1008" s="14" t="s">
        <v>1226</v>
      </c>
      <c r="E1008" s="14" t="s">
        <v>767</v>
      </c>
      <c r="F1008" s="21" t="s">
        <v>1230</v>
      </c>
      <c r="G1008" s="21"/>
      <c r="H1008" s="27">
        <v>25</v>
      </c>
      <c r="I1008" s="231"/>
      <c r="J1008" s="27">
        <f t="shared" si="78"/>
        <v>15</v>
      </c>
      <c r="K1008" s="27">
        <f t="shared" si="80"/>
        <v>40</v>
      </c>
      <c r="L1008" s="2"/>
      <c r="M1008" s="41"/>
      <c r="N1008" s="29"/>
      <c r="O1008" s="23">
        <f>O767*P1008</f>
        <v>48</v>
      </c>
      <c r="P1008" s="169">
        <v>36</v>
      </c>
      <c r="Q1008" s="2"/>
    </row>
    <row r="1009" spans="1:17">
      <c r="A1009" s="14">
        <v>1015</v>
      </c>
      <c r="B1009" s="14" t="s">
        <v>1349</v>
      </c>
      <c r="C1009" s="14" t="s">
        <v>105</v>
      </c>
      <c r="D1009" s="14" t="s">
        <v>1355</v>
      </c>
      <c r="E1009" s="14" t="s">
        <v>767</v>
      </c>
      <c r="F1009" s="21" t="s">
        <v>1231</v>
      </c>
      <c r="G1009" s="21"/>
      <c r="H1009" s="27">
        <v>465.45</v>
      </c>
      <c r="I1009" s="231"/>
      <c r="J1009" s="27">
        <f t="shared" si="78"/>
        <v>279.27</v>
      </c>
      <c r="K1009" s="27">
        <f t="shared" si="80"/>
        <v>744.72</v>
      </c>
      <c r="L1009" s="2"/>
      <c r="M1009" s="41"/>
      <c r="N1009" s="29"/>
      <c r="O1009" s="23">
        <f>O767*P1009</f>
        <v>40</v>
      </c>
      <c r="P1009" s="169">
        <v>30</v>
      </c>
      <c r="Q1009" s="2"/>
    </row>
    <row r="1010" spans="1:17">
      <c r="A1010" s="14">
        <v>1016</v>
      </c>
      <c r="B1010" s="14" t="s">
        <v>1295</v>
      </c>
      <c r="C1010" s="14" t="s">
        <v>105</v>
      </c>
      <c r="D1010" s="14" t="s">
        <v>1226</v>
      </c>
      <c r="E1010" s="14" t="s">
        <v>767</v>
      </c>
      <c r="F1010" s="21" t="s">
        <v>1232</v>
      </c>
      <c r="G1010" s="21"/>
      <c r="H1010" s="27">
        <v>80</v>
      </c>
      <c r="I1010" s="231"/>
      <c r="J1010" s="27">
        <f t="shared" si="78"/>
        <v>48</v>
      </c>
      <c r="K1010" s="27">
        <f t="shared" si="80"/>
        <v>128</v>
      </c>
      <c r="L1010" s="2"/>
      <c r="M1010" s="41"/>
      <c r="N1010" s="29"/>
      <c r="O1010" s="23">
        <f>O767*P1010</f>
        <v>4</v>
      </c>
      <c r="P1010" s="204">
        <v>3</v>
      </c>
      <c r="Q1010" s="2"/>
    </row>
    <row r="1011" spans="1:17">
      <c r="A1011" s="14">
        <v>1017</v>
      </c>
      <c r="B1011" s="14" t="s">
        <v>1295</v>
      </c>
      <c r="C1011" s="14" t="s">
        <v>105</v>
      </c>
      <c r="D1011" s="14" t="s">
        <v>1226</v>
      </c>
      <c r="E1011" s="14" t="s">
        <v>767</v>
      </c>
      <c r="F1011" s="21" t="s">
        <v>1065</v>
      </c>
      <c r="G1011" s="21"/>
      <c r="H1011" s="27"/>
      <c r="I1011" s="231"/>
      <c r="J1011" s="27">
        <f t="shared" si="78"/>
        <v>0</v>
      </c>
      <c r="K1011" s="27">
        <f t="shared" si="80"/>
        <v>0</v>
      </c>
      <c r="L1011" s="2"/>
      <c r="M1011" s="41"/>
      <c r="N1011" s="29"/>
      <c r="O1011" s="23"/>
      <c r="P1011" s="169"/>
      <c r="Q1011" s="2"/>
    </row>
    <row r="1012" spans="1:17" ht="13.5" thickBot="1">
      <c r="A1012" s="14">
        <v>1018</v>
      </c>
      <c r="B1012" s="14" t="s">
        <v>1295</v>
      </c>
      <c r="C1012" s="14" t="s">
        <v>105</v>
      </c>
      <c r="D1012" s="14" t="s">
        <v>1226</v>
      </c>
      <c r="E1012" s="14" t="s">
        <v>767</v>
      </c>
      <c r="F1012" s="21" t="s">
        <v>1233</v>
      </c>
      <c r="G1012" s="21"/>
      <c r="H1012" s="27">
        <v>240</v>
      </c>
      <c r="I1012" s="231"/>
      <c r="J1012" s="27">
        <f t="shared" si="78"/>
        <v>144</v>
      </c>
      <c r="K1012" s="27">
        <f t="shared" si="80"/>
        <v>384</v>
      </c>
      <c r="L1012" s="32"/>
      <c r="M1012" s="51"/>
      <c r="N1012" s="199"/>
      <c r="O1012" s="26"/>
      <c r="P1012" s="205"/>
      <c r="Q1012" s="2"/>
    </row>
    <row r="1013" spans="1:17" ht="13.5" thickTop="1">
      <c r="A1013" s="14">
        <v>1020</v>
      </c>
      <c r="B1013" s="14" t="s">
        <v>1349</v>
      </c>
      <c r="C1013" s="14" t="s">
        <v>69</v>
      </c>
      <c r="D1013" s="14" t="s">
        <v>107</v>
      </c>
      <c r="E1013" s="14" t="s">
        <v>7</v>
      </c>
      <c r="F1013" s="21" t="s">
        <v>124</v>
      </c>
      <c r="G1013" s="21"/>
      <c r="H1013" s="27">
        <v>1050</v>
      </c>
      <c r="I1013" s="231"/>
      <c r="J1013" s="27">
        <f t="shared" si="78"/>
        <v>630</v>
      </c>
      <c r="K1013" s="27">
        <f t="shared" ref="K1013:K1018" si="81">H1013+I1013+J1013</f>
        <v>1680</v>
      </c>
      <c r="L1013" s="2"/>
      <c r="M1013" s="21"/>
      <c r="N1013" s="21"/>
      <c r="O1013" s="21"/>
      <c r="P1013" s="21"/>
      <c r="Q1013" s="2"/>
    </row>
    <row r="1014" spans="1:17">
      <c r="A1014" s="14">
        <v>1021</v>
      </c>
      <c r="B1014" s="14" t="s">
        <v>1349</v>
      </c>
      <c r="C1014" s="14" t="s">
        <v>69</v>
      </c>
      <c r="D1014" s="14" t="s">
        <v>107</v>
      </c>
      <c r="E1014" s="14" t="s">
        <v>7</v>
      </c>
      <c r="F1014" s="21" t="s">
        <v>125</v>
      </c>
      <c r="G1014" s="21"/>
      <c r="H1014" s="27">
        <v>1150</v>
      </c>
      <c r="I1014" s="231"/>
      <c r="J1014" s="27">
        <f t="shared" si="78"/>
        <v>690</v>
      </c>
      <c r="K1014" s="27">
        <f t="shared" si="81"/>
        <v>1840</v>
      </c>
      <c r="L1014" s="2"/>
      <c r="M1014" s="21"/>
      <c r="N1014" s="21"/>
      <c r="O1014" s="21"/>
      <c r="P1014" s="21"/>
      <c r="Q1014" s="2"/>
    </row>
    <row r="1015" spans="1:17">
      <c r="A1015" s="14">
        <v>1022</v>
      </c>
      <c r="B1015" s="14" t="s">
        <v>1349</v>
      </c>
      <c r="C1015" s="14" t="s">
        <v>69</v>
      </c>
      <c r="D1015" s="14" t="s">
        <v>107</v>
      </c>
      <c r="E1015" s="14" t="s">
        <v>7</v>
      </c>
      <c r="F1015" s="21" t="s">
        <v>126</v>
      </c>
      <c r="G1015" s="21"/>
      <c r="H1015" s="27">
        <v>1300</v>
      </c>
      <c r="I1015" s="231"/>
      <c r="J1015" s="27">
        <f t="shared" si="78"/>
        <v>780</v>
      </c>
      <c r="K1015" s="27">
        <f t="shared" si="81"/>
        <v>2080</v>
      </c>
      <c r="L1015" s="2"/>
      <c r="M1015" s="2"/>
      <c r="N1015" s="2"/>
      <c r="O1015" s="2"/>
      <c r="P1015" s="2"/>
      <c r="Q1015" s="2"/>
    </row>
    <row r="1016" spans="1:17">
      <c r="A1016" s="14">
        <v>1023</v>
      </c>
      <c r="B1016" s="14" t="s">
        <v>1349</v>
      </c>
      <c r="C1016" s="14" t="s">
        <v>69</v>
      </c>
      <c r="D1016" s="14" t="s">
        <v>107</v>
      </c>
      <c r="E1016" s="14" t="s">
        <v>7</v>
      </c>
      <c r="F1016" s="21" t="s">
        <v>127</v>
      </c>
      <c r="G1016" s="21"/>
      <c r="H1016" s="27">
        <v>1800</v>
      </c>
      <c r="I1016" s="231"/>
      <c r="J1016" s="27">
        <f t="shared" si="78"/>
        <v>1080</v>
      </c>
      <c r="K1016" s="27">
        <f t="shared" si="81"/>
        <v>2880</v>
      </c>
      <c r="L1016" s="2"/>
      <c r="M1016" s="2"/>
      <c r="N1016" s="2"/>
      <c r="O1016" s="2"/>
      <c r="P1016" s="2"/>
      <c r="Q1016" s="2"/>
    </row>
    <row r="1017" spans="1:17">
      <c r="A1017" s="14">
        <v>1024</v>
      </c>
      <c r="B1017" s="14" t="s">
        <v>1349</v>
      </c>
      <c r="C1017" s="14" t="s">
        <v>69</v>
      </c>
      <c r="D1017" s="14" t="s">
        <v>107</v>
      </c>
      <c r="E1017" s="14" t="s">
        <v>7</v>
      </c>
      <c r="F1017" s="21" t="s">
        <v>128</v>
      </c>
      <c r="G1017" s="21"/>
      <c r="H1017" s="27">
        <v>2000</v>
      </c>
      <c r="I1017" s="231"/>
      <c r="J1017" s="27">
        <f t="shared" si="78"/>
        <v>1200</v>
      </c>
      <c r="K1017" s="27">
        <f t="shared" si="81"/>
        <v>3200</v>
      </c>
      <c r="L1017" s="2"/>
      <c r="M1017" s="2"/>
      <c r="N1017" s="2"/>
      <c r="O1017" s="2"/>
      <c r="P1017" s="2"/>
      <c r="Q1017" s="2"/>
    </row>
    <row r="1018" spans="1:17">
      <c r="A1018" s="14">
        <v>1025</v>
      </c>
      <c r="B1018" s="14" t="s">
        <v>1349</v>
      </c>
      <c r="C1018" s="14" t="s">
        <v>69</v>
      </c>
      <c r="D1018" s="14" t="s">
        <v>107</v>
      </c>
      <c r="E1018" s="14" t="s">
        <v>7</v>
      </c>
      <c r="F1018" s="21" t="s">
        <v>129</v>
      </c>
      <c r="G1018" s="21"/>
      <c r="H1018" s="27">
        <v>2500</v>
      </c>
      <c r="I1018" s="231"/>
      <c r="J1018" s="27">
        <f t="shared" si="78"/>
        <v>1500</v>
      </c>
      <c r="K1018" s="27">
        <f t="shared" si="81"/>
        <v>4000</v>
      </c>
      <c r="L1018" s="2"/>
      <c r="M1018" s="2"/>
      <c r="N1018" s="2"/>
      <c r="O1018" s="2"/>
      <c r="P1018" s="2"/>
      <c r="Q1018" s="2"/>
    </row>
    <row r="1019" spans="1:17">
      <c r="A1019" s="14">
        <v>1026</v>
      </c>
      <c r="B1019" s="14" t="s">
        <v>1349</v>
      </c>
      <c r="C1019" s="14" t="s">
        <v>69</v>
      </c>
      <c r="D1019" s="14" t="s">
        <v>107</v>
      </c>
      <c r="E1019" s="14" t="s">
        <v>7</v>
      </c>
      <c r="F1019" s="21" t="s">
        <v>130</v>
      </c>
      <c r="G1019" s="21"/>
      <c r="H1019" s="27">
        <v>1600</v>
      </c>
      <c r="I1019" s="231"/>
      <c r="J1019" s="27">
        <f t="shared" si="78"/>
        <v>960</v>
      </c>
      <c r="K1019" s="27"/>
      <c r="L1019" s="2"/>
      <c r="M1019" s="2"/>
      <c r="N1019" s="2"/>
      <c r="O1019" s="2"/>
      <c r="P1019" s="2"/>
      <c r="Q1019" s="2"/>
    </row>
    <row r="1020" spans="1:17">
      <c r="A1020" s="14">
        <v>1027</v>
      </c>
      <c r="B1020" s="14" t="s">
        <v>1349</v>
      </c>
      <c r="C1020" s="14" t="s">
        <v>69</v>
      </c>
      <c r="D1020" s="14" t="s">
        <v>107</v>
      </c>
      <c r="E1020" s="14" t="s">
        <v>7</v>
      </c>
      <c r="F1020" s="21" t="s">
        <v>131</v>
      </c>
      <c r="G1020" s="21"/>
      <c r="H1020" s="27">
        <v>1800</v>
      </c>
      <c r="I1020" s="231"/>
      <c r="J1020" s="234">
        <f>H1020*$D$6</f>
        <v>1080</v>
      </c>
      <c r="K1020" s="27">
        <f>H1020+I1020+J1020</f>
        <v>2880</v>
      </c>
      <c r="L1020" s="2"/>
      <c r="M1020" s="2"/>
      <c r="N1020" s="2"/>
      <c r="O1020" s="2"/>
      <c r="P1020" s="2"/>
      <c r="Q1020" s="2"/>
    </row>
    <row r="1021" spans="1:17">
      <c r="A1021" s="14">
        <v>1028</v>
      </c>
      <c r="B1021" s="14" t="s">
        <v>1349</v>
      </c>
      <c r="C1021" s="14" t="s">
        <v>69</v>
      </c>
      <c r="D1021" s="14" t="s">
        <v>1066</v>
      </c>
      <c r="E1021" s="14" t="s">
        <v>7</v>
      </c>
      <c r="F1021" s="21" t="s">
        <v>132</v>
      </c>
      <c r="G1021" s="21"/>
      <c r="H1021" s="27">
        <v>2100</v>
      </c>
      <c r="I1021" s="231"/>
      <c r="J1021" s="27">
        <f t="shared" si="78"/>
        <v>1260</v>
      </c>
      <c r="K1021" s="27">
        <f t="shared" ref="K1021:K1054" si="82">H1021+I1021+J1021</f>
        <v>3360</v>
      </c>
      <c r="L1021" s="2"/>
      <c r="M1021" s="2"/>
      <c r="N1021" s="2"/>
      <c r="O1021" s="2"/>
      <c r="P1021" s="2"/>
      <c r="Q1021" s="2"/>
    </row>
    <row r="1022" spans="1:17">
      <c r="A1022" s="14">
        <v>1029</v>
      </c>
      <c r="B1022" s="14" t="s">
        <v>1349</v>
      </c>
      <c r="C1022" s="14" t="s">
        <v>69</v>
      </c>
      <c r="D1022" s="14" t="s">
        <v>1066</v>
      </c>
      <c r="E1022" s="14" t="s">
        <v>7</v>
      </c>
      <c r="F1022" s="21" t="s">
        <v>133</v>
      </c>
      <c r="G1022" s="21"/>
      <c r="H1022" s="27">
        <v>2300</v>
      </c>
      <c r="I1022" s="231"/>
      <c r="J1022" s="27">
        <f t="shared" si="78"/>
        <v>1380</v>
      </c>
      <c r="K1022" s="27">
        <f t="shared" si="82"/>
        <v>3680</v>
      </c>
      <c r="L1022" s="2"/>
      <c r="M1022" s="2"/>
      <c r="N1022" s="2"/>
      <c r="O1022" s="2"/>
      <c r="P1022" s="2"/>
      <c r="Q1022" s="2"/>
    </row>
    <row r="1023" spans="1:17">
      <c r="A1023" s="14">
        <v>1030</v>
      </c>
      <c r="B1023" s="14" t="s">
        <v>1349</v>
      </c>
      <c r="C1023" s="14" t="s">
        <v>69</v>
      </c>
      <c r="D1023" s="14" t="s">
        <v>1066</v>
      </c>
      <c r="E1023" s="14" t="s">
        <v>7</v>
      </c>
      <c r="F1023" s="21" t="s">
        <v>134</v>
      </c>
      <c r="G1023" s="21"/>
      <c r="H1023" s="27">
        <v>2400</v>
      </c>
      <c r="I1023" s="231"/>
      <c r="J1023" s="27">
        <f t="shared" si="78"/>
        <v>1440</v>
      </c>
      <c r="K1023" s="27">
        <f t="shared" si="82"/>
        <v>3840</v>
      </c>
      <c r="L1023" s="2"/>
      <c r="M1023" s="2"/>
      <c r="N1023" s="2"/>
      <c r="O1023" s="2"/>
      <c r="P1023" s="2"/>
      <c r="Q1023" s="2"/>
    </row>
    <row r="1024" spans="1:17">
      <c r="A1024" s="14">
        <v>1031</v>
      </c>
      <c r="B1024" s="14" t="s">
        <v>1349</v>
      </c>
      <c r="C1024" s="14" t="s">
        <v>69</v>
      </c>
      <c r="D1024" s="14" t="s">
        <v>1066</v>
      </c>
      <c r="E1024" s="14" t="s">
        <v>7</v>
      </c>
      <c r="F1024" s="21" t="s">
        <v>135</v>
      </c>
      <c r="G1024" s="21"/>
      <c r="H1024" s="27">
        <v>2700</v>
      </c>
      <c r="I1024" s="231"/>
      <c r="J1024" s="27">
        <f t="shared" si="78"/>
        <v>1620</v>
      </c>
      <c r="K1024" s="27">
        <f t="shared" si="82"/>
        <v>4320</v>
      </c>
      <c r="L1024" s="2"/>
      <c r="M1024" s="2"/>
      <c r="N1024" s="2"/>
      <c r="O1024" s="2"/>
      <c r="P1024" s="2"/>
      <c r="Q1024" s="2"/>
    </row>
    <row r="1025" spans="1:17">
      <c r="A1025" s="14">
        <v>1032</v>
      </c>
      <c r="B1025" s="14" t="s">
        <v>1349</v>
      </c>
      <c r="C1025" s="14" t="s">
        <v>69</v>
      </c>
      <c r="D1025" s="14" t="s">
        <v>1066</v>
      </c>
      <c r="E1025" s="14" t="s">
        <v>7</v>
      </c>
      <c r="F1025" s="21" t="s">
        <v>136</v>
      </c>
      <c r="G1025" s="21"/>
      <c r="H1025" s="27"/>
      <c r="I1025" s="231"/>
      <c r="J1025" s="27">
        <f t="shared" si="78"/>
        <v>0</v>
      </c>
      <c r="K1025" s="27">
        <f t="shared" si="82"/>
        <v>0</v>
      </c>
      <c r="L1025" s="2"/>
      <c r="M1025" s="2"/>
      <c r="N1025" s="2"/>
      <c r="O1025" s="2"/>
      <c r="P1025" s="2"/>
      <c r="Q1025" s="2"/>
    </row>
    <row r="1026" spans="1:17">
      <c r="A1026" s="14">
        <v>1033</v>
      </c>
      <c r="B1026" s="14" t="s">
        <v>1349</v>
      </c>
      <c r="C1026" s="14" t="s">
        <v>69</v>
      </c>
      <c r="D1026" s="14" t="s">
        <v>1066</v>
      </c>
      <c r="E1026" s="14" t="s">
        <v>7</v>
      </c>
      <c r="F1026" s="21" t="s">
        <v>137</v>
      </c>
      <c r="G1026" s="21"/>
      <c r="H1026" s="27"/>
      <c r="I1026" s="231"/>
      <c r="J1026" s="27">
        <f t="shared" si="78"/>
        <v>0</v>
      </c>
      <c r="K1026" s="27">
        <f t="shared" si="82"/>
        <v>0</v>
      </c>
      <c r="L1026" s="2"/>
      <c r="M1026" s="2"/>
      <c r="N1026" s="2"/>
      <c r="O1026" s="2"/>
      <c r="P1026" s="2"/>
      <c r="Q1026" s="2"/>
    </row>
    <row r="1027" spans="1:17">
      <c r="A1027" s="14">
        <v>1034</v>
      </c>
      <c r="B1027" s="14" t="s">
        <v>1349</v>
      </c>
      <c r="C1027" s="14" t="s">
        <v>69</v>
      </c>
      <c r="D1027" s="14" t="s">
        <v>138</v>
      </c>
      <c r="E1027" s="14" t="s">
        <v>7</v>
      </c>
      <c r="F1027" s="21" t="s">
        <v>138</v>
      </c>
      <c r="G1027" s="21"/>
      <c r="H1027" s="27">
        <v>900</v>
      </c>
      <c r="I1027" s="231"/>
      <c r="J1027" s="234">
        <f>H1027*$D$6</f>
        <v>540</v>
      </c>
      <c r="K1027" s="27">
        <f>H1027+I1027+J1027</f>
        <v>1440</v>
      </c>
      <c r="L1027" s="2"/>
      <c r="M1027" s="2"/>
      <c r="N1027" s="2"/>
      <c r="O1027" s="2"/>
      <c r="P1027" s="2"/>
      <c r="Q1027" s="2"/>
    </row>
    <row r="1028" spans="1:17">
      <c r="A1028" s="14">
        <v>1035</v>
      </c>
      <c r="B1028" s="14" t="s">
        <v>1349</v>
      </c>
      <c r="C1028" s="14" t="s">
        <v>69</v>
      </c>
      <c r="D1028" s="14" t="s">
        <v>138</v>
      </c>
      <c r="E1028" s="14" t="s">
        <v>7</v>
      </c>
      <c r="F1028" s="21" t="s">
        <v>139</v>
      </c>
      <c r="G1028" s="21"/>
      <c r="H1028" s="27">
        <v>40</v>
      </c>
      <c r="I1028" s="231"/>
      <c r="J1028" s="27">
        <f t="shared" si="78"/>
        <v>24</v>
      </c>
      <c r="K1028" s="27">
        <f t="shared" si="82"/>
        <v>64</v>
      </c>
      <c r="L1028" s="2"/>
      <c r="M1028" s="21"/>
      <c r="N1028" s="64"/>
      <c r="O1028" s="28"/>
      <c r="P1028" s="206"/>
      <c r="Q1028" s="2"/>
    </row>
    <row r="1029" spans="1:17">
      <c r="A1029" s="14">
        <v>1036</v>
      </c>
      <c r="B1029" s="14" t="s">
        <v>1349</v>
      </c>
      <c r="C1029" s="14" t="s">
        <v>69</v>
      </c>
      <c r="D1029" s="14" t="s">
        <v>138</v>
      </c>
      <c r="E1029" s="14" t="s">
        <v>7</v>
      </c>
      <c r="F1029" s="21" t="s">
        <v>140</v>
      </c>
      <c r="G1029" s="21"/>
      <c r="H1029" s="27">
        <v>250</v>
      </c>
      <c r="I1029" s="231"/>
      <c r="J1029" s="27">
        <f t="shared" si="78"/>
        <v>150</v>
      </c>
      <c r="K1029" s="27">
        <f t="shared" si="82"/>
        <v>400</v>
      </c>
      <c r="L1029" s="2"/>
      <c r="M1029" s="21"/>
      <c r="N1029" s="64"/>
      <c r="O1029" s="28"/>
      <c r="P1029" s="206"/>
      <c r="Q1029" s="2"/>
    </row>
    <row r="1030" spans="1:17">
      <c r="A1030" s="14">
        <v>1037</v>
      </c>
      <c r="B1030" s="14" t="s">
        <v>1349</v>
      </c>
      <c r="C1030" s="14" t="s">
        <v>69</v>
      </c>
      <c r="D1030" s="14" t="s">
        <v>141</v>
      </c>
      <c r="E1030" s="14" t="s">
        <v>7</v>
      </c>
      <c r="F1030" s="21" t="s">
        <v>142</v>
      </c>
      <c r="G1030" s="21"/>
      <c r="H1030" s="27">
        <v>96.720000000000013</v>
      </c>
      <c r="I1030" s="231"/>
      <c r="J1030" s="234">
        <f t="shared" ref="J1030:J1037" si="83">H1030*$D$6</f>
        <v>58.032000000000004</v>
      </c>
      <c r="K1030" s="27">
        <f t="shared" ref="K1030:K1037" si="84">H1030+I1030+J1030</f>
        <v>154.75200000000001</v>
      </c>
      <c r="L1030" s="2"/>
      <c r="M1030" s="21"/>
      <c r="N1030" s="64"/>
      <c r="O1030" s="28"/>
      <c r="P1030" s="206"/>
      <c r="Q1030" s="2"/>
    </row>
    <row r="1031" spans="1:17">
      <c r="A1031" s="14">
        <v>1038</v>
      </c>
      <c r="B1031" s="14" t="s">
        <v>1349</v>
      </c>
      <c r="C1031" s="14" t="s">
        <v>69</v>
      </c>
      <c r="D1031" s="14" t="s">
        <v>141</v>
      </c>
      <c r="E1031" s="14" t="s">
        <v>7</v>
      </c>
      <c r="F1031" s="21" t="s">
        <v>143</v>
      </c>
      <c r="G1031" s="21"/>
      <c r="H1031" s="27">
        <v>104.16000000000001</v>
      </c>
      <c r="I1031" s="231"/>
      <c r="J1031" s="234">
        <f t="shared" si="83"/>
        <v>62.496000000000002</v>
      </c>
      <c r="K1031" s="27">
        <f t="shared" si="84"/>
        <v>166.65600000000001</v>
      </c>
      <c r="L1031" s="2"/>
      <c r="M1031" s="21"/>
      <c r="N1031" s="64"/>
      <c r="O1031" s="28"/>
      <c r="P1031" s="206"/>
      <c r="Q1031" s="2"/>
    </row>
    <row r="1032" spans="1:17">
      <c r="A1032" s="14">
        <v>1039</v>
      </c>
      <c r="B1032" s="14" t="s">
        <v>1349</v>
      </c>
      <c r="C1032" s="14" t="s">
        <v>69</v>
      </c>
      <c r="D1032" s="14" t="s">
        <v>141</v>
      </c>
      <c r="E1032" s="14" t="s">
        <v>7</v>
      </c>
      <c r="F1032" s="21" t="s">
        <v>144</v>
      </c>
      <c r="G1032" s="21"/>
      <c r="H1032" s="27">
        <v>111.60000000000001</v>
      </c>
      <c r="I1032" s="231"/>
      <c r="J1032" s="234">
        <f t="shared" si="83"/>
        <v>66.960000000000008</v>
      </c>
      <c r="K1032" s="27">
        <f t="shared" si="84"/>
        <v>178.56</v>
      </c>
      <c r="L1032" s="2"/>
      <c r="M1032" s="21"/>
      <c r="N1032" s="64"/>
      <c r="O1032" s="28"/>
      <c r="P1032" s="206"/>
      <c r="Q1032" s="2"/>
    </row>
    <row r="1033" spans="1:17">
      <c r="A1033" s="14">
        <v>1040</v>
      </c>
      <c r="B1033" s="14" t="s">
        <v>1349</v>
      </c>
      <c r="C1033" s="14" t="s">
        <v>69</v>
      </c>
      <c r="D1033" s="14" t="s">
        <v>141</v>
      </c>
      <c r="E1033" s="14" t="s">
        <v>7</v>
      </c>
      <c r="F1033" s="21" t="s">
        <v>145</v>
      </c>
      <c r="G1033" s="21"/>
      <c r="H1033" s="27">
        <v>119.04000000000002</v>
      </c>
      <c r="I1033" s="231"/>
      <c r="J1033" s="234">
        <f t="shared" si="83"/>
        <v>71.424000000000007</v>
      </c>
      <c r="K1033" s="27">
        <f t="shared" si="84"/>
        <v>190.46400000000003</v>
      </c>
      <c r="L1033" s="2"/>
      <c r="M1033" s="21"/>
      <c r="N1033" s="64"/>
      <c r="O1033" s="28"/>
      <c r="P1033" s="206"/>
      <c r="Q1033" s="2"/>
    </row>
    <row r="1034" spans="1:17">
      <c r="A1034" s="14">
        <v>1041</v>
      </c>
      <c r="B1034" s="14" t="s">
        <v>1349</v>
      </c>
      <c r="C1034" s="14" t="s">
        <v>69</v>
      </c>
      <c r="D1034" s="14" t="s">
        <v>141</v>
      </c>
      <c r="E1034" s="14" t="s">
        <v>7</v>
      </c>
      <c r="F1034" s="21" t="s">
        <v>146</v>
      </c>
      <c r="G1034" s="21"/>
      <c r="H1034" s="27">
        <v>126.47999999999999</v>
      </c>
      <c r="I1034" s="231"/>
      <c r="J1034" s="234">
        <f t="shared" si="83"/>
        <v>75.887999999999991</v>
      </c>
      <c r="K1034" s="27">
        <f t="shared" si="84"/>
        <v>202.36799999999999</v>
      </c>
      <c r="L1034" s="2"/>
      <c r="M1034" s="21"/>
      <c r="N1034" s="64"/>
      <c r="O1034" s="28"/>
      <c r="P1034" s="206"/>
      <c r="Q1034" s="2"/>
    </row>
    <row r="1035" spans="1:17">
      <c r="A1035" s="14">
        <v>1042</v>
      </c>
      <c r="B1035" s="14" t="s">
        <v>1349</v>
      </c>
      <c r="C1035" s="14" t="s">
        <v>69</v>
      </c>
      <c r="D1035" s="14" t="s">
        <v>141</v>
      </c>
      <c r="E1035" s="14" t="s">
        <v>7</v>
      </c>
      <c r="F1035" s="21" t="s">
        <v>147</v>
      </c>
      <c r="G1035" s="21"/>
      <c r="H1035" s="27">
        <v>133.92000000000002</v>
      </c>
      <c r="I1035" s="231"/>
      <c r="J1035" s="234">
        <f t="shared" si="83"/>
        <v>80.352000000000004</v>
      </c>
      <c r="K1035" s="27">
        <f t="shared" si="84"/>
        <v>214.27200000000002</v>
      </c>
      <c r="L1035" s="2"/>
      <c r="M1035" s="21"/>
      <c r="N1035" s="64"/>
      <c r="O1035" s="28"/>
      <c r="P1035" s="206"/>
      <c r="Q1035" s="2"/>
    </row>
    <row r="1036" spans="1:17">
      <c r="A1036" s="14">
        <v>1043</v>
      </c>
      <c r="B1036" s="14" t="s">
        <v>1349</v>
      </c>
      <c r="C1036" s="14" t="s">
        <v>69</v>
      </c>
      <c r="D1036" s="14" t="s">
        <v>141</v>
      </c>
      <c r="E1036" s="14" t="s">
        <v>7</v>
      </c>
      <c r="F1036" s="21" t="s">
        <v>148</v>
      </c>
      <c r="G1036" s="21"/>
      <c r="H1036" s="27">
        <v>141.36000000000001</v>
      </c>
      <c r="I1036" s="231"/>
      <c r="J1036" s="234">
        <f t="shared" si="83"/>
        <v>84.816000000000003</v>
      </c>
      <c r="K1036" s="27">
        <f t="shared" si="84"/>
        <v>226.17600000000002</v>
      </c>
      <c r="L1036" s="2"/>
      <c r="M1036" s="21"/>
      <c r="N1036" s="64"/>
      <c r="O1036" s="28"/>
      <c r="P1036" s="206"/>
      <c r="Q1036" s="2"/>
    </row>
    <row r="1037" spans="1:17">
      <c r="A1037" s="14">
        <v>1044</v>
      </c>
      <c r="B1037" s="14" t="s">
        <v>1349</v>
      </c>
      <c r="C1037" s="14" t="s">
        <v>69</v>
      </c>
      <c r="D1037" s="14" t="s">
        <v>141</v>
      </c>
      <c r="E1037" s="14" t="s">
        <v>7</v>
      </c>
      <c r="F1037" s="21" t="s">
        <v>149</v>
      </c>
      <c r="G1037" s="21"/>
      <c r="H1037" s="27">
        <v>148.80000000000001</v>
      </c>
      <c r="I1037" s="231"/>
      <c r="J1037" s="234">
        <f t="shared" si="83"/>
        <v>89.28</v>
      </c>
      <c r="K1037" s="27">
        <f t="shared" si="84"/>
        <v>238.08</v>
      </c>
      <c r="L1037" s="2"/>
      <c r="M1037" s="21"/>
      <c r="N1037" s="64"/>
      <c r="O1037" s="28"/>
      <c r="P1037" s="206"/>
      <c r="Q1037" s="2"/>
    </row>
    <row r="1038" spans="1:17">
      <c r="A1038" s="14">
        <v>1045</v>
      </c>
      <c r="B1038" s="14" t="s">
        <v>1295</v>
      </c>
      <c r="C1038" s="14" t="s">
        <v>69</v>
      </c>
      <c r="D1038" s="14" t="s">
        <v>1067</v>
      </c>
      <c r="E1038" s="14" t="s">
        <v>7</v>
      </c>
      <c r="F1038" s="21" t="s">
        <v>1068</v>
      </c>
      <c r="G1038" s="21"/>
      <c r="H1038" s="27">
        <v>3288</v>
      </c>
      <c r="I1038" s="231"/>
      <c r="J1038" s="27">
        <f t="shared" ref="J1038:J1097" si="85">H1038*$D$6</f>
        <v>1972.8</v>
      </c>
      <c r="K1038" s="27">
        <f t="shared" si="82"/>
        <v>5260.8</v>
      </c>
      <c r="L1038" s="2"/>
      <c r="M1038" s="21"/>
      <c r="N1038" s="64"/>
      <c r="O1038" s="28"/>
      <c r="P1038" s="206"/>
      <c r="Q1038" s="2"/>
    </row>
    <row r="1039" spans="1:17">
      <c r="A1039" s="14">
        <v>1046</v>
      </c>
      <c r="B1039" s="14" t="s">
        <v>1295</v>
      </c>
      <c r="C1039" s="14" t="s">
        <v>69</v>
      </c>
      <c r="D1039" s="14" t="s">
        <v>1067</v>
      </c>
      <c r="E1039" s="14" t="s">
        <v>7</v>
      </c>
      <c r="F1039" s="21" t="s">
        <v>1069</v>
      </c>
      <c r="G1039" s="21"/>
      <c r="H1039" s="27">
        <v>3076</v>
      </c>
      <c r="I1039" s="231"/>
      <c r="J1039" s="27">
        <f t="shared" si="85"/>
        <v>1845.6</v>
      </c>
      <c r="K1039" s="27">
        <f t="shared" si="82"/>
        <v>4921.6000000000004</v>
      </c>
      <c r="L1039" s="2"/>
      <c r="M1039" s="21"/>
      <c r="N1039" s="64"/>
      <c r="O1039" s="28"/>
      <c r="P1039" s="206"/>
      <c r="Q1039" s="2"/>
    </row>
    <row r="1040" spans="1:17">
      <c r="A1040" s="14">
        <v>1047</v>
      </c>
      <c r="B1040" s="14" t="s">
        <v>1295</v>
      </c>
      <c r="C1040" s="14" t="s">
        <v>69</v>
      </c>
      <c r="D1040" s="14" t="s">
        <v>1067</v>
      </c>
      <c r="E1040" s="14" t="s">
        <v>7</v>
      </c>
      <c r="F1040" s="21" t="s">
        <v>1070</v>
      </c>
      <c r="G1040" s="21"/>
      <c r="H1040" s="27">
        <v>2987</v>
      </c>
      <c r="I1040" s="231"/>
      <c r="J1040" s="27">
        <f t="shared" si="85"/>
        <v>1792.2</v>
      </c>
      <c r="K1040" s="27">
        <f t="shared" si="82"/>
        <v>4779.2</v>
      </c>
      <c r="L1040" s="2"/>
      <c r="M1040" s="21"/>
      <c r="N1040" s="64"/>
      <c r="O1040" s="28"/>
      <c r="P1040" s="206"/>
      <c r="Q1040" s="2"/>
    </row>
    <row r="1041" spans="1:17">
      <c r="A1041" s="14">
        <v>1048</v>
      </c>
      <c r="B1041" s="14" t="s">
        <v>1295</v>
      </c>
      <c r="C1041" s="14" t="s">
        <v>69</v>
      </c>
      <c r="D1041" s="14" t="s">
        <v>1067</v>
      </c>
      <c r="E1041" s="14" t="s">
        <v>7</v>
      </c>
      <c r="F1041" s="21" t="s">
        <v>1071</v>
      </c>
      <c r="G1041" s="21"/>
      <c r="H1041" s="27">
        <v>2898</v>
      </c>
      <c r="I1041" s="231"/>
      <c r="J1041" s="27">
        <f t="shared" si="85"/>
        <v>1738.8</v>
      </c>
      <c r="K1041" s="27">
        <f t="shared" si="82"/>
        <v>4636.8</v>
      </c>
      <c r="L1041" s="2"/>
      <c r="M1041" s="21"/>
      <c r="N1041" s="64"/>
      <c r="O1041" s="28"/>
      <c r="P1041" s="206"/>
      <c r="Q1041" s="2"/>
    </row>
    <row r="1042" spans="1:17">
      <c r="A1042" s="14">
        <v>1049</v>
      </c>
      <c r="B1042" s="14" t="s">
        <v>1295</v>
      </c>
      <c r="C1042" s="14" t="s">
        <v>69</v>
      </c>
      <c r="D1042" s="14" t="s">
        <v>1067</v>
      </c>
      <c r="E1042" s="14" t="s">
        <v>7</v>
      </c>
      <c r="F1042" s="21" t="s">
        <v>1072</v>
      </c>
      <c r="G1042" s="21"/>
      <c r="H1042" s="27">
        <v>2044</v>
      </c>
      <c r="I1042" s="231"/>
      <c r="J1042" s="27">
        <f t="shared" si="85"/>
        <v>1226.3999999999999</v>
      </c>
      <c r="K1042" s="27">
        <f t="shared" si="82"/>
        <v>3270.3999999999996</v>
      </c>
      <c r="L1042" s="2"/>
      <c r="M1042" s="21"/>
      <c r="N1042" s="64"/>
      <c r="O1042" s="28"/>
      <c r="P1042" s="206"/>
      <c r="Q1042" s="2"/>
    </row>
    <row r="1043" spans="1:17">
      <c r="A1043" s="14">
        <v>1050</v>
      </c>
      <c r="B1043" s="14" t="s">
        <v>1295</v>
      </c>
      <c r="C1043" s="14" t="s">
        <v>69</v>
      </c>
      <c r="D1043" s="14" t="s">
        <v>1067</v>
      </c>
      <c r="E1043" s="14" t="s">
        <v>7</v>
      </c>
      <c r="F1043" s="21" t="s">
        <v>1073</v>
      </c>
      <c r="G1043" s="21"/>
      <c r="H1043" s="27">
        <v>1873</v>
      </c>
      <c r="I1043" s="231"/>
      <c r="J1043" s="27">
        <f t="shared" si="85"/>
        <v>1123.8</v>
      </c>
      <c r="K1043" s="27">
        <f t="shared" si="82"/>
        <v>2996.8</v>
      </c>
      <c r="L1043" s="2"/>
      <c r="M1043" s="21"/>
      <c r="N1043" s="64"/>
      <c r="O1043" s="28"/>
      <c r="P1043" s="206"/>
      <c r="Q1043" s="2"/>
    </row>
    <row r="1044" spans="1:17">
      <c r="A1044" s="14">
        <v>1051</v>
      </c>
      <c r="B1044" s="14" t="s">
        <v>1295</v>
      </c>
      <c r="C1044" s="14" t="s">
        <v>69</v>
      </c>
      <c r="D1044" s="14" t="s">
        <v>1067</v>
      </c>
      <c r="E1044" s="14" t="s">
        <v>7</v>
      </c>
      <c r="F1044" s="21" t="s">
        <v>1074</v>
      </c>
      <c r="G1044" s="21"/>
      <c r="H1044" s="27">
        <v>1735</v>
      </c>
      <c r="I1044" s="231"/>
      <c r="J1044" s="27">
        <f t="shared" si="85"/>
        <v>1041</v>
      </c>
      <c r="K1044" s="27">
        <f t="shared" si="82"/>
        <v>2776</v>
      </c>
      <c r="L1044" s="2"/>
      <c r="M1044" s="21"/>
      <c r="N1044" s="64"/>
      <c r="O1044" s="28"/>
      <c r="P1044" s="206"/>
      <c r="Q1044" s="2"/>
    </row>
    <row r="1045" spans="1:17">
      <c r="A1045" s="14">
        <v>1052</v>
      </c>
      <c r="B1045" s="14" t="s">
        <v>1295</v>
      </c>
      <c r="C1045" s="14" t="s">
        <v>69</v>
      </c>
      <c r="D1045" s="14" t="s">
        <v>1067</v>
      </c>
      <c r="E1045" s="14" t="s">
        <v>7</v>
      </c>
      <c r="F1045" s="21" t="s">
        <v>1075</v>
      </c>
      <c r="G1045" s="21"/>
      <c r="H1045" s="27">
        <v>1642</v>
      </c>
      <c r="I1045" s="231"/>
      <c r="J1045" s="27">
        <f t="shared" si="85"/>
        <v>985.19999999999993</v>
      </c>
      <c r="K1045" s="27">
        <f t="shared" si="82"/>
        <v>2627.2</v>
      </c>
      <c r="L1045" s="2"/>
      <c r="M1045" s="21"/>
      <c r="N1045" s="64"/>
      <c r="O1045" s="28"/>
      <c r="P1045" s="206"/>
      <c r="Q1045" s="2"/>
    </row>
    <row r="1046" spans="1:17">
      <c r="A1046" s="14">
        <v>1053</v>
      </c>
      <c r="B1046" s="14" t="s">
        <v>1295</v>
      </c>
      <c r="C1046" s="14" t="s">
        <v>69</v>
      </c>
      <c r="D1046" s="14" t="s">
        <v>1067</v>
      </c>
      <c r="E1046" s="14" t="s">
        <v>7</v>
      </c>
      <c r="G1046" s="71"/>
      <c r="H1046" s="27"/>
      <c r="I1046" s="231"/>
      <c r="J1046" s="27">
        <f t="shared" si="85"/>
        <v>0</v>
      </c>
      <c r="K1046" s="27">
        <f t="shared" si="82"/>
        <v>0</v>
      </c>
      <c r="L1046" s="2"/>
      <c r="M1046" s="21"/>
      <c r="N1046" s="64"/>
      <c r="O1046" s="28"/>
      <c r="P1046" s="206"/>
      <c r="Q1046" s="2"/>
    </row>
    <row r="1047" spans="1:17">
      <c r="A1047" s="14">
        <v>1054</v>
      </c>
      <c r="B1047" s="14" t="s">
        <v>1295</v>
      </c>
      <c r="C1047" s="14" t="s">
        <v>69</v>
      </c>
      <c r="D1047" s="14" t="s">
        <v>1076</v>
      </c>
      <c r="E1047" s="14" t="s">
        <v>7</v>
      </c>
      <c r="F1047" s="21" t="s">
        <v>1077</v>
      </c>
      <c r="G1047" s="21"/>
      <c r="H1047" s="27">
        <v>1810</v>
      </c>
      <c r="I1047" s="231"/>
      <c r="J1047" s="27">
        <f t="shared" si="85"/>
        <v>1086</v>
      </c>
      <c r="K1047" s="27">
        <f t="shared" si="82"/>
        <v>2896</v>
      </c>
      <c r="L1047" s="2"/>
      <c r="M1047" s="21"/>
      <c r="N1047" s="64"/>
      <c r="O1047" s="28"/>
      <c r="P1047" s="206"/>
      <c r="Q1047" s="2"/>
    </row>
    <row r="1048" spans="1:17">
      <c r="A1048" s="14">
        <v>1055</v>
      </c>
      <c r="B1048" s="14" t="s">
        <v>1295</v>
      </c>
      <c r="C1048" s="14" t="s">
        <v>69</v>
      </c>
      <c r="D1048" s="14" t="s">
        <v>1076</v>
      </c>
      <c r="E1048" s="14" t="s">
        <v>7</v>
      </c>
      <c r="F1048" s="21" t="s">
        <v>1078</v>
      </c>
      <c r="G1048" s="21"/>
      <c r="H1048" s="27">
        <v>1674</v>
      </c>
      <c r="I1048" s="231"/>
      <c r="J1048" s="27">
        <f t="shared" si="85"/>
        <v>1004.4</v>
      </c>
      <c r="K1048" s="27">
        <f t="shared" si="82"/>
        <v>2678.4</v>
      </c>
      <c r="L1048" s="2"/>
      <c r="M1048" s="21"/>
      <c r="N1048" s="64"/>
      <c r="O1048" s="28"/>
      <c r="P1048" s="206"/>
      <c r="Q1048" s="2"/>
    </row>
    <row r="1049" spans="1:17">
      <c r="A1049" s="14">
        <v>1056</v>
      </c>
      <c r="B1049" s="14" t="s">
        <v>1295</v>
      </c>
      <c r="C1049" s="14" t="s">
        <v>69</v>
      </c>
      <c r="D1049" s="14" t="s">
        <v>1076</v>
      </c>
      <c r="E1049" s="14" t="s">
        <v>7</v>
      </c>
      <c r="F1049" s="21" t="s">
        <v>1079</v>
      </c>
      <c r="G1049" s="21"/>
      <c r="H1049" s="27">
        <v>1362</v>
      </c>
      <c r="I1049" s="231"/>
      <c r="J1049" s="27">
        <f t="shared" si="85"/>
        <v>817.19999999999993</v>
      </c>
      <c r="K1049" s="27">
        <f t="shared" si="82"/>
        <v>2179.1999999999998</v>
      </c>
      <c r="L1049" s="2"/>
      <c r="M1049" s="21"/>
      <c r="N1049" s="64"/>
      <c r="O1049" s="28"/>
      <c r="P1049" s="206"/>
      <c r="Q1049" s="2"/>
    </row>
    <row r="1050" spans="1:17">
      <c r="A1050" s="14">
        <v>1057</v>
      </c>
      <c r="B1050" s="14" t="s">
        <v>1295</v>
      </c>
      <c r="C1050" s="14" t="s">
        <v>69</v>
      </c>
      <c r="D1050" s="14" t="s">
        <v>1076</v>
      </c>
      <c r="E1050" s="14" t="s">
        <v>7</v>
      </c>
      <c r="F1050" s="21" t="s">
        <v>1080</v>
      </c>
      <c r="G1050" s="21"/>
      <c r="H1050" s="27">
        <v>1266</v>
      </c>
      <c r="I1050" s="231"/>
      <c r="J1050" s="27">
        <f t="shared" si="85"/>
        <v>759.6</v>
      </c>
      <c r="K1050" s="27">
        <f t="shared" si="82"/>
        <v>2025.6</v>
      </c>
      <c r="L1050" s="2"/>
      <c r="M1050" s="21"/>
      <c r="N1050" s="64"/>
      <c r="O1050" s="27"/>
      <c r="P1050" s="186"/>
      <c r="Q1050" s="2"/>
    </row>
    <row r="1051" spans="1:17">
      <c r="A1051" s="14">
        <v>1058</v>
      </c>
      <c r="B1051" s="14" t="s">
        <v>1295</v>
      </c>
      <c r="C1051" s="14" t="s">
        <v>69</v>
      </c>
      <c r="D1051" s="14" t="s">
        <v>1076</v>
      </c>
      <c r="E1051" s="14" t="s">
        <v>7</v>
      </c>
      <c r="F1051" s="21" t="s">
        <v>1081</v>
      </c>
      <c r="G1051" s="21"/>
      <c r="H1051" s="27">
        <v>1166</v>
      </c>
      <c r="I1051" s="231"/>
      <c r="J1051" s="27">
        <f t="shared" si="85"/>
        <v>699.6</v>
      </c>
      <c r="K1051" s="27">
        <f t="shared" si="82"/>
        <v>1865.6</v>
      </c>
      <c r="L1051" s="2"/>
      <c r="M1051" s="21"/>
      <c r="N1051" s="64"/>
      <c r="O1051" s="27"/>
      <c r="P1051" s="206"/>
      <c r="Q1051" s="2"/>
    </row>
    <row r="1052" spans="1:17">
      <c r="A1052" s="14">
        <v>1059</v>
      </c>
      <c r="B1052" s="14" t="s">
        <v>1295</v>
      </c>
      <c r="C1052" s="14" t="s">
        <v>69</v>
      </c>
      <c r="D1052" s="14" t="s">
        <v>1076</v>
      </c>
      <c r="E1052" s="14" t="s">
        <v>7</v>
      </c>
      <c r="F1052" s="21" t="s">
        <v>1082</v>
      </c>
      <c r="G1052" s="21"/>
      <c r="H1052" s="27">
        <v>892</v>
      </c>
      <c r="I1052" s="231"/>
      <c r="J1052" s="27">
        <f t="shared" si="85"/>
        <v>535.19999999999993</v>
      </c>
      <c r="K1052" s="27">
        <f t="shared" si="82"/>
        <v>1427.1999999999998</v>
      </c>
      <c r="L1052" s="2"/>
      <c r="M1052" s="21"/>
      <c r="N1052" s="64"/>
      <c r="O1052" s="27"/>
      <c r="P1052" s="186"/>
      <c r="Q1052" s="2"/>
    </row>
    <row r="1053" spans="1:17">
      <c r="A1053" s="14">
        <v>1060</v>
      </c>
      <c r="B1053" s="14" t="s">
        <v>1295</v>
      </c>
      <c r="C1053" s="14" t="s">
        <v>69</v>
      </c>
      <c r="D1053" s="14" t="s">
        <v>1076</v>
      </c>
      <c r="E1053" s="14" t="s">
        <v>7</v>
      </c>
      <c r="F1053" s="21" t="s">
        <v>1083</v>
      </c>
      <c r="G1053" s="21"/>
      <c r="H1053" s="27">
        <v>826</v>
      </c>
      <c r="I1053" s="231"/>
      <c r="J1053" s="27">
        <f t="shared" si="85"/>
        <v>495.59999999999997</v>
      </c>
      <c r="K1053" s="27">
        <f t="shared" si="82"/>
        <v>1321.6</v>
      </c>
      <c r="L1053" s="2"/>
      <c r="M1053" s="21"/>
      <c r="N1053" s="64"/>
      <c r="O1053" s="27"/>
      <c r="P1053" s="206"/>
      <c r="Q1053" s="2"/>
    </row>
    <row r="1054" spans="1:17">
      <c r="A1054" s="14">
        <v>1061</v>
      </c>
      <c r="B1054" s="14" t="s">
        <v>1295</v>
      </c>
      <c r="C1054" s="14" t="s">
        <v>69</v>
      </c>
      <c r="D1054" s="14" t="s">
        <v>1076</v>
      </c>
      <c r="E1054" s="14" t="s">
        <v>7</v>
      </c>
      <c r="G1054" s="71"/>
      <c r="H1054" s="27"/>
      <c r="I1054" s="231"/>
      <c r="J1054" s="27">
        <f t="shared" si="85"/>
        <v>0</v>
      </c>
      <c r="K1054" s="27">
        <f t="shared" si="82"/>
        <v>0</v>
      </c>
      <c r="L1054" s="2"/>
      <c r="M1054" s="21"/>
      <c r="N1054" s="64"/>
      <c r="O1054" s="27"/>
      <c r="P1054" s="186"/>
      <c r="Q1054" s="2"/>
    </row>
    <row r="1055" spans="1:17">
      <c r="A1055" s="14">
        <v>1062</v>
      </c>
      <c r="B1055" s="14" t="s">
        <v>1295</v>
      </c>
      <c r="C1055" s="14" t="s">
        <v>69</v>
      </c>
      <c r="D1055" s="14" t="s">
        <v>1084</v>
      </c>
      <c r="E1055" s="14" t="s">
        <v>7</v>
      </c>
      <c r="F1055" s="21" t="s">
        <v>1085</v>
      </c>
      <c r="G1055" s="21"/>
      <c r="H1055" s="27">
        <v>828</v>
      </c>
      <c r="I1055" s="231"/>
      <c r="J1055" s="27">
        <f t="shared" si="85"/>
        <v>496.79999999999995</v>
      </c>
      <c r="K1055" s="27">
        <f t="shared" ref="K1055:K1086" si="86">H1055+I1055+J1055</f>
        <v>1324.8</v>
      </c>
      <c r="L1055" s="2"/>
      <c r="M1055" s="21"/>
      <c r="N1055" s="64"/>
      <c r="O1055" s="27"/>
      <c r="P1055" s="186"/>
      <c r="Q1055" s="2"/>
    </row>
    <row r="1056" spans="1:17">
      <c r="A1056" s="14">
        <v>1063</v>
      </c>
      <c r="B1056" s="14" t="s">
        <v>1295</v>
      </c>
      <c r="C1056" s="14" t="s">
        <v>69</v>
      </c>
      <c r="D1056" s="14" t="s">
        <v>1084</v>
      </c>
      <c r="E1056" s="14" t="s">
        <v>7</v>
      </c>
      <c r="F1056" s="21" t="s">
        <v>1086</v>
      </c>
      <c r="G1056" s="21"/>
      <c r="H1056" s="27">
        <v>1118</v>
      </c>
      <c r="I1056" s="231"/>
      <c r="J1056" s="27">
        <f t="shared" si="85"/>
        <v>670.8</v>
      </c>
      <c r="K1056" s="27">
        <f t="shared" si="86"/>
        <v>1788.8</v>
      </c>
      <c r="L1056" s="2"/>
      <c r="M1056" s="21"/>
      <c r="N1056" s="64"/>
      <c r="O1056" s="27"/>
      <c r="P1056" s="186"/>
      <c r="Q1056" s="2"/>
    </row>
    <row r="1057" spans="1:17">
      <c r="A1057" s="14">
        <v>1064</v>
      </c>
      <c r="B1057" s="14" t="s">
        <v>1295</v>
      </c>
      <c r="C1057" s="14" t="s">
        <v>69</v>
      </c>
      <c r="D1057" s="14" t="s">
        <v>1084</v>
      </c>
      <c r="E1057" s="14" t="s">
        <v>7</v>
      </c>
      <c r="F1057" s="21" t="s">
        <v>1087</v>
      </c>
      <c r="G1057" s="21"/>
      <c r="H1057" s="27">
        <v>1169</v>
      </c>
      <c r="I1057" s="231"/>
      <c r="J1057" s="27">
        <f t="shared" si="85"/>
        <v>701.4</v>
      </c>
      <c r="K1057" s="27">
        <f t="shared" si="86"/>
        <v>1870.4</v>
      </c>
      <c r="L1057" s="2"/>
      <c r="M1057" s="21"/>
      <c r="N1057" s="64"/>
      <c r="O1057" s="27"/>
      <c r="P1057" s="186"/>
      <c r="Q1057" s="2"/>
    </row>
    <row r="1058" spans="1:17">
      <c r="A1058" s="14">
        <v>1065</v>
      </c>
      <c r="B1058" s="14" t="s">
        <v>1295</v>
      </c>
      <c r="C1058" s="14" t="s">
        <v>69</v>
      </c>
      <c r="D1058" s="14" t="s">
        <v>1084</v>
      </c>
      <c r="E1058" s="14" t="s">
        <v>7</v>
      </c>
      <c r="F1058" s="21" t="s">
        <v>1088</v>
      </c>
      <c r="G1058" s="21"/>
      <c r="H1058" s="27">
        <v>1221</v>
      </c>
      <c r="I1058" s="231"/>
      <c r="J1058" s="27">
        <f t="shared" si="85"/>
        <v>732.6</v>
      </c>
      <c r="K1058" s="27">
        <f t="shared" si="86"/>
        <v>1953.6</v>
      </c>
      <c r="L1058" s="2"/>
      <c r="M1058" s="21"/>
      <c r="N1058" s="64"/>
      <c r="O1058" s="27"/>
      <c r="P1058" s="186"/>
      <c r="Q1058" s="2"/>
    </row>
    <row r="1059" spans="1:17">
      <c r="A1059" s="14">
        <v>1066</v>
      </c>
      <c r="B1059" s="14" t="s">
        <v>1295</v>
      </c>
      <c r="C1059" s="14" t="s">
        <v>69</v>
      </c>
      <c r="D1059" s="14" t="s">
        <v>1089</v>
      </c>
      <c r="E1059" s="14" t="s">
        <v>7</v>
      </c>
      <c r="F1059" s="21" t="s">
        <v>1090</v>
      </c>
      <c r="G1059" s="21"/>
      <c r="H1059" s="27">
        <v>321</v>
      </c>
      <c r="I1059" s="231"/>
      <c r="J1059" s="27">
        <f t="shared" si="85"/>
        <v>192.6</v>
      </c>
      <c r="K1059" s="27">
        <f t="shared" si="86"/>
        <v>513.6</v>
      </c>
      <c r="L1059" s="2"/>
      <c r="M1059" s="21"/>
      <c r="N1059" s="64"/>
      <c r="O1059" s="27"/>
      <c r="P1059" s="206"/>
      <c r="Q1059" s="2"/>
    </row>
    <row r="1060" spans="1:17">
      <c r="A1060" s="14">
        <v>1067</v>
      </c>
      <c r="B1060" s="14" t="s">
        <v>1295</v>
      </c>
      <c r="C1060" s="14" t="s">
        <v>69</v>
      </c>
      <c r="D1060" s="14" t="s">
        <v>1089</v>
      </c>
      <c r="E1060" s="14" t="s">
        <v>7</v>
      </c>
      <c r="F1060" s="21" t="s">
        <v>1091</v>
      </c>
      <c r="G1060" s="21"/>
      <c r="H1060" s="27">
        <v>360</v>
      </c>
      <c r="I1060" s="231"/>
      <c r="J1060" s="27">
        <f t="shared" si="85"/>
        <v>216</v>
      </c>
      <c r="K1060" s="27">
        <f t="shared" si="86"/>
        <v>576</v>
      </c>
      <c r="L1060" s="2"/>
      <c r="M1060" s="21"/>
      <c r="N1060" s="64"/>
      <c r="O1060" s="27"/>
      <c r="P1060" s="186"/>
      <c r="Q1060" s="2"/>
    </row>
    <row r="1061" spans="1:17">
      <c r="A1061" s="14">
        <v>1068</v>
      </c>
      <c r="B1061" s="14" t="s">
        <v>1295</v>
      </c>
      <c r="C1061" s="14" t="s">
        <v>69</v>
      </c>
      <c r="D1061" s="14" t="s">
        <v>1089</v>
      </c>
      <c r="E1061" s="14" t="s">
        <v>7</v>
      </c>
      <c r="F1061" s="21" t="s">
        <v>1092</v>
      </c>
      <c r="G1061" s="21"/>
      <c r="H1061" s="27">
        <v>407</v>
      </c>
      <c r="I1061" s="231"/>
      <c r="J1061" s="27">
        <f t="shared" si="85"/>
        <v>244.2</v>
      </c>
      <c r="K1061" s="27">
        <f t="shared" si="86"/>
        <v>651.20000000000005</v>
      </c>
      <c r="L1061" s="2"/>
      <c r="M1061" s="21"/>
      <c r="N1061" s="64"/>
      <c r="O1061" s="27"/>
      <c r="P1061" s="186"/>
      <c r="Q1061" s="2"/>
    </row>
    <row r="1062" spans="1:17">
      <c r="A1062" s="14">
        <v>1069</v>
      </c>
      <c r="B1062" s="14" t="s">
        <v>1295</v>
      </c>
      <c r="C1062" s="14" t="s">
        <v>69</v>
      </c>
      <c r="D1062" s="14" t="s">
        <v>1089</v>
      </c>
      <c r="E1062" s="14" t="s">
        <v>7</v>
      </c>
      <c r="F1062" s="21" t="s">
        <v>1093</v>
      </c>
      <c r="G1062" s="21"/>
      <c r="H1062" s="27">
        <v>445</v>
      </c>
      <c r="I1062" s="231"/>
      <c r="J1062" s="27">
        <f t="shared" si="85"/>
        <v>267</v>
      </c>
      <c r="K1062" s="27">
        <f t="shared" si="86"/>
        <v>712</v>
      </c>
      <c r="L1062" s="2"/>
      <c r="M1062" s="21"/>
      <c r="N1062" s="64"/>
      <c r="O1062" s="27"/>
      <c r="P1062" s="186"/>
      <c r="Q1062" s="2"/>
    </row>
    <row r="1063" spans="1:17">
      <c r="A1063" s="14">
        <v>1070</v>
      </c>
      <c r="B1063" s="14" t="s">
        <v>1295</v>
      </c>
      <c r="C1063" s="14" t="s">
        <v>69</v>
      </c>
      <c r="D1063" s="14" t="s">
        <v>1089</v>
      </c>
      <c r="E1063" s="14" t="s">
        <v>7</v>
      </c>
      <c r="F1063" s="21" t="s">
        <v>1094</v>
      </c>
      <c r="G1063" s="21"/>
      <c r="H1063" s="27">
        <v>484</v>
      </c>
      <c r="I1063" s="231"/>
      <c r="J1063" s="27">
        <f t="shared" si="85"/>
        <v>290.39999999999998</v>
      </c>
      <c r="K1063" s="27">
        <f t="shared" si="86"/>
        <v>774.4</v>
      </c>
      <c r="L1063" s="2"/>
      <c r="M1063" s="21"/>
      <c r="N1063" s="64"/>
      <c r="O1063" s="27"/>
      <c r="P1063" s="186"/>
      <c r="Q1063" s="2"/>
    </row>
    <row r="1064" spans="1:17">
      <c r="A1064" s="14">
        <v>1071</v>
      </c>
      <c r="B1064" s="14" t="s">
        <v>1295</v>
      </c>
      <c r="C1064" s="14" t="s">
        <v>69</v>
      </c>
      <c r="D1064" s="14" t="s">
        <v>1089</v>
      </c>
      <c r="E1064" s="14" t="s">
        <v>7</v>
      </c>
      <c r="F1064" s="21" t="s">
        <v>1095</v>
      </c>
      <c r="G1064" s="21"/>
      <c r="H1064" s="27">
        <v>523</v>
      </c>
      <c r="I1064" s="231"/>
      <c r="J1064" s="27">
        <f t="shared" si="85"/>
        <v>313.8</v>
      </c>
      <c r="K1064" s="27">
        <f t="shared" si="86"/>
        <v>836.8</v>
      </c>
      <c r="L1064" s="2"/>
      <c r="M1064" s="21"/>
      <c r="N1064" s="64"/>
      <c r="O1064" s="27"/>
      <c r="P1064" s="186"/>
      <c r="Q1064" s="2"/>
    </row>
    <row r="1065" spans="1:17">
      <c r="A1065" s="14">
        <v>1072</v>
      </c>
      <c r="B1065" s="14" t="s">
        <v>1295</v>
      </c>
      <c r="C1065" s="14" t="s">
        <v>69</v>
      </c>
      <c r="D1065" s="14" t="s">
        <v>1089</v>
      </c>
      <c r="E1065" s="14" t="s">
        <v>7</v>
      </c>
      <c r="F1065" s="21" t="s">
        <v>1096</v>
      </c>
      <c r="G1065" s="21"/>
      <c r="H1065" s="27">
        <v>656</v>
      </c>
      <c r="I1065" s="231"/>
      <c r="J1065" s="27">
        <f t="shared" si="85"/>
        <v>393.59999999999997</v>
      </c>
      <c r="K1065" s="27">
        <f t="shared" si="86"/>
        <v>1049.5999999999999</v>
      </c>
      <c r="L1065" s="2"/>
      <c r="M1065" s="21"/>
      <c r="N1065" s="64"/>
      <c r="O1065" s="27"/>
      <c r="P1065" s="186"/>
      <c r="Q1065" s="2"/>
    </row>
    <row r="1066" spans="1:17">
      <c r="A1066" s="14">
        <v>1073</v>
      </c>
      <c r="B1066" s="14" t="s">
        <v>1295</v>
      </c>
      <c r="C1066" s="14" t="s">
        <v>69</v>
      </c>
      <c r="D1066" s="14" t="s">
        <v>1089</v>
      </c>
      <c r="E1066" s="14" t="s">
        <v>7</v>
      </c>
      <c r="F1066" s="21" t="s">
        <v>1097</v>
      </c>
      <c r="G1066" s="21"/>
      <c r="H1066" s="27">
        <v>753</v>
      </c>
      <c r="I1066" s="231"/>
      <c r="J1066" s="27">
        <f t="shared" si="85"/>
        <v>451.8</v>
      </c>
      <c r="K1066" s="27">
        <f t="shared" si="86"/>
        <v>1204.8</v>
      </c>
      <c r="L1066" s="2"/>
      <c r="M1066" s="21"/>
      <c r="N1066" s="64"/>
      <c r="O1066" s="27"/>
      <c r="P1066" s="186"/>
      <c r="Q1066" s="2"/>
    </row>
    <row r="1067" spans="1:17">
      <c r="A1067" s="14">
        <v>1074</v>
      </c>
      <c r="B1067" s="14" t="s">
        <v>1295</v>
      </c>
      <c r="C1067" s="14" t="s">
        <v>69</v>
      </c>
      <c r="D1067" s="14" t="s">
        <v>1089</v>
      </c>
      <c r="E1067" s="14" t="s">
        <v>7</v>
      </c>
      <c r="F1067" s="21" t="s">
        <v>1098</v>
      </c>
      <c r="G1067" s="21"/>
      <c r="H1067" s="27"/>
      <c r="I1067" s="231"/>
      <c r="J1067" s="27">
        <f t="shared" si="85"/>
        <v>0</v>
      </c>
      <c r="K1067" s="27">
        <f t="shared" si="86"/>
        <v>0</v>
      </c>
      <c r="L1067" s="2"/>
      <c r="M1067" s="21"/>
      <c r="N1067" s="64"/>
      <c r="O1067" s="27"/>
      <c r="P1067" s="186"/>
      <c r="Q1067" s="2"/>
    </row>
    <row r="1068" spans="1:17">
      <c r="A1068" s="14">
        <v>1075</v>
      </c>
      <c r="B1068" s="14" t="s">
        <v>1295</v>
      </c>
      <c r="C1068" s="14" t="s">
        <v>69</v>
      </c>
      <c r="D1068" s="14" t="s">
        <v>1089</v>
      </c>
      <c r="E1068" s="14" t="s">
        <v>7</v>
      </c>
      <c r="F1068" s="21" t="s">
        <v>1091</v>
      </c>
      <c r="G1068" s="21"/>
      <c r="H1068" s="27"/>
      <c r="I1068" s="231"/>
      <c r="J1068" s="27">
        <f t="shared" si="85"/>
        <v>0</v>
      </c>
      <c r="K1068" s="27">
        <f t="shared" si="86"/>
        <v>0</v>
      </c>
      <c r="L1068" s="2"/>
      <c r="M1068" s="21"/>
      <c r="N1068" s="64"/>
      <c r="O1068" s="27"/>
      <c r="P1068" s="186"/>
      <c r="Q1068" s="2"/>
    </row>
    <row r="1069" spans="1:17">
      <c r="A1069" s="14">
        <v>1076</v>
      </c>
      <c r="B1069" s="14" t="s">
        <v>1295</v>
      </c>
      <c r="C1069" s="14" t="s">
        <v>69</v>
      </c>
      <c r="D1069" s="14" t="s">
        <v>1089</v>
      </c>
      <c r="E1069" s="14" t="s">
        <v>7</v>
      </c>
      <c r="F1069" s="21" t="s">
        <v>1092</v>
      </c>
      <c r="G1069" s="21"/>
      <c r="H1069" s="27"/>
      <c r="I1069" s="231"/>
      <c r="J1069" s="27">
        <f t="shared" si="85"/>
        <v>0</v>
      </c>
      <c r="K1069" s="27">
        <f t="shared" si="86"/>
        <v>0</v>
      </c>
      <c r="L1069" s="2"/>
      <c r="M1069" s="21"/>
      <c r="N1069" s="64"/>
      <c r="O1069" s="27"/>
      <c r="P1069" s="186"/>
      <c r="Q1069" s="2"/>
    </row>
    <row r="1070" spans="1:17">
      <c r="A1070" s="14">
        <v>1077</v>
      </c>
      <c r="B1070" s="14" t="s">
        <v>1295</v>
      </c>
      <c r="C1070" s="14" t="s">
        <v>69</v>
      </c>
      <c r="D1070" s="14" t="s">
        <v>1089</v>
      </c>
      <c r="E1070" s="14" t="s">
        <v>7</v>
      </c>
      <c r="F1070" s="21" t="s">
        <v>1093</v>
      </c>
      <c r="G1070" s="21"/>
      <c r="H1070" s="27"/>
      <c r="I1070" s="238"/>
      <c r="J1070" s="27">
        <f t="shared" si="85"/>
        <v>0</v>
      </c>
      <c r="K1070" s="27">
        <f t="shared" si="86"/>
        <v>0</v>
      </c>
      <c r="L1070" s="2"/>
      <c r="M1070" s="21"/>
      <c r="N1070" s="64"/>
      <c r="O1070" s="27"/>
      <c r="P1070" s="186"/>
      <c r="Q1070" s="2"/>
    </row>
    <row r="1071" spans="1:17">
      <c r="A1071" s="14">
        <v>1078</v>
      </c>
      <c r="B1071" s="14" t="s">
        <v>1295</v>
      </c>
      <c r="C1071" s="14" t="s">
        <v>69</v>
      </c>
      <c r="D1071" s="14" t="s">
        <v>1089</v>
      </c>
      <c r="E1071" s="14" t="s">
        <v>7</v>
      </c>
      <c r="F1071" s="21" t="s">
        <v>1094</v>
      </c>
      <c r="G1071" s="21"/>
      <c r="H1071" s="27"/>
      <c r="I1071" s="231"/>
      <c r="J1071" s="27">
        <f t="shared" si="85"/>
        <v>0</v>
      </c>
      <c r="K1071" s="27">
        <f t="shared" si="86"/>
        <v>0</v>
      </c>
      <c r="L1071" s="2"/>
      <c r="M1071" s="21"/>
      <c r="N1071" s="64"/>
      <c r="O1071" s="27"/>
      <c r="P1071" s="186"/>
      <c r="Q1071" s="2"/>
    </row>
    <row r="1072" spans="1:17">
      <c r="A1072" s="14">
        <v>1079</v>
      </c>
      <c r="B1072" s="14" t="s">
        <v>1295</v>
      </c>
      <c r="C1072" s="14" t="s">
        <v>69</v>
      </c>
      <c r="D1072" s="14" t="s">
        <v>1089</v>
      </c>
      <c r="E1072" s="14" t="s">
        <v>7</v>
      </c>
      <c r="F1072" s="21" t="s">
        <v>1095</v>
      </c>
      <c r="G1072" s="21"/>
      <c r="H1072" s="27"/>
      <c r="I1072" s="231"/>
      <c r="J1072" s="27">
        <f t="shared" si="85"/>
        <v>0</v>
      </c>
      <c r="K1072" s="27">
        <f t="shared" si="86"/>
        <v>0</v>
      </c>
      <c r="L1072" s="2"/>
      <c r="M1072" s="21"/>
      <c r="N1072" s="64"/>
      <c r="O1072" s="27"/>
      <c r="P1072" s="186"/>
      <c r="Q1072" s="2"/>
    </row>
    <row r="1073" spans="1:17">
      <c r="A1073" s="14">
        <v>1080</v>
      </c>
      <c r="B1073" s="14" t="s">
        <v>1295</v>
      </c>
      <c r="C1073" s="14" t="s">
        <v>69</v>
      </c>
      <c r="D1073" s="14" t="s">
        <v>1089</v>
      </c>
      <c r="E1073" s="14" t="s">
        <v>7</v>
      </c>
      <c r="F1073" s="21" t="s">
        <v>1096</v>
      </c>
      <c r="G1073" s="21"/>
      <c r="H1073" s="27"/>
      <c r="I1073" s="231"/>
      <c r="J1073" s="27">
        <f t="shared" si="85"/>
        <v>0</v>
      </c>
      <c r="K1073" s="27">
        <f t="shared" si="86"/>
        <v>0</v>
      </c>
      <c r="L1073" s="2"/>
      <c r="M1073" s="21"/>
      <c r="N1073" s="64"/>
      <c r="O1073" s="27"/>
      <c r="P1073" s="186"/>
      <c r="Q1073" s="2"/>
    </row>
    <row r="1074" spans="1:17">
      <c r="A1074" s="14">
        <v>1081</v>
      </c>
      <c r="B1074" s="14" t="s">
        <v>1295</v>
      </c>
      <c r="C1074" s="14" t="s">
        <v>69</v>
      </c>
      <c r="D1074" s="14" t="s">
        <v>1089</v>
      </c>
      <c r="E1074" s="14" t="s">
        <v>7</v>
      </c>
      <c r="F1074" s="21" t="s">
        <v>1097</v>
      </c>
      <c r="G1074" s="21"/>
      <c r="H1074" s="27"/>
      <c r="I1074" s="231"/>
      <c r="J1074" s="27">
        <f t="shared" si="85"/>
        <v>0</v>
      </c>
      <c r="K1074" s="27">
        <f t="shared" si="86"/>
        <v>0</v>
      </c>
      <c r="L1074" s="2"/>
      <c r="M1074" s="21"/>
      <c r="N1074" s="64"/>
      <c r="O1074" s="27"/>
      <c r="P1074" s="186"/>
      <c r="Q1074" s="2"/>
    </row>
    <row r="1075" spans="1:17">
      <c r="A1075" s="14">
        <v>1082</v>
      </c>
      <c r="B1075" s="14" t="s">
        <v>1295</v>
      </c>
      <c r="C1075" s="14" t="s">
        <v>69</v>
      </c>
      <c r="D1075" s="14" t="s">
        <v>1089</v>
      </c>
      <c r="E1075" s="14" t="s">
        <v>7</v>
      </c>
      <c r="F1075" s="21"/>
      <c r="G1075" s="21"/>
      <c r="H1075" s="27"/>
      <c r="I1075" s="231"/>
      <c r="J1075" s="27">
        <f t="shared" si="85"/>
        <v>0</v>
      </c>
      <c r="K1075" s="27">
        <f t="shared" si="86"/>
        <v>0</v>
      </c>
      <c r="L1075" s="2"/>
      <c r="M1075" s="21"/>
      <c r="N1075" s="64"/>
      <c r="O1075" s="27"/>
      <c r="P1075" s="186"/>
      <c r="Q1075" s="2"/>
    </row>
    <row r="1076" spans="1:17">
      <c r="A1076" s="14">
        <v>1083</v>
      </c>
      <c r="B1076" s="14" t="s">
        <v>1295</v>
      </c>
      <c r="C1076" s="14" t="s">
        <v>69</v>
      </c>
      <c r="D1076" s="14" t="s">
        <v>1089</v>
      </c>
      <c r="E1076" s="14" t="s">
        <v>7</v>
      </c>
      <c r="F1076" s="21"/>
      <c r="G1076" s="21"/>
      <c r="H1076" s="27"/>
      <c r="I1076" s="231"/>
      <c r="J1076" s="27">
        <f t="shared" si="85"/>
        <v>0</v>
      </c>
      <c r="K1076" s="27">
        <f t="shared" si="86"/>
        <v>0</v>
      </c>
      <c r="L1076" s="2"/>
      <c r="M1076" s="21"/>
      <c r="N1076" s="64"/>
      <c r="O1076" s="27"/>
      <c r="P1076" s="186"/>
      <c r="Q1076" s="2"/>
    </row>
    <row r="1077" spans="1:17">
      <c r="A1077" s="14">
        <v>1084</v>
      </c>
      <c r="B1077" s="14" t="s">
        <v>1295</v>
      </c>
      <c r="C1077" s="14" t="s">
        <v>69</v>
      </c>
      <c r="D1077" s="14" t="s">
        <v>1089</v>
      </c>
      <c r="E1077" s="14" t="s">
        <v>7</v>
      </c>
      <c r="F1077" s="21"/>
      <c r="G1077" s="21"/>
      <c r="H1077" s="27"/>
      <c r="I1077" s="231"/>
      <c r="J1077" s="27">
        <f t="shared" si="85"/>
        <v>0</v>
      </c>
      <c r="K1077" s="27">
        <f t="shared" si="86"/>
        <v>0</v>
      </c>
      <c r="L1077" s="2"/>
      <c r="M1077" s="21"/>
      <c r="N1077" s="64"/>
      <c r="O1077" s="27"/>
      <c r="P1077" s="186"/>
      <c r="Q1077" s="2"/>
    </row>
    <row r="1078" spans="1:17">
      <c r="A1078" s="14">
        <v>1085</v>
      </c>
      <c r="B1078" s="14" t="s">
        <v>1295</v>
      </c>
      <c r="C1078" s="14" t="s">
        <v>69</v>
      </c>
      <c r="D1078" s="14" t="s">
        <v>1089</v>
      </c>
      <c r="E1078" s="14" t="s">
        <v>7</v>
      </c>
      <c r="F1078" s="21"/>
      <c r="G1078" s="21"/>
      <c r="H1078" s="27"/>
      <c r="I1078" s="231"/>
      <c r="J1078" s="27">
        <f t="shared" si="85"/>
        <v>0</v>
      </c>
      <c r="K1078" s="27">
        <f t="shared" si="86"/>
        <v>0</v>
      </c>
      <c r="L1078" s="2"/>
      <c r="M1078" s="21"/>
      <c r="N1078" s="64"/>
      <c r="O1078" s="27"/>
      <c r="P1078" s="186"/>
      <c r="Q1078" s="2"/>
    </row>
    <row r="1079" spans="1:17">
      <c r="A1079" s="14">
        <v>1086</v>
      </c>
      <c r="B1079" s="14" t="s">
        <v>1295</v>
      </c>
      <c r="C1079" s="14" t="s">
        <v>69</v>
      </c>
      <c r="D1079" s="14" t="s">
        <v>1089</v>
      </c>
      <c r="E1079" s="14" t="s">
        <v>7</v>
      </c>
      <c r="F1079" s="21"/>
      <c r="G1079" s="21"/>
      <c r="H1079" s="27"/>
      <c r="I1079" s="231"/>
      <c r="J1079" s="27">
        <f t="shared" si="85"/>
        <v>0</v>
      </c>
      <c r="K1079" s="27">
        <f t="shared" si="86"/>
        <v>0</v>
      </c>
      <c r="L1079" s="2"/>
      <c r="M1079" s="21"/>
      <c r="N1079" s="64"/>
      <c r="O1079" s="27"/>
      <c r="P1079" s="186"/>
      <c r="Q1079" s="2"/>
    </row>
    <row r="1080" spans="1:17">
      <c r="A1080" s="14">
        <v>1087</v>
      </c>
      <c r="B1080" s="14" t="s">
        <v>1295</v>
      </c>
      <c r="C1080" s="14" t="s">
        <v>69</v>
      </c>
      <c r="D1080" s="14" t="s">
        <v>1089</v>
      </c>
      <c r="E1080" s="14" t="s">
        <v>7</v>
      </c>
      <c r="F1080" s="21"/>
      <c r="G1080" s="21"/>
      <c r="H1080" s="27"/>
      <c r="I1080" s="231"/>
      <c r="J1080" s="27">
        <f t="shared" si="85"/>
        <v>0</v>
      </c>
      <c r="K1080" s="27">
        <f t="shared" si="86"/>
        <v>0</v>
      </c>
      <c r="L1080" s="2"/>
      <c r="M1080" s="21"/>
      <c r="N1080" s="64"/>
      <c r="O1080" s="27"/>
      <c r="P1080" s="186"/>
      <c r="Q1080" s="2"/>
    </row>
    <row r="1081" spans="1:17">
      <c r="A1081" s="14">
        <v>1088</v>
      </c>
      <c r="B1081" s="14" t="s">
        <v>1295</v>
      </c>
      <c r="C1081" s="14" t="s">
        <v>69</v>
      </c>
      <c r="D1081" s="14" t="s">
        <v>1089</v>
      </c>
      <c r="E1081" s="14" t="s">
        <v>7</v>
      </c>
      <c r="F1081" s="21"/>
      <c r="G1081" s="21"/>
      <c r="H1081" s="27"/>
      <c r="I1081" s="231"/>
      <c r="J1081" s="27">
        <f t="shared" si="85"/>
        <v>0</v>
      </c>
      <c r="K1081" s="27">
        <f t="shared" si="86"/>
        <v>0</v>
      </c>
      <c r="L1081" s="2"/>
      <c r="M1081" s="21"/>
      <c r="N1081" s="64"/>
      <c r="O1081" s="27"/>
      <c r="P1081" s="186"/>
      <c r="Q1081" s="2"/>
    </row>
    <row r="1082" spans="1:17">
      <c r="A1082" s="14">
        <v>1089</v>
      </c>
      <c r="B1082" s="14" t="s">
        <v>1349</v>
      </c>
      <c r="C1082" s="14" t="s">
        <v>69</v>
      </c>
      <c r="D1082" s="14" t="s">
        <v>80</v>
      </c>
      <c r="E1082" s="14" t="s">
        <v>767</v>
      </c>
      <c r="F1082" s="21" t="s">
        <v>82</v>
      </c>
      <c r="G1082" s="21"/>
      <c r="H1082" s="27">
        <v>700</v>
      </c>
      <c r="I1082" s="231"/>
      <c r="J1082" s="27">
        <f t="shared" si="85"/>
        <v>420</v>
      </c>
      <c r="K1082" s="27">
        <f t="shared" si="86"/>
        <v>1120</v>
      </c>
      <c r="L1082" s="2"/>
      <c r="M1082" s="21"/>
      <c r="N1082" s="64"/>
      <c r="O1082" s="27"/>
      <c r="P1082" s="186"/>
      <c r="Q1082" s="2"/>
    </row>
    <row r="1083" spans="1:17">
      <c r="A1083" s="14">
        <v>1090</v>
      </c>
      <c r="B1083" s="14" t="s">
        <v>1295</v>
      </c>
      <c r="C1083" s="14" t="s">
        <v>69</v>
      </c>
      <c r="D1083" s="14" t="s">
        <v>80</v>
      </c>
      <c r="E1083" s="14" t="s">
        <v>767</v>
      </c>
      <c r="F1083" s="17" t="s">
        <v>1099</v>
      </c>
      <c r="G1083" s="21"/>
      <c r="H1083" s="27">
        <v>80</v>
      </c>
      <c r="I1083" s="231"/>
      <c r="J1083" s="27">
        <f t="shared" si="85"/>
        <v>48</v>
      </c>
      <c r="K1083" s="27">
        <f t="shared" si="86"/>
        <v>128</v>
      </c>
      <c r="L1083" s="2"/>
      <c r="M1083" s="21"/>
      <c r="N1083" s="64"/>
      <c r="O1083" s="27"/>
      <c r="P1083" s="186"/>
      <c r="Q1083" s="2"/>
    </row>
    <row r="1084" spans="1:17">
      <c r="A1084" s="14">
        <v>1091</v>
      </c>
      <c r="B1084" s="14" t="s">
        <v>1349</v>
      </c>
      <c r="C1084" s="14" t="s">
        <v>69</v>
      </c>
      <c r="D1084" s="14" t="s">
        <v>80</v>
      </c>
      <c r="E1084" s="14" t="s">
        <v>767</v>
      </c>
      <c r="F1084" s="21" t="s">
        <v>1100</v>
      </c>
      <c r="G1084" s="17"/>
      <c r="H1084" s="39">
        <v>1.7</v>
      </c>
      <c r="I1084" s="232"/>
      <c r="J1084" s="27">
        <f t="shared" si="85"/>
        <v>1.02</v>
      </c>
      <c r="K1084" s="27">
        <f t="shared" si="86"/>
        <v>2.7199999999999998</v>
      </c>
      <c r="L1084" s="2"/>
      <c r="M1084" s="21"/>
      <c r="N1084" s="64"/>
      <c r="O1084" s="27"/>
      <c r="P1084" s="186"/>
      <c r="Q1084" s="2"/>
    </row>
    <row r="1085" spans="1:17">
      <c r="A1085" s="14">
        <v>1092</v>
      </c>
      <c r="B1085" s="14" t="s">
        <v>1349</v>
      </c>
      <c r="C1085" s="14" t="s">
        <v>69</v>
      </c>
      <c r="D1085" s="14" t="s">
        <v>80</v>
      </c>
      <c r="E1085" s="14" t="s">
        <v>767</v>
      </c>
      <c r="F1085" s="21" t="s">
        <v>81</v>
      </c>
      <c r="G1085" s="21"/>
      <c r="H1085" s="39">
        <v>1.8</v>
      </c>
      <c r="I1085" s="232"/>
      <c r="J1085" s="27">
        <f t="shared" si="85"/>
        <v>1.08</v>
      </c>
      <c r="K1085" s="27">
        <f t="shared" si="86"/>
        <v>2.88</v>
      </c>
      <c r="L1085" s="2"/>
      <c r="M1085" s="21"/>
      <c r="N1085" s="64"/>
      <c r="O1085" s="27"/>
      <c r="P1085" s="186"/>
      <c r="Q1085" s="2"/>
    </row>
    <row r="1086" spans="1:17">
      <c r="A1086" s="14">
        <v>1093</v>
      </c>
      <c r="B1086" s="14" t="s">
        <v>1349</v>
      </c>
      <c r="C1086" s="14" t="s">
        <v>69</v>
      </c>
      <c r="D1086" s="14" t="s">
        <v>80</v>
      </c>
      <c r="E1086" s="14" t="s">
        <v>767</v>
      </c>
      <c r="F1086" s="21" t="s">
        <v>1101</v>
      </c>
      <c r="G1086" s="21"/>
      <c r="H1086" s="39">
        <v>0.3</v>
      </c>
      <c r="I1086" s="232"/>
      <c r="J1086" s="27">
        <f t="shared" si="85"/>
        <v>0.18</v>
      </c>
      <c r="K1086" s="27">
        <f t="shared" si="86"/>
        <v>0.48</v>
      </c>
      <c r="L1086" s="2"/>
      <c r="M1086" s="21"/>
      <c r="N1086" s="64"/>
      <c r="O1086" s="27"/>
      <c r="P1086" s="154"/>
      <c r="Q1086" s="2"/>
    </row>
    <row r="1087" spans="1:17">
      <c r="A1087" s="14">
        <v>1094</v>
      </c>
      <c r="B1087" s="14" t="s">
        <v>1295</v>
      </c>
      <c r="C1087" s="14" t="s">
        <v>69</v>
      </c>
      <c r="D1087" s="14" t="s">
        <v>80</v>
      </c>
      <c r="E1087" s="14" t="s">
        <v>767</v>
      </c>
      <c r="F1087" s="21" t="s">
        <v>1102</v>
      </c>
      <c r="G1087" s="21"/>
      <c r="H1087" s="39">
        <v>45</v>
      </c>
      <c r="I1087" s="232"/>
      <c r="J1087" s="27">
        <f t="shared" si="85"/>
        <v>27</v>
      </c>
      <c r="K1087" s="27">
        <f t="shared" ref="K1087:K1094" si="87">H1087+I1087+J1087</f>
        <v>72</v>
      </c>
      <c r="L1087" s="2"/>
      <c r="M1087" s="21"/>
      <c r="N1087" s="64"/>
      <c r="O1087" s="27"/>
      <c r="P1087" s="154"/>
      <c r="Q1087" s="2"/>
    </row>
    <row r="1088" spans="1:17">
      <c r="A1088" s="14">
        <v>1095</v>
      </c>
      <c r="B1088" s="14" t="s">
        <v>1295</v>
      </c>
      <c r="C1088" s="14" t="s">
        <v>69</v>
      </c>
      <c r="D1088" s="14" t="s">
        <v>80</v>
      </c>
      <c r="E1088" s="14" t="s">
        <v>767</v>
      </c>
      <c r="F1088" s="21" t="s">
        <v>1103</v>
      </c>
      <c r="G1088" s="21"/>
      <c r="H1088" s="39">
        <v>50</v>
      </c>
      <c r="I1088" s="232"/>
      <c r="J1088" s="27">
        <f t="shared" si="85"/>
        <v>30</v>
      </c>
      <c r="K1088" s="27">
        <f t="shared" si="87"/>
        <v>80</v>
      </c>
      <c r="L1088" s="2"/>
      <c r="M1088" s="21"/>
      <c r="N1088" s="64"/>
      <c r="O1088" s="27"/>
      <c r="P1088" s="154"/>
      <c r="Q1088" s="2"/>
    </row>
    <row r="1089" spans="1:17">
      <c r="A1089" s="14">
        <v>1096</v>
      </c>
      <c r="B1089" s="14" t="s">
        <v>1295</v>
      </c>
      <c r="C1089" s="14" t="s">
        <v>69</v>
      </c>
      <c r="D1089" s="14" t="s">
        <v>80</v>
      </c>
      <c r="E1089" s="14" t="s">
        <v>767</v>
      </c>
      <c r="F1089" s="21" t="s">
        <v>1104</v>
      </c>
      <c r="G1089" s="21"/>
      <c r="H1089" s="39">
        <v>25</v>
      </c>
      <c r="I1089" s="232"/>
      <c r="J1089" s="27">
        <f t="shared" si="85"/>
        <v>15</v>
      </c>
      <c r="K1089" s="27">
        <f t="shared" si="87"/>
        <v>40</v>
      </c>
      <c r="L1089" s="2"/>
      <c r="M1089" s="21"/>
      <c r="N1089" s="64"/>
      <c r="O1089" s="27"/>
      <c r="P1089" s="154"/>
      <c r="Q1089" s="2"/>
    </row>
    <row r="1090" spans="1:17">
      <c r="A1090" s="14">
        <v>1097</v>
      </c>
      <c r="B1090" s="14" t="s">
        <v>1295</v>
      </c>
      <c r="C1090" s="14" t="s">
        <v>69</v>
      </c>
      <c r="D1090" s="14" t="s">
        <v>80</v>
      </c>
      <c r="E1090" s="14" t="s">
        <v>767</v>
      </c>
      <c r="F1090" s="21" t="s">
        <v>1105</v>
      </c>
      <c r="G1090" s="21"/>
      <c r="H1090" s="39">
        <v>80</v>
      </c>
      <c r="I1090" s="232"/>
      <c r="J1090" s="27">
        <f t="shared" si="85"/>
        <v>48</v>
      </c>
      <c r="K1090" s="27">
        <f t="shared" si="87"/>
        <v>128</v>
      </c>
      <c r="L1090" s="2"/>
      <c r="O1090" s="27"/>
      <c r="P1090" s="186"/>
      <c r="Q1090" s="2"/>
    </row>
    <row r="1091" spans="1:17">
      <c r="A1091" s="14">
        <v>1098</v>
      </c>
      <c r="B1091" s="14" t="s">
        <v>1295</v>
      </c>
      <c r="C1091" s="14" t="s">
        <v>69</v>
      </c>
      <c r="D1091" s="14" t="s">
        <v>80</v>
      </c>
      <c r="E1091" s="14" t="s">
        <v>767</v>
      </c>
      <c r="F1091" s="21" t="s">
        <v>1106</v>
      </c>
      <c r="G1091" s="21"/>
      <c r="H1091" s="39">
        <v>350</v>
      </c>
      <c r="I1091" s="232"/>
      <c r="J1091" s="27">
        <f t="shared" si="85"/>
        <v>210</v>
      </c>
      <c r="K1091" s="27">
        <f t="shared" si="87"/>
        <v>560</v>
      </c>
      <c r="L1091" s="2"/>
      <c r="O1091" s="27"/>
      <c r="P1091" s="186"/>
      <c r="Q1091" s="2"/>
    </row>
    <row r="1092" spans="1:17">
      <c r="A1092" s="14">
        <v>1099</v>
      </c>
      <c r="B1092" s="14" t="s">
        <v>1295</v>
      </c>
      <c r="C1092" s="14" t="s">
        <v>69</v>
      </c>
      <c r="D1092" s="14" t="s">
        <v>80</v>
      </c>
      <c r="E1092" s="14" t="s">
        <v>767</v>
      </c>
      <c r="F1092" s="21" t="s">
        <v>83</v>
      </c>
      <c r="G1092" s="21"/>
      <c r="H1092" s="27">
        <v>80</v>
      </c>
      <c r="I1092" s="231"/>
      <c r="J1092" s="27">
        <f t="shared" si="85"/>
        <v>48</v>
      </c>
      <c r="K1092" s="27">
        <f t="shared" si="87"/>
        <v>128</v>
      </c>
      <c r="L1092" s="2"/>
      <c r="M1092" s="21"/>
      <c r="N1092" s="64"/>
      <c r="O1092" s="27"/>
      <c r="P1092" s="186"/>
      <c r="Q1092" s="2"/>
    </row>
    <row r="1093" spans="1:17">
      <c r="A1093" s="14">
        <v>1100</v>
      </c>
      <c r="B1093" s="14" t="s">
        <v>1295</v>
      </c>
      <c r="C1093" s="14" t="s">
        <v>69</v>
      </c>
      <c r="D1093" s="14" t="s">
        <v>80</v>
      </c>
      <c r="E1093" s="14" t="s">
        <v>767</v>
      </c>
      <c r="F1093" s="21" t="s">
        <v>84</v>
      </c>
      <c r="G1093" s="21"/>
      <c r="H1093" s="27">
        <v>2</v>
      </c>
      <c r="I1093" s="231"/>
      <c r="J1093" s="27">
        <f t="shared" si="85"/>
        <v>1.2</v>
      </c>
      <c r="K1093" s="27">
        <f t="shared" si="87"/>
        <v>3.2</v>
      </c>
      <c r="L1093" s="2"/>
      <c r="M1093" s="21"/>
      <c r="N1093" s="64"/>
      <c r="O1093" s="27"/>
      <c r="P1093" s="186"/>
      <c r="Q1093" s="2"/>
    </row>
    <row r="1094" spans="1:17">
      <c r="A1094" s="14">
        <v>1101</v>
      </c>
      <c r="B1094" s="14" t="s">
        <v>1295</v>
      </c>
      <c r="C1094" s="14" t="s">
        <v>69</v>
      </c>
      <c r="D1094" s="14" t="s">
        <v>80</v>
      </c>
      <c r="E1094" s="14" t="s">
        <v>767</v>
      </c>
      <c r="F1094" s="21" t="s">
        <v>85</v>
      </c>
      <c r="G1094" s="21"/>
      <c r="H1094" s="27">
        <v>250</v>
      </c>
      <c r="I1094" s="231"/>
      <c r="J1094" s="27">
        <f t="shared" si="85"/>
        <v>150</v>
      </c>
      <c r="K1094" s="27">
        <f t="shared" si="87"/>
        <v>400</v>
      </c>
      <c r="L1094" s="2"/>
      <c r="O1094" s="27"/>
      <c r="P1094" s="186"/>
      <c r="Q1094" s="2"/>
    </row>
    <row r="1095" spans="1:17">
      <c r="A1095" s="14">
        <v>1102</v>
      </c>
      <c r="B1095" s="14" t="s">
        <v>1349</v>
      </c>
      <c r="C1095" s="14" t="s">
        <v>11</v>
      </c>
      <c r="D1095" s="14" t="s">
        <v>1303</v>
      </c>
      <c r="E1095" s="14" t="s">
        <v>7</v>
      </c>
      <c r="F1095" s="21" t="s">
        <v>1206</v>
      </c>
      <c r="G1095" s="21">
        <v>0.16200000000000001</v>
      </c>
      <c r="H1095" s="27"/>
      <c r="I1095" s="231"/>
      <c r="J1095" s="27">
        <f t="shared" si="85"/>
        <v>0</v>
      </c>
      <c r="K1095" s="27">
        <f>dim_price[[#This Row],[Additional Information]]*INDEX(dim_price[Retail Price],MATCH("Readymix Concrete per Cubic Meter                                      1.0",dim_price[Item Description],0))</f>
        <v>77.760000000000005</v>
      </c>
      <c r="Q1095" s="2"/>
    </row>
    <row r="1096" spans="1:17">
      <c r="A1096" s="14">
        <v>1103</v>
      </c>
      <c r="B1096" s="14" t="s">
        <v>1349</v>
      </c>
      <c r="C1096" s="14" t="s">
        <v>11</v>
      </c>
      <c r="D1096" s="14" t="s">
        <v>1303</v>
      </c>
      <c r="E1096" s="14" t="s">
        <v>7</v>
      </c>
      <c r="F1096" s="116" t="s">
        <v>1207</v>
      </c>
      <c r="G1096" s="21">
        <v>0.159</v>
      </c>
      <c r="H1096" s="27"/>
      <c r="I1096" s="231"/>
      <c r="J1096" s="27">
        <f t="shared" si="85"/>
        <v>0</v>
      </c>
      <c r="K1096" s="27">
        <f>dim_price[[#This Row],[Additional Information]]*INDEX(dim_price[Retail Price],MATCH("Readymix Concrete per Cubic Meter                                      1.0",dim_price[Item Description],0))</f>
        <v>76.320000000000007</v>
      </c>
      <c r="L1096" s="2"/>
      <c r="M1096" s="21"/>
      <c r="N1096" s="64"/>
      <c r="O1096" s="27"/>
      <c r="P1096" s="186"/>
      <c r="Q1096" s="2"/>
    </row>
    <row r="1097" spans="1:17">
      <c r="A1097" s="14">
        <v>1104</v>
      </c>
      <c r="B1097" s="14" t="s">
        <v>1349</v>
      </c>
      <c r="C1097" s="14" t="s">
        <v>11</v>
      </c>
      <c r="D1097" s="14" t="s">
        <v>1303</v>
      </c>
      <c r="E1097" s="14" t="s">
        <v>7</v>
      </c>
      <c r="F1097" s="21" t="s">
        <v>1208</v>
      </c>
      <c r="G1097" s="21">
        <v>0.191</v>
      </c>
      <c r="H1097" s="27"/>
      <c r="I1097" s="231"/>
      <c r="J1097" s="27">
        <f t="shared" si="85"/>
        <v>0</v>
      </c>
      <c r="K1097" s="27">
        <f>dim_price[[#This Row],[Additional Information]]*INDEX(dim_price[Retail Price],MATCH("Readymix Concrete per Cubic Meter                                      1.0",dim_price[Item Description],0))</f>
        <v>91.68</v>
      </c>
      <c r="L1097" s="2"/>
      <c r="M1097" s="21"/>
      <c r="N1097" s="64"/>
      <c r="O1097" s="27"/>
      <c r="P1097" s="186"/>
      <c r="Q1097" s="2"/>
    </row>
    <row r="1098" spans="1:17">
      <c r="A1098" s="14">
        <v>1105</v>
      </c>
      <c r="B1098" s="14" t="s">
        <v>1349</v>
      </c>
      <c r="C1098" s="14" t="s">
        <v>11</v>
      </c>
      <c r="D1098" s="14" t="s">
        <v>1303</v>
      </c>
      <c r="E1098" s="14" t="s">
        <v>7</v>
      </c>
      <c r="F1098" s="21" t="s">
        <v>1209</v>
      </c>
      <c r="G1098" s="21">
        <v>0.23799999999999999</v>
      </c>
      <c r="H1098" s="27"/>
      <c r="I1098" s="231"/>
      <c r="J1098" s="27">
        <f t="shared" ref="J1098:J1135" si="88">H1098*$D$6</f>
        <v>0</v>
      </c>
      <c r="K1098" s="27">
        <f>dim_price[[#This Row],[Additional Information]]*INDEX(dim_price[Retail Price],MATCH("Readymix Concrete per Cubic Meter                                      1.0",dim_price[Item Description],0))</f>
        <v>114.24</v>
      </c>
      <c r="L1098" s="2"/>
      <c r="M1098" s="21"/>
      <c r="N1098" s="64"/>
      <c r="O1098" s="27"/>
      <c r="P1098" s="186"/>
      <c r="Q1098" s="2"/>
    </row>
    <row r="1099" spans="1:17">
      <c r="A1099" s="14">
        <v>1106</v>
      </c>
      <c r="B1099" s="14" t="s">
        <v>1349</v>
      </c>
      <c r="C1099" s="14" t="s">
        <v>11</v>
      </c>
      <c r="D1099" s="14" t="s">
        <v>1303</v>
      </c>
      <c r="E1099" s="14" t="s">
        <v>7</v>
      </c>
      <c r="F1099" s="21" t="s">
        <v>1217</v>
      </c>
      <c r="G1099" s="21">
        <v>0.28599999999999998</v>
      </c>
      <c r="H1099" s="27"/>
      <c r="I1099" s="231"/>
      <c r="J1099" s="27">
        <f t="shared" si="88"/>
        <v>0</v>
      </c>
      <c r="K1099" s="27">
        <f>dim_price[[#This Row],[Additional Information]]*INDEX(dim_price[Retail Price],MATCH("Readymix Concrete per Cubic Meter                                      1.0",dim_price[Item Description],0))</f>
        <v>137.28</v>
      </c>
      <c r="L1099" s="2"/>
      <c r="M1099" s="21"/>
      <c r="N1099" s="64"/>
      <c r="O1099" s="27"/>
      <c r="P1099" s="186"/>
      <c r="Q1099" s="2"/>
    </row>
    <row r="1100" spans="1:17">
      <c r="A1100" s="14">
        <v>1107</v>
      </c>
      <c r="B1100" s="14" t="s">
        <v>1349</v>
      </c>
      <c r="C1100" s="14" t="s">
        <v>11</v>
      </c>
      <c r="D1100" s="14" t="s">
        <v>1303</v>
      </c>
      <c r="E1100" s="14" t="s">
        <v>7</v>
      </c>
      <c r="F1100" s="21" t="s">
        <v>1210</v>
      </c>
      <c r="G1100" s="21">
        <v>0.318</v>
      </c>
      <c r="H1100" s="27"/>
      <c r="I1100" s="231"/>
      <c r="J1100" s="27">
        <f t="shared" si="88"/>
        <v>0</v>
      </c>
      <c r="K1100" s="27">
        <f>dim_price[[#This Row],[Additional Information]]*INDEX(dim_price[Retail Price],MATCH("Readymix Concrete per Cubic Meter                                      1.0",dim_price[Item Description],0))</f>
        <v>152.64000000000001</v>
      </c>
      <c r="L1100" s="2"/>
      <c r="M1100" s="21"/>
      <c r="N1100" s="64"/>
      <c r="O1100" s="27"/>
      <c r="P1100" s="186"/>
      <c r="Q1100" s="2"/>
    </row>
    <row r="1101" spans="1:17">
      <c r="A1101" s="14">
        <v>1108</v>
      </c>
      <c r="B1101" s="14" t="s">
        <v>1349</v>
      </c>
      <c r="C1101" s="14" t="s">
        <v>11</v>
      </c>
      <c r="D1101" s="14" t="s">
        <v>1303</v>
      </c>
      <c r="E1101" s="14" t="s">
        <v>7</v>
      </c>
      <c r="F1101" s="21" t="s">
        <v>1220</v>
      </c>
      <c r="G1101" s="21">
        <v>0.28799999999999998</v>
      </c>
      <c r="H1101" s="27"/>
      <c r="I1101" s="231"/>
      <c r="J1101" s="27">
        <f t="shared" si="88"/>
        <v>0</v>
      </c>
      <c r="K1101" s="27">
        <f>dim_price[[#This Row],[Additional Information]]*INDEX(dim_price[Retail Price],MATCH("Readymix Concrete per Cubic Meter                                      1.0",dim_price[Item Description],0))</f>
        <v>138.23999999999998</v>
      </c>
      <c r="L1101" s="2"/>
      <c r="M1101" s="21"/>
      <c r="N1101" s="64"/>
      <c r="O1101" s="27"/>
      <c r="P1101" s="186"/>
      <c r="Q1101" s="2"/>
    </row>
    <row r="1102" spans="1:17">
      <c r="A1102" s="14">
        <v>1109</v>
      </c>
      <c r="B1102" s="14" t="s">
        <v>1349</v>
      </c>
      <c r="C1102" s="14" t="s">
        <v>11</v>
      </c>
      <c r="D1102" s="14" t="s">
        <v>1302</v>
      </c>
      <c r="E1102" s="14" t="s">
        <v>7</v>
      </c>
      <c r="F1102" s="21" t="s">
        <v>1206</v>
      </c>
      <c r="G1102" s="21">
        <v>0.32400000000000001</v>
      </c>
      <c r="H1102" s="27"/>
      <c r="I1102" s="231"/>
      <c r="J1102" s="27">
        <f t="shared" si="88"/>
        <v>0</v>
      </c>
      <c r="K1102" s="27">
        <f>dim_price[[#This Row],[Additional Information]]*INDEX(dim_price[Retail Price],MATCH("Labour to remove soil from post hole digging m3",dim_price[Item Description],0))</f>
        <v>41.472000000000001</v>
      </c>
      <c r="L1102" s="2"/>
      <c r="M1102" s="21"/>
      <c r="N1102" s="21"/>
      <c r="O1102" s="27"/>
      <c r="P1102" s="186"/>
      <c r="Q1102" s="2"/>
    </row>
    <row r="1103" spans="1:17">
      <c r="A1103" s="14">
        <v>1110</v>
      </c>
      <c r="B1103" s="14" t="s">
        <v>1349</v>
      </c>
      <c r="C1103" s="14" t="s">
        <v>11</v>
      </c>
      <c r="D1103" s="14" t="s">
        <v>1302</v>
      </c>
      <c r="E1103" s="14" t="s">
        <v>7</v>
      </c>
      <c r="F1103" s="21" t="s">
        <v>1207</v>
      </c>
      <c r="G1103" s="21">
        <v>0.318</v>
      </c>
      <c r="H1103" s="27"/>
      <c r="I1103" s="231"/>
      <c r="J1103" s="27">
        <f t="shared" si="88"/>
        <v>0</v>
      </c>
      <c r="K1103" s="27">
        <f>dim_price[[#This Row],[Additional Information]]*INDEX(dim_price[Retail Price],MATCH("Labour to remove soil from post hole digging m3",dim_price[Item Description],0))</f>
        <v>40.704000000000001</v>
      </c>
      <c r="L1103" s="2"/>
      <c r="M1103" s="21"/>
      <c r="N1103" s="64"/>
      <c r="O1103" s="27"/>
      <c r="P1103" s="186"/>
    </row>
    <row r="1104" spans="1:17">
      <c r="A1104" s="14">
        <v>1111</v>
      </c>
      <c r="B1104" s="14" t="s">
        <v>1349</v>
      </c>
      <c r="C1104" s="14" t="s">
        <v>11</v>
      </c>
      <c r="D1104" s="14" t="s">
        <v>1302</v>
      </c>
      <c r="E1104" s="14" t="s">
        <v>7</v>
      </c>
      <c r="F1104" s="21" t="s">
        <v>1208</v>
      </c>
      <c r="G1104" s="21">
        <v>0.38200000000000001</v>
      </c>
      <c r="H1104" s="27"/>
      <c r="I1104" s="231"/>
      <c r="J1104" s="27">
        <f t="shared" si="88"/>
        <v>0</v>
      </c>
      <c r="K1104" s="27">
        <f>dim_price[[#This Row],[Additional Information]]*INDEX(dim_price[Retail Price],MATCH("Labour to remove soil from post hole digging m3",dim_price[Item Description],0))</f>
        <v>48.896000000000001</v>
      </c>
      <c r="L1104" s="2"/>
      <c r="M1104" s="21"/>
      <c r="N1104" s="64"/>
      <c r="O1104" s="27"/>
      <c r="P1104" s="186"/>
    </row>
    <row r="1105" spans="1:11">
      <c r="A1105" s="14">
        <v>1112</v>
      </c>
      <c r="B1105" s="14" t="s">
        <v>1349</v>
      </c>
      <c r="C1105" s="14" t="s">
        <v>11</v>
      </c>
      <c r="D1105" s="14" t="s">
        <v>1302</v>
      </c>
      <c r="E1105" s="14" t="s">
        <v>7</v>
      </c>
      <c r="F1105" s="21" t="s">
        <v>1209</v>
      </c>
      <c r="G1105" s="21">
        <v>0.47599999999999998</v>
      </c>
      <c r="H1105" s="27"/>
      <c r="I1105" s="231"/>
      <c r="J1105" s="27">
        <f t="shared" si="88"/>
        <v>0</v>
      </c>
      <c r="K1105" s="27">
        <f>dim_price[[#This Row],[Additional Information]]*INDEX(dim_price[Retail Price],MATCH("Labour to remove soil from post hole digging m3",dim_price[Item Description],0))</f>
        <v>60.927999999999997</v>
      </c>
    </row>
    <row r="1106" spans="1:11">
      <c r="A1106" s="14">
        <v>1113</v>
      </c>
      <c r="B1106" s="14" t="s">
        <v>1349</v>
      </c>
      <c r="C1106" s="14" t="s">
        <v>11</v>
      </c>
      <c r="D1106" s="14" t="s">
        <v>1302</v>
      </c>
      <c r="E1106" s="14" t="s">
        <v>7</v>
      </c>
      <c r="F1106" s="21" t="s">
        <v>1217</v>
      </c>
      <c r="G1106" s="21">
        <v>0.57199999999999995</v>
      </c>
      <c r="H1106" s="27"/>
      <c r="I1106" s="231"/>
      <c r="J1106" s="27">
        <f t="shared" si="88"/>
        <v>0</v>
      </c>
      <c r="K1106" s="27">
        <f>dim_price[[#This Row],[Additional Information]]*INDEX(dim_price[Retail Price],MATCH("Labour to remove soil from post hole digging m3",dim_price[Item Description],0))</f>
        <v>73.215999999999994</v>
      </c>
    </row>
    <row r="1107" spans="1:11">
      <c r="A1107" s="14">
        <v>1114</v>
      </c>
      <c r="B1107" s="14" t="s">
        <v>1349</v>
      </c>
      <c r="C1107" s="14" t="s">
        <v>11</v>
      </c>
      <c r="D1107" s="14" t="s">
        <v>1302</v>
      </c>
      <c r="E1107" s="14" t="s">
        <v>7</v>
      </c>
      <c r="F1107" s="21" t="s">
        <v>1210</v>
      </c>
      <c r="G1107" s="21">
        <v>0.63600000000000001</v>
      </c>
      <c r="H1107" s="27"/>
      <c r="I1107" s="231"/>
      <c r="J1107" s="27">
        <f t="shared" si="88"/>
        <v>0</v>
      </c>
      <c r="K1107" s="27">
        <f>dim_price[[#This Row],[Additional Information]]*INDEX(dim_price[Retail Price],MATCH("Labour to remove soil from post hole digging m3",dim_price[Item Description],0))</f>
        <v>81.408000000000001</v>
      </c>
    </row>
    <row r="1108" spans="1:11">
      <c r="A1108" s="14">
        <v>1115</v>
      </c>
      <c r="B1108" s="14" t="s">
        <v>1349</v>
      </c>
      <c r="C1108" s="14" t="s">
        <v>11</v>
      </c>
      <c r="D1108" s="14" t="s">
        <v>1302</v>
      </c>
      <c r="E1108" s="14" t="s">
        <v>7</v>
      </c>
      <c r="F1108" s="21" t="s">
        <v>1220</v>
      </c>
      <c r="G1108" s="21">
        <v>0.57599999999999996</v>
      </c>
      <c r="H1108" s="27"/>
      <c r="I1108" s="231"/>
      <c r="J1108" s="27">
        <f t="shared" si="88"/>
        <v>0</v>
      </c>
      <c r="K1108" s="27">
        <f>dim_price[[#This Row],[Additional Information]]*INDEX(dim_price[Retail Price],MATCH("Labour to remove soil from post hole digging m3",dim_price[Item Description],0))</f>
        <v>73.727999999999994</v>
      </c>
    </row>
    <row r="1109" spans="1:11">
      <c r="A1109" s="14">
        <v>1116</v>
      </c>
      <c r="B1109" s="14" t="s">
        <v>1295</v>
      </c>
      <c r="C1109" s="14" t="s">
        <v>11</v>
      </c>
      <c r="D1109" s="14" t="s">
        <v>1222</v>
      </c>
      <c r="E1109" s="14" t="s">
        <v>8</v>
      </c>
      <c r="F1109" s="21" t="s">
        <v>1207</v>
      </c>
      <c r="G1109" s="21" t="s">
        <v>1213</v>
      </c>
      <c r="H1109" s="27">
        <v>13.333333333333332</v>
      </c>
      <c r="I1109" s="231"/>
      <c r="J1109" s="27">
        <f t="shared" si="88"/>
        <v>7.9999999999999991</v>
      </c>
      <c r="K1109" s="27">
        <f t="shared" ref="K1109:K1114" si="89">H1109+I1109+J1109</f>
        <v>21.333333333333332</v>
      </c>
    </row>
    <row r="1110" spans="1:11">
      <c r="A1110" s="14">
        <v>1117</v>
      </c>
      <c r="B1110" s="14" t="s">
        <v>1295</v>
      </c>
      <c r="C1110" s="14" t="s">
        <v>11</v>
      </c>
      <c r="D1110" s="14" t="s">
        <v>1222</v>
      </c>
      <c r="E1110" s="14" t="s">
        <v>8</v>
      </c>
      <c r="F1110" s="21" t="s">
        <v>1208</v>
      </c>
      <c r="G1110" s="21" t="s">
        <v>1214</v>
      </c>
      <c r="H1110" s="27">
        <v>13.333333333333332</v>
      </c>
      <c r="I1110" s="231"/>
      <c r="J1110" s="27">
        <f t="shared" si="88"/>
        <v>7.9999999999999991</v>
      </c>
      <c r="K1110" s="27">
        <f t="shared" si="89"/>
        <v>21.333333333333332</v>
      </c>
    </row>
    <row r="1111" spans="1:11">
      <c r="A1111" s="14">
        <v>1118</v>
      </c>
      <c r="B1111" s="14" t="s">
        <v>1295</v>
      </c>
      <c r="C1111" s="14" t="s">
        <v>11</v>
      </c>
      <c r="D1111" s="14" t="s">
        <v>1222</v>
      </c>
      <c r="E1111" s="14" t="s">
        <v>8</v>
      </c>
      <c r="F1111" s="21" t="s">
        <v>1209</v>
      </c>
      <c r="G1111" s="21" t="s">
        <v>1215</v>
      </c>
      <c r="H1111" s="27">
        <v>13.333333333333332</v>
      </c>
      <c r="I1111" s="231"/>
      <c r="J1111" s="27">
        <f t="shared" si="88"/>
        <v>7.9999999999999991</v>
      </c>
      <c r="K1111" s="27">
        <f t="shared" si="89"/>
        <v>21.333333333333332</v>
      </c>
    </row>
    <row r="1112" spans="1:11">
      <c r="A1112" s="14">
        <v>1119</v>
      </c>
      <c r="B1112" s="14" t="s">
        <v>1295</v>
      </c>
      <c r="C1112" s="14" t="s">
        <v>11</v>
      </c>
      <c r="D1112" s="14" t="s">
        <v>1222</v>
      </c>
      <c r="E1112" s="14" t="s">
        <v>8</v>
      </c>
      <c r="F1112" s="21" t="s">
        <v>1217</v>
      </c>
      <c r="G1112" s="21" t="s">
        <v>1216</v>
      </c>
      <c r="H1112" s="27">
        <v>13.333333333333332</v>
      </c>
      <c r="I1112" s="231"/>
      <c r="J1112" s="27">
        <f t="shared" si="88"/>
        <v>7.9999999999999991</v>
      </c>
      <c r="K1112" s="27">
        <f t="shared" si="89"/>
        <v>21.333333333333332</v>
      </c>
    </row>
    <row r="1113" spans="1:11">
      <c r="A1113" s="14">
        <v>1120</v>
      </c>
      <c r="B1113" s="14" t="s">
        <v>1295</v>
      </c>
      <c r="C1113" s="14" t="s">
        <v>11</v>
      </c>
      <c r="D1113" s="14" t="s">
        <v>1222</v>
      </c>
      <c r="E1113" s="14" t="s">
        <v>8</v>
      </c>
      <c r="F1113" s="21" t="s">
        <v>1210</v>
      </c>
      <c r="G1113" s="21" t="s">
        <v>1218</v>
      </c>
      <c r="H1113" s="27">
        <v>13.333333333333332</v>
      </c>
      <c r="I1113" s="231"/>
      <c r="J1113" s="27">
        <f t="shared" si="88"/>
        <v>7.9999999999999991</v>
      </c>
      <c r="K1113" s="27">
        <f t="shared" si="89"/>
        <v>21.333333333333332</v>
      </c>
    </row>
    <row r="1114" spans="1:11">
      <c r="A1114" s="14">
        <v>1121</v>
      </c>
      <c r="B1114" s="14" t="s">
        <v>1349</v>
      </c>
      <c r="C1114" s="14" t="s">
        <v>11</v>
      </c>
      <c r="D1114" s="14" t="s">
        <v>1303</v>
      </c>
      <c r="E1114" s="14" t="s">
        <v>7</v>
      </c>
      <c r="F1114" s="21" t="s">
        <v>1318</v>
      </c>
      <c r="G1114" s="21"/>
      <c r="H1114" s="27">
        <v>300</v>
      </c>
      <c r="I1114" s="231"/>
      <c r="J1114" s="27">
        <f t="shared" si="88"/>
        <v>180</v>
      </c>
      <c r="K1114" s="27">
        <f t="shared" si="89"/>
        <v>480</v>
      </c>
    </row>
    <row r="1115" spans="1:11">
      <c r="A1115" s="14">
        <v>1122</v>
      </c>
      <c r="B1115" s="14" t="s">
        <v>1295</v>
      </c>
      <c r="C1115" s="14" t="s">
        <v>98</v>
      </c>
      <c r="D1115" s="14" t="s">
        <v>1301</v>
      </c>
      <c r="E1115" s="14" t="s">
        <v>8</v>
      </c>
      <c r="F1115" s="21" t="s">
        <v>1182</v>
      </c>
      <c r="G1115" s="21"/>
      <c r="H1115" s="27"/>
      <c r="I1115" s="231"/>
      <c r="J1115" s="234">
        <f t="shared" si="88"/>
        <v>0</v>
      </c>
      <c r="K1115" s="27">
        <f>INDEX(dim_price[Retail Price],MATCH("Skillion per square metre 3 coats                                  m2    Carport -Verandah -Signature range",dim_price[Item Description],0))</f>
        <v>0</v>
      </c>
    </row>
    <row r="1116" spans="1:11">
      <c r="A1116" s="14">
        <v>1123</v>
      </c>
      <c r="B1116" s="14" t="s">
        <v>1295</v>
      </c>
      <c r="C1116" s="14" t="s">
        <v>98</v>
      </c>
      <c r="D1116" s="14" t="s">
        <v>1301</v>
      </c>
      <c r="E1116" s="14" t="s">
        <v>8</v>
      </c>
      <c r="F1116" s="21" t="s">
        <v>1183</v>
      </c>
      <c r="G1116" s="21"/>
      <c r="H1116" s="27"/>
      <c r="I1116" s="231"/>
      <c r="J1116" s="234">
        <f t="shared" si="88"/>
        <v>0</v>
      </c>
      <c r="K1116" s="27">
        <f>INDEX(dim_price[Retail Price],MATCH("Gable  per square metre 3 coats                                  m2",dim_price[Item Description],0))</f>
        <v>0</v>
      </c>
    </row>
    <row r="1117" spans="1:11">
      <c r="A1117" s="14">
        <v>1124</v>
      </c>
      <c r="B1117" s="14" t="s">
        <v>1295</v>
      </c>
      <c r="C1117" s="14" t="s">
        <v>98</v>
      </c>
      <c r="D1117" s="14" t="s">
        <v>1301</v>
      </c>
      <c r="E1117" s="14" t="s">
        <v>8</v>
      </c>
      <c r="F1117" s="21" t="s">
        <v>1184</v>
      </c>
      <c r="G1117" s="21"/>
      <c r="H1117" s="27"/>
      <c r="I1117" s="231"/>
      <c r="J1117" s="234">
        <f t="shared" si="88"/>
        <v>0</v>
      </c>
      <c r="K1117" s="27" t="e">
        <f>INDEX(dim_price[Retail Price],MATCH("Paint Plain Verandah Post                                              Each",dim_price[Item Description],0))</f>
        <v>#N/A</v>
      </c>
    </row>
    <row r="1118" spans="1:11">
      <c r="A1118" s="14">
        <v>1125</v>
      </c>
      <c r="B1118" s="14" t="s">
        <v>1295</v>
      </c>
      <c r="C1118" s="14" t="s">
        <v>98</v>
      </c>
      <c r="D1118" s="14" t="s">
        <v>1301</v>
      </c>
      <c r="E1118" s="14" t="s">
        <v>8</v>
      </c>
      <c r="F1118" s="21" t="s">
        <v>1185</v>
      </c>
      <c r="G1118" s="21"/>
      <c r="H1118" s="27"/>
      <c r="I1118" s="231"/>
      <c r="J1118" s="234">
        <f t="shared" si="88"/>
        <v>0</v>
      </c>
      <c r="K1118" s="27" t="e">
        <f>INDEX(dim_price[Retail Price],MATCH("Paint Turned Verandah Post                                          Each",dim_price[Item Description],0))</f>
        <v>#VALUE!</v>
      </c>
    </row>
    <row r="1119" spans="1:11">
      <c r="A1119" s="14">
        <v>1126</v>
      </c>
      <c r="B1119" s="14" t="s">
        <v>1295</v>
      </c>
      <c r="C1119" s="14" t="s">
        <v>98</v>
      </c>
      <c r="D1119" s="14" t="s">
        <v>1301</v>
      </c>
      <c r="E1119" s="14" t="s">
        <v>8</v>
      </c>
      <c r="F1119" s="21" t="s">
        <v>1186</v>
      </c>
      <c r="G1119" s="21"/>
      <c r="H1119" s="27"/>
      <c r="I1119" s="231"/>
      <c r="J1119" s="234">
        <f t="shared" si="88"/>
        <v>0</v>
      </c>
      <c r="K1119" s="27">
        <f>INDEX(dim_price[Retail Price],MATCH("Finial                                                                               Each",dim_price[Item Description],0))</f>
        <v>1.4666666666666666</v>
      </c>
    </row>
    <row r="1120" spans="1:11">
      <c r="A1120" s="14">
        <v>1127</v>
      </c>
      <c r="B1120" s="14" t="s">
        <v>1295</v>
      </c>
      <c r="C1120" s="14" t="s">
        <v>98</v>
      </c>
      <c r="D1120" s="14" t="s">
        <v>1301</v>
      </c>
      <c r="E1120" s="14" t="s">
        <v>8</v>
      </c>
      <c r="F1120" s="21" t="s">
        <v>1187</v>
      </c>
      <c r="G1120" s="21"/>
      <c r="H1120" s="27"/>
      <c r="I1120" s="231"/>
      <c r="J1120" s="234">
        <f t="shared" si="88"/>
        <v>0</v>
      </c>
      <c r="K1120" s="27">
        <f>INDEX(dim_price[Retail Price],MATCH("Gable  per square metre 3 coats                                  m2",dim_price[Item Description],0))</f>
        <v>0</v>
      </c>
    </row>
    <row r="1121" spans="1:11">
      <c r="A1121" s="14">
        <v>1128</v>
      </c>
      <c r="B1121" s="14" t="s">
        <v>1295</v>
      </c>
      <c r="C1121" s="14" t="s">
        <v>98</v>
      </c>
      <c r="D1121" s="14" t="s">
        <v>1301</v>
      </c>
      <c r="E1121" s="14" t="s">
        <v>8</v>
      </c>
      <c r="F1121" s="21" t="s">
        <v>1188</v>
      </c>
      <c r="G1121" s="21"/>
      <c r="H1121" s="27"/>
      <c r="I1121" s="231"/>
      <c r="J1121" s="234">
        <f t="shared" si="88"/>
        <v>0</v>
      </c>
      <c r="K1121" s="27">
        <f>INDEX(dim_price[Retail Price],MATCH("Skillion per square metre 3 coats                                  m2    Carport -Verandah -Signature range",dim_price[Item Description],0))</f>
        <v>0</v>
      </c>
    </row>
    <row r="1122" spans="1:11">
      <c r="A1122" s="14">
        <v>1129</v>
      </c>
      <c r="B1122" s="14" t="s">
        <v>1295</v>
      </c>
      <c r="C1122" s="14" t="s">
        <v>98</v>
      </c>
      <c r="D1122" s="14" t="s">
        <v>1301</v>
      </c>
      <c r="E1122" s="14" t="s">
        <v>8</v>
      </c>
      <c r="F1122" s="21" t="s">
        <v>1189</v>
      </c>
      <c r="G1122" s="21"/>
      <c r="H1122" s="27"/>
      <c r="I1122" s="231"/>
      <c r="J1122" s="234">
        <f t="shared" si="88"/>
        <v>0</v>
      </c>
      <c r="K1122" s="27" t="e">
        <f>INDEX(dim_price[Retail Price],MATCH("Balustrade handrail &amp; frete                                           Per Linial Metre",dim_price[Item Description],0))</f>
        <v>#N/A</v>
      </c>
    </row>
    <row r="1123" spans="1:11">
      <c r="A1123" s="14">
        <v>1130</v>
      </c>
      <c r="B1123" s="14" t="s">
        <v>1295</v>
      </c>
      <c r="C1123" s="14" t="s">
        <v>98</v>
      </c>
      <c r="D1123" s="14" t="s">
        <v>1301</v>
      </c>
      <c r="E1123" s="14" t="s">
        <v>8</v>
      </c>
      <c r="F1123" s="21" t="s">
        <v>1190</v>
      </c>
      <c r="G1123" s="21"/>
      <c r="H1123" s="27"/>
      <c r="I1123" s="231"/>
      <c r="J1123" s="234">
        <f t="shared" si="88"/>
        <v>0</v>
      </c>
      <c r="K1123" s="27">
        <f>INDEX(dim_price[Retail Price],MATCH("Heritage  endfill                                                              Per Linial Metre",dim_price[Item Description],0))</f>
        <v>13.2</v>
      </c>
    </row>
    <row r="1124" spans="1:11">
      <c r="A1124" s="14">
        <v>1131</v>
      </c>
      <c r="B1124" s="14" t="s">
        <v>1295</v>
      </c>
      <c r="C1124" s="14" t="s">
        <v>98</v>
      </c>
      <c r="D1124" s="14" t="s">
        <v>1301</v>
      </c>
      <c r="E1124" s="14" t="s">
        <v>8</v>
      </c>
      <c r="F1124" s="21" t="s">
        <v>1191</v>
      </c>
      <c r="G1124" s="21"/>
      <c r="H1124" s="27"/>
      <c r="I1124" s="231"/>
      <c r="J1124" s="234">
        <f t="shared" si="88"/>
        <v>0</v>
      </c>
      <c r="K1124" s="27">
        <f>INDEX(dim_price[Retail Price],MATCH("Wire Hand Rail                                                               Per Linial Metre",dim_price[Item Description],0))</f>
        <v>29.333333333333329</v>
      </c>
    </row>
    <row r="1125" spans="1:11">
      <c r="A1125" s="14">
        <v>1132</v>
      </c>
      <c r="B1125" s="14" t="s">
        <v>1295</v>
      </c>
      <c r="C1125" s="14" t="s">
        <v>98</v>
      </c>
      <c r="D1125" s="14" t="s">
        <v>1301</v>
      </c>
      <c r="E1125" s="14" t="s">
        <v>8</v>
      </c>
      <c r="F1125" s="21" t="s">
        <v>1192</v>
      </c>
      <c r="G1125" s="21"/>
      <c r="H1125" s="27"/>
      <c r="I1125" s="231"/>
      <c r="J1125" s="234">
        <f t="shared" si="88"/>
        <v>0</v>
      </c>
      <c r="K1125" s="27">
        <f>INDEX(dim_price[Retail Price],MATCH("Timber Slates                                                                 Per Linial Metre",dim_price[Item Description],0))</f>
        <v>13.2</v>
      </c>
    </row>
    <row r="1126" spans="1:11">
      <c r="A1126" s="14">
        <v>1133</v>
      </c>
      <c r="B1126" s="14" t="s">
        <v>1295</v>
      </c>
      <c r="C1126" s="14" t="s">
        <v>98</v>
      </c>
      <c r="D1126" s="14" t="s">
        <v>1301</v>
      </c>
      <c r="E1126" s="14" t="s">
        <v>8</v>
      </c>
      <c r="F1126" s="21" t="s">
        <v>1193</v>
      </c>
      <c r="G1126" s="21"/>
      <c r="H1126" s="27"/>
      <c r="I1126" s="231"/>
      <c r="J1126" s="234">
        <f t="shared" si="88"/>
        <v>0</v>
      </c>
      <c r="K1126" s="27">
        <f>INDEX(dim_price[Retail Price],MATCH("Timber slates Stained Murbua                                       Per Linial Metre",dim_price[Item Description],0))</f>
        <v>176</v>
      </c>
    </row>
    <row r="1127" spans="1:11">
      <c r="A1127" s="14">
        <v>1134</v>
      </c>
      <c r="B1127" s="14" t="s">
        <v>1295</v>
      </c>
      <c r="C1127" s="14" t="s">
        <v>98</v>
      </c>
      <c r="D1127" s="14" t="s">
        <v>1301</v>
      </c>
      <c r="E1127" s="14" t="s">
        <v>8</v>
      </c>
      <c r="F1127" s="21" t="s">
        <v>1194</v>
      </c>
      <c r="G1127" s="21"/>
      <c r="H1127" s="27"/>
      <c r="I1127" s="231"/>
      <c r="J1127" s="234">
        <f t="shared" si="88"/>
        <v>0</v>
      </c>
      <c r="K1127" s="27">
        <f>INDEX(dim_price[Retail Price],MATCH("Paint ceiling                                                                   m2",dim_price[Item Description],0))</f>
        <v>176</v>
      </c>
    </row>
    <row r="1128" spans="1:11">
      <c r="A1128" s="14">
        <v>1135</v>
      </c>
      <c r="B1128" s="14" t="s">
        <v>1295</v>
      </c>
      <c r="C1128" s="14" t="s">
        <v>98</v>
      </c>
      <c r="D1128" s="14" t="s">
        <v>1301</v>
      </c>
      <c r="E1128" s="14" t="s">
        <v>8</v>
      </c>
      <c r="F1128" s="21" t="s">
        <v>1195</v>
      </c>
      <c r="G1128" s="21"/>
      <c r="H1128" s="27"/>
      <c r="I1128" s="231"/>
      <c r="J1128" s="234">
        <f t="shared" si="88"/>
        <v>0</v>
      </c>
      <c r="K1128" s="27">
        <f>INDEX(dim_price[Retail Price],MATCH("Paint ceiling                                                                   m2",dim_price[Item Description],0))</f>
        <v>176</v>
      </c>
    </row>
    <row r="1129" spans="1:11">
      <c r="A1129" s="14">
        <v>1136</v>
      </c>
      <c r="B1129" s="14" t="s">
        <v>1295</v>
      </c>
      <c r="C1129" s="14" t="s">
        <v>98</v>
      </c>
      <c r="D1129" s="14" t="s">
        <v>1301</v>
      </c>
      <c r="E1129" s="14" t="s">
        <v>8</v>
      </c>
      <c r="F1129" s="21" t="s">
        <v>1196</v>
      </c>
      <c r="G1129" s="21"/>
      <c r="H1129" s="27"/>
      <c r="I1129" s="231"/>
      <c r="J1129" s="234">
        <f t="shared" si="88"/>
        <v>0</v>
      </c>
      <c r="K1129" s="27">
        <f>INDEX(dim_price[Retail Price],MATCH("Paint plastic lattice screen surrounds                                         Each Screen",dim_price[Item Description],0))</f>
        <v>39.995999999999995</v>
      </c>
    </row>
    <row r="1130" spans="1:11">
      <c r="A1130" s="14">
        <v>1137</v>
      </c>
      <c r="B1130" s="14" t="s">
        <v>1295</v>
      </c>
      <c r="C1130" s="14" t="s">
        <v>98</v>
      </c>
      <c r="D1130" s="14" t="s">
        <v>1301</v>
      </c>
      <c r="E1130" s="14" t="s">
        <v>8</v>
      </c>
      <c r="F1130" s="21" t="s">
        <v>1197</v>
      </c>
      <c r="G1130" s="21"/>
      <c r="H1130" s="27"/>
      <c r="I1130" s="231"/>
      <c r="J1130" s="234">
        <f t="shared" si="88"/>
        <v>0</v>
      </c>
      <c r="K1130" s="27">
        <f>INDEX(dim_price[Retail Price],MATCH("Paint frames &amp; oil murbu sreen                                                   Per Metre",dim_price[Item Description],0))</f>
        <v>34.32</v>
      </c>
    </row>
    <row r="1131" spans="1:11">
      <c r="A1131" s="14">
        <v>1138</v>
      </c>
      <c r="B1131" s="14" t="s">
        <v>1295</v>
      </c>
      <c r="C1131" s="14" t="s">
        <v>98</v>
      </c>
      <c r="D1131" s="14" t="s">
        <v>1301</v>
      </c>
      <c r="E1131" s="14" t="s">
        <v>8</v>
      </c>
      <c r="F1131" s="21" t="s">
        <v>1198</v>
      </c>
      <c r="G1131" s="21"/>
      <c r="H1131" s="27"/>
      <c r="I1131" s="231"/>
      <c r="J1131" s="234">
        <f t="shared" si="88"/>
        <v>0</v>
      </c>
      <c r="K1131" s="27">
        <f>INDEX(dim_price[Retail Price],MATCH("Oil decking",dim_price[Item Description],0))</f>
        <v>0</v>
      </c>
    </row>
    <row r="1132" spans="1:11">
      <c r="A1132" s="14">
        <v>1139</v>
      </c>
      <c r="B1132" s="14" t="s">
        <v>1295</v>
      </c>
      <c r="C1132" s="14" t="s">
        <v>98</v>
      </c>
      <c r="D1132" s="14" t="s">
        <v>1301</v>
      </c>
      <c r="E1132" s="14" t="s">
        <v>8</v>
      </c>
      <c r="F1132" s="21" t="s">
        <v>1199</v>
      </c>
      <c r="G1132" s="21"/>
      <c r="H1132" s="27"/>
      <c r="I1132" s="231"/>
      <c r="J1132" s="234">
        <f t="shared" si="88"/>
        <v>0</v>
      </c>
      <c r="K1132" s="27">
        <f>INDEX(dim_price[Retail Price],MATCH("Bulk heads, parapat wallsand Blueboard colyms                       Per metre",dim_price[Item Description],0))</f>
        <v>44</v>
      </c>
    </row>
    <row r="1133" spans="1:11">
      <c r="A1133" s="14">
        <v>1140</v>
      </c>
      <c r="B1133" s="14" t="s">
        <v>1295</v>
      </c>
      <c r="C1133" s="14" t="s">
        <v>98</v>
      </c>
      <c r="D1133" s="14" t="s">
        <v>1301</v>
      </c>
      <c r="E1133" s="14" t="s">
        <v>8</v>
      </c>
      <c r="F1133" s="21" t="s">
        <v>119</v>
      </c>
      <c r="G1133" s="21"/>
      <c r="H1133" s="27"/>
      <c r="I1133" s="231"/>
      <c r="J1133" s="234">
        <f t="shared" si="88"/>
        <v>0</v>
      </c>
      <c r="K1133" s="27">
        <f>INDEX(dim_price[Retail Price],MATCH("Prep and paint cement sheet                              m2",dim_price[Item Description],0))</f>
        <v>22</v>
      </c>
    </row>
    <row r="1134" spans="1:11">
      <c r="A1134" s="14">
        <v>1141</v>
      </c>
      <c r="B1134" s="14" t="s">
        <v>1295</v>
      </c>
      <c r="C1134" s="14" t="s">
        <v>98</v>
      </c>
      <c r="D1134" s="14" t="s">
        <v>1301</v>
      </c>
      <c r="E1134" s="14" t="s">
        <v>8</v>
      </c>
      <c r="F1134" s="21" t="s">
        <v>120</v>
      </c>
      <c r="G1134" s="21"/>
      <c r="H1134" s="27"/>
      <c r="I1134" s="231"/>
      <c r="J1134" s="234">
        <f t="shared" si="88"/>
        <v>0</v>
      </c>
      <c r="K1134" s="27">
        <f>INDEX(dim_price[Retail Price],MATCH("Paint Duro grove per m2 coats",dim_price[Item Description],0))</f>
        <v>4.4000000000000004</v>
      </c>
    </row>
    <row r="1135" spans="1:11">
      <c r="A1135" s="14">
        <v>1142</v>
      </c>
      <c r="B1135" s="14" t="s">
        <v>1295</v>
      </c>
      <c r="C1135" s="14" t="s">
        <v>98</v>
      </c>
      <c r="D1135" s="14" t="s">
        <v>1301</v>
      </c>
      <c r="E1135" s="14" t="s">
        <v>8</v>
      </c>
      <c r="F1135" s="21" t="s">
        <v>121</v>
      </c>
      <c r="G1135" s="21"/>
      <c r="H1135" s="27"/>
      <c r="I1135" s="231"/>
      <c r="J1135" s="234">
        <f t="shared" si="88"/>
        <v>0</v>
      </c>
      <c r="K1135" s="27" t="e">
        <f>INDEX(dim_price[Retail Price],MATCH("Prep and paint weatherboard                            Per Squre Metre",dim_price[Item Description],0))</f>
        <v>#N/A</v>
      </c>
    </row>
    <row r="1136" spans="1:11">
      <c r="A1136" s="14">
        <v>1143</v>
      </c>
      <c r="B1136" s="14" t="s">
        <v>1295</v>
      </c>
      <c r="C1136" s="14" t="s">
        <v>98</v>
      </c>
      <c r="D1136" s="14" t="s">
        <v>1301</v>
      </c>
      <c r="E1136" s="14" t="s">
        <v>8</v>
      </c>
      <c r="F1136" s="21" t="s">
        <v>122</v>
      </c>
      <c r="G1136" s="21"/>
      <c r="H1136" s="27">
        <v>82.5</v>
      </c>
      <c r="I1136" s="231">
        <v>4.25</v>
      </c>
      <c r="J1136" s="234">
        <v>52.05</v>
      </c>
      <c r="K1136" s="27">
        <v>138.80000000000001</v>
      </c>
    </row>
    <row r="1137" spans="1:11">
      <c r="A1137" s="14">
        <v>1144</v>
      </c>
      <c r="B1137" s="14" t="s">
        <v>1295</v>
      </c>
      <c r="C1137" s="14" t="s">
        <v>98</v>
      </c>
      <c r="D1137" s="14" t="s">
        <v>1301</v>
      </c>
      <c r="E1137" s="14" t="s">
        <v>8</v>
      </c>
      <c r="F1137" s="21" t="s">
        <v>123</v>
      </c>
      <c r="G1137" s="21"/>
      <c r="H1137" s="27"/>
      <c r="I1137" s="231"/>
      <c r="J1137" s="234">
        <f>H1137*$D$6</f>
        <v>0</v>
      </c>
      <c r="K1137" s="27">
        <f>INDEX(dim_price[Retail Price],MATCH("Entrance door and jam",dim_price[Item Description],0))</f>
        <v>64.533333333333331</v>
      </c>
    </row>
  </sheetData>
  <sheetProtection selectLockedCells="1"/>
  <mergeCells count="4">
    <mergeCell ref="N265:O265"/>
    <mergeCell ref="N495:N496"/>
    <mergeCell ref="P633:P634"/>
    <mergeCell ref="P766:P767"/>
  </mergeCells>
  <pageMargins left="0" right="0" top="0.39370078740157483" bottom="0" header="0.51181102362204722" footer="0.51181102362204722"/>
  <pageSetup orientation="landscape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B77E-1DAA-4520-AAC6-07E584612336}">
  <sheetPr codeName="Sheet25">
    <tabColor theme="4"/>
  </sheetPr>
  <dimension ref="A1:N12"/>
  <sheetViews>
    <sheetView tabSelected="1" topLeftCell="E1" workbookViewId="0">
      <selection activeCell="F16" sqref="F16"/>
    </sheetView>
  </sheetViews>
  <sheetFormatPr defaultRowHeight="15"/>
  <cols>
    <col min="1" max="2" width="15.28515625" customWidth="1"/>
    <col min="3" max="4" width="17.85546875" customWidth="1"/>
    <col min="5" max="5" width="52" bestFit="1" customWidth="1"/>
    <col min="6" max="6" width="46.7109375" bestFit="1" customWidth="1"/>
    <col min="7" max="8" width="15.28515625" customWidth="1"/>
    <col min="12" max="12" width="41.5703125" bestFit="1" customWidth="1"/>
    <col min="13" max="13" width="108.5703125" bestFit="1" customWidth="1"/>
  </cols>
  <sheetData>
    <row r="1" spans="1:14">
      <c r="A1" s="248" t="s">
        <v>1293</v>
      </c>
      <c r="B1" s="248" t="s">
        <v>1107</v>
      </c>
      <c r="C1" s="248" t="s">
        <v>4</v>
      </c>
      <c r="D1" s="248" t="s">
        <v>159</v>
      </c>
      <c r="E1" s="248" t="s">
        <v>110</v>
      </c>
      <c r="F1" s="248" t="s">
        <v>1361</v>
      </c>
      <c r="G1" s="248" t="s">
        <v>1362</v>
      </c>
      <c r="H1" s="254" t="s">
        <v>1242</v>
      </c>
      <c r="I1" s="254" t="s">
        <v>1365</v>
      </c>
    </row>
    <row r="2" spans="1:14">
      <c r="A2" t="s">
        <v>1363</v>
      </c>
      <c r="B2" t="s">
        <v>11</v>
      </c>
      <c r="C2" t="s">
        <v>16</v>
      </c>
      <c r="D2" t="s">
        <v>767</v>
      </c>
      <c r="E2" t="s">
        <v>1364</v>
      </c>
      <c r="F2" t="s">
        <v>206</v>
      </c>
      <c r="G2">
        <v>1</v>
      </c>
      <c r="H2">
        <f>INDEX(dim_price[Retail Price],MATCH(F2,dim_price[Item Description],0))</f>
        <v>26.639999999999997</v>
      </c>
      <c r="I2">
        <f t="shared" ref="I2:I9" si="0">G2*H2</f>
        <v>26.639999999999997</v>
      </c>
      <c r="K2" s="255" t="s">
        <v>1368</v>
      </c>
      <c r="L2" s="256" t="s">
        <v>1370</v>
      </c>
      <c r="M2" s="256" t="s">
        <v>1371</v>
      </c>
      <c r="N2" s="256" t="s">
        <v>1372</v>
      </c>
    </row>
    <row r="3" spans="1:14">
      <c r="A3" t="s">
        <v>1363</v>
      </c>
      <c r="B3" t="s">
        <v>11</v>
      </c>
      <c r="C3" t="s">
        <v>16</v>
      </c>
      <c r="D3" t="s">
        <v>7</v>
      </c>
      <c r="E3" t="s">
        <v>1364</v>
      </c>
      <c r="F3" t="s">
        <v>663</v>
      </c>
      <c r="G3">
        <v>2</v>
      </c>
      <c r="H3">
        <f>INDEX(dim_price[Retail Price],MATCH(F3,dim_price[Item Description],0))</f>
        <v>0.312</v>
      </c>
      <c r="I3">
        <f t="shared" si="0"/>
        <v>0.624</v>
      </c>
      <c r="L3" s="257" t="s">
        <v>1374</v>
      </c>
      <c r="M3" s="257" t="s">
        <v>1369</v>
      </c>
      <c r="N3" s="257" t="s">
        <v>1373</v>
      </c>
    </row>
    <row r="4" spans="1:14">
      <c r="A4" t="s">
        <v>1363</v>
      </c>
      <c r="B4" t="s">
        <v>11</v>
      </c>
      <c r="C4" t="s">
        <v>16</v>
      </c>
      <c r="D4" t="s">
        <v>7</v>
      </c>
      <c r="E4" t="s">
        <v>1364</v>
      </c>
      <c r="F4" t="s">
        <v>668</v>
      </c>
      <c r="G4">
        <v>4</v>
      </c>
      <c r="H4">
        <f>INDEX(dim_price[Retail Price],MATCH(F4,dim_price[Item Description],0))</f>
        <v>0.32799999999999996</v>
      </c>
      <c r="I4">
        <f t="shared" si="0"/>
        <v>1.3119999999999998</v>
      </c>
      <c r="L4" s="257" t="s">
        <v>1375</v>
      </c>
      <c r="M4" s="257" t="s">
        <v>1376</v>
      </c>
      <c r="N4" s="257" t="s">
        <v>1377</v>
      </c>
    </row>
    <row r="5" spans="1:14">
      <c r="A5" t="s">
        <v>1363</v>
      </c>
      <c r="B5" t="s">
        <v>11</v>
      </c>
      <c r="C5" t="s">
        <v>16</v>
      </c>
      <c r="D5" t="s">
        <v>7</v>
      </c>
      <c r="E5" t="s">
        <v>1364</v>
      </c>
      <c r="F5" t="s">
        <v>676</v>
      </c>
      <c r="G5">
        <v>4</v>
      </c>
      <c r="H5">
        <f>INDEX(dim_price[Retail Price],MATCH(F5,dim_price[Item Description],0))</f>
        <v>4.3200000000000002E-2</v>
      </c>
      <c r="I5">
        <f t="shared" si="0"/>
        <v>0.17280000000000001</v>
      </c>
      <c r="L5" s="257" t="s">
        <v>1378</v>
      </c>
      <c r="M5" s="257" t="s">
        <v>1379</v>
      </c>
      <c r="N5" s="257" t="s">
        <v>1380</v>
      </c>
    </row>
    <row r="6" spans="1:14">
      <c r="A6" t="s">
        <v>1363</v>
      </c>
      <c r="B6" t="s">
        <v>11</v>
      </c>
      <c r="C6" t="s">
        <v>16</v>
      </c>
      <c r="D6" t="s">
        <v>767</v>
      </c>
      <c r="E6" t="s">
        <v>1395</v>
      </c>
      <c r="F6" t="s">
        <v>19</v>
      </c>
      <c r="G6">
        <v>1</v>
      </c>
      <c r="H6">
        <f>INDEX(dim_price[Retail Price],MATCH(F6,dim_price[Item Description],0))</f>
        <v>28.639999999999997</v>
      </c>
      <c r="I6">
        <f t="shared" si="0"/>
        <v>28.639999999999997</v>
      </c>
    </row>
    <row r="7" spans="1:14">
      <c r="A7" t="s">
        <v>1363</v>
      </c>
      <c r="B7" t="s">
        <v>11</v>
      </c>
      <c r="C7" t="s">
        <v>16</v>
      </c>
      <c r="D7" t="s">
        <v>7</v>
      </c>
      <c r="E7" t="s">
        <v>1395</v>
      </c>
      <c r="F7" t="s">
        <v>663</v>
      </c>
      <c r="G7">
        <v>2</v>
      </c>
      <c r="H7">
        <f>INDEX(dim_price[Retail Price],MATCH(F7,dim_price[Item Description],0))</f>
        <v>0.312</v>
      </c>
      <c r="I7">
        <f t="shared" si="0"/>
        <v>0.624</v>
      </c>
    </row>
    <row r="8" spans="1:14">
      <c r="A8" t="s">
        <v>1363</v>
      </c>
      <c r="B8" t="s">
        <v>11</v>
      </c>
      <c r="C8" t="s">
        <v>16</v>
      </c>
      <c r="D8" t="s">
        <v>7</v>
      </c>
      <c r="E8" t="s">
        <v>1395</v>
      </c>
      <c r="F8" t="s">
        <v>668</v>
      </c>
      <c r="G8">
        <v>4</v>
      </c>
      <c r="H8">
        <f>INDEX(dim_price[Retail Price],MATCH(F8,dim_price[Item Description],0))</f>
        <v>0.32799999999999996</v>
      </c>
      <c r="I8">
        <f t="shared" si="0"/>
        <v>1.3119999999999998</v>
      </c>
    </row>
    <row r="9" spans="1:14">
      <c r="A9" t="s">
        <v>1363</v>
      </c>
      <c r="B9" t="s">
        <v>11</v>
      </c>
      <c r="C9" t="s">
        <v>16</v>
      </c>
      <c r="D9" t="s">
        <v>7</v>
      </c>
      <c r="E9" t="s">
        <v>1395</v>
      </c>
      <c r="F9" t="s">
        <v>676</v>
      </c>
      <c r="G9">
        <v>4</v>
      </c>
      <c r="H9">
        <f>INDEX(dim_price[Retail Price],MATCH(F9,dim_price[Item Description],0))</f>
        <v>4.3200000000000002E-2</v>
      </c>
      <c r="I9">
        <f t="shared" si="0"/>
        <v>0.17280000000000001</v>
      </c>
    </row>
    <row r="11" spans="1:14">
      <c r="E11" s="255" t="s">
        <v>1398</v>
      </c>
    </row>
    <row r="12" spans="1:14">
      <c r="E12" t="s">
        <v>1399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60680-3ACA-4B86-A4E0-A7643D773959}">
  <sheetPr codeName="Sheet17">
    <tabColor theme="4"/>
  </sheetPr>
  <dimension ref="A1:K1133"/>
  <sheetViews>
    <sheetView topLeftCell="A1087" zoomScale="70" zoomScaleNormal="70" workbookViewId="0">
      <selection activeCell="D1131" sqref="D1131"/>
    </sheetView>
  </sheetViews>
  <sheetFormatPr defaultRowHeight="15"/>
  <cols>
    <col min="1" max="1" width="7.28515625" bestFit="1" customWidth="1"/>
    <col min="2" max="2" width="19.28515625" bestFit="1" customWidth="1"/>
    <col min="3" max="3" width="70.7109375" bestFit="1" customWidth="1"/>
    <col min="4" max="4" width="81.140625" bestFit="1" customWidth="1"/>
    <col min="5" max="5" width="10.5703125" bestFit="1" customWidth="1"/>
    <col min="6" max="7" width="81.140625" bestFit="1" customWidth="1"/>
    <col min="8" max="8" width="11.140625" bestFit="1" customWidth="1"/>
    <col min="9" max="9" width="19.140625" bestFit="1" customWidth="1"/>
    <col min="10" max="10" width="13.140625" bestFit="1" customWidth="1"/>
    <col min="11" max="11" width="18.140625" bestFit="1" customWidth="1"/>
  </cols>
  <sheetData>
    <row r="1" spans="1:11">
      <c r="A1" t="s">
        <v>1300</v>
      </c>
      <c r="B1" t="s">
        <v>1293</v>
      </c>
      <c r="C1" t="s">
        <v>1107</v>
      </c>
      <c r="D1" t="s">
        <v>4</v>
      </c>
      <c r="E1" t="s">
        <v>159</v>
      </c>
      <c r="F1" t="s">
        <v>110</v>
      </c>
      <c r="G1" t="s">
        <v>1304</v>
      </c>
      <c r="H1" t="s">
        <v>154</v>
      </c>
      <c r="I1" t="s">
        <v>1243</v>
      </c>
      <c r="J1" t="s">
        <v>0</v>
      </c>
      <c r="K1" t="s">
        <v>1242</v>
      </c>
    </row>
    <row r="2" spans="1:11">
      <c r="A2">
        <v>1</v>
      </c>
      <c r="B2" t="s">
        <v>1349</v>
      </c>
      <c r="C2" t="s">
        <v>108</v>
      </c>
      <c r="D2" t="s">
        <v>12</v>
      </c>
      <c r="E2" t="s">
        <v>7</v>
      </c>
      <c r="F2" t="s">
        <v>160</v>
      </c>
      <c r="H2">
        <v>950</v>
      </c>
      <c r="J2">
        <v>570</v>
      </c>
      <c r="K2">
        <v>1520</v>
      </c>
    </row>
    <row r="3" spans="1:11">
      <c r="A3">
        <v>2</v>
      </c>
      <c r="B3" t="s">
        <v>1349</v>
      </c>
      <c r="C3" t="s">
        <v>108</v>
      </c>
      <c r="D3" t="s">
        <v>12</v>
      </c>
      <c r="E3" t="s">
        <v>7</v>
      </c>
      <c r="F3" t="s">
        <v>161</v>
      </c>
      <c r="H3">
        <v>1000</v>
      </c>
      <c r="J3">
        <v>600</v>
      </c>
      <c r="K3">
        <v>1600</v>
      </c>
    </row>
    <row r="4" spans="1:11">
      <c r="A4">
        <v>3</v>
      </c>
      <c r="B4" t="s">
        <v>1349</v>
      </c>
      <c r="C4" t="s">
        <v>108</v>
      </c>
      <c r="D4" t="s">
        <v>12</v>
      </c>
      <c r="E4" t="s">
        <v>7</v>
      </c>
      <c r="F4" t="s">
        <v>162</v>
      </c>
      <c r="H4">
        <v>1000</v>
      </c>
      <c r="J4">
        <v>600</v>
      </c>
      <c r="K4">
        <v>1600</v>
      </c>
    </row>
    <row r="5" spans="1:11">
      <c r="A5">
        <v>4</v>
      </c>
      <c r="B5" t="s">
        <v>1349</v>
      </c>
      <c r="C5" t="s">
        <v>108</v>
      </c>
      <c r="D5" t="s">
        <v>12</v>
      </c>
      <c r="E5" t="s">
        <v>7</v>
      </c>
      <c r="F5" t="s">
        <v>163</v>
      </c>
      <c r="H5">
        <v>1000</v>
      </c>
      <c r="J5">
        <v>600</v>
      </c>
      <c r="K5">
        <v>1600</v>
      </c>
    </row>
    <row r="6" spans="1:11">
      <c r="A6">
        <v>5</v>
      </c>
      <c r="B6" t="s">
        <v>1349</v>
      </c>
      <c r="C6" t="s">
        <v>108</v>
      </c>
      <c r="D6" t="s">
        <v>12</v>
      </c>
      <c r="E6" t="s">
        <v>7</v>
      </c>
      <c r="F6" t="s">
        <v>164</v>
      </c>
      <c r="H6">
        <v>1150</v>
      </c>
      <c r="J6">
        <v>690</v>
      </c>
      <c r="K6">
        <v>1840</v>
      </c>
    </row>
    <row r="7" spans="1:11">
      <c r="A7">
        <v>6</v>
      </c>
      <c r="B7" t="s">
        <v>1349</v>
      </c>
      <c r="C7" t="s">
        <v>108</v>
      </c>
      <c r="D7" t="s">
        <v>12</v>
      </c>
      <c r="E7" t="s">
        <v>7</v>
      </c>
      <c r="F7" t="s">
        <v>165</v>
      </c>
      <c r="H7">
        <v>1150</v>
      </c>
      <c r="J7">
        <v>690</v>
      </c>
      <c r="K7">
        <v>1840</v>
      </c>
    </row>
    <row r="8" spans="1:11">
      <c r="A8">
        <v>7</v>
      </c>
      <c r="B8" t="s">
        <v>1349</v>
      </c>
      <c r="C8" t="s">
        <v>108</v>
      </c>
      <c r="D8" t="s">
        <v>12</v>
      </c>
      <c r="E8" t="s">
        <v>7</v>
      </c>
      <c r="F8" t="s">
        <v>166</v>
      </c>
      <c r="H8">
        <v>1150</v>
      </c>
      <c r="J8">
        <v>690</v>
      </c>
      <c r="K8">
        <v>1840</v>
      </c>
    </row>
    <row r="9" spans="1:11">
      <c r="A9">
        <v>8</v>
      </c>
      <c r="B9" t="s">
        <v>1349</v>
      </c>
      <c r="C9" t="s">
        <v>108</v>
      </c>
      <c r="D9" t="s">
        <v>12</v>
      </c>
      <c r="E9" t="s">
        <v>7</v>
      </c>
      <c r="F9" t="s">
        <v>167</v>
      </c>
      <c r="H9">
        <v>1150</v>
      </c>
      <c r="J9">
        <v>690</v>
      </c>
      <c r="K9">
        <v>1840</v>
      </c>
    </row>
    <row r="10" spans="1:11">
      <c r="A10">
        <v>9</v>
      </c>
      <c r="B10" t="s">
        <v>1349</v>
      </c>
      <c r="C10" t="s">
        <v>108</v>
      </c>
      <c r="D10" t="s">
        <v>12</v>
      </c>
      <c r="E10" t="s">
        <v>7</v>
      </c>
      <c r="F10" t="s">
        <v>168</v>
      </c>
      <c r="H10">
        <v>1200</v>
      </c>
      <c r="J10">
        <v>720</v>
      </c>
      <c r="K10">
        <v>1920</v>
      </c>
    </row>
    <row r="11" spans="1:11">
      <c r="A11">
        <v>10</v>
      </c>
      <c r="B11" t="s">
        <v>1349</v>
      </c>
      <c r="C11" t="s">
        <v>108</v>
      </c>
      <c r="D11" t="s">
        <v>12</v>
      </c>
      <c r="E11" t="s">
        <v>7</v>
      </c>
      <c r="F11" t="s">
        <v>169</v>
      </c>
      <c r="H11">
        <v>1300</v>
      </c>
      <c r="J11">
        <v>780</v>
      </c>
      <c r="K11">
        <v>2080</v>
      </c>
    </row>
    <row r="12" spans="1:11">
      <c r="A12">
        <v>11</v>
      </c>
      <c r="B12" t="s">
        <v>1349</v>
      </c>
      <c r="C12" t="s">
        <v>108</v>
      </c>
      <c r="D12" t="s">
        <v>12</v>
      </c>
      <c r="E12" t="s">
        <v>7</v>
      </c>
      <c r="F12" t="s">
        <v>170</v>
      </c>
      <c r="H12">
        <v>1550</v>
      </c>
      <c r="J12">
        <v>930</v>
      </c>
      <c r="K12">
        <v>2480</v>
      </c>
    </row>
    <row r="13" spans="1:11">
      <c r="A13">
        <v>12</v>
      </c>
      <c r="B13" t="s">
        <v>1349</v>
      </c>
      <c r="C13" t="s">
        <v>108</v>
      </c>
      <c r="D13" t="s">
        <v>12</v>
      </c>
      <c r="E13" t="s">
        <v>7</v>
      </c>
      <c r="F13" t="s">
        <v>171</v>
      </c>
      <c r="H13">
        <v>1550</v>
      </c>
      <c r="J13">
        <v>930</v>
      </c>
      <c r="K13">
        <v>2480</v>
      </c>
    </row>
    <row r="14" spans="1:11">
      <c r="A14">
        <v>13</v>
      </c>
      <c r="B14" t="s">
        <v>1349</v>
      </c>
      <c r="C14" t="s">
        <v>108</v>
      </c>
      <c r="D14" t="s">
        <v>12</v>
      </c>
      <c r="E14" t="s">
        <v>7</v>
      </c>
      <c r="F14" t="s">
        <v>172</v>
      </c>
      <c r="H14">
        <v>1750</v>
      </c>
      <c r="J14">
        <v>1050</v>
      </c>
      <c r="K14">
        <v>2800</v>
      </c>
    </row>
    <row r="15" spans="1:11">
      <c r="A15">
        <v>14</v>
      </c>
      <c r="B15" t="s">
        <v>1349</v>
      </c>
      <c r="C15" t="s">
        <v>108</v>
      </c>
      <c r="D15" t="s">
        <v>12</v>
      </c>
      <c r="E15" t="s">
        <v>7</v>
      </c>
      <c r="F15" t="s">
        <v>173</v>
      </c>
      <c r="H15">
        <v>1750</v>
      </c>
      <c r="J15">
        <v>1050</v>
      </c>
      <c r="K15">
        <v>2800</v>
      </c>
    </row>
    <row r="16" spans="1:11">
      <c r="A16">
        <v>15</v>
      </c>
      <c r="B16" t="s">
        <v>1349</v>
      </c>
      <c r="C16" t="s">
        <v>108</v>
      </c>
      <c r="D16" t="s">
        <v>12</v>
      </c>
      <c r="E16" t="s">
        <v>7</v>
      </c>
      <c r="F16" t="s">
        <v>174</v>
      </c>
      <c r="H16">
        <v>1950</v>
      </c>
      <c r="J16">
        <v>1170</v>
      </c>
      <c r="K16">
        <v>3120</v>
      </c>
    </row>
    <row r="17" spans="1:11">
      <c r="A17">
        <v>16</v>
      </c>
      <c r="B17" t="s">
        <v>1349</v>
      </c>
      <c r="C17" t="s">
        <v>108</v>
      </c>
      <c r="D17" t="s">
        <v>12</v>
      </c>
      <c r="E17" t="s">
        <v>7</v>
      </c>
      <c r="F17" t="s">
        <v>175</v>
      </c>
      <c r="H17">
        <v>1950</v>
      </c>
      <c r="J17">
        <v>1170</v>
      </c>
      <c r="K17">
        <v>3120</v>
      </c>
    </row>
    <row r="18" spans="1:11">
      <c r="A18">
        <v>17</v>
      </c>
      <c r="B18" t="s">
        <v>1349</v>
      </c>
      <c r="C18" t="s">
        <v>108</v>
      </c>
      <c r="D18" t="s">
        <v>12</v>
      </c>
      <c r="E18" t="s">
        <v>7</v>
      </c>
      <c r="F18" t="s">
        <v>176</v>
      </c>
      <c r="H18">
        <v>2150</v>
      </c>
      <c r="J18">
        <v>1290</v>
      </c>
      <c r="K18">
        <v>3440</v>
      </c>
    </row>
    <row r="19" spans="1:11">
      <c r="A19">
        <v>18</v>
      </c>
      <c r="B19" t="s">
        <v>1349</v>
      </c>
      <c r="C19" t="s">
        <v>108</v>
      </c>
      <c r="D19" t="s">
        <v>12</v>
      </c>
      <c r="E19" t="s">
        <v>7</v>
      </c>
      <c r="F19" t="s">
        <v>177</v>
      </c>
      <c r="H19">
        <v>2150</v>
      </c>
      <c r="J19">
        <v>1290</v>
      </c>
      <c r="K19">
        <v>3440</v>
      </c>
    </row>
    <row r="20" spans="1:11">
      <c r="A20">
        <v>19</v>
      </c>
      <c r="B20" t="s">
        <v>1349</v>
      </c>
      <c r="C20" t="s">
        <v>108</v>
      </c>
      <c r="D20" t="s">
        <v>12</v>
      </c>
      <c r="E20" t="s">
        <v>7</v>
      </c>
      <c r="F20" t="s">
        <v>178</v>
      </c>
      <c r="H20">
        <v>2350</v>
      </c>
      <c r="J20">
        <v>1410</v>
      </c>
      <c r="K20">
        <v>3760</v>
      </c>
    </row>
    <row r="21" spans="1:11">
      <c r="A21">
        <v>20</v>
      </c>
      <c r="B21" t="s">
        <v>1349</v>
      </c>
      <c r="C21" t="s">
        <v>108</v>
      </c>
      <c r="D21" t="s">
        <v>12</v>
      </c>
      <c r="E21" t="s">
        <v>7</v>
      </c>
      <c r="F21" t="s">
        <v>179</v>
      </c>
      <c r="H21">
        <v>2350</v>
      </c>
      <c r="J21">
        <v>1410</v>
      </c>
      <c r="K21">
        <v>3760</v>
      </c>
    </row>
    <row r="22" spans="1:11">
      <c r="A22">
        <v>21</v>
      </c>
      <c r="B22" t="s">
        <v>1349</v>
      </c>
      <c r="C22" t="s">
        <v>108</v>
      </c>
      <c r="D22" t="s">
        <v>12</v>
      </c>
      <c r="E22" t="s">
        <v>7</v>
      </c>
      <c r="F22" t="s">
        <v>180</v>
      </c>
      <c r="H22">
        <v>2550</v>
      </c>
      <c r="J22">
        <v>1530</v>
      </c>
      <c r="K22">
        <v>4080</v>
      </c>
    </row>
    <row r="23" spans="1:11">
      <c r="A23">
        <v>22</v>
      </c>
      <c r="B23" t="s">
        <v>1349</v>
      </c>
      <c r="C23" t="s">
        <v>108</v>
      </c>
      <c r="D23" t="s">
        <v>12</v>
      </c>
      <c r="E23" t="s">
        <v>7</v>
      </c>
      <c r="F23" t="s">
        <v>181</v>
      </c>
      <c r="H23">
        <v>2550</v>
      </c>
      <c r="J23">
        <v>1530</v>
      </c>
      <c r="K23">
        <v>4080</v>
      </c>
    </row>
    <row r="24" spans="1:11">
      <c r="A24">
        <v>23</v>
      </c>
      <c r="B24" t="s">
        <v>1349</v>
      </c>
      <c r="C24" t="s">
        <v>108</v>
      </c>
      <c r="D24" t="s">
        <v>12</v>
      </c>
      <c r="E24" t="s">
        <v>7</v>
      </c>
      <c r="F24" t="s">
        <v>182</v>
      </c>
      <c r="H24">
        <v>2750</v>
      </c>
      <c r="J24">
        <v>1650</v>
      </c>
      <c r="K24">
        <v>4400</v>
      </c>
    </row>
    <row r="25" spans="1:11">
      <c r="A25">
        <v>24</v>
      </c>
      <c r="B25" t="s">
        <v>1349</v>
      </c>
      <c r="C25" t="s">
        <v>108</v>
      </c>
      <c r="D25" t="s">
        <v>12</v>
      </c>
      <c r="E25" t="s">
        <v>7</v>
      </c>
      <c r="F25" t="s">
        <v>183</v>
      </c>
      <c r="H25">
        <v>2750</v>
      </c>
      <c r="J25">
        <v>1650</v>
      </c>
      <c r="K25">
        <v>4400</v>
      </c>
    </row>
    <row r="26" spans="1:11">
      <c r="A26">
        <v>25</v>
      </c>
      <c r="B26" t="s">
        <v>1349</v>
      </c>
      <c r="C26" t="s">
        <v>108</v>
      </c>
      <c r="D26" t="s">
        <v>12</v>
      </c>
      <c r="E26" t="s">
        <v>7</v>
      </c>
      <c r="F26" t="s">
        <v>184</v>
      </c>
      <c r="H26">
        <v>2950</v>
      </c>
      <c r="J26">
        <v>1770</v>
      </c>
      <c r="K26">
        <v>4720</v>
      </c>
    </row>
    <row r="27" spans="1:11">
      <c r="A27">
        <v>26</v>
      </c>
      <c r="B27" t="s">
        <v>1349</v>
      </c>
      <c r="C27" t="s">
        <v>108</v>
      </c>
      <c r="D27" t="s">
        <v>12</v>
      </c>
      <c r="E27" t="s">
        <v>7</v>
      </c>
      <c r="F27" t="s">
        <v>185</v>
      </c>
      <c r="H27">
        <v>2950</v>
      </c>
      <c r="J27">
        <v>1770</v>
      </c>
      <c r="K27">
        <v>4720</v>
      </c>
    </row>
    <row r="28" spans="1:11">
      <c r="A28">
        <v>27</v>
      </c>
      <c r="B28" t="s">
        <v>1349</v>
      </c>
      <c r="C28" t="s">
        <v>108</v>
      </c>
      <c r="D28" t="s">
        <v>12</v>
      </c>
      <c r="E28" t="s">
        <v>7</v>
      </c>
      <c r="F28" t="s">
        <v>186</v>
      </c>
      <c r="H28">
        <v>3100</v>
      </c>
      <c r="J28">
        <v>1860</v>
      </c>
      <c r="K28">
        <v>4960</v>
      </c>
    </row>
    <row r="29" spans="1:11">
      <c r="A29">
        <v>28</v>
      </c>
      <c r="B29" t="s">
        <v>1349</v>
      </c>
      <c r="C29" t="s">
        <v>108</v>
      </c>
      <c r="D29" t="s">
        <v>12</v>
      </c>
      <c r="E29" t="s">
        <v>7</v>
      </c>
      <c r="F29" t="s">
        <v>187</v>
      </c>
      <c r="H29">
        <v>3100</v>
      </c>
      <c r="J29">
        <v>1860</v>
      </c>
      <c r="K29">
        <v>4960</v>
      </c>
    </row>
    <row r="30" spans="1:11">
      <c r="A30">
        <v>29</v>
      </c>
      <c r="B30" t="s">
        <v>1349</v>
      </c>
      <c r="C30" t="s">
        <v>108</v>
      </c>
      <c r="D30" t="s">
        <v>188</v>
      </c>
      <c r="E30" t="s">
        <v>7</v>
      </c>
      <c r="F30" t="s">
        <v>189</v>
      </c>
      <c r="H30">
        <v>0</v>
      </c>
      <c r="J30">
        <v>0</v>
      </c>
    </row>
    <row r="31" spans="1:11">
      <c r="A31">
        <v>30</v>
      </c>
      <c r="B31" t="s">
        <v>1349</v>
      </c>
      <c r="C31" t="s">
        <v>108</v>
      </c>
      <c r="D31" t="s">
        <v>188</v>
      </c>
      <c r="E31" t="s">
        <v>7</v>
      </c>
      <c r="F31" t="s">
        <v>190</v>
      </c>
      <c r="H31">
        <v>1276.73</v>
      </c>
      <c r="J31">
        <v>766.03800000000001</v>
      </c>
      <c r="K31">
        <v>2042.768</v>
      </c>
    </row>
    <row r="32" spans="1:11">
      <c r="A32">
        <v>31</v>
      </c>
      <c r="B32" t="s">
        <v>1349</v>
      </c>
      <c r="C32" t="s">
        <v>108</v>
      </c>
      <c r="D32" t="s">
        <v>188</v>
      </c>
      <c r="E32" t="s">
        <v>7</v>
      </c>
      <c r="F32" t="s">
        <v>191</v>
      </c>
      <c r="H32">
        <v>1432.06</v>
      </c>
      <c r="J32">
        <v>859.23599999999999</v>
      </c>
      <c r="K32">
        <v>2291.2959999999998</v>
      </c>
    </row>
    <row r="33" spans="1:11">
      <c r="A33">
        <v>32</v>
      </c>
      <c r="B33" t="s">
        <v>1349</v>
      </c>
      <c r="C33" t="s">
        <v>108</v>
      </c>
      <c r="D33" t="s">
        <v>188</v>
      </c>
      <c r="E33" t="s">
        <v>7</v>
      </c>
      <c r="F33" t="s">
        <v>192</v>
      </c>
      <c r="H33">
        <v>1652.77</v>
      </c>
      <c r="J33">
        <v>991.66200000000003</v>
      </c>
      <c r="K33">
        <v>2644.4319999999998</v>
      </c>
    </row>
    <row r="34" spans="1:11">
      <c r="A34">
        <v>33</v>
      </c>
      <c r="B34" t="s">
        <v>1349</v>
      </c>
      <c r="C34" t="s">
        <v>108</v>
      </c>
      <c r="D34" t="s">
        <v>188</v>
      </c>
      <c r="E34" t="s">
        <v>7</v>
      </c>
      <c r="F34" t="s">
        <v>193</v>
      </c>
      <c r="H34">
        <v>1996.11</v>
      </c>
      <c r="J34">
        <v>1197.6659999999999</v>
      </c>
      <c r="K34">
        <v>3193.7759999999998</v>
      </c>
    </row>
    <row r="35" spans="1:11">
      <c r="A35">
        <v>34</v>
      </c>
      <c r="B35" t="s">
        <v>1349</v>
      </c>
      <c r="C35" t="s">
        <v>108</v>
      </c>
      <c r="D35" t="s">
        <v>188</v>
      </c>
      <c r="E35" t="s">
        <v>7</v>
      </c>
      <c r="F35" t="s">
        <v>194</v>
      </c>
      <c r="H35">
        <v>2445.6999999999998</v>
      </c>
      <c r="J35">
        <v>1467.42</v>
      </c>
      <c r="K35">
        <v>3913.12</v>
      </c>
    </row>
    <row r="36" spans="1:11">
      <c r="A36">
        <v>35</v>
      </c>
      <c r="B36" t="s">
        <v>1349</v>
      </c>
      <c r="C36" t="s">
        <v>108</v>
      </c>
      <c r="D36" t="s">
        <v>188</v>
      </c>
      <c r="E36" t="s">
        <v>7</v>
      </c>
      <c r="F36" t="s">
        <v>195</v>
      </c>
      <c r="H36">
        <v>2821.73</v>
      </c>
      <c r="J36">
        <v>1693.038</v>
      </c>
      <c r="K36">
        <v>4514.768</v>
      </c>
    </row>
    <row r="37" spans="1:11">
      <c r="A37">
        <v>36</v>
      </c>
      <c r="B37" t="s">
        <v>1349</v>
      </c>
      <c r="C37" t="s">
        <v>108</v>
      </c>
      <c r="D37" t="s">
        <v>79</v>
      </c>
      <c r="E37" t="s">
        <v>7</v>
      </c>
      <c r="F37" t="s">
        <v>196</v>
      </c>
      <c r="H37">
        <v>84.3</v>
      </c>
      <c r="J37">
        <v>50.58</v>
      </c>
      <c r="K37">
        <v>134.88</v>
      </c>
    </row>
    <row r="38" spans="1:11">
      <c r="A38">
        <v>37</v>
      </c>
      <c r="B38" t="s">
        <v>1349</v>
      </c>
      <c r="C38" t="s">
        <v>108</v>
      </c>
      <c r="D38" t="s">
        <v>79</v>
      </c>
      <c r="E38" t="s">
        <v>7</v>
      </c>
      <c r="F38" t="s">
        <v>197</v>
      </c>
      <c r="H38">
        <v>279.64999999999998</v>
      </c>
      <c r="J38">
        <v>167.79</v>
      </c>
      <c r="K38">
        <v>447.44</v>
      </c>
    </row>
    <row r="39" spans="1:11">
      <c r="A39">
        <v>38</v>
      </c>
      <c r="B39" t="s">
        <v>1349</v>
      </c>
      <c r="C39" t="s">
        <v>108</v>
      </c>
      <c r="D39" t="s">
        <v>79</v>
      </c>
      <c r="E39" t="s">
        <v>7</v>
      </c>
      <c r="F39" t="s">
        <v>198</v>
      </c>
      <c r="H39">
        <v>1.2800000000000001E-3</v>
      </c>
      <c r="J39">
        <v>8.0000000000000004E-4</v>
      </c>
    </row>
    <row r="40" spans="1:11">
      <c r="A40">
        <v>39</v>
      </c>
      <c r="B40" t="s">
        <v>1349</v>
      </c>
      <c r="C40" t="s">
        <v>108</v>
      </c>
      <c r="D40" t="s">
        <v>79</v>
      </c>
      <c r="E40" t="s">
        <v>7</v>
      </c>
      <c r="F40" t="s">
        <v>199</v>
      </c>
    </row>
    <row r="41" spans="1:11">
      <c r="A41">
        <v>40</v>
      </c>
      <c r="B41" t="s">
        <v>1295</v>
      </c>
      <c r="C41" t="s">
        <v>1109</v>
      </c>
      <c r="D41" t="s">
        <v>200</v>
      </c>
      <c r="E41" t="s">
        <v>7</v>
      </c>
      <c r="F41" t="s">
        <v>201</v>
      </c>
      <c r="H41">
        <v>500</v>
      </c>
      <c r="J41">
        <v>300</v>
      </c>
      <c r="K41">
        <v>800</v>
      </c>
    </row>
    <row r="42" spans="1:11">
      <c r="A42">
        <v>41</v>
      </c>
      <c r="B42" t="s">
        <v>1295</v>
      </c>
      <c r="C42" t="s">
        <v>1109</v>
      </c>
      <c r="D42" t="s">
        <v>200</v>
      </c>
      <c r="E42" t="s">
        <v>7</v>
      </c>
      <c r="F42" t="s">
        <v>1294</v>
      </c>
      <c r="H42">
        <v>400</v>
      </c>
      <c r="J42">
        <v>240</v>
      </c>
      <c r="K42">
        <v>640</v>
      </c>
    </row>
    <row r="43" spans="1:11">
      <c r="A43">
        <v>42</v>
      </c>
      <c r="B43" t="s">
        <v>1295</v>
      </c>
      <c r="C43" t="s">
        <v>11</v>
      </c>
      <c r="D43" t="s">
        <v>13</v>
      </c>
      <c r="E43" t="s">
        <v>7</v>
      </c>
      <c r="F43" t="s">
        <v>202</v>
      </c>
      <c r="H43">
        <v>9.1</v>
      </c>
      <c r="J43">
        <v>5.46</v>
      </c>
      <c r="K43">
        <v>14.56</v>
      </c>
    </row>
    <row r="44" spans="1:11">
      <c r="A44">
        <v>43</v>
      </c>
      <c r="B44" t="s">
        <v>1295</v>
      </c>
      <c r="C44" t="s">
        <v>11</v>
      </c>
      <c r="D44" t="s">
        <v>13</v>
      </c>
      <c r="E44" t="s">
        <v>7</v>
      </c>
      <c r="F44" t="s">
        <v>204</v>
      </c>
      <c r="H44">
        <v>300</v>
      </c>
      <c r="J44">
        <v>180</v>
      </c>
      <c r="K44">
        <v>480</v>
      </c>
    </row>
    <row r="45" spans="1:11">
      <c r="A45">
        <v>44</v>
      </c>
      <c r="B45" t="s">
        <v>1295</v>
      </c>
      <c r="C45" t="s">
        <v>11</v>
      </c>
      <c r="D45" t="s">
        <v>13</v>
      </c>
      <c r="E45" t="s">
        <v>7</v>
      </c>
      <c r="F45" t="s">
        <v>1319</v>
      </c>
      <c r="H45">
        <v>300</v>
      </c>
      <c r="J45">
        <v>180</v>
      </c>
      <c r="K45">
        <v>480</v>
      </c>
    </row>
    <row r="46" spans="1:11">
      <c r="A46">
        <v>45</v>
      </c>
      <c r="B46" t="s">
        <v>1295</v>
      </c>
      <c r="C46" t="s">
        <v>11</v>
      </c>
      <c r="D46" t="s">
        <v>16</v>
      </c>
      <c r="E46" t="s">
        <v>7</v>
      </c>
      <c r="F46" t="s">
        <v>205</v>
      </c>
      <c r="H46">
        <v>15.2</v>
      </c>
      <c r="J46">
        <v>9.1199999999999992</v>
      </c>
      <c r="K46">
        <v>24.32</v>
      </c>
    </row>
    <row r="47" spans="1:11">
      <c r="A47">
        <v>46</v>
      </c>
      <c r="B47" t="s">
        <v>1295</v>
      </c>
      <c r="C47" t="s">
        <v>11</v>
      </c>
      <c r="D47" t="s">
        <v>16</v>
      </c>
      <c r="E47" t="s">
        <v>7</v>
      </c>
      <c r="F47" t="s">
        <v>20</v>
      </c>
      <c r="H47">
        <v>40</v>
      </c>
      <c r="J47">
        <v>24</v>
      </c>
      <c r="K47">
        <v>64</v>
      </c>
    </row>
    <row r="48" spans="1:11">
      <c r="A48">
        <v>47</v>
      </c>
      <c r="B48" t="s">
        <v>1295</v>
      </c>
      <c r="C48" t="s">
        <v>11</v>
      </c>
      <c r="D48" t="s">
        <v>16</v>
      </c>
      <c r="E48" t="s">
        <v>7</v>
      </c>
      <c r="F48" t="s">
        <v>206</v>
      </c>
      <c r="H48">
        <v>16.649999999999999</v>
      </c>
      <c r="J48">
        <v>9.99</v>
      </c>
      <c r="K48">
        <v>26.64</v>
      </c>
    </row>
    <row r="49" spans="1:11">
      <c r="A49">
        <v>48</v>
      </c>
      <c r="B49" t="s">
        <v>1295</v>
      </c>
      <c r="C49" t="s">
        <v>11</v>
      </c>
      <c r="D49" t="s">
        <v>16</v>
      </c>
      <c r="E49" t="s">
        <v>7</v>
      </c>
      <c r="F49" t="s">
        <v>19</v>
      </c>
      <c r="H49">
        <v>17.899999999999999</v>
      </c>
      <c r="J49">
        <v>10.74</v>
      </c>
      <c r="K49">
        <v>28.64</v>
      </c>
    </row>
    <row r="50" spans="1:11">
      <c r="A50">
        <v>49</v>
      </c>
      <c r="B50" t="s">
        <v>1295</v>
      </c>
      <c r="C50" t="s">
        <v>11</v>
      </c>
      <c r="D50" t="s">
        <v>16</v>
      </c>
      <c r="E50" t="s">
        <v>7</v>
      </c>
      <c r="F50" t="s">
        <v>21</v>
      </c>
      <c r="H50">
        <v>100</v>
      </c>
      <c r="J50">
        <v>60</v>
      </c>
      <c r="K50">
        <v>160</v>
      </c>
    </row>
    <row r="51" spans="1:11">
      <c r="A51">
        <v>50</v>
      </c>
      <c r="B51" t="s">
        <v>1295</v>
      </c>
      <c r="C51" t="s">
        <v>11</v>
      </c>
      <c r="D51" t="s">
        <v>207</v>
      </c>
      <c r="E51" t="s">
        <v>7</v>
      </c>
      <c r="F51" t="s">
        <v>208</v>
      </c>
      <c r="H51">
        <v>400</v>
      </c>
      <c r="J51">
        <v>240</v>
      </c>
      <c r="K51">
        <v>640</v>
      </c>
    </row>
    <row r="52" spans="1:11">
      <c r="A52">
        <v>51</v>
      </c>
      <c r="B52" t="s">
        <v>1295</v>
      </c>
      <c r="C52" t="s">
        <v>11</v>
      </c>
      <c r="D52" t="s">
        <v>207</v>
      </c>
      <c r="E52" t="s">
        <v>7</v>
      </c>
      <c r="F52" t="s">
        <v>209</v>
      </c>
      <c r="H52">
        <v>140</v>
      </c>
      <c r="J52">
        <v>84</v>
      </c>
      <c r="K52">
        <v>224</v>
      </c>
    </row>
    <row r="53" spans="1:11">
      <c r="A53">
        <v>52</v>
      </c>
      <c r="B53" t="s">
        <v>1295</v>
      </c>
      <c r="C53" t="s">
        <v>11</v>
      </c>
      <c r="D53" t="s">
        <v>207</v>
      </c>
      <c r="E53" t="s">
        <v>7</v>
      </c>
      <c r="F53" t="s">
        <v>210</v>
      </c>
      <c r="H53">
        <v>6</v>
      </c>
      <c r="J53">
        <v>3.6</v>
      </c>
      <c r="K53">
        <v>9.6</v>
      </c>
    </row>
    <row r="54" spans="1:11">
      <c r="A54">
        <v>53</v>
      </c>
      <c r="B54" t="s">
        <v>1295</v>
      </c>
      <c r="C54" t="s">
        <v>11</v>
      </c>
      <c r="D54" t="s">
        <v>207</v>
      </c>
      <c r="E54" t="s">
        <v>7</v>
      </c>
      <c r="F54" t="s">
        <v>211</v>
      </c>
      <c r="H54">
        <v>70</v>
      </c>
      <c r="J54">
        <v>42</v>
      </c>
      <c r="K54">
        <v>112</v>
      </c>
    </row>
    <row r="55" spans="1:11">
      <c r="A55">
        <v>54</v>
      </c>
      <c r="B55" t="s">
        <v>1295</v>
      </c>
      <c r="C55" t="s">
        <v>11</v>
      </c>
      <c r="D55" t="s">
        <v>207</v>
      </c>
      <c r="E55" t="s">
        <v>7</v>
      </c>
      <c r="F55" t="s">
        <v>212</v>
      </c>
      <c r="H55">
        <v>298</v>
      </c>
      <c r="J55">
        <v>178.8</v>
      </c>
      <c r="K55">
        <v>476.8</v>
      </c>
    </row>
    <row r="56" spans="1:11">
      <c r="A56">
        <v>55</v>
      </c>
      <c r="B56" t="s">
        <v>1295</v>
      </c>
      <c r="C56" t="s">
        <v>11</v>
      </c>
      <c r="D56" t="s">
        <v>207</v>
      </c>
      <c r="E56" t="s">
        <v>7</v>
      </c>
      <c r="F56" t="s">
        <v>213</v>
      </c>
      <c r="H56">
        <v>16.89</v>
      </c>
      <c r="J56">
        <v>10.134</v>
      </c>
      <c r="K56">
        <v>27.024000000000001</v>
      </c>
    </row>
    <row r="57" spans="1:11">
      <c r="A57">
        <v>56</v>
      </c>
      <c r="B57" t="s">
        <v>1295</v>
      </c>
      <c r="C57" t="s">
        <v>11</v>
      </c>
      <c r="D57" t="s">
        <v>207</v>
      </c>
      <c r="E57" t="s">
        <v>7</v>
      </c>
      <c r="F57" t="s">
        <v>214</v>
      </c>
      <c r="H57">
        <v>23.9</v>
      </c>
      <c r="J57">
        <v>14.34</v>
      </c>
      <c r="K57">
        <v>38.24</v>
      </c>
    </row>
    <row r="58" spans="1:11">
      <c r="A58">
        <v>57</v>
      </c>
      <c r="B58" t="s">
        <v>1295</v>
      </c>
      <c r="C58" t="s">
        <v>11</v>
      </c>
      <c r="D58" t="s">
        <v>207</v>
      </c>
      <c r="E58" t="s">
        <v>7</v>
      </c>
      <c r="F58" t="s">
        <v>215</v>
      </c>
      <c r="H58">
        <v>30.34</v>
      </c>
      <c r="J58">
        <v>18.204000000000001</v>
      </c>
      <c r="K58">
        <v>48.543999999999997</v>
      </c>
    </row>
    <row r="59" spans="1:11">
      <c r="A59">
        <v>58</v>
      </c>
      <c r="B59" t="s">
        <v>1295</v>
      </c>
      <c r="C59" t="s">
        <v>11</v>
      </c>
      <c r="D59" t="s">
        <v>207</v>
      </c>
      <c r="E59" t="s">
        <v>7</v>
      </c>
      <c r="F59" t="s">
        <v>216</v>
      </c>
      <c r="H59">
        <v>10.199999999999999</v>
      </c>
      <c r="J59">
        <v>6.12</v>
      </c>
      <c r="K59">
        <v>16.32</v>
      </c>
    </row>
    <row r="60" spans="1:11">
      <c r="A60">
        <v>59</v>
      </c>
      <c r="B60" t="s">
        <v>1295</v>
      </c>
      <c r="C60" t="s">
        <v>11</v>
      </c>
      <c r="D60" t="s">
        <v>207</v>
      </c>
      <c r="E60" t="s">
        <v>7</v>
      </c>
      <c r="F60" t="s">
        <v>217</v>
      </c>
      <c r="H60">
        <v>74.78</v>
      </c>
      <c r="J60">
        <v>44.868000000000002</v>
      </c>
      <c r="K60">
        <v>119.648</v>
      </c>
    </row>
    <row r="61" spans="1:11">
      <c r="A61">
        <v>60</v>
      </c>
      <c r="B61" t="s">
        <v>1295</v>
      </c>
      <c r="C61" t="s">
        <v>11</v>
      </c>
      <c r="D61" t="s">
        <v>207</v>
      </c>
      <c r="E61" t="s">
        <v>7</v>
      </c>
      <c r="F61" t="s">
        <v>218</v>
      </c>
      <c r="H61">
        <v>83.38</v>
      </c>
      <c r="J61">
        <v>50.027999999999999</v>
      </c>
      <c r="K61">
        <v>133.40799999999999</v>
      </c>
    </row>
    <row r="62" spans="1:11">
      <c r="A62">
        <v>61</v>
      </c>
      <c r="B62" t="s">
        <v>1295</v>
      </c>
      <c r="C62" t="s">
        <v>11</v>
      </c>
      <c r="D62" t="s">
        <v>207</v>
      </c>
      <c r="E62" t="s">
        <v>7</v>
      </c>
      <c r="F62" t="s">
        <v>219</v>
      </c>
      <c r="H62">
        <v>113.36</v>
      </c>
      <c r="J62">
        <v>68.016000000000005</v>
      </c>
      <c r="K62">
        <v>181.376</v>
      </c>
    </row>
    <row r="63" spans="1:11">
      <c r="A63">
        <v>62</v>
      </c>
      <c r="B63" t="s">
        <v>1295</v>
      </c>
      <c r="C63" t="s">
        <v>11</v>
      </c>
      <c r="D63" t="s">
        <v>207</v>
      </c>
      <c r="E63" t="s">
        <v>7</v>
      </c>
      <c r="F63" t="s">
        <v>220</v>
      </c>
      <c r="H63">
        <v>145.21</v>
      </c>
      <c r="J63">
        <v>87.126000000000005</v>
      </c>
      <c r="K63">
        <v>232.33600000000001</v>
      </c>
    </row>
    <row r="64" spans="1:11">
      <c r="A64">
        <v>63</v>
      </c>
      <c r="B64" t="s">
        <v>1295</v>
      </c>
      <c r="C64" t="s">
        <v>11</v>
      </c>
      <c r="D64" t="s">
        <v>207</v>
      </c>
      <c r="E64" t="s">
        <v>7</v>
      </c>
      <c r="F64" t="s">
        <v>221</v>
      </c>
      <c r="H64">
        <v>90</v>
      </c>
      <c r="J64">
        <v>54</v>
      </c>
      <c r="K64">
        <v>144</v>
      </c>
    </row>
    <row r="65" spans="1:11">
      <c r="A65">
        <v>64</v>
      </c>
      <c r="B65" t="s">
        <v>1295</v>
      </c>
      <c r="C65" t="s">
        <v>11</v>
      </c>
      <c r="D65" t="s">
        <v>207</v>
      </c>
      <c r="E65" t="s">
        <v>7</v>
      </c>
      <c r="F65" t="s">
        <v>222</v>
      </c>
      <c r="H65">
        <v>93.4</v>
      </c>
      <c r="J65">
        <v>56.04</v>
      </c>
      <c r="K65">
        <v>149.44</v>
      </c>
    </row>
    <row r="66" spans="1:11">
      <c r="A66">
        <v>65</v>
      </c>
      <c r="B66" t="s">
        <v>1295</v>
      </c>
      <c r="C66" t="s">
        <v>11</v>
      </c>
      <c r="D66" t="s">
        <v>207</v>
      </c>
      <c r="E66" t="s">
        <v>7</v>
      </c>
      <c r="F66" t="s">
        <v>223</v>
      </c>
      <c r="H66">
        <v>80</v>
      </c>
      <c r="J66">
        <v>48</v>
      </c>
      <c r="K66">
        <v>128</v>
      </c>
    </row>
    <row r="67" spans="1:11">
      <c r="A67">
        <v>66</v>
      </c>
      <c r="B67" t="s">
        <v>1295</v>
      </c>
      <c r="C67" t="s">
        <v>11</v>
      </c>
      <c r="D67" t="s">
        <v>207</v>
      </c>
      <c r="E67" t="s">
        <v>7</v>
      </c>
      <c r="F67" t="s">
        <v>224</v>
      </c>
      <c r="H67">
        <v>50</v>
      </c>
      <c r="J67">
        <v>30</v>
      </c>
      <c r="K67">
        <v>80</v>
      </c>
    </row>
    <row r="68" spans="1:11">
      <c r="A68">
        <v>67</v>
      </c>
      <c r="B68" t="s">
        <v>1295</v>
      </c>
      <c r="C68" t="s">
        <v>11</v>
      </c>
      <c r="D68" t="s">
        <v>225</v>
      </c>
      <c r="E68" t="s">
        <v>7</v>
      </c>
      <c r="F68" t="s">
        <v>226</v>
      </c>
      <c r="H68">
        <v>1500</v>
      </c>
      <c r="J68">
        <v>900</v>
      </c>
      <c r="K68">
        <v>2400</v>
      </c>
    </row>
    <row r="69" spans="1:11">
      <c r="A69">
        <v>68</v>
      </c>
      <c r="B69" t="s">
        <v>1295</v>
      </c>
      <c r="C69" t="s">
        <v>11</v>
      </c>
      <c r="D69" t="s">
        <v>225</v>
      </c>
      <c r="E69" t="s">
        <v>7</v>
      </c>
      <c r="F69" t="s">
        <v>227</v>
      </c>
      <c r="H69">
        <v>55</v>
      </c>
      <c r="J69">
        <v>33</v>
      </c>
      <c r="K69">
        <v>88</v>
      </c>
    </row>
    <row r="70" spans="1:11">
      <c r="A70">
        <v>69</v>
      </c>
      <c r="B70" t="s">
        <v>1295</v>
      </c>
      <c r="C70" t="s">
        <v>11</v>
      </c>
      <c r="D70" t="s">
        <v>225</v>
      </c>
      <c r="E70" t="s">
        <v>7</v>
      </c>
      <c r="F70" t="s">
        <v>228</v>
      </c>
      <c r="H70">
        <v>65</v>
      </c>
      <c r="J70">
        <v>39</v>
      </c>
      <c r="K70">
        <v>104</v>
      </c>
    </row>
    <row r="71" spans="1:11">
      <c r="A71">
        <v>70</v>
      </c>
      <c r="B71" t="s">
        <v>1295</v>
      </c>
      <c r="C71" t="s">
        <v>11</v>
      </c>
      <c r="D71" t="s">
        <v>225</v>
      </c>
      <c r="E71" t="s">
        <v>7</v>
      </c>
      <c r="F71" t="s">
        <v>229</v>
      </c>
      <c r="H71">
        <v>75</v>
      </c>
      <c r="J71">
        <v>45</v>
      </c>
      <c r="K71">
        <v>120</v>
      </c>
    </row>
    <row r="72" spans="1:11">
      <c r="A72">
        <v>71</v>
      </c>
      <c r="B72" t="s">
        <v>1295</v>
      </c>
      <c r="C72" t="s">
        <v>11</v>
      </c>
      <c r="D72" t="s">
        <v>225</v>
      </c>
      <c r="E72" t="s">
        <v>7</v>
      </c>
      <c r="F72" t="s">
        <v>230</v>
      </c>
      <c r="H72">
        <v>80</v>
      </c>
      <c r="J72">
        <v>48</v>
      </c>
      <c r="K72">
        <v>128</v>
      </c>
    </row>
    <row r="73" spans="1:11">
      <c r="A73">
        <v>72</v>
      </c>
      <c r="B73" t="s">
        <v>1295</v>
      </c>
      <c r="C73" t="s">
        <v>11</v>
      </c>
      <c r="D73" t="s">
        <v>225</v>
      </c>
      <c r="E73" t="s">
        <v>7</v>
      </c>
      <c r="F73" t="s">
        <v>231</v>
      </c>
      <c r="H73">
        <v>85</v>
      </c>
      <c r="J73">
        <v>51</v>
      </c>
      <c r="K73">
        <v>136</v>
      </c>
    </row>
    <row r="74" spans="1:11">
      <c r="A74">
        <v>73</v>
      </c>
      <c r="B74" t="s">
        <v>1295</v>
      </c>
      <c r="C74" t="s">
        <v>11</v>
      </c>
      <c r="D74" t="s">
        <v>225</v>
      </c>
      <c r="E74" t="s">
        <v>7</v>
      </c>
      <c r="F74" t="s">
        <v>232</v>
      </c>
      <c r="H74">
        <v>100</v>
      </c>
      <c r="J74">
        <v>60</v>
      </c>
      <c r="K74">
        <v>160</v>
      </c>
    </row>
    <row r="75" spans="1:11">
      <c r="A75">
        <v>74</v>
      </c>
      <c r="B75" t="s">
        <v>1295</v>
      </c>
      <c r="C75" t="s">
        <v>11</v>
      </c>
      <c r="D75" t="s">
        <v>233</v>
      </c>
      <c r="E75" t="s">
        <v>7</v>
      </c>
      <c r="F75" t="s">
        <v>234</v>
      </c>
      <c r="H75">
        <v>1000</v>
      </c>
      <c r="J75">
        <v>600</v>
      </c>
      <c r="K75">
        <v>1600</v>
      </c>
    </row>
    <row r="76" spans="1:11">
      <c r="A76">
        <v>75</v>
      </c>
      <c r="B76" t="s">
        <v>1349</v>
      </c>
      <c r="C76" t="s">
        <v>11</v>
      </c>
      <c r="D76" t="s">
        <v>235</v>
      </c>
      <c r="E76" t="s">
        <v>7</v>
      </c>
      <c r="F76" t="s">
        <v>236</v>
      </c>
      <c r="H76">
        <v>520</v>
      </c>
      <c r="J76">
        <v>312</v>
      </c>
      <c r="K76">
        <v>832</v>
      </c>
    </row>
    <row r="77" spans="1:11">
      <c r="A77">
        <v>76</v>
      </c>
      <c r="B77" t="s">
        <v>1295</v>
      </c>
      <c r="C77" t="s">
        <v>11</v>
      </c>
      <c r="D77" t="s">
        <v>235</v>
      </c>
      <c r="E77" t="s">
        <v>7</v>
      </c>
      <c r="F77" t="s">
        <v>237</v>
      </c>
      <c r="H77">
        <v>365</v>
      </c>
      <c r="J77">
        <v>219</v>
      </c>
      <c r="K77">
        <v>584</v>
      </c>
    </row>
    <row r="78" spans="1:11">
      <c r="A78">
        <v>77</v>
      </c>
      <c r="B78" t="s">
        <v>1295</v>
      </c>
      <c r="C78" t="s">
        <v>11</v>
      </c>
      <c r="D78" t="s">
        <v>235</v>
      </c>
      <c r="E78" t="s">
        <v>7</v>
      </c>
      <c r="F78" t="s">
        <v>238</v>
      </c>
      <c r="H78">
        <v>50</v>
      </c>
      <c r="J78">
        <v>30</v>
      </c>
      <c r="K78">
        <v>80</v>
      </c>
    </row>
    <row r="79" spans="1:11">
      <c r="A79">
        <v>78</v>
      </c>
      <c r="B79" t="s">
        <v>1295</v>
      </c>
      <c r="C79" t="s">
        <v>11</v>
      </c>
      <c r="D79" t="s">
        <v>235</v>
      </c>
      <c r="E79" t="s">
        <v>7</v>
      </c>
      <c r="F79" t="s">
        <v>239</v>
      </c>
      <c r="H79">
        <v>96</v>
      </c>
      <c r="J79">
        <v>57.6</v>
      </c>
      <c r="K79">
        <v>153.6</v>
      </c>
    </row>
    <row r="80" spans="1:11">
      <c r="A80">
        <v>79</v>
      </c>
      <c r="B80" t="s">
        <v>1295</v>
      </c>
      <c r="C80" t="s">
        <v>11</v>
      </c>
      <c r="D80" t="s">
        <v>235</v>
      </c>
      <c r="E80" t="s">
        <v>7</v>
      </c>
      <c r="F80" t="s">
        <v>240</v>
      </c>
      <c r="H80">
        <v>50</v>
      </c>
      <c r="J80">
        <v>30</v>
      </c>
      <c r="K80">
        <v>80</v>
      </c>
    </row>
    <row r="81" spans="1:11">
      <c r="A81">
        <v>80</v>
      </c>
      <c r="B81" t="s">
        <v>1349</v>
      </c>
      <c r="C81" t="s">
        <v>11</v>
      </c>
      <c r="D81" t="s">
        <v>233</v>
      </c>
      <c r="E81" t="s">
        <v>7</v>
      </c>
      <c r="F81" t="s">
        <v>14</v>
      </c>
      <c r="H81">
        <v>400</v>
      </c>
      <c r="J81">
        <v>240</v>
      </c>
      <c r="K81">
        <v>640</v>
      </c>
    </row>
    <row r="82" spans="1:11">
      <c r="A82">
        <v>81</v>
      </c>
      <c r="B82" t="s">
        <v>1295</v>
      </c>
      <c r="C82" t="s">
        <v>11</v>
      </c>
      <c r="D82" t="s">
        <v>233</v>
      </c>
      <c r="E82" t="s">
        <v>7</v>
      </c>
      <c r="J82">
        <v>0</v>
      </c>
      <c r="K82">
        <v>0</v>
      </c>
    </row>
    <row r="83" spans="1:11">
      <c r="A83">
        <v>82</v>
      </c>
      <c r="B83" t="s">
        <v>1349</v>
      </c>
      <c r="C83" t="s">
        <v>11</v>
      </c>
      <c r="D83" t="s">
        <v>241</v>
      </c>
      <c r="E83" t="s">
        <v>7</v>
      </c>
      <c r="F83" t="s">
        <v>150</v>
      </c>
      <c r="H83">
        <v>6.6</v>
      </c>
      <c r="J83">
        <v>3.96</v>
      </c>
      <c r="K83">
        <v>10.56</v>
      </c>
    </row>
    <row r="84" spans="1:11">
      <c r="A84">
        <v>83</v>
      </c>
      <c r="B84" t="s">
        <v>1349</v>
      </c>
      <c r="C84" t="s">
        <v>11</v>
      </c>
      <c r="D84" t="s">
        <v>241</v>
      </c>
      <c r="E84" t="s">
        <v>7</v>
      </c>
      <c r="F84" t="s">
        <v>242</v>
      </c>
      <c r="H84">
        <v>15.5</v>
      </c>
      <c r="J84">
        <v>9.3000000000000007</v>
      </c>
      <c r="K84">
        <v>24.8</v>
      </c>
    </row>
    <row r="85" spans="1:11">
      <c r="A85">
        <v>84</v>
      </c>
      <c r="B85" t="s">
        <v>1349</v>
      </c>
      <c r="C85" t="s">
        <v>11</v>
      </c>
      <c r="D85" t="s">
        <v>241</v>
      </c>
      <c r="E85" t="s">
        <v>7</v>
      </c>
      <c r="F85" t="s">
        <v>151</v>
      </c>
      <c r="H85">
        <v>15</v>
      </c>
      <c r="J85">
        <v>9</v>
      </c>
      <c r="K85">
        <v>24</v>
      </c>
    </row>
    <row r="86" spans="1:11">
      <c r="A86">
        <v>85</v>
      </c>
      <c r="B86" t="s">
        <v>1349</v>
      </c>
      <c r="C86" t="s">
        <v>11</v>
      </c>
      <c r="D86" t="s">
        <v>241</v>
      </c>
      <c r="E86" t="s">
        <v>7</v>
      </c>
      <c r="F86" t="s">
        <v>1314</v>
      </c>
      <c r="H86">
        <v>350</v>
      </c>
      <c r="J86">
        <v>210</v>
      </c>
      <c r="K86">
        <v>560</v>
      </c>
    </row>
    <row r="87" spans="1:11">
      <c r="A87">
        <v>86</v>
      </c>
      <c r="B87" t="s">
        <v>1295</v>
      </c>
      <c r="C87" t="s">
        <v>11</v>
      </c>
      <c r="D87" t="s">
        <v>241</v>
      </c>
      <c r="E87" t="s">
        <v>7</v>
      </c>
      <c r="J87">
        <v>0</v>
      </c>
      <c r="K87">
        <v>0</v>
      </c>
    </row>
    <row r="88" spans="1:11">
      <c r="A88">
        <v>87</v>
      </c>
      <c r="B88" t="s">
        <v>1295</v>
      </c>
      <c r="C88" t="s">
        <v>23</v>
      </c>
      <c r="D88" t="s">
        <v>243</v>
      </c>
      <c r="E88" t="s">
        <v>7</v>
      </c>
      <c r="F88" t="s">
        <v>244</v>
      </c>
      <c r="H88">
        <v>16.32</v>
      </c>
      <c r="J88">
        <v>9.7919999999999998</v>
      </c>
      <c r="K88">
        <v>26.111999999999998</v>
      </c>
    </row>
    <row r="89" spans="1:11">
      <c r="A89">
        <v>88</v>
      </c>
      <c r="B89" t="s">
        <v>1295</v>
      </c>
      <c r="C89" t="s">
        <v>23</v>
      </c>
      <c r="D89" t="s">
        <v>243</v>
      </c>
      <c r="E89" t="s">
        <v>7</v>
      </c>
      <c r="F89" t="s">
        <v>245</v>
      </c>
      <c r="H89">
        <v>25.36</v>
      </c>
      <c r="J89">
        <v>15.215999999999999</v>
      </c>
      <c r="K89">
        <v>40.576000000000001</v>
      </c>
    </row>
    <row r="90" spans="1:11">
      <c r="A90">
        <v>89</v>
      </c>
      <c r="B90" t="s">
        <v>1295</v>
      </c>
      <c r="C90" t="s">
        <v>23</v>
      </c>
      <c r="D90" t="s">
        <v>243</v>
      </c>
      <c r="E90" t="s">
        <v>7</v>
      </c>
      <c r="F90" t="s">
        <v>246</v>
      </c>
      <c r="H90">
        <v>18.09</v>
      </c>
      <c r="J90">
        <v>10.853999999999999</v>
      </c>
      <c r="K90">
        <v>28.943999999999999</v>
      </c>
    </row>
    <row r="91" spans="1:11">
      <c r="A91">
        <v>90</v>
      </c>
      <c r="B91" t="s">
        <v>1295</v>
      </c>
      <c r="C91" t="s">
        <v>23</v>
      </c>
      <c r="D91" t="s">
        <v>243</v>
      </c>
      <c r="E91" t="s">
        <v>7</v>
      </c>
      <c r="F91" t="s">
        <v>247</v>
      </c>
      <c r="H91">
        <v>30.63</v>
      </c>
      <c r="J91">
        <v>18.378</v>
      </c>
      <c r="K91">
        <v>49.008000000000003</v>
      </c>
    </row>
    <row r="92" spans="1:11">
      <c r="A92">
        <v>91</v>
      </c>
      <c r="B92" t="s">
        <v>1295</v>
      </c>
      <c r="C92" t="s">
        <v>23</v>
      </c>
      <c r="D92" t="s">
        <v>243</v>
      </c>
      <c r="E92" t="s">
        <v>7</v>
      </c>
      <c r="F92" t="s">
        <v>248</v>
      </c>
      <c r="H92">
        <v>54.09</v>
      </c>
      <c r="J92">
        <v>32.454000000000001</v>
      </c>
      <c r="K92">
        <v>86.543999999999997</v>
      </c>
    </row>
    <row r="93" spans="1:11">
      <c r="A93">
        <v>92</v>
      </c>
      <c r="B93" t="s">
        <v>1295</v>
      </c>
      <c r="C93" t="s">
        <v>23</v>
      </c>
      <c r="D93" t="s">
        <v>243</v>
      </c>
      <c r="E93" t="s">
        <v>7</v>
      </c>
      <c r="F93" t="s">
        <v>249</v>
      </c>
      <c r="H93">
        <v>0</v>
      </c>
      <c r="J93">
        <v>0</v>
      </c>
      <c r="K93">
        <v>0</v>
      </c>
    </row>
    <row r="94" spans="1:11">
      <c r="A94">
        <v>93</v>
      </c>
      <c r="B94" t="s">
        <v>1295</v>
      </c>
      <c r="C94" t="s">
        <v>23</v>
      </c>
      <c r="D94" t="s">
        <v>243</v>
      </c>
      <c r="E94" t="s">
        <v>7</v>
      </c>
      <c r="F94" t="s">
        <v>250</v>
      </c>
      <c r="H94">
        <v>24.51</v>
      </c>
      <c r="J94">
        <v>14.706</v>
      </c>
      <c r="K94">
        <v>39.216000000000001</v>
      </c>
    </row>
    <row r="95" spans="1:11">
      <c r="A95">
        <v>94</v>
      </c>
      <c r="B95" t="s">
        <v>1295</v>
      </c>
      <c r="C95" t="s">
        <v>23</v>
      </c>
      <c r="D95" t="s">
        <v>243</v>
      </c>
      <c r="E95" t="s">
        <v>7</v>
      </c>
      <c r="F95" t="s">
        <v>251</v>
      </c>
      <c r="H95">
        <v>74.489999999999995</v>
      </c>
      <c r="J95">
        <v>44.694000000000003</v>
      </c>
      <c r="K95">
        <v>119.184</v>
      </c>
    </row>
    <row r="96" spans="1:11">
      <c r="A96">
        <v>95</v>
      </c>
      <c r="B96" t="s">
        <v>1295</v>
      </c>
      <c r="C96" t="s">
        <v>23</v>
      </c>
      <c r="D96" t="s">
        <v>243</v>
      </c>
      <c r="E96" t="s">
        <v>7</v>
      </c>
      <c r="F96" t="s">
        <v>252</v>
      </c>
      <c r="J96">
        <v>0</v>
      </c>
      <c r="K96">
        <v>0</v>
      </c>
    </row>
    <row r="97" spans="1:11">
      <c r="A97">
        <v>96</v>
      </c>
      <c r="B97" t="s">
        <v>1295</v>
      </c>
      <c r="C97" t="s">
        <v>23</v>
      </c>
      <c r="D97" t="s">
        <v>243</v>
      </c>
      <c r="E97" t="s">
        <v>7</v>
      </c>
      <c r="F97" t="s">
        <v>253</v>
      </c>
      <c r="J97">
        <v>0</v>
      </c>
      <c r="K97">
        <v>0</v>
      </c>
    </row>
    <row r="98" spans="1:11">
      <c r="A98">
        <v>97</v>
      </c>
      <c r="B98" t="s">
        <v>1295</v>
      </c>
      <c r="C98" t="s">
        <v>23</v>
      </c>
      <c r="D98" t="s">
        <v>243</v>
      </c>
      <c r="E98" t="s">
        <v>7</v>
      </c>
      <c r="F98" t="s">
        <v>254</v>
      </c>
      <c r="J98">
        <v>0</v>
      </c>
      <c r="K98">
        <v>0</v>
      </c>
    </row>
    <row r="99" spans="1:11">
      <c r="A99">
        <v>98</v>
      </c>
      <c r="B99" t="s">
        <v>1295</v>
      </c>
      <c r="C99" t="s">
        <v>23</v>
      </c>
      <c r="D99" t="s">
        <v>243</v>
      </c>
      <c r="E99" t="s">
        <v>7</v>
      </c>
      <c r="F99" t="s">
        <v>250</v>
      </c>
      <c r="H99">
        <v>99</v>
      </c>
      <c r="J99">
        <v>59.4</v>
      </c>
      <c r="K99">
        <v>158.4</v>
      </c>
    </row>
    <row r="100" spans="1:11">
      <c r="A100">
        <v>99</v>
      </c>
      <c r="B100" t="s">
        <v>1295</v>
      </c>
      <c r="C100" t="s">
        <v>25</v>
      </c>
      <c r="D100" t="s">
        <v>1108</v>
      </c>
      <c r="E100" t="s">
        <v>7</v>
      </c>
      <c r="F100" t="s">
        <v>255</v>
      </c>
      <c r="H100">
        <v>143.18</v>
      </c>
      <c r="J100">
        <v>85.908000000000001</v>
      </c>
      <c r="K100">
        <v>143.18</v>
      </c>
    </row>
    <row r="101" spans="1:11">
      <c r="A101">
        <v>100</v>
      </c>
      <c r="B101" t="s">
        <v>1295</v>
      </c>
      <c r="C101" t="s">
        <v>25</v>
      </c>
      <c r="D101" t="s">
        <v>1108</v>
      </c>
      <c r="E101" t="s">
        <v>7</v>
      </c>
      <c r="F101" t="s">
        <v>256</v>
      </c>
      <c r="H101">
        <v>177.27</v>
      </c>
      <c r="J101">
        <v>106.36199999999999</v>
      </c>
      <c r="K101">
        <v>177.27</v>
      </c>
    </row>
    <row r="102" spans="1:11">
      <c r="A102">
        <v>101</v>
      </c>
      <c r="B102" t="s">
        <v>1295</v>
      </c>
      <c r="C102" t="s">
        <v>25</v>
      </c>
      <c r="D102" t="s">
        <v>1108</v>
      </c>
      <c r="E102" t="s">
        <v>7</v>
      </c>
      <c r="F102" t="s">
        <v>257</v>
      </c>
      <c r="H102">
        <v>40.909999999999997</v>
      </c>
      <c r="J102">
        <v>24.545999999999999</v>
      </c>
      <c r="K102">
        <v>40.909999999999997</v>
      </c>
    </row>
    <row r="103" spans="1:11">
      <c r="A103">
        <v>102</v>
      </c>
      <c r="B103" t="s">
        <v>1349</v>
      </c>
      <c r="C103" t="s">
        <v>23</v>
      </c>
      <c r="D103" t="s">
        <v>258</v>
      </c>
      <c r="E103" t="s">
        <v>7</v>
      </c>
      <c r="F103" t="s">
        <v>259</v>
      </c>
      <c r="H103">
        <v>400</v>
      </c>
      <c r="J103">
        <v>240</v>
      </c>
      <c r="K103">
        <v>640</v>
      </c>
    </row>
    <row r="104" spans="1:11">
      <c r="A104">
        <v>103</v>
      </c>
      <c r="B104" t="s">
        <v>1295</v>
      </c>
      <c r="C104" t="s">
        <v>23</v>
      </c>
      <c r="D104" t="s">
        <v>258</v>
      </c>
      <c r="E104" t="s">
        <v>7</v>
      </c>
      <c r="F104" t="s">
        <v>260</v>
      </c>
      <c r="H104">
        <v>40</v>
      </c>
      <c r="J104">
        <v>24</v>
      </c>
      <c r="K104">
        <v>64</v>
      </c>
    </row>
    <row r="105" spans="1:11">
      <c r="A105">
        <v>104</v>
      </c>
      <c r="B105" t="s">
        <v>1295</v>
      </c>
      <c r="C105" t="s">
        <v>23</v>
      </c>
      <c r="D105" t="s">
        <v>258</v>
      </c>
      <c r="E105" t="s">
        <v>7</v>
      </c>
      <c r="F105" t="s">
        <v>261</v>
      </c>
      <c r="H105">
        <v>1</v>
      </c>
      <c r="J105">
        <v>0.6</v>
      </c>
      <c r="K105">
        <v>1.6</v>
      </c>
    </row>
    <row r="106" spans="1:11">
      <c r="A106">
        <v>105</v>
      </c>
      <c r="B106" t="s">
        <v>1295</v>
      </c>
      <c r="C106" t="s">
        <v>23</v>
      </c>
      <c r="D106" t="s">
        <v>258</v>
      </c>
      <c r="E106" t="s">
        <v>7</v>
      </c>
      <c r="F106" t="s">
        <v>262</v>
      </c>
      <c r="H106">
        <v>1</v>
      </c>
      <c r="J106">
        <v>0.6</v>
      </c>
      <c r="K106">
        <v>1.6</v>
      </c>
    </row>
    <row r="107" spans="1:11">
      <c r="A107">
        <v>106</v>
      </c>
      <c r="B107" t="s">
        <v>1295</v>
      </c>
      <c r="C107" t="s">
        <v>23</v>
      </c>
      <c r="D107" t="s">
        <v>258</v>
      </c>
      <c r="E107" t="s">
        <v>7</v>
      </c>
      <c r="F107" t="s">
        <v>223</v>
      </c>
      <c r="H107">
        <v>45.5</v>
      </c>
      <c r="J107">
        <v>27.3</v>
      </c>
      <c r="K107">
        <v>72.8</v>
      </c>
    </row>
    <row r="108" spans="1:11">
      <c r="A108">
        <v>107</v>
      </c>
      <c r="B108" t="s">
        <v>1295</v>
      </c>
      <c r="C108" t="s">
        <v>23</v>
      </c>
      <c r="D108" t="s">
        <v>258</v>
      </c>
      <c r="E108" t="s">
        <v>7</v>
      </c>
      <c r="F108" t="s">
        <v>85</v>
      </c>
      <c r="H108">
        <v>80</v>
      </c>
      <c r="J108">
        <v>48</v>
      </c>
      <c r="K108">
        <v>128</v>
      </c>
    </row>
    <row r="109" spans="1:11">
      <c r="A109">
        <v>108</v>
      </c>
      <c r="B109" t="s">
        <v>1295</v>
      </c>
      <c r="C109" t="s">
        <v>23</v>
      </c>
      <c r="D109" t="s">
        <v>258</v>
      </c>
      <c r="E109" t="s">
        <v>7</v>
      </c>
      <c r="F109" t="s">
        <v>224</v>
      </c>
      <c r="H109">
        <v>45</v>
      </c>
      <c r="J109">
        <v>27</v>
      </c>
      <c r="K109">
        <v>72</v>
      </c>
    </row>
    <row r="110" spans="1:11">
      <c r="A110">
        <v>109</v>
      </c>
      <c r="B110" t="s">
        <v>1295</v>
      </c>
      <c r="C110" t="s">
        <v>23</v>
      </c>
      <c r="D110" t="s">
        <v>258</v>
      </c>
      <c r="E110" t="s">
        <v>7</v>
      </c>
      <c r="F110" t="s">
        <v>263</v>
      </c>
      <c r="H110">
        <v>25</v>
      </c>
      <c r="J110">
        <v>15</v>
      </c>
      <c r="K110">
        <v>40</v>
      </c>
    </row>
    <row r="111" spans="1:11">
      <c r="A111">
        <v>110</v>
      </c>
      <c r="B111" t="s">
        <v>1295</v>
      </c>
      <c r="C111" t="s">
        <v>34</v>
      </c>
      <c r="D111" t="s">
        <v>264</v>
      </c>
      <c r="E111" t="s">
        <v>7</v>
      </c>
      <c r="F111" t="s">
        <v>264</v>
      </c>
      <c r="G111" t="s">
        <v>265</v>
      </c>
      <c r="J111">
        <v>0</v>
      </c>
    </row>
    <row r="112" spans="1:11">
      <c r="A112">
        <v>112</v>
      </c>
      <c r="B112" t="s">
        <v>1295</v>
      </c>
      <c r="C112" t="s">
        <v>34</v>
      </c>
      <c r="D112" t="s">
        <v>264</v>
      </c>
      <c r="E112" t="s">
        <v>7</v>
      </c>
      <c r="F112" t="s">
        <v>1181</v>
      </c>
      <c r="G112" t="s">
        <v>1181</v>
      </c>
      <c r="H112">
        <v>47.66</v>
      </c>
      <c r="J112">
        <v>28.596</v>
      </c>
      <c r="K112">
        <v>76.256</v>
      </c>
    </row>
    <row r="113" spans="1:11">
      <c r="A113">
        <v>113</v>
      </c>
      <c r="B113" t="s">
        <v>1295</v>
      </c>
      <c r="C113" t="s">
        <v>34</v>
      </c>
      <c r="D113" t="s">
        <v>264</v>
      </c>
      <c r="E113" t="s">
        <v>7</v>
      </c>
      <c r="F113" t="s">
        <v>1298</v>
      </c>
      <c r="G113" t="s">
        <v>1298</v>
      </c>
      <c r="H113">
        <v>86</v>
      </c>
      <c r="J113">
        <v>51.6</v>
      </c>
      <c r="K113">
        <v>137.6</v>
      </c>
    </row>
    <row r="114" spans="1:11">
      <c r="A114">
        <v>114</v>
      </c>
      <c r="B114" t="s">
        <v>1295</v>
      </c>
      <c r="C114" t="s">
        <v>34</v>
      </c>
      <c r="D114" t="s">
        <v>264</v>
      </c>
      <c r="E114" t="s">
        <v>7</v>
      </c>
      <c r="F114" t="s">
        <v>1297</v>
      </c>
      <c r="G114" t="s">
        <v>1297</v>
      </c>
      <c r="H114">
        <v>63.2</v>
      </c>
      <c r="J114">
        <v>37.92</v>
      </c>
      <c r="K114">
        <v>101.12</v>
      </c>
    </row>
    <row r="115" spans="1:11">
      <c r="A115">
        <v>115</v>
      </c>
      <c r="B115" t="s">
        <v>1295</v>
      </c>
      <c r="C115" t="s">
        <v>34</v>
      </c>
      <c r="D115" t="s">
        <v>264</v>
      </c>
      <c r="E115" t="s">
        <v>7</v>
      </c>
      <c r="F115" t="s">
        <v>1296</v>
      </c>
      <c r="G115" t="s">
        <v>1296</v>
      </c>
      <c r="H115">
        <v>97</v>
      </c>
      <c r="J115">
        <v>58.2</v>
      </c>
      <c r="K115">
        <v>155.19999999999999</v>
      </c>
    </row>
    <row r="116" spans="1:11">
      <c r="A116">
        <v>116</v>
      </c>
      <c r="B116" t="s">
        <v>1295</v>
      </c>
      <c r="C116" t="s">
        <v>34</v>
      </c>
      <c r="D116" t="s">
        <v>264</v>
      </c>
      <c r="E116" t="s">
        <v>7</v>
      </c>
      <c r="F116" t="s">
        <v>1299</v>
      </c>
      <c r="G116" t="s">
        <v>1299</v>
      </c>
      <c r="H116">
        <v>109</v>
      </c>
      <c r="J116">
        <v>65.400000000000006</v>
      </c>
      <c r="K116">
        <v>174.4</v>
      </c>
    </row>
    <row r="117" spans="1:11">
      <c r="A117">
        <v>117</v>
      </c>
      <c r="B117" t="s">
        <v>1295</v>
      </c>
      <c r="C117" t="s">
        <v>34</v>
      </c>
      <c r="D117" t="s">
        <v>264</v>
      </c>
      <c r="E117" t="s">
        <v>7</v>
      </c>
      <c r="F117" t="s">
        <v>271</v>
      </c>
      <c r="G117" t="s">
        <v>271</v>
      </c>
      <c r="H117">
        <v>46</v>
      </c>
      <c r="J117">
        <v>27.6</v>
      </c>
      <c r="K117">
        <v>73.599999999999994</v>
      </c>
    </row>
    <row r="118" spans="1:11">
      <c r="A118">
        <v>119</v>
      </c>
      <c r="B118" t="s">
        <v>1295</v>
      </c>
      <c r="C118" t="s">
        <v>34</v>
      </c>
      <c r="D118" t="s">
        <v>272</v>
      </c>
      <c r="E118" t="s">
        <v>7</v>
      </c>
      <c r="F118" t="s">
        <v>156</v>
      </c>
      <c r="G118" t="s">
        <v>156</v>
      </c>
      <c r="H118">
        <v>2.9</v>
      </c>
      <c r="J118">
        <v>1.74</v>
      </c>
      <c r="K118">
        <v>4.6399999999999997</v>
      </c>
    </row>
    <row r="119" spans="1:11">
      <c r="A119">
        <v>120</v>
      </c>
      <c r="B119" t="s">
        <v>1295</v>
      </c>
      <c r="C119" t="s">
        <v>34</v>
      </c>
      <c r="D119" t="s">
        <v>272</v>
      </c>
      <c r="E119" t="s">
        <v>7</v>
      </c>
      <c r="F119" t="s">
        <v>273</v>
      </c>
      <c r="G119" t="s">
        <v>273</v>
      </c>
      <c r="H119">
        <v>35.700000000000003</v>
      </c>
      <c r="J119">
        <v>21.42</v>
      </c>
      <c r="K119">
        <v>57.12</v>
      </c>
    </row>
    <row r="120" spans="1:11">
      <c r="A120">
        <v>121</v>
      </c>
      <c r="B120" t="s">
        <v>1295</v>
      </c>
      <c r="C120" t="s">
        <v>34</v>
      </c>
      <c r="D120" t="s">
        <v>272</v>
      </c>
      <c r="E120" t="s">
        <v>7</v>
      </c>
      <c r="F120" t="s">
        <v>274</v>
      </c>
      <c r="G120" t="s">
        <v>274</v>
      </c>
      <c r="H120">
        <v>18</v>
      </c>
      <c r="J120">
        <v>10.8</v>
      </c>
      <c r="K120">
        <v>28.8</v>
      </c>
    </row>
    <row r="121" spans="1:11">
      <c r="A121">
        <v>122</v>
      </c>
      <c r="B121" t="s">
        <v>1295</v>
      </c>
      <c r="C121" t="s">
        <v>34</v>
      </c>
      <c r="D121" t="s">
        <v>272</v>
      </c>
      <c r="E121" t="s">
        <v>7</v>
      </c>
      <c r="F121" t="s">
        <v>275</v>
      </c>
      <c r="G121" t="s">
        <v>275</v>
      </c>
      <c r="H121">
        <v>12.4</v>
      </c>
      <c r="J121">
        <v>7.44</v>
      </c>
      <c r="K121">
        <v>19.84</v>
      </c>
    </row>
    <row r="122" spans="1:11">
      <c r="A122">
        <v>123</v>
      </c>
      <c r="B122" t="s">
        <v>1295</v>
      </c>
      <c r="C122" t="s">
        <v>34</v>
      </c>
      <c r="D122" t="s">
        <v>272</v>
      </c>
      <c r="E122" t="s">
        <v>7</v>
      </c>
      <c r="F122" t="s">
        <v>276</v>
      </c>
      <c r="G122" t="s">
        <v>276</v>
      </c>
      <c r="H122">
        <v>6.23</v>
      </c>
      <c r="J122">
        <v>3.738</v>
      </c>
      <c r="K122">
        <v>9.968</v>
      </c>
    </row>
    <row r="123" spans="1:11">
      <c r="A123">
        <v>124</v>
      </c>
      <c r="B123" t="s">
        <v>1295</v>
      </c>
      <c r="C123" t="s">
        <v>34</v>
      </c>
      <c r="D123" t="s">
        <v>272</v>
      </c>
      <c r="E123" t="s">
        <v>7</v>
      </c>
      <c r="F123" t="s">
        <v>277</v>
      </c>
      <c r="G123" t="s">
        <v>277</v>
      </c>
      <c r="H123">
        <v>4.82</v>
      </c>
      <c r="J123">
        <v>2.8919999999999999</v>
      </c>
      <c r="K123">
        <v>7.7119999999999997</v>
      </c>
    </row>
    <row r="124" spans="1:11">
      <c r="A124">
        <v>125</v>
      </c>
      <c r="B124" t="s">
        <v>1295</v>
      </c>
      <c r="C124" t="s">
        <v>34</v>
      </c>
      <c r="D124" t="s">
        <v>272</v>
      </c>
      <c r="E124" t="s">
        <v>7</v>
      </c>
      <c r="F124" t="s">
        <v>278</v>
      </c>
      <c r="G124" t="s">
        <v>278</v>
      </c>
      <c r="H124">
        <v>9</v>
      </c>
      <c r="J124">
        <v>5.4</v>
      </c>
      <c r="K124">
        <v>14.4</v>
      </c>
    </row>
    <row r="125" spans="1:11">
      <c r="A125">
        <v>126</v>
      </c>
      <c r="B125" t="s">
        <v>1295</v>
      </c>
      <c r="C125" t="s">
        <v>34</v>
      </c>
      <c r="D125" t="s">
        <v>272</v>
      </c>
      <c r="E125" t="s">
        <v>7</v>
      </c>
      <c r="F125" t="s">
        <v>279</v>
      </c>
      <c r="G125" t="s">
        <v>279</v>
      </c>
      <c r="H125">
        <v>3.52</v>
      </c>
      <c r="J125">
        <v>2.1120000000000001</v>
      </c>
      <c r="K125">
        <v>5.6319999999999997</v>
      </c>
    </row>
    <row r="126" spans="1:11">
      <c r="A126">
        <v>127</v>
      </c>
      <c r="B126" t="s">
        <v>1295</v>
      </c>
      <c r="C126" t="s">
        <v>34</v>
      </c>
      <c r="D126" t="s">
        <v>272</v>
      </c>
      <c r="E126" t="s">
        <v>7</v>
      </c>
      <c r="F126" t="s">
        <v>280</v>
      </c>
      <c r="G126" t="s">
        <v>280</v>
      </c>
      <c r="H126">
        <v>9.32</v>
      </c>
      <c r="J126">
        <v>5.5919999999999996</v>
      </c>
      <c r="K126">
        <v>14.912000000000001</v>
      </c>
    </row>
    <row r="127" spans="1:11">
      <c r="A127">
        <v>128</v>
      </c>
      <c r="B127" t="s">
        <v>1295</v>
      </c>
      <c r="C127" t="s">
        <v>34</v>
      </c>
      <c r="D127" t="s">
        <v>272</v>
      </c>
      <c r="E127" t="s">
        <v>7</v>
      </c>
      <c r="F127" t="s">
        <v>281</v>
      </c>
      <c r="G127" t="s">
        <v>281</v>
      </c>
      <c r="H127">
        <v>3.82</v>
      </c>
      <c r="J127">
        <v>2.2919999999999998</v>
      </c>
      <c r="K127">
        <v>6.1120000000000001</v>
      </c>
    </row>
    <row r="128" spans="1:11">
      <c r="A128">
        <v>129</v>
      </c>
      <c r="B128" t="s">
        <v>1295</v>
      </c>
      <c r="C128" t="s">
        <v>34</v>
      </c>
      <c r="D128" t="s">
        <v>282</v>
      </c>
      <c r="E128" t="s">
        <v>7</v>
      </c>
      <c r="F128" t="s">
        <v>273</v>
      </c>
      <c r="G128" t="s">
        <v>273</v>
      </c>
      <c r="H128">
        <v>29.56</v>
      </c>
      <c r="J128">
        <v>17.736000000000001</v>
      </c>
      <c r="K128">
        <v>47.295999999999999</v>
      </c>
    </row>
    <row r="129" spans="1:11">
      <c r="A129">
        <v>130</v>
      </c>
      <c r="B129" t="s">
        <v>1295</v>
      </c>
      <c r="C129" t="s">
        <v>34</v>
      </c>
      <c r="D129" t="s">
        <v>282</v>
      </c>
      <c r="E129" t="s">
        <v>7</v>
      </c>
      <c r="F129" t="s">
        <v>283</v>
      </c>
      <c r="G129" t="s">
        <v>283</v>
      </c>
      <c r="H129">
        <v>22.79</v>
      </c>
      <c r="J129">
        <v>13.673999999999999</v>
      </c>
      <c r="K129">
        <v>36.463999999999999</v>
      </c>
    </row>
    <row r="130" spans="1:11">
      <c r="A130">
        <v>131</v>
      </c>
      <c r="B130" t="s">
        <v>1295</v>
      </c>
      <c r="C130" t="s">
        <v>34</v>
      </c>
      <c r="D130" t="s">
        <v>282</v>
      </c>
      <c r="E130" t="s">
        <v>7</v>
      </c>
      <c r="F130" t="s">
        <v>274</v>
      </c>
      <c r="G130" t="s">
        <v>274</v>
      </c>
      <c r="H130">
        <v>15.4</v>
      </c>
      <c r="J130">
        <v>9.24</v>
      </c>
      <c r="K130">
        <v>24.64</v>
      </c>
    </row>
    <row r="131" spans="1:11">
      <c r="A131">
        <v>132</v>
      </c>
      <c r="B131" t="s">
        <v>1295</v>
      </c>
      <c r="C131" t="s">
        <v>34</v>
      </c>
      <c r="D131" t="s">
        <v>282</v>
      </c>
      <c r="E131" t="s">
        <v>7</v>
      </c>
      <c r="F131" t="s">
        <v>275</v>
      </c>
      <c r="G131" t="s">
        <v>275</v>
      </c>
      <c r="H131">
        <v>11.62</v>
      </c>
      <c r="J131">
        <v>6.9720000000000004</v>
      </c>
      <c r="K131">
        <v>18.591999999999999</v>
      </c>
    </row>
    <row r="132" spans="1:11">
      <c r="A132">
        <v>133</v>
      </c>
      <c r="B132" t="s">
        <v>1295</v>
      </c>
      <c r="C132" t="s">
        <v>34</v>
      </c>
      <c r="D132" t="s">
        <v>282</v>
      </c>
      <c r="E132" t="s">
        <v>7</v>
      </c>
      <c r="F132" t="s">
        <v>280</v>
      </c>
      <c r="G132" t="s">
        <v>280</v>
      </c>
      <c r="H132">
        <v>8.82</v>
      </c>
      <c r="J132">
        <v>5.2919999999999998</v>
      </c>
      <c r="K132">
        <v>14.112</v>
      </c>
    </row>
    <row r="133" spans="1:11">
      <c r="A133">
        <v>134</v>
      </c>
      <c r="B133" t="s">
        <v>1295</v>
      </c>
      <c r="C133" t="s">
        <v>34</v>
      </c>
      <c r="D133" t="s">
        <v>282</v>
      </c>
      <c r="E133" t="s">
        <v>7</v>
      </c>
      <c r="F133" t="s">
        <v>284</v>
      </c>
      <c r="G133" t="s">
        <v>284</v>
      </c>
      <c r="H133">
        <v>8.39</v>
      </c>
      <c r="J133">
        <v>5.0339999999999998</v>
      </c>
      <c r="K133">
        <v>13.423999999999999</v>
      </c>
    </row>
    <row r="134" spans="1:11">
      <c r="A134">
        <v>135</v>
      </c>
      <c r="B134" t="s">
        <v>1295</v>
      </c>
      <c r="C134" t="s">
        <v>34</v>
      </c>
      <c r="D134" t="s">
        <v>282</v>
      </c>
      <c r="E134" t="s">
        <v>7</v>
      </c>
      <c r="F134" t="s">
        <v>276</v>
      </c>
      <c r="G134" t="s">
        <v>276</v>
      </c>
      <c r="H134">
        <v>6.84</v>
      </c>
      <c r="J134">
        <v>4.1040000000000001</v>
      </c>
      <c r="K134">
        <v>10.944000000000001</v>
      </c>
    </row>
    <row r="135" spans="1:11">
      <c r="A135">
        <v>136</v>
      </c>
      <c r="B135" t="s">
        <v>1295</v>
      </c>
      <c r="C135" t="s">
        <v>34</v>
      </c>
      <c r="D135" t="s">
        <v>282</v>
      </c>
      <c r="E135" t="s">
        <v>7</v>
      </c>
      <c r="F135" t="s">
        <v>285</v>
      </c>
      <c r="G135" t="s">
        <v>285</v>
      </c>
      <c r="H135">
        <v>7.11</v>
      </c>
      <c r="J135">
        <v>4.266</v>
      </c>
      <c r="K135">
        <v>11.375999999999999</v>
      </c>
    </row>
    <row r="136" spans="1:11">
      <c r="A136">
        <v>137</v>
      </c>
      <c r="B136" t="s">
        <v>1295</v>
      </c>
      <c r="C136" t="s">
        <v>34</v>
      </c>
      <c r="D136" t="s">
        <v>282</v>
      </c>
      <c r="E136" t="s">
        <v>7</v>
      </c>
      <c r="F136" t="s">
        <v>277</v>
      </c>
      <c r="G136" t="s">
        <v>277</v>
      </c>
      <c r="H136">
        <v>4.6399999999999997</v>
      </c>
      <c r="J136">
        <v>2.7839999999999998</v>
      </c>
      <c r="K136">
        <v>7.4240000000000004</v>
      </c>
    </row>
    <row r="137" spans="1:11">
      <c r="A137">
        <v>138</v>
      </c>
      <c r="B137" t="s">
        <v>1295</v>
      </c>
      <c r="C137" t="s">
        <v>34</v>
      </c>
      <c r="D137" t="s">
        <v>282</v>
      </c>
      <c r="E137" t="s">
        <v>7</v>
      </c>
      <c r="F137" t="s">
        <v>286</v>
      </c>
      <c r="G137" t="s">
        <v>286</v>
      </c>
      <c r="H137">
        <v>7.23</v>
      </c>
      <c r="J137">
        <v>4.3380000000000001</v>
      </c>
      <c r="K137">
        <v>11.568</v>
      </c>
    </row>
    <row r="138" spans="1:11">
      <c r="A138">
        <v>139</v>
      </c>
      <c r="B138" t="s">
        <v>1295</v>
      </c>
      <c r="C138" t="s">
        <v>34</v>
      </c>
      <c r="D138" t="s">
        <v>282</v>
      </c>
      <c r="E138" t="s">
        <v>7</v>
      </c>
      <c r="F138" t="s">
        <v>287</v>
      </c>
      <c r="G138" t="s">
        <v>287</v>
      </c>
      <c r="H138">
        <v>3.92</v>
      </c>
      <c r="J138">
        <v>2.3519999999999999</v>
      </c>
      <c r="K138">
        <v>6.2720000000000002</v>
      </c>
    </row>
    <row r="139" spans="1:11">
      <c r="A139">
        <v>140</v>
      </c>
      <c r="B139" t="s">
        <v>1295</v>
      </c>
      <c r="C139" t="s">
        <v>34</v>
      </c>
      <c r="D139" t="s">
        <v>282</v>
      </c>
      <c r="E139" t="s">
        <v>7</v>
      </c>
      <c r="J139">
        <v>0</v>
      </c>
      <c r="K139">
        <v>0</v>
      </c>
    </row>
    <row r="140" spans="1:11">
      <c r="A140">
        <v>141</v>
      </c>
      <c r="B140" t="s">
        <v>1295</v>
      </c>
      <c r="C140" t="s">
        <v>34</v>
      </c>
      <c r="D140" t="s">
        <v>282</v>
      </c>
      <c r="E140" t="s">
        <v>7</v>
      </c>
      <c r="J140">
        <v>0</v>
      </c>
      <c r="K140">
        <v>0</v>
      </c>
    </row>
    <row r="141" spans="1:11">
      <c r="A141">
        <v>142</v>
      </c>
      <c r="B141" t="s">
        <v>1295</v>
      </c>
      <c r="C141" t="s">
        <v>34</v>
      </c>
      <c r="D141" t="s">
        <v>282</v>
      </c>
      <c r="E141" t="s">
        <v>7</v>
      </c>
      <c r="F141" t="s">
        <v>281</v>
      </c>
      <c r="G141" t="s">
        <v>281</v>
      </c>
      <c r="H141">
        <v>3.98</v>
      </c>
      <c r="J141">
        <v>2.3879999999999999</v>
      </c>
      <c r="K141">
        <v>6.3680000000000003</v>
      </c>
    </row>
    <row r="142" spans="1:11">
      <c r="A142">
        <v>143</v>
      </c>
      <c r="B142" t="s">
        <v>1295</v>
      </c>
      <c r="C142" t="s">
        <v>34</v>
      </c>
      <c r="D142" t="s">
        <v>282</v>
      </c>
      <c r="E142" t="s">
        <v>7</v>
      </c>
      <c r="J142">
        <v>0</v>
      </c>
      <c r="K142">
        <v>0</v>
      </c>
    </row>
    <row r="143" spans="1:11">
      <c r="A143">
        <v>144</v>
      </c>
      <c r="B143" t="s">
        <v>1295</v>
      </c>
      <c r="C143" t="s">
        <v>288</v>
      </c>
      <c r="D143" t="s">
        <v>18</v>
      </c>
      <c r="E143" t="s">
        <v>7</v>
      </c>
      <c r="J143">
        <v>0</v>
      </c>
    </row>
    <row r="144" spans="1:11">
      <c r="A144">
        <v>145</v>
      </c>
      <c r="B144" t="s">
        <v>1295</v>
      </c>
      <c r="C144" t="s">
        <v>288</v>
      </c>
      <c r="D144" t="s">
        <v>18</v>
      </c>
      <c r="E144" t="s">
        <v>7</v>
      </c>
      <c r="J144">
        <v>0</v>
      </c>
    </row>
    <row r="145" spans="1:11">
      <c r="A145">
        <v>146</v>
      </c>
      <c r="B145" t="s">
        <v>1295</v>
      </c>
      <c r="C145" t="s">
        <v>288</v>
      </c>
      <c r="D145" t="s">
        <v>18</v>
      </c>
      <c r="E145" t="s">
        <v>7</v>
      </c>
      <c r="F145" t="s">
        <v>31</v>
      </c>
      <c r="H145">
        <v>23.37</v>
      </c>
      <c r="J145">
        <v>14.022</v>
      </c>
      <c r="K145">
        <v>37.392000000000003</v>
      </c>
    </row>
    <row r="146" spans="1:11">
      <c r="A146">
        <v>147</v>
      </c>
      <c r="B146" t="s">
        <v>1295</v>
      </c>
      <c r="C146" t="s">
        <v>288</v>
      </c>
      <c r="D146" t="s">
        <v>18</v>
      </c>
      <c r="E146" t="s">
        <v>7</v>
      </c>
      <c r="F146" t="s">
        <v>30</v>
      </c>
      <c r="H146">
        <v>16.96</v>
      </c>
      <c r="J146">
        <v>10.176</v>
      </c>
      <c r="K146">
        <v>27.135999999999999</v>
      </c>
    </row>
    <row r="147" spans="1:11">
      <c r="A147">
        <v>148</v>
      </c>
      <c r="B147" t="s">
        <v>1295</v>
      </c>
      <c r="C147" t="s">
        <v>288</v>
      </c>
      <c r="D147" t="s">
        <v>18</v>
      </c>
      <c r="E147" t="s">
        <v>7</v>
      </c>
      <c r="F147" t="s">
        <v>289</v>
      </c>
      <c r="H147">
        <v>13.34</v>
      </c>
      <c r="J147">
        <v>8.0039999999999996</v>
      </c>
      <c r="K147">
        <v>21.344000000000001</v>
      </c>
    </row>
    <row r="148" spans="1:11">
      <c r="A148">
        <v>149</v>
      </c>
      <c r="B148" t="s">
        <v>1295</v>
      </c>
      <c r="C148" t="s">
        <v>288</v>
      </c>
      <c r="D148" t="s">
        <v>18</v>
      </c>
      <c r="E148" t="s">
        <v>7</v>
      </c>
      <c r="F148" t="s">
        <v>290</v>
      </c>
      <c r="H148">
        <v>9.9600000000000009</v>
      </c>
      <c r="J148">
        <v>5.976</v>
      </c>
      <c r="K148">
        <v>15.936</v>
      </c>
    </row>
    <row r="149" spans="1:11">
      <c r="A149">
        <v>150</v>
      </c>
      <c r="B149" t="s">
        <v>1295</v>
      </c>
      <c r="C149" t="s">
        <v>288</v>
      </c>
      <c r="D149" t="s">
        <v>18</v>
      </c>
      <c r="E149" t="s">
        <v>7</v>
      </c>
      <c r="F149" t="s">
        <v>291</v>
      </c>
      <c r="H149">
        <v>4.6900000000000004</v>
      </c>
      <c r="J149">
        <v>2.8140000000000001</v>
      </c>
      <c r="K149">
        <v>7.5039999999999996</v>
      </c>
    </row>
    <row r="150" spans="1:11">
      <c r="A150">
        <v>151</v>
      </c>
      <c r="B150" t="s">
        <v>1295</v>
      </c>
      <c r="C150" t="s">
        <v>288</v>
      </c>
      <c r="D150" t="s">
        <v>18</v>
      </c>
      <c r="E150" t="s">
        <v>7</v>
      </c>
      <c r="J150">
        <v>0</v>
      </c>
    </row>
    <row r="151" spans="1:11">
      <c r="A151">
        <v>152</v>
      </c>
      <c r="B151" t="s">
        <v>1295</v>
      </c>
      <c r="C151" t="s">
        <v>288</v>
      </c>
      <c r="D151" t="s">
        <v>292</v>
      </c>
      <c r="E151" t="s">
        <v>7</v>
      </c>
      <c r="J151">
        <v>0</v>
      </c>
      <c r="K151">
        <v>0</v>
      </c>
    </row>
    <row r="152" spans="1:11">
      <c r="A152">
        <v>153</v>
      </c>
      <c r="B152" t="s">
        <v>1295</v>
      </c>
      <c r="C152" t="s">
        <v>288</v>
      </c>
      <c r="D152" t="s">
        <v>292</v>
      </c>
      <c r="E152" t="s">
        <v>7</v>
      </c>
      <c r="F152" t="s">
        <v>293</v>
      </c>
      <c r="H152">
        <v>65</v>
      </c>
      <c r="J152">
        <v>39</v>
      </c>
      <c r="K152">
        <v>104</v>
      </c>
    </row>
    <row r="153" spans="1:11">
      <c r="A153">
        <v>154</v>
      </c>
      <c r="B153" t="s">
        <v>1295</v>
      </c>
      <c r="C153" t="s">
        <v>288</v>
      </c>
      <c r="D153" t="s">
        <v>292</v>
      </c>
      <c r="E153" t="s">
        <v>7</v>
      </c>
      <c r="F153" t="s">
        <v>62</v>
      </c>
      <c r="H153">
        <v>1300</v>
      </c>
      <c r="J153">
        <v>780</v>
      </c>
      <c r="K153">
        <v>2080</v>
      </c>
    </row>
    <row r="154" spans="1:11">
      <c r="A154">
        <v>155</v>
      </c>
      <c r="B154" t="s">
        <v>1295</v>
      </c>
      <c r="C154" t="s">
        <v>288</v>
      </c>
      <c r="D154" t="s">
        <v>292</v>
      </c>
      <c r="E154" t="s">
        <v>7</v>
      </c>
      <c r="F154" t="s">
        <v>24</v>
      </c>
      <c r="H154">
        <v>120</v>
      </c>
      <c r="J154">
        <v>72</v>
      </c>
      <c r="K154">
        <v>192</v>
      </c>
    </row>
    <row r="155" spans="1:11">
      <c r="A155">
        <v>157</v>
      </c>
      <c r="B155" t="s">
        <v>1295</v>
      </c>
      <c r="C155" t="s">
        <v>26</v>
      </c>
      <c r="D155" t="s">
        <v>294</v>
      </c>
      <c r="E155" t="s">
        <v>7</v>
      </c>
      <c r="J155">
        <v>0</v>
      </c>
      <c r="K155">
        <v>0</v>
      </c>
    </row>
    <row r="156" spans="1:11">
      <c r="A156">
        <v>158</v>
      </c>
      <c r="B156" t="s">
        <v>1295</v>
      </c>
      <c r="C156" t="s">
        <v>26</v>
      </c>
      <c r="D156" t="s">
        <v>294</v>
      </c>
      <c r="E156" t="s">
        <v>7</v>
      </c>
      <c r="F156" t="s">
        <v>27</v>
      </c>
      <c r="G156" t="s">
        <v>295</v>
      </c>
      <c r="H156">
        <v>16.75</v>
      </c>
      <c r="J156">
        <v>10.050000000000001</v>
      </c>
      <c r="K156">
        <v>26.8</v>
      </c>
    </row>
    <row r="157" spans="1:11">
      <c r="A157">
        <v>159</v>
      </c>
      <c r="B157" t="s">
        <v>1295</v>
      </c>
      <c r="C157" t="s">
        <v>26</v>
      </c>
      <c r="D157" t="s">
        <v>294</v>
      </c>
      <c r="E157" t="s">
        <v>7</v>
      </c>
      <c r="F157" t="s">
        <v>296</v>
      </c>
      <c r="G157" t="s">
        <v>295</v>
      </c>
      <c r="H157">
        <v>21.32</v>
      </c>
      <c r="J157">
        <v>12.792</v>
      </c>
      <c r="K157">
        <v>34.112000000000002</v>
      </c>
    </row>
    <row r="158" spans="1:11">
      <c r="A158">
        <v>160</v>
      </c>
      <c r="B158" t="s">
        <v>1295</v>
      </c>
      <c r="C158" t="s">
        <v>26</v>
      </c>
      <c r="D158" t="s">
        <v>294</v>
      </c>
      <c r="E158" t="s">
        <v>7</v>
      </c>
      <c r="F158" t="s">
        <v>297</v>
      </c>
      <c r="G158" t="s">
        <v>295</v>
      </c>
      <c r="H158">
        <v>22.72</v>
      </c>
      <c r="J158">
        <v>13.632</v>
      </c>
      <c r="K158">
        <v>36.351999999999997</v>
      </c>
    </row>
    <row r="159" spans="1:11">
      <c r="A159">
        <v>161</v>
      </c>
      <c r="B159" t="s">
        <v>1295</v>
      </c>
      <c r="C159" t="s">
        <v>26</v>
      </c>
      <c r="D159" t="s">
        <v>294</v>
      </c>
      <c r="E159" t="s">
        <v>7</v>
      </c>
      <c r="F159" t="s">
        <v>298</v>
      </c>
      <c r="G159" t="s">
        <v>295</v>
      </c>
      <c r="H159">
        <v>28.69</v>
      </c>
      <c r="J159">
        <v>17.213999999999999</v>
      </c>
      <c r="K159">
        <v>45.904000000000003</v>
      </c>
    </row>
    <row r="160" spans="1:11">
      <c r="A160">
        <v>162</v>
      </c>
      <c r="B160" t="s">
        <v>1295</v>
      </c>
      <c r="C160" t="s">
        <v>26</v>
      </c>
      <c r="D160" t="s">
        <v>294</v>
      </c>
      <c r="E160" t="s">
        <v>7</v>
      </c>
      <c r="F160" t="s">
        <v>299</v>
      </c>
      <c r="G160" t="s">
        <v>295</v>
      </c>
      <c r="H160">
        <v>35.869999999999997</v>
      </c>
      <c r="J160">
        <v>21.521999999999998</v>
      </c>
      <c r="K160">
        <v>57.392000000000003</v>
      </c>
    </row>
    <row r="161" spans="1:11">
      <c r="A161">
        <v>163</v>
      </c>
      <c r="B161" t="s">
        <v>1295</v>
      </c>
      <c r="C161" t="s">
        <v>26</v>
      </c>
      <c r="D161" t="s">
        <v>294</v>
      </c>
      <c r="E161" t="s">
        <v>7</v>
      </c>
      <c r="F161" t="s">
        <v>300</v>
      </c>
      <c r="G161" t="s">
        <v>295</v>
      </c>
      <c r="H161">
        <v>63.9</v>
      </c>
      <c r="J161">
        <v>38.340000000000003</v>
      </c>
      <c r="K161">
        <v>102.24</v>
      </c>
    </row>
    <row r="162" spans="1:11">
      <c r="A162">
        <v>164</v>
      </c>
      <c r="B162" t="s">
        <v>1295</v>
      </c>
      <c r="C162" t="s">
        <v>26</v>
      </c>
      <c r="D162" t="s">
        <v>294</v>
      </c>
      <c r="E162" t="s">
        <v>7</v>
      </c>
      <c r="F162" t="s">
        <v>301</v>
      </c>
      <c r="G162" t="s">
        <v>295</v>
      </c>
      <c r="H162">
        <v>50.53</v>
      </c>
      <c r="J162">
        <v>30.318000000000001</v>
      </c>
      <c r="K162">
        <v>80.847999999999999</v>
      </c>
    </row>
    <row r="163" spans="1:11">
      <c r="A163">
        <v>165</v>
      </c>
      <c r="B163" t="s">
        <v>1295</v>
      </c>
      <c r="C163" t="s">
        <v>26</v>
      </c>
      <c r="D163" t="s">
        <v>294</v>
      </c>
      <c r="E163" t="s">
        <v>7</v>
      </c>
      <c r="F163" t="s">
        <v>302</v>
      </c>
      <c r="G163" t="s">
        <v>295</v>
      </c>
      <c r="H163">
        <v>65.91</v>
      </c>
      <c r="J163">
        <v>39.545999999999999</v>
      </c>
      <c r="K163">
        <v>105.456</v>
      </c>
    </row>
    <row r="164" spans="1:11">
      <c r="A164">
        <v>166</v>
      </c>
      <c r="B164" t="s">
        <v>1295</v>
      </c>
      <c r="C164" t="s">
        <v>26</v>
      </c>
      <c r="D164" t="s">
        <v>294</v>
      </c>
      <c r="E164" t="s">
        <v>7</v>
      </c>
      <c r="F164" t="s">
        <v>303</v>
      </c>
      <c r="G164" t="s">
        <v>295</v>
      </c>
      <c r="H164">
        <v>60.43</v>
      </c>
      <c r="J164">
        <v>36.258000000000003</v>
      </c>
      <c r="K164">
        <v>96.688000000000002</v>
      </c>
    </row>
    <row r="165" spans="1:11">
      <c r="A165">
        <v>167</v>
      </c>
      <c r="B165" t="s">
        <v>1295</v>
      </c>
      <c r="C165" t="s">
        <v>26</v>
      </c>
      <c r="D165" t="s">
        <v>294</v>
      </c>
      <c r="E165" t="s">
        <v>7</v>
      </c>
      <c r="F165" t="s">
        <v>304</v>
      </c>
      <c r="G165" t="s">
        <v>295</v>
      </c>
      <c r="H165">
        <v>85.21</v>
      </c>
      <c r="J165">
        <v>51.125999999999998</v>
      </c>
      <c r="K165">
        <v>136.33600000000001</v>
      </c>
    </row>
    <row r="166" spans="1:11">
      <c r="A166">
        <v>168</v>
      </c>
      <c r="B166" t="s">
        <v>1295</v>
      </c>
      <c r="C166" t="s">
        <v>26</v>
      </c>
      <c r="D166" t="s">
        <v>294</v>
      </c>
      <c r="E166" t="s">
        <v>7</v>
      </c>
      <c r="F166" t="s">
        <v>305</v>
      </c>
      <c r="G166" t="s">
        <v>295</v>
      </c>
      <c r="H166">
        <v>84.54</v>
      </c>
      <c r="J166">
        <v>50.723999999999997</v>
      </c>
      <c r="K166">
        <v>135.26400000000001</v>
      </c>
    </row>
    <row r="167" spans="1:11">
      <c r="A167">
        <v>169</v>
      </c>
      <c r="B167" t="s">
        <v>1295</v>
      </c>
      <c r="C167" t="s">
        <v>26</v>
      </c>
      <c r="D167" t="s">
        <v>294</v>
      </c>
      <c r="E167" t="s">
        <v>7</v>
      </c>
      <c r="J167">
        <v>0</v>
      </c>
    </row>
    <row r="168" spans="1:11">
      <c r="A168">
        <v>170</v>
      </c>
      <c r="B168" t="s">
        <v>1295</v>
      </c>
      <c r="C168" t="s">
        <v>26</v>
      </c>
      <c r="D168" t="s">
        <v>294</v>
      </c>
      <c r="E168" t="s">
        <v>7</v>
      </c>
      <c r="F168" t="s">
        <v>306</v>
      </c>
      <c r="G168" t="s">
        <v>295</v>
      </c>
      <c r="H168">
        <v>122.53</v>
      </c>
      <c r="J168">
        <v>73.518000000000001</v>
      </c>
      <c r="K168">
        <v>196.048</v>
      </c>
    </row>
    <row r="169" spans="1:11">
      <c r="A169">
        <v>171</v>
      </c>
      <c r="B169" t="s">
        <v>1295</v>
      </c>
      <c r="C169" t="s">
        <v>26</v>
      </c>
      <c r="D169" t="s">
        <v>294</v>
      </c>
      <c r="E169" t="s">
        <v>7</v>
      </c>
      <c r="J169">
        <v>0</v>
      </c>
    </row>
    <row r="170" spans="1:11">
      <c r="A170">
        <v>172</v>
      </c>
      <c r="B170" t="s">
        <v>1295</v>
      </c>
      <c r="C170" t="s">
        <v>26</v>
      </c>
      <c r="D170" t="s">
        <v>294</v>
      </c>
      <c r="E170" t="s">
        <v>7</v>
      </c>
      <c r="F170" t="s">
        <v>307</v>
      </c>
      <c r="G170" t="s">
        <v>295</v>
      </c>
      <c r="H170">
        <v>16.75</v>
      </c>
      <c r="J170">
        <v>10.050000000000001</v>
      </c>
      <c r="K170">
        <v>26.8</v>
      </c>
    </row>
    <row r="171" spans="1:11">
      <c r="A171">
        <v>173</v>
      </c>
      <c r="B171" t="s">
        <v>1295</v>
      </c>
      <c r="C171" t="s">
        <v>26</v>
      </c>
      <c r="D171" t="s">
        <v>294</v>
      </c>
      <c r="E171" t="s">
        <v>7</v>
      </c>
      <c r="F171" t="s">
        <v>308</v>
      </c>
      <c r="G171" t="s">
        <v>295</v>
      </c>
      <c r="H171">
        <v>21.32</v>
      </c>
      <c r="J171">
        <v>12.792</v>
      </c>
      <c r="K171">
        <v>34.112000000000002</v>
      </c>
    </row>
    <row r="172" spans="1:11">
      <c r="A172">
        <v>174</v>
      </c>
      <c r="B172" t="s">
        <v>1295</v>
      </c>
      <c r="C172" t="s">
        <v>26</v>
      </c>
      <c r="D172" t="s">
        <v>294</v>
      </c>
      <c r="E172" t="s">
        <v>7</v>
      </c>
      <c r="F172" t="s">
        <v>309</v>
      </c>
      <c r="G172" t="s">
        <v>295</v>
      </c>
      <c r="H172">
        <v>22.72</v>
      </c>
      <c r="J172">
        <v>13.632</v>
      </c>
      <c r="K172">
        <v>36.351999999999997</v>
      </c>
    </row>
    <row r="173" spans="1:11">
      <c r="A173">
        <v>175</v>
      </c>
      <c r="B173" t="s">
        <v>1295</v>
      </c>
      <c r="C173" t="s">
        <v>26</v>
      </c>
      <c r="D173" t="s">
        <v>294</v>
      </c>
      <c r="E173" t="s">
        <v>7</v>
      </c>
      <c r="F173" t="s">
        <v>310</v>
      </c>
      <c r="G173" t="s">
        <v>295</v>
      </c>
      <c r="H173">
        <v>28.69</v>
      </c>
      <c r="J173">
        <v>17.213999999999999</v>
      </c>
      <c r="K173">
        <v>45.904000000000003</v>
      </c>
    </row>
    <row r="174" spans="1:11">
      <c r="A174">
        <v>176</v>
      </c>
      <c r="B174" t="s">
        <v>1295</v>
      </c>
      <c r="C174" t="s">
        <v>26</v>
      </c>
      <c r="D174" t="s">
        <v>294</v>
      </c>
      <c r="E174" t="s">
        <v>7</v>
      </c>
      <c r="F174" t="s">
        <v>311</v>
      </c>
      <c r="G174" t="s">
        <v>295</v>
      </c>
      <c r="H174">
        <v>35.869999999999997</v>
      </c>
      <c r="J174">
        <v>21.521999999999998</v>
      </c>
      <c r="K174">
        <v>57.392000000000003</v>
      </c>
    </row>
    <row r="175" spans="1:11">
      <c r="A175">
        <v>177</v>
      </c>
      <c r="B175" t="s">
        <v>1295</v>
      </c>
      <c r="C175" t="s">
        <v>26</v>
      </c>
      <c r="D175" t="s">
        <v>294</v>
      </c>
      <c r="E175" t="s">
        <v>7</v>
      </c>
      <c r="F175" t="s">
        <v>312</v>
      </c>
      <c r="G175" t="s">
        <v>295</v>
      </c>
      <c r="H175">
        <v>63.9</v>
      </c>
      <c r="J175">
        <v>38.340000000000003</v>
      </c>
      <c r="K175">
        <v>102.24</v>
      </c>
    </row>
    <row r="176" spans="1:11">
      <c r="A176">
        <v>178</v>
      </c>
      <c r="B176" t="s">
        <v>1295</v>
      </c>
      <c r="C176" t="s">
        <v>26</v>
      </c>
      <c r="D176" t="s">
        <v>294</v>
      </c>
      <c r="E176" t="s">
        <v>7</v>
      </c>
      <c r="F176" t="s">
        <v>313</v>
      </c>
      <c r="G176" t="s">
        <v>295</v>
      </c>
      <c r="H176">
        <v>50.53</v>
      </c>
      <c r="J176">
        <v>30.318000000000001</v>
      </c>
      <c r="K176">
        <v>80.847999999999999</v>
      </c>
    </row>
    <row r="177" spans="1:11">
      <c r="A177">
        <v>179</v>
      </c>
      <c r="B177" t="s">
        <v>1295</v>
      </c>
      <c r="C177" t="s">
        <v>26</v>
      </c>
      <c r="D177" t="s">
        <v>294</v>
      </c>
      <c r="E177" t="s">
        <v>7</v>
      </c>
      <c r="F177" t="s">
        <v>314</v>
      </c>
      <c r="G177" t="s">
        <v>295</v>
      </c>
      <c r="H177">
        <v>65.91</v>
      </c>
      <c r="J177">
        <v>39.545999999999999</v>
      </c>
      <c r="K177">
        <v>105.456</v>
      </c>
    </row>
    <row r="178" spans="1:11">
      <c r="A178">
        <v>180</v>
      </c>
      <c r="B178" t="s">
        <v>1295</v>
      </c>
      <c r="C178" t="s">
        <v>26</v>
      </c>
      <c r="D178" t="s">
        <v>294</v>
      </c>
      <c r="E178" t="s">
        <v>7</v>
      </c>
      <c r="F178" t="s">
        <v>315</v>
      </c>
      <c r="G178" t="s">
        <v>295</v>
      </c>
      <c r="H178">
        <v>60.43</v>
      </c>
      <c r="J178">
        <v>36.258000000000003</v>
      </c>
      <c r="K178">
        <v>96.688000000000002</v>
      </c>
    </row>
    <row r="179" spans="1:11">
      <c r="A179">
        <v>181</v>
      </c>
      <c r="B179" t="s">
        <v>1295</v>
      </c>
      <c r="C179" t="s">
        <v>26</v>
      </c>
      <c r="D179" t="s">
        <v>294</v>
      </c>
      <c r="E179" t="s">
        <v>7</v>
      </c>
      <c r="F179" t="s">
        <v>316</v>
      </c>
      <c r="G179" t="s">
        <v>295</v>
      </c>
      <c r="H179">
        <v>85.21</v>
      </c>
      <c r="J179">
        <v>51.125999999999998</v>
      </c>
      <c r="K179">
        <v>136.33600000000001</v>
      </c>
    </row>
    <row r="180" spans="1:11">
      <c r="A180">
        <v>182</v>
      </c>
      <c r="B180" t="s">
        <v>1295</v>
      </c>
      <c r="C180" t="s">
        <v>26</v>
      </c>
      <c r="D180" t="s">
        <v>294</v>
      </c>
      <c r="E180" t="s">
        <v>7</v>
      </c>
      <c r="F180" t="s">
        <v>317</v>
      </c>
      <c r="G180" t="s">
        <v>295</v>
      </c>
      <c r="H180">
        <v>84.54</v>
      </c>
      <c r="J180">
        <v>50.723999999999997</v>
      </c>
      <c r="K180">
        <v>135.26400000000001</v>
      </c>
    </row>
    <row r="181" spans="1:11">
      <c r="A181">
        <v>183</v>
      </c>
      <c r="B181" t="s">
        <v>1295</v>
      </c>
      <c r="C181" t="s">
        <v>26</v>
      </c>
      <c r="D181" t="s">
        <v>294</v>
      </c>
      <c r="E181" t="s">
        <v>7</v>
      </c>
      <c r="F181" t="s">
        <v>318</v>
      </c>
      <c r="G181" t="s">
        <v>295</v>
      </c>
      <c r="H181">
        <v>122.53</v>
      </c>
      <c r="J181">
        <v>73.518000000000001</v>
      </c>
      <c r="K181">
        <v>196.048</v>
      </c>
    </row>
    <row r="182" spans="1:11">
      <c r="A182">
        <v>184</v>
      </c>
      <c r="B182" t="s">
        <v>1295</v>
      </c>
      <c r="C182" t="s">
        <v>26</v>
      </c>
      <c r="E182" t="s">
        <v>7</v>
      </c>
      <c r="J182">
        <v>0</v>
      </c>
    </row>
    <row r="183" spans="1:11">
      <c r="A183">
        <v>185</v>
      </c>
      <c r="B183" t="s">
        <v>1295</v>
      </c>
      <c r="C183" t="s">
        <v>26</v>
      </c>
      <c r="E183" t="s">
        <v>7</v>
      </c>
      <c r="J183">
        <v>0</v>
      </c>
    </row>
    <row r="184" spans="1:11">
      <c r="A184">
        <v>186</v>
      </c>
      <c r="B184" t="s">
        <v>1295</v>
      </c>
      <c r="C184" t="s">
        <v>26</v>
      </c>
      <c r="D184" t="s">
        <v>319</v>
      </c>
      <c r="E184" t="s">
        <v>7</v>
      </c>
      <c r="J184">
        <v>0</v>
      </c>
    </row>
    <row r="185" spans="1:11">
      <c r="A185">
        <v>187</v>
      </c>
      <c r="B185" t="s">
        <v>1295</v>
      </c>
      <c r="C185" t="s">
        <v>26</v>
      </c>
      <c r="D185" t="s">
        <v>319</v>
      </c>
      <c r="E185" t="s">
        <v>7</v>
      </c>
      <c r="J185">
        <v>0</v>
      </c>
      <c r="K185">
        <v>0</v>
      </c>
    </row>
    <row r="186" spans="1:11">
      <c r="A186">
        <v>188</v>
      </c>
      <c r="B186" t="s">
        <v>1295</v>
      </c>
      <c r="C186" t="s">
        <v>26</v>
      </c>
      <c r="D186" t="s">
        <v>319</v>
      </c>
      <c r="E186" t="s">
        <v>7</v>
      </c>
      <c r="F186" t="s">
        <v>1128</v>
      </c>
      <c r="H186">
        <v>16.75</v>
      </c>
      <c r="J186">
        <v>10.050000000000001</v>
      </c>
      <c r="K186">
        <v>26.8</v>
      </c>
    </row>
    <row r="187" spans="1:11">
      <c r="A187">
        <v>189</v>
      </c>
      <c r="B187" t="s">
        <v>1295</v>
      </c>
      <c r="C187" t="s">
        <v>26</v>
      </c>
      <c r="D187" t="s">
        <v>319</v>
      </c>
      <c r="E187" t="s">
        <v>7</v>
      </c>
      <c r="F187" t="s">
        <v>1129</v>
      </c>
      <c r="H187">
        <v>21.32</v>
      </c>
      <c r="J187">
        <v>12.792</v>
      </c>
      <c r="K187">
        <v>34.112000000000002</v>
      </c>
    </row>
    <row r="188" spans="1:11">
      <c r="A188">
        <v>190</v>
      </c>
      <c r="B188" t="s">
        <v>1295</v>
      </c>
      <c r="C188" t="s">
        <v>26</v>
      </c>
      <c r="D188" t="s">
        <v>319</v>
      </c>
      <c r="E188" t="s">
        <v>7</v>
      </c>
      <c r="F188" t="s">
        <v>1130</v>
      </c>
      <c r="H188">
        <v>22.72</v>
      </c>
      <c r="J188">
        <v>13.632</v>
      </c>
      <c r="K188">
        <v>36.351999999999997</v>
      </c>
    </row>
    <row r="189" spans="1:11">
      <c r="A189">
        <v>191</v>
      </c>
      <c r="B189" t="s">
        <v>1295</v>
      </c>
      <c r="C189" t="s">
        <v>26</v>
      </c>
      <c r="D189" t="s">
        <v>319</v>
      </c>
      <c r="E189" t="s">
        <v>7</v>
      </c>
      <c r="F189" t="s">
        <v>1131</v>
      </c>
      <c r="H189">
        <v>28.69</v>
      </c>
      <c r="J189">
        <v>17.213999999999999</v>
      </c>
      <c r="K189">
        <v>45.904000000000003</v>
      </c>
    </row>
    <row r="190" spans="1:11">
      <c r="A190">
        <v>192</v>
      </c>
      <c r="B190" t="s">
        <v>1295</v>
      </c>
      <c r="C190" t="s">
        <v>26</v>
      </c>
      <c r="D190" t="s">
        <v>319</v>
      </c>
      <c r="E190" t="s">
        <v>7</v>
      </c>
      <c r="F190" t="s">
        <v>1132</v>
      </c>
      <c r="H190">
        <v>35.869999999999997</v>
      </c>
      <c r="J190">
        <v>21.521999999999998</v>
      </c>
      <c r="K190">
        <v>57.392000000000003</v>
      </c>
    </row>
    <row r="191" spans="1:11">
      <c r="A191">
        <v>193</v>
      </c>
      <c r="B191" t="s">
        <v>1295</v>
      </c>
      <c r="C191" t="s">
        <v>26</v>
      </c>
      <c r="D191" t="s">
        <v>319</v>
      </c>
      <c r="E191" t="s">
        <v>7</v>
      </c>
      <c r="J191">
        <v>0</v>
      </c>
    </row>
    <row r="192" spans="1:11">
      <c r="A192">
        <v>194</v>
      </c>
      <c r="B192" t="s">
        <v>1295</v>
      </c>
      <c r="C192" t="s">
        <v>33</v>
      </c>
      <c r="D192" t="s">
        <v>325</v>
      </c>
      <c r="E192" t="s">
        <v>7</v>
      </c>
      <c r="J192">
        <v>0</v>
      </c>
    </row>
    <row r="193" spans="1:11">
      <c r="A193">
        <v>195</v>
      </c>
      <c r="B193" t="s">
        <v>1295</v>
      </c>
      <c r="C193" t="s">
        <v>33</v>
      </c>
      <c r="D193" t="s">
        <v>325</v>
      </c>
      <c r="E193" t="s">
        <v>7</v>
      </c>
      <c r="J193">
        <v>0</v>
      </c>
    </row>
    <row r="194" spans="1:11">
      <c r="A194">
        <v>196</v>
      </c>
      <c r="B194" t="s">
        <v>1295</v>
      </c>
      <c r="C194" t="s">
        <v>33</v>
      </c>
      <c r="D194" t="s">
        <v>326</v>
      </c>
      <c r="E194" t="s">
        <v>7</v>
      </c>
      <c r="F194" t="s">
        <v>327</v>
      </c>
      <c r="H194">
        <v>16.850000000000001</v>
      </c>
      <c r="J194">
        <v>10.11</v>
      </c>
      <c r="K194">
        <v>26.96</v>
      </c>
    </row>
    <row r="195" spans="1:11">
      <c r="A195">
        <v>197</v>
      </c>
      <c r="B195" t="s">
        <v>1295</v>
      </c>
      <c r="C195" t="s">
        <v>33</v>
      </c>
      <c r="D195" t="s">
        <v>326</v>
      </c>
      <c r="E195" t="s">
        <v>7</v>
      </c>
      <c r="F195" t="s">
        <v>328</v>
      </c>
      <c r="H195">
        <v>26.34</v>
      </c>
      <c r="J195">
        <v>15.804</v>
      </c>
      <c r="K195">
        <v>42.143999999999998</v>
      </c>
    </row>
    <row r="196" spans="1:11">
      <c r="A196">
        <v>198</v>
      </c>
      <c r="B196" t="s">
        <v>1295</v>
      </c>
      <c r="C196" t="s">
        <v>33</v>
      </c>
      <c r="D196" t="s">
        <v>326</v>
      </c>
      <c r="E196" t="s">
        <v>7</v>
      </c>
      <c r="F196" t="s">
        <v>329</v>
      </c>
      <c r="H196">
        <v>103.43</v>
      </c>
      <c r="J196">
        <v>62.058</v>
      </c>
      <c r="K196">
        <v>165.488</v>
      </c>
    </row>
    <row r="197" spans="1:11">
      <c r="A197">
        <v>199</v>
      </c>
      <c r="B197" t="s">
        <v>1295</v>
      </c>
      <c r="C197" t="s">
        <v>33</v>
      </c>
      <c r="D197" t="s">
        <v>326</v>
      </c>
      <c r="E197" t="s">
        <v>7</v>
      </c>
      <c r="F197" t="s">
        <v>330</v>
      </c>
      <c r="H197">
        <v>72.98</v>
      </c>
      <c r="J197">
        <v>43.787999999999997</v>
      </c>
      <c r="K197">
        <v>116.768</v>
      </c>
    </row>
    <row r="198" spans="1:11">
      <c r="A198">
        <v>200</v>
      </c>
      <c r="B198" t="s">
        <v>1295</v>
      </c>
      <c r="C198" t="s">
        <v>33</v>
      </c>
      <c r="D198" t="s">
        <v>326</v>
      </c>
      <c r="E198" t="s">
        <v>7</v>
      </c>
      <c r="J198">
        <v>0</v>
      </c>
    </row>
    <row r="199" spans="1:11">
      <c r="A199">
        <v>201</v>
      </c>
      <c r="B199" t="s">
        <v>1295</v>
      </c>
      <c r="C199" t="s">
        <v>288</v>
      </c>
      <c r="D199" t="s">
        <v>331</v>
      </c>
      <c r="E199" t="s">
        <v>7</v>
      </c>
      <c r="J199">
        <v>0</v>
      </c>
    </row>
    <row r="200" spans="1:11">
      <c r="A200">
        <v>202</v>
      </c>
      <c r="B200" t="s">
        <v>1295</v>
      </c>
      <c r="C200" t="s">
        <v>288</v>
      </c>
      <c r="D200" t="s">
        <v>331</v>
      </c>
      <c r="E200" t="s">
        <v>7</v>
      </c>
      <c r="J200">
        <v>0</v>
      </c>
      <c r="K200">
        <v>0</v>
      </c>
    </row>
    <row r="201" spans="1:11">
      <c r="A201">
        <v>203</v>
      </c>
      <c r="B201" t="s">
        <v>1295</v>
      </c>
      <c r="C201" t="s">
        <v>288</v>
      </c>
      <c r="D201" t="s">
        <v>331</v>
      </c>
      <c r="E201" t="s">
        <v>7</v>
      </c>
      <c r="F201" t="s">
        <v>32</v>
      </c>
      <c r="H201">
        <v>58.34</v>
      </c>
      <c r="J201">
        <v>35.003999999999998</v>
      </c>
      <c r="K201">
        <v>93.343999999999994</v>
      </c>
    </row>
    <row r="202" spans="1:11">
      <c r="A202">
        <v>204</v>
      </c>
      <c r="B202" t="s">
        <v>1295</v>
      </c>
      <c r="C202" t="s">
        <v>288</v>
      </c>
      <c r="D202" t="s">
        <v>331</v>
      </c>
      <c r="E202" t="s">
        <v>7</v>
      </c>
      <c r="F202" t="s">
        <v>332</v>
      </c>
      <c r="H202">
        <v>43.97</v>
      </c>
      <c r="J202">
        <v>26.382000000000001</v>
      </c>
      <c r="K202">
        <v>70.352000000000004</v>
      </c>
    </row>
    <row r="203" spans="1:11">
      <c r="A203">
        <v>205</v>
      </c>
      <c r="B203" t="s">
        <v>1295</v>
      </c>
      <c r="C203" t="s">
        <v>288</v>
      </c>
      <c r="D203" t="s">
        <v>331</v>
      </c>
      <c r="E203" t="s">
        <v>7</v>
      </c>
      <c r="F203" t="s">
        <v>333</v>
      </c>
      <c r="H203">
        <v>32.119999999999997</v>
      </c>
      <c r="J203">
        <v>19.271999999999998</v>
      </c>
      <c r="K203">
        <v>51.392000000000003</v>
      </c>
    </row>
    <row r="204" spans="1:11">
      <c r="A204">
        <v>206</v>
      </c>
      <c r="B204" t="s">
        <v>1295</v>
      </c>
      <c r="C204" t="s">
        <v>288</v>
      </c>
      <c r="D204" t="s">
        <v>331</v>
      </c>
      <c r="E204" t="s">
        <v>7</v>
      </c>
      <c r="F204" t="s">
        <v>334</v>
      </c>
      <c r="H204">
        <v>23.93</v>
      </c>
      <c r="J204">
        <v>14.358000000000001</v>
      </c>
      <c r="K204">
        <v>38.287999999999997</v>
      </c>
    </row>
    <row r="205" spans="1:11">
      <c r="A205">
        <v>207</v>
      </c>
      <c r="B205" t="s">
        <v>1295</v>
      </c>
      <c r="C205" t="s">
        <v>288</v>
      </c>
      <c r="D205" t="s">
        <v>331</v>
      </c>
      <c r="E205" t="s">
        <v>7</v>
      </c>
      <c r="F205" t="s">
        <v>335</v>
      </c>
      <c r="H205">
        <v>14.76</v>
      </c>
      <c r="J205">
        <v>8.8559999999999999</v>
      </c>
      <c r="K205">
        <v>23.616</v>
      </c>
    </row>
    <row r="206" spans="1:11">
      <c r="A206">
        <v>208</v>
      </c>
      <c r="B206" t="s">
        <v>1295</v>
      </c>
      <c r="C206" t="s">
        <v>288</v>
      </c>
      <c r="D206" t="s">
        <v>331</v>
      </c>
      <c r="E206" t="s">
        <v>7</v>
      </c>
      <c r="F206" t="s">
        <v>336</v>
      </c>
      <c r="H206">
        <v>12.27</v>
      </c>
      <c r="J206">
        <v>7.3620000000000001</v>
      </c>
      <c r="K206">
        <v>19.632000000000001</v>
      </c>
    </row>
    <row r="207" spans="1:11">
      <c r="A207">
        <v>209</v>
      </c>
      <c r="B207" t="s">
        <v>1295</v>
      </c>
      <c r="C207" t="s">
        <v>288</v>
      </c>
      <c r="D207" t="s">
        <v>331</v>
      </c>
      <c r="E207" t="s">
        <v>7</v>
      </c>
      <c r="F207" t="s">
        <v>337</v>
      </c>
      <c r="H207">
        <v>11.58</v>
      </c>
      <c r="J207">
        <v>6.9480000000000004</v>
      </c>
      <c r="K207">
        <v>18.527999999999999</v>
      </c>
    </row>
    <row r="208" spans="1:11">
      <c r="A208">
        <v>210</v>
      </c>
      <c r="B208" t="s">
        <v>1295</v>
      </c>
      <c r="C208" t="s">
        <v>288</v>
      </c>
      <c r="D208" t="s">
        <v>331</v>
      </c>
      <c r="E208" t="s">
        <v>7</v>
      </c>
      <c r="F208" t="s">
        <v>338</v>
      </c>
      <c r="H208">
        <v>7.23</v>
      </c>
      <c r="J208">
        <v>4.3380000000000001</v>
      </c>
      <c r="K208">
        <v>11.568</v>
      </c>
    </row>
    <row r="209" spans="1:11">
      <c r="A209">
        <v>211</v>
      </c>
      <c r="B209" t="s">
        <v>1295</v>
      </c>
      <c r="C209" t="s">
        <v>288</v>
      </c>
      <c r="D209" t="s">
        <v>331</v>
      </c>
      <c r="E209" t="s">
        <v>7</v>
      </c>
      <c r="J209">
        <v>0</v>
      </c>
    </row>
    <row r="210" spans="1:11">
      <c r="A210">
        <v>212</v>
      </c>
      <c r="B210" t="s">
        <v>1295</v>
      </c>
      <c r="C210" t="s">
        <v>288</v>
      </c>
      <c r="D210" t="s">
        <v>155</v>
      </c>
      <c r="E210" t="s">
        <v>7</v>
      </c>
      <c r="J210">
        <v>0</v>
      </c>
    </row>
    <row r="211" spans="1:11">
      <c r="A211">
        <v>213</v>
      </c>
      <c r="B211" t="s">
        <v>1295</v>
      </c>
      <c r="C211" t="s">
        <v>288</v>
      </c>
      <c r="D211" t="s">
        <v>155</v>
      </c>
      <c r="E211" t="s">
        <v>7</v>
      </c>
      <c r="J211">
        <v>0</v>
      </c>
    </row>
    <row r="212" spans="1:11">
      <c r="A212">
        <v>214</v>
      </c>
      <c r="B212" t="s">
        <v>1295</v>
      </c>
      <c r="C212" t="s">
        <v>288</v>
      </c>
      <c r="D212" t="s">
        <v>155</v>
      </c>
      <c r="E212" t="s">
        <v>7</v>
      </c>
      <c r="F212" t="s">
        <v>339</v>
      </c>
      <c r="H212">
        <v>10.37</v>
      </c>
      <c r="J212">
        <v>6.2220000000000004</v>
      </c>
      <c r="K212">
        <v>16.591999999999999</v>
      </c>
    </row>
    <row r="213" spans="1:11">
      <c r="A213">
        <v>215</v>
      </c>
      <c r="B213" t="s">
        <v>1295</v>
      </c>
      <c r="C213" t="s">
        <v>288</v>
      </c>
      <c r="D213" t="s">
        <v>155</v>
      </c>
      <c r="E213" t="s">
        <v>7</v>
      </c>
      <c r="F213" t="s">
        <v>340</v>
      </c>
      <c r="H213">
        <v>14.38</v>
      </c>
      <c r="J213">
        <v>8.6280000000000001</v>
      </c>
      <c r="K213">
        <v>23.007999999999999</v>
      </c>
    </row>
    <row r="214" spans="1:11">
      <c r="A214">
        <v>216</v>
      </c>
      <c r="B214" t="s">
        <v>1295</v>
      </c>
      <c r="C214" t="s">
        <v>288</v>
      </c>
      <c r="D214" t="s">
        <v>155</v>
      </c>
      <c r="E214" t="s">
        <v>7</v>
      </c>
      <c r="F214" t="s">
        <v>341</v>
      </c>
      <c r="H214">
        <v>21.5</v>
      </c>
      <c r="J214">
        <v>12.9</v>
      </c>
      <c r="K214">
        <v>34.4</v>
      </c>
    </row>
    <row r="215" spans="1:11">
      <c r="A215">
        <v>217</v>
      </c>
      <c r="B215" t="s">
        <v>1295</v>
      </c>
      <c r="C215" t="s">
        <v>288</v>
      </c>
      <c r="D215" t="s">
        <v>155</v>
      </c>
      <c r="E215" t="s">
        <v>7</v>
      </c>
      <c r="F215" t="s">
        <v>342</v>
      </c>
      <c r="H215">
        <v>29.41</v>
      </c>
      <c r="J215">
        <v>17.646000000000001</v>
      </c>
      <c r="K215">
        <v>47.055999999999997</v>
      </c>
    </row>
    <row r="216" spans="1:11">
      <c r="A216">
        <v>218</v>
      </c>
      <c r="B216" t="s">
        <v>1295</v>
      </c>
      <c r="C216" t="s">
        <v>288</v>
      </c>
      <c r="D216" t="s">
        <v>155</v>
      </c>
      <c r="E216" t="s">
        <v>7</v>
      </c>
      <c r="J216">
        <v>0</v>
      </c>
    </row>
    <row r="217" spans="1:11">
      <c r="A217">
        <v>219</v>
      </c>
      <c r="B217" t="s">
        <v>1295</v>
      </c>
      <c r="C217" t="s">
        <v>288</v>
      </c>
      <c r="D217" t="s">
        <v>343</v>
      </c>
      <c r="E217" t="s">
        <v>7</v>
      </c>
      <c r="J217">
        <v>0</v>
      </c>
    </row>
    <row r="218" spans="1:11">
      <c r="A218">
        <v>220</v>
      </c>
      <c r="B218" t="s">
        <v>1295</v>
      </c>
      <c r="C218" t="s">
        <v>288</v>
      </c>
      <c r="D218" t="s">
        <v>343</v>
      </c>
      <c r="E218" t="s">
        <v>7</v>
      </c>
      <c r="F218" t="s">
        <v>344</v>
      </c>
      <c r="H218">
        <v>22.95</v>
      </c>
      <c r="J218">
        <v>13.77</v>
      </c>
      <c r="K218">
        <v>36.72</v>
      </c>
    </row>
    <row r="219" spans="1:11">
      <c r="A219">
        <v>221</v>
      </c>
      <c r="B219" t="s">
        <v>1295</v>
      </c>
      <c r="C219" t="s">
        <v>288</v>
      </c>
      <c r="D219" t="s">
        <v>343</v>
      </c>
      <c r="E219" t="s">
        <v>7</v>
      </c>
      <c r="F219" t="s">
        <v>345</v>
      </c>
      <c r="H219">
        <v>43.65</v>
      </c>
      <c r="J219">
        <v>26.19</v>
      </c>
      <c r="K219">
        <v>69.84</v>
      </c>
    </row>
    <row r="220" spans="1:11">
      <c r="A220">
        <v>222</v>
      </c>
      <c r="B220" t="s">
        <v>1295</v>
      </c>
      <c r="C220" t="s">
        <v>288</v>
      </c>
      <c r="D220" t="s">
        <v>343</v>
      </c>
      <c r="E220" t="s">
        <v>7</v>
      </c>
      <c r="F220" t="s">
        <v>346</v>
      </c>
      <c r="H220">
        <v>77.09</v>
      </c>
      <c r="J220">
        <v>46.253999999999998</v>
      </c>
      <c r="K220">
        <v>123.34399999999999</v>
      </c>
    </row>
    <row r="221" spans="1:11">
      <c r="A221">
        <v>223</v>
      </c>
      <c r="B221" t="s">
        <v>1295</v>
      </c>
      <c r="C221" t="s">
        <v>288</v>
      </c>
      <c r="D221" t="s">
        <v>343</v>
      </c>
      <c r="E221" t="s">
        <v>7</v>
      </c>
      <c r="F221" t="s">
        <v>347</v>
      </c>
      <c r="H221">
        <v>86.1</v>
      </c>
      <c r="J221">
        <v>51.66</v>
      </c>
      <c r="K221">
        <v>137.76</v>
      </c>
    </row>
    <row r="222" spans="1:11">
      <c r="A222">
        <v>224</v>
      </c>
      <c r="B222" t="s">
        <v>1295</v>
      </c>
      <c r="C222" t="s">
        <v>288</v>
      </c>
      <c r="D222" t="s">
        <v>111</v>
      </c>
      <c r="E222" t="s">
        <v>7</v>
      </c>
      <c r="F222" t="s">
        <v>348</v>
      </c>
      <c r="H222">
        <v>2.73</v>
      </c>
      <c r="J222">
        <v>1.6379999999999999</v>
      </c>
      <c r="K222">
        <v>4.3680000000000003</v>
      </c>
    </row>
    <row r="223" spans="1:11">
      <c r="A223">
        <v>225</v>
      </c>
      <c r="B223" t="s">
        <v>1295</v>
      </c>
      <c r="C223" t="s">
        <v>288</v>
      </c>
      <c r="D223" t="s">
        <v>111</v>
      </c>
      <c r="E223" t="s">
        <v>7</v>
      </c>
      <c r="F223" t="s">
        <v>349</v>
      </c>
      <c r="H223">
        <v>3.91</v>
      </c>
      <c r="J223">
        <v>2.3460000000000001</v>
      </c>
      <c r="K223">
        <v>6.2560000000000002</v>
      </c>
    </row>
    <row r="224" spans="1:11">
      <c r="A224">
        <v>226</v>
      </c>
      <c r="B224" t="s">
        <v>1295</v>
      </c>
      <c r="C224" t="s">
        <v>66</v>
      </c>
      <c r="D224" t="s">
        <v>114</v>
      </c>
      <c r="E224" t="s">
        <v>7</v>
      </c>
      <c r="F224" t="s">
        <v>350</v>
      </c>
      <c r="H224">
        <v>4.2699999999999996</v>
      </c>
      <c r="J224">
        <v>2.5619999999999998</v>
      </c>
      <c r="K224">
        <v>6.8319999999999999</v>
      </c>
    </row>
    <row r="225" spans="1:11">
      <c r="A225">
        <v>227</v>
      </c>
      <c r="B225" t="s">
        <v>1295</v>
      </c>
      <c r="C225" t="s">
        <v>66</v>
      </c>
      <c r="D225" t="s">
        <v>114</v>
      </c>
      <c r="E225" t="s">
        <v>7</v>
      </c>
      <c r="F225" t="s">
        <v>351</v>
      </c>
      <c r="H225">
        <v>6.2</v>
      </c>
      <c r="J225">
        <v>3.72</v>
      </c>
      <c r="K225">
        <v>9.92</v>
      </c>
    </row>
    <row r="226" spans="1:11">
      <c r="A226">
        <v>228</v>
      </c>
      <c r="B226" t="s">
        <v>1295</v>
      </c>
      <c r="C226" t="s">
        <v>66</v>
      </c>
      <c r="D226" t="s">
        <v>114</v>
      </c>
      <c r="E226" t="s">
        <v>7</v>
      </c>
      <c r="F226" t="s">
        <v>352</v>
      </c>
      <c r="H226">
        <v>0.6</v>
      </c>
      <c r="J226">
        <v>0.36</v>
      </c>
      <c r="K226">
        <v>0.96</v>
      </c>
    </row>
    <row r="227" spans="1:11">
      <c r="A227">
        <v>229</v>
      </c>
      <c r="B227" t="s">
        <v>1295</v>
      </c>
      <c r="C227" t="s">
        <v>353</v>
      </c>
      <c r="D227" t="s">
        <v>354</v>
      </c>
      <c r="E227" t="s">
        <v>7</v>
      </c>
      <c r="J227">
        <v>0</v>
      </c>
    </row>
    <row r="228" spans="1:11">
      <c r="A228">
        <v>230</v>
      </c>
      <c r="B228" t="s">
        <v>1295</v>
      </c>
      <c r="C228" t="s">
        <v>353</v>
      </c>
      <c r="D228" t="s">
        <v>354</v>
      </c>
      <c r="E228" t="s">
        <v>7</v>
      </c>
      <c r="J228">
        <v>0</v>
      </c>
    </row>
    <row r="229" spans="1:11">
      <c r="A229">
        <v>231</v>
      </c>
      <c r="B229" t="s">
        <v>1295</v>
      </c>
      <c r="C229" t="s">
        <v>353</v>
      </c>
      <c r="D229" t="s">
        <v>354</v>
      </c>
      <c r="E229" t="s">
        <v>7</v>
      </c>
      <c r="F229" t="s">
        <v>355</v>
      </c>
      <c r="H229">
        <v>0</v>
      </c>
      <c r="J229">
        <v>0</v>
      </c>
      <c r="K229">
        <v>0</v>
      </c>
    </row>
    <row r="230" spans="1:11">
      <c r="A230">
        <v>232</v>
      </c>
      <c r="B230" t="s">
        <v>1295</v>
      </c>
      <c r="C230" t="s">
        <v>353</v>
      </c>
      <c r="D230" t="s">
        <v>354</v>
      </c>
      <c r="E230" t="s">
        <v>7</v>
      </c>
      <c r="F230" t="s">
        <v>356</v>
      </c>
      <c r="H230">
        <v>0</v>
      </c>
      <c r="J230">
        <v>0</v>
      </c>
      <c r="K230">
        <v>0</v>
      </c>
    </row>
    <row r="231" spans="1:11">
      <c r="A231">
        <v>233</v>
      </c>
      <c r="B231" t="s">
        <v>1295</v>
      </c>
      <c r="C231" t="s">
        <v>353</v>
      </c>
      <c r="D231" t="s">
        <v>354</v>
      </c>
      <c r="E231" t="s">
        <v>7</v>
      </c>
      <c r="F231" t="s">
        <v>357</v>
      </c>
      <c r="H231">
        <v>0</v>
      </c>
      <c r="J231">
        <v>0</v>
      </c>
      <c r="K231">
        <v>0</v>
      </c>
    </row>
    <row r="232" spans="1:11">
      <c r="A232">
        <v>234</v>
      </c>
      <c r="B232" t="s">
        <v>1295</v>
      </c>
      <c r="C232" t="s">
        <v>353</v>
      </c>
      <c r="D232" t="s">
        <v>358</v>
      </c>
      <c r="E232" t="s">
        <v>7</v>
      </c>
      <c r="F232" t="s">
        <v>359</v>
      </c>
      <c r="H232">
        <v>0</v>
      </c>
      <c r="J232">
        <v>0</v>
      </c>
      <c r="K232">
        <v>0</v>
      </c>
    </row>
    <row r="233" spans="1:11">
      <c r="A233">
        <v>235</v>
      </c>
      <c r="B233" t="s">
        <v>1295</v>
      </c>
      <c r="C233" t="s">
        <v>353</v>
      </c>
      <c r="D233" t="s">
        <v>358</v>
      </c>
      <c r="E233" t="s">
        <v>7</v>
      </c>
      <c r="F233" t="s">
        <v>360</v>
      </c>
      <c r="H233">
        <v>0</v>
      </c>
      <c r="J233">
        <v>0</v>
      </c>
      <c r="K233">
        <v>0</v>
      </c>
    </row>
    <row r="234" spans="1:11">
      <c r="A234">
        <v>236</v>
      </c>
      <c r="B234" t="s">
        <v>1295</v>
      </c>
      <c r="C234" t="s">
        <v>353</v>
      </c>
      <c r="D234" t="s">
        <v>358</v>
      </c>
      <c r="E234" t="s">
        <v>7</v>
      </c>
      <c r="F234" t="s">
        <v>361</v>
      </c>
      <c r="H234">
        <v>0</v>
      </c>
      <c r="J234">
        <v>0</v>
      </c>
      <c r="K234">
        <v>0</v>
      </c>
    </row>
    <row r="235" spans="1:11">
      <c r="A235">
        <v>237</v>
      </c>
      <c r="B235" t="s">
        <v>1295</v>
      </c>
      <c r="C235" t="s">
        <v>69</v>
      </c>
      <c r="D235" t="s">
        <v>362</v>
      </c>
      <c r="E235" t="s">
        <v>7</v>
      </c>
      <c r="J235">
        <v>0</v>
      </c>
      <c r="K235">
        <v>0</v>
      </c>
    </row>
    <row r="236" spans="1:11">
      <c r="A236">
        <v>238</v>
      </c>
      <c r="B236" t="s">
        <v>1295</v>
      </c>
      <c r="C236" t="s">
        <v>69</v>
      </c>
      <c r="D236" t="s">
        <v>362</v>
      </c>
      <c r="E236" t="s">
        <v>7</v>
      </c>
      <c r="F236" t="s">
        <v>363</v>
      </c>
      <c r="H236">
        <v>9</v>
      </c>
      <c r="J236">
        <v>5.4</v>
      </c>
      <c r="K236">
        <v>14.4</v>
      </c>
    </row>
    <row r="237" spans="1:11">
      <c r="A237">
        <v>239</v>
      </c>
      <c r="B237" t="s">
        <v>1295</v>
      </c>
      <c r="C237" t="s">
        <v>69</v>
      </c>
      <c r="D237" t="s">
        <v>362</v>
      </c>
      <c r="E237" t="s">
        <v>7</v>
      </c>
      <c r="F237" t="s">
        <v>364</v>
      </c>
      <c r="H237">
        <v>4.25</v>
      </c>
      <c r="J237">
        <v>2.5499999999999998</v>
      </c>
      <c r="K237">
        <v>6.8</v>
      </c>
    </row>
    <row r="238" spans="1:11">
      <c r="A238">
        <v>240</v>
      </c>
      <c r="B238" t="s">
        <v>1295</v>
      </c>
      <c r="C238" t="s">
        <v>69</v>
      </c>
      <c r="D238" t="s">
        <v>365</v>
      </c>
      <c r="E238" t="s">
        <v>7</v>
      </c>
      <c r="J238">
        <v>0</v>
      </c>
      <c r="K238">
        <v>0</v>
      </c>
    </row>
    <row r="239" spans="1:11">
      <c r="A239">
        <v>241</v>
      </c>
      <c r="B239" t="s">
        <v>1295</v>
      </c>
      <c r="C239" t="s">
        <v>69</v>
      </c>
      <c r="D239" t="s">
        <v>365</v>
      </c>
      <c r="E239" t="s">
        <v>7</v>
      </c>
      <c r="F239" t="s">
        <v>366</v>
      </c>
      <c r="H239">
        <v>1.37</v>
      </c>
      <c r="J239">
        <v>0.82199999999999995</v>
      </c>
      <c r="K239">
        <v>2.1920000000000002</v>
      </c>
    </row>
    <row r="240" spans="1:11">
      <c r="A240">
        <v>242</v>
      </c>
      <c r="B240" t="s">
        <v>1295</v>
      </c>
      <c r="C240" t="s">
        <v>69</v>
      </c>
      <c r="D240" t="s">
        <v>365</v>
      </c>
      <c r="E240" t="s">
        <v>7</v>
      </c>
      <c r="J240">
        <v>0</v>
      </c>
      <c r="K240">
        <v>0</v>
      </c>
    </row>
    <row r="241" spans="1:11">
      <c r="A241">
        <v>243</v>
      </c>
      <c r="B241" t="s">
        <v>1295</v>
      </c>
      <c r="C241" t="s">
        <v>69</v>
      </c>
      <c r="D241" t="s">
        <v>367</v>
      </c>
      <c r="E241" t="s">
        <v>7</v>
      </c>
      <c r="J241">
        <v>0</v>
      </c>
    </row>
    <row r="242" spans="1:11">
      <c r="A242">
        <v>244</v>
      </c>
      <c r="B242" t="s">
        <v>1295</v>
      </c>
      <c r="C242" t="s">
        <v>69</v>
      </c>
      <c r="D242" t="s">
        <v>367</v>
      </c>
      <c r="E242" t="s">
        <v>7</v>
      </c>
      <c r="F242" t="s">
        <v>70</v>
      </c>
      <c r="H242">
        <v>90</v>
      </c>
      <c r="J242">
        <v>54</v>
      </c>
      <c r="K242">
        <v>144</v>
      </c>
    </row>
    <row r="243" spans="1:11">
      <c r="A243">
        <v>245</v>
      </c>
      <c r="B243" t="s">
        <v>1295</v>
      </c>
      <c r="C243" t="s">
        <v>69</v>
      </c>
      <c r="D243" t="s">
        <v>367</v>
      </c>
      <c r="E243" t="s">
        <v>7</v>
      </c>
      <c r="F243" t="s">
        <v>71</v>
      </c>
      <c r="H243">
        <v>55</v>
      </c>
      <c r="J243">
        <v>33</v>
      </c>
      <c r="K243">
        <v>88</v>
      </c>
    </row>
    <row r="244" spans="1:11">
      <c r="A244">
        <v>246</v>
      </c>
      <c r="B244" t="s">
        <v>1295</v>
      </c>
      <c r="C244" t="s">
        <v>69</v>
      </c>
      <c r="D244" t="s">
        <v>367</v>
      </c>
      <c r="E244" t="s">
        <v>7</v>
      </c>
      <c r="F244" t="s">
        <v>72</v>
      </c>
      <c r="H244">
        <v>95</v>
      </c>
      <c r="J244">
        <v>57</v>
      </c>
      <c r="K244">
        <v>152</v>
      </c>
    </row>
    <row r="245" spans="1:11">
      <c r="A245">
        <v>247</v>
      </c>
      <c r="B245" t="s">
        <v>1295</v>
      </c>
      <c r="C245" t="s">
        <v>69</v>
      </c>
      <c r="D245" t="s">
        <v>367</v>
      </c>
      <c r="E245" t="s">
        <v>7</v>
      </c>
      <c r="J245">
        <v>0</v>
      </c>
      <c r="K245">
        <v>0</v>
      </c>
    </row>
    <row r="246" spans="1:11">
      <c r="A246">
        <v>248</v>
      </c>
      <c r="B246" t="s">
        <v>1295</v>
      </c>
      <c r="C246" t="s">
        <v>69</v>
      </c>
      <c r="D246" t="s">
        <v>367</v>
      </c>
      <c r="E246" t="s">
        <v>7</v>
      </c>
      <c r="J246">
        <v>0</v>
      </c>
      <c r="K246">
        <v>0</v>
      </c>
    </row>
    <row r="247" spans="1:11">
      <c r="A247">
        <v>249</v>
      </c>
      <c r="B247" t="s">
        <v>1295</v>
      </c>
      <c r="C247" t="s">
        <v>69</v>
      </c>
      <c r="D247" t="s">
        <v>367</v>
      </c>
      <c r="E247" t="s">
        <v>7</v>
      </c>
      <c r="F247" t="s">
        <v>74</v>
      </c>
      <c r="H247">
        <v>50</v>
      </c>
      <c r="J247">
        <v>30</v>
      </c>
      <c r="K247">
        <v>80</v>
      </c>
    </row>
    <row r="248" spans="1:11">
      <c r="A248">
        <v>250</v>
      </c>
      <c r="B248" t="s">
        <v>1295</v>
      </c>
      <c r="C248" t="s">
        <v>69</v>
      </c>
      <c r="D248" t="s">
        <v>367</v>
      </c>
      <c r="E248" t="s">
        <v>7</v>
      </c>
      <c r="F248" t="s">
        <v>73</v>
      </c>
      <c r="H248">
        <v>50</v>
      </c>
      <c r="J248">
        <v>30</v>
      </c>
      <c r="K248">
        <v>80</v>
      </c>
    </row>
    <row r="249" spans="1:11">
      <c r="A249">
        <v>251</v>
      </c>
      <c r="B249" t="s">
        <v>1295</v>
      </c>
      <c r="C249" t="s">
        <v>69</v>
      </c>
      <c r="D249" t="s">
        <v>367</v>
      </c>
      <c r="E249" t="s">
        <v>7</v>
      </c>
      <c r="J249">
        <v>0</v>
      </c>
      <c r="K249">
        <v>0</v>
      </c>
    </row>
    <row r="250" spans="1:11">
      <c r="A250">
        <v>252</v>
      </c>
      <c r="B250" t="s">
        <v>1295</v>
      </c>
      <c r="C250" t="s">
        <v>69</v>
      </c>
      <c r="D250" t="s">
        <v>367</v>
      </c>
      <c r="E250" t="s">
        <v>7</v>
      </c>
      <c r="F250" t="s">
        <v>77</v>
      </c>
      <c r="H250">
        <v>60</v>
      </c>
      <c r="J250">
        <v>36</v>
      </c>
      <c r="K250">
        <v>96</v>
      </c>
    </row>
    <row r="251" spans="1:11">
      <c r="A251">
        <v>253</v>
      </c>
      <c r="B251" t="s">
        <v>1295</v>
      </c>
      <c r="C251" t="s">
        <v>69</v>
      </c>
      <c r="D251" t="s">
        <v>367</v>
      </c>
      <c r="E251" t="s">
        <v>7</v>
      </c>
      <c r="F251" t="s">
        <v>75</v>
      </c>
      <c r="H251">
        <v>12.5</v>
      </c>
      <c r="J251">
        <v>7.5</v>
      </c>
      <c r="K251">
        <v>20</v>
      </c>
    </row>
    <row r="252" spans="1:11">
      <c r="A252">
        <v>254</v>
      </c>
      <c r="B252" t="s">
        <v>1295</v>
      </c>
      <c r="C252" t="s">
        <v>69</v>
      </c>
      <c r="D252" t="s">
        <v>367</v>
      </c>
      <c r="E252" t="s">
        <v>7</v>
      </c>
      <c r="F252" t="s">
        <v>76</v>
      </c>
      <c r="H252">
        <v>400</v>
      </c>
      <c r="J252">
        <v>240</v>
      </c>
      <c r="K252">
        <v>640</v>
      </c>
    </row>
    <row r="253" spans="1:11">
      <c r="A253">
        <v>255</v>
      </c>
      <c r="B253" t="s">
        <v>1349</v>
      </c>
      <c r="C253" t="s">
        <v>69</v>
      </c>
      <c r="D253" t="s">
        <v>367</v>
      </c>
      <c r="E253" t="s">
        <v>7</v>
      </c>
      <c r="F253" t="s">
        <v>1313</v>
      </c>
      <c r="H253">
        <v>2500</v>
      </c>
      <c r="J253">
        <v>1500</v>
      </c>
      <c r="K253">
        <v>4000</v>
      </c>
    </row>
    <row r="254" spans="1:11">
      <c r="A254">
        <v>256</v>
      </c>
      <c r="B254" t="s">
        <v>1295</v>
      </c>
      <c r="C254" t="s">
        <v>69</v>
      </c>
      <c r="D254" t="s">
        <v>367</v>
      </c>
      <c r="E254" t="s">
        <v>7</v>
      </c>
      <c r="F254" t="s">
        <v>104</v>
      </c>
      <c r="J254">
        <v>0</v>
      </c>
    </row>
    <row r="255" spans="1:11">
      <c r="A255">
        <v>257</v>
      </c>
      <c r="B255" t="s">
        <v>1295</v>
      </c>
      <c r="C255" t="s">
        <v>69</v>
      </c>
      <c r="D255" t="s">
        <v>368</v>
      </c>
      <c r="E255" t="s">
        <v>7</v>
      </c>
      <c r="F255" t="s">
        <v>369</v>
      </c>
      <c r="H255">
        <v>46</v>
      </c>
      <c r="J255">
        <v>27.6</v>
      </c>
      <c r="K255">
        <v>73.599999999999994</v>
      </c>
    </row>
    <row r="256" spans="1:11">
      <c r="A256">
        <v>258</v>
      </c>
      <c r="B256" t="s">
        <v>1295</v>
      </c>
      <c r="C256" t="s">
        <v>69</v>
      </c>
      <c r="D256" t="s">
        <v>368</v>
      </c>
      <c r="E256" t="s">
        <v>7</v>
      </c>
      <c r="J256">
        <v>0</v>
      </c>
      <c r="K256">
        <v>0</v>
      </c>
    </row>
    <row r="257" spans="1:11">
      <c r="A257">
        <v>259</v>
      </c>
      <c r="B257" t="s">
        <v>1295</v>
      </c>
      <c r="C257" t="s">
        <v>69</v>
      </c>
      <c r="D257" t="s">
        <v>371</v>
      </c>
      <c r="E257" t="s">
        <v>7</v>
      </c>
      <c r="F257" t="s">
        <v>372</v>
      </c>
    </row>
    <row r="258" spans="1:11">
      <c r="A258">
        <v>260</v>
      </c>
      <c r="B258" t="s">
        <v>1295</v>
      </c>
      <c r="C258" t="s">
        <v>69</v>
      </c>
      <c r="D258" t="s">
        <v>371</v>
      </c>
      <c r="E258" t="s">
        <v>7</v>
      </c>
      <c r="F258" t="s">
        <v>373</v>
      </c>
    </row>
    <row r="259" spans="1:11">
      <c r="A259">
        <v>261</v>
      </c>
      <c r="B259" t="s">
        <v>1295</v>
      </c>
      <c r="C259" t="s">
        <v>69</v>
      </c>
      <c r="D259" t="s">
        <v>371</v>
      </c>
      <c r="E259" t="s">
        <v>7</v>
      </c>
      <c r="F259" t="s">
        <v>374</v>
      </c>
    </row>
    <row r="260" spans="1:11">
      <c r="A260">
        <v>262</v>
      </c>
      <c r="B260" t="s">
        <v>1295</v>
      </c>
      <c r="C260" t="s">
        <v>98</v>
      </c>
      <c r="D260" t="s">
        <v>375</v>
      </c>
      <c r="E260" t="s">
        <v>7</v>
      </c>
      <c r="F260" t="s">
        <v>376</v>
      </c>
      <c r="J260">
        <v>0</v>
      </c>
      <c r="K260">
        <v>0</v>
      </c>
    </row>
    <row r="261" spans="1:11">
      <c r="A261">
        <v>263</v>
      </c>
      <c r="B261" t="s">
        <v>1295</v>
      </c>
      <c r="C261" t="s">
        <v>98</v>
      </c>
      <c r="D261" t="s">
        <v>375</v>
      </c>
      <c r="E261" t="s">
        <v>7</v>
      </c>
      <c r="F261" t="s">
        <v>377</v>
      </c>
      <c r="J261">
        <v>0</v>
      </c>
      <c r="K261">
        <v>0</v>
      </c>
    </row>
    <row r="262" spans="1:11">
      <c r="A262">
        <v>264</v>
      </c>
      <c r="B262" t="s">
        <v>1295</v>
      </c>
      <c r="C262" t="s">
        <v>98</v>
      </c>
      <c r="D262" t="s">
        <v>375</v>
      </c>
      <c r="E262" t="s">
        <v>7</v>
      </c>
      <c r="F262" t="s">
        <v>378</v>
      </c>
      <c r="J262">
        <v>0</v>
      </c>
      <c r="K262">
        <v>0</v>
      </c>
    </row>
    <row r="263" spans="1:11">
      <c r="A263">
        <v>265</v>
      </c>
      <c r="B263" t="s">
        <v>1295</v>
      </c>
      <c r="C263" t="s">
        <v>379</v>
      </c>
      <c r="D263" t="s">
        <v>380</v>
      </c>
      <c r="E263" t="s">
        <v>7</v>
      </c>
      <c r="F263" t="s">
        <v>381</v>
      </c>
      <c r="H263">
        <v>15.76</v>
      </c>
      <c r="J263">
        <v>9.4559999999999995</v>
      </c>
      <c r="K263">
        <v>25.216000000000001</v>
      </c>
    </row>
    <row r="264" spans="1:11">
      <c r="A264">
        <v>266</v>
      </c>
      <c r="B264" t="s">
        <v>1295</v>
      </c>
      <c r="C264" t="s">
        <v>379</v>
      </c>
      <c r="D264" t="s">
        <v>380</v>
      </c>
      <c r="E264" t="s">
        <v>7</v>
      </c>
      <c r="F264" t="s">
        <v>382</v>
      </c>
      <c r="H264">
        <v>22.03</v>
      </c>
      <c r="J264">
        <v>13.218</v>
      </c>
      <c r="K264">
        <v>35.247999999999998</v>
      </c>
    </row>
    <row r="265" spans="1:11">
      <c r="A265">
        <v>267</v>
      </c>
      <c r="B265" t="s">
        <v>1295</v>
      </c>
      <c r="C265" t="s">
        <v>379</v>
      </c>
      <c r="D265" t="s">
        <v>380</v>
      </c>
      <c r="E265" t="s">
        <v>7</v>
      </c>
      <c r="F265" t="s">
        <v>383</v>
      </c>
      <c r="H265">
        <v>23.8</v>
      </c>
      <c r="J265">
        <v>14.28</v>
      </c>
      <c r="K265">
        <v>38.08</v>
      </c>
    </row>
    <row r="266" spans="1:11">
      <c r="A266">
        <v>268</v>
      </c>
      <c r="B266" t="s">
        <v>1295</v>
      </c>
      <c r="C266" t="s">
        <v>379</v>
      </c>
      <c r="D266" t="s">
        <v>380</v>
      </c>
      <c r="E266" t="s">
        <v>7</v>
      </c>
      <c r="F266" t="s">
        <v>384</v>
      </c>
      <c r="H266">
        <v>7.98</v>
      </c>
      <c r="J266">
        <v>4.7880000000000003</v>
      </c>
      <c r="K266">
        <v>12.768000000000001</v>
      </c>
    </row>
    <row r="267" spans="1:11">
      <c r="A267">
        <v>269</v>
      </c>
      <c r="B267" t="s">
        <v>1295</v>
      </c>
      <c r="C267" t="s">
        <v>379</v>
      </c>
      <c r="D267" t="s">
        <v>380</v>
      </c>
      <c r="E267" t="s">
        <v>7</v>
      </c>
      <c r="F267" t="s">
        <v>385</v>
      </c>
      <c r="H267">
        <v>14.67</v>
      </c>
      <c r="J267">
        <v>8.8019999999999996</v>
      </c>
      <c r="K267">
        <v>23.472000000000001</v>
      </c>
    </row>
    <row r="268" spans="1:11">
      <c r="A268">
        <v>270</v>
      </c>
      <c r="B268" t="s">
        <v>1295</v>
      </c>
      <c r="C268" t="s">
        <v>379</v>
      </c>
      <c r="D268" t="s">
        <v>380</v>
      </c>
      <c r="E268" t="s">
        <v>7</v>
      </c>
      <c r="F268" t="s">
        <v>386</v>
      </c>
      <c r="H268">
        <v>20.399999999999999</v>
      </c>
      <c r="J268">
        <v>12.24</v>
      </c>
      <c r="K268">
        <v>32.64</v>
      </c>
    </row>
    <row r="269" spans="1:11">
      <c r="A269">
        <v>271</v>
      </c>
      <c r="B269" t="s">
        <v>1295</v>
      </c>
      <c r="C269" t="s">
        <v>379</v>
      </c>
      <c r="D269" t="s">
        <v>380</v>
      </c>
      <c r="E269" t="s">
        <v>7</v>
      </c>
      <c r="F269" t="s">
        <v>387</v>
      </c>
      <c r="H269">
        <v>30.24</v>
      </c>
      <c r="J269">
        <v>18.143999999999998</v>
      </c>
      <c r="K269">
        <v>48.384</v>
      </c>
    </row>
    <row r="270" spans="1:11">
      <c r="A270">
        <v>272</v>
      </c>
      <c r="B270" t="s">
        <v>1295</v>
      </c>
      <c r="C270" t="s">
        <v>379</v>
      </c>
      <c r="D270" t="s">
        <v>380</v>
      </c>
      <c r="E270" t="s">
        <v>7</v>
      </c>
      <c r="F270" t="s">
        <v>388</v>
      </c>
      <c r="H270">
        <v>22.78</v>
      </c>
      <c r="J270">
        <v>13.667999999999999</v>
      </c>
      <c r="K270">
        <v>36.448</v>
      </c>
    </row>
    <row r="271" spans="1:11">
      <c r="A271">
        <v>273</v>
      </c>
      <c r="B271" t="s">
        <v>1295</v>
      </c>
      <c r="C271" t="s">
        <v>379</v>
      </c>
      <c r="D271" t="s">
        <v>380</v>
      </c>
      <c r="E271" t="s">
        <v>7</v>
      </c>
      <c r="F271" t="s">
        <v>389</v>
      </c>
      <c r="H271">
        <v>34.01</v>
      </c>
      <c r="J271">
        <v>20.405999999999999</v>
      </c>
      <c r="K271">
        <v>54.415999999999997</v>
      </c>
    </row>
    <row r="272" spans="1:11">
      <c r="A272">
        <v>274</v>
      </c>
      <c r="B272" t="s">
        <v>1295</v>
      </c>
      <c r="C272" t="s">
        <v>379</v>
      </c>
      <c r="D272" t="s">
        <v>380</v>
      </c>
      <c r="E272" t="s">
        <v>7</v>
      </c>
      <c r="F272" t="s">
        <v>390</v>
      </c>
      <c r="H272">
        <v>25.51</v>
      </c>
      <c r="J272">
        <v>15.305999999999999</v>
      </c>
      <c r="K272">
        <v>40.816000000000003</v>
      </c>
    </row>
    <row r="273" spans="1:11">
      <c r="A273">
        <v>275</v>
      </c>
      <c r="B273" t="s">
        <v>1295</v>
      </c>
      <c r="C273" t="s">
        <v>379</v>
      </c>
      <c r="D273" t="s">
        <v>380</v>
      </c>
      <c r="E273" t="s">
        <v>7</v>
      </c>
      <c r="F273" t="s">
        <v>391</v>
      </c>
      <c r="H273">
        <v>37.79</v>
      </c>
      <c r="J273">
        <v>22.673999999999999</v>
      </c>
      <c r="K273">
        <v>60.463999999999999</v>
      </c>
    </row>
    <row r="274" spans="1:11">
      <c r="A274">
        <v>276</v>
      </c>
      <c r="B274" t="s">
        <v>1295</v>
      </c>
      <c r="C274" t="s">
        <v>379</v>
      </c>
      <c r="D274" t="s">
        <v>380</v>
      </c>
      <c r="E274" t="s">
        <v>7</v>
      </c>
      <c r="F274" t="s">
        <v>392</v>
      </c>
      <c r="H274">
        <v>10.497199999999999</v>
      </c>
      <c r="J274">
        <v>6.2983000000000002</v>
      </c>
      <c r="K274">
        <v>16.7956</v>
      </c>
    </row>
    <row r="275" spans="1:11">
      <c r="A275">
        <v>277</v>
      </c>
      <c r="B275" t="s">
        <v>1295</v>
      </c>
      <c r="C275" t="s">
        <v>379</v>
      </c>
      <c r="D275" t="s">
        <v>380</v>
      </c>
      <c r="E275" t="s">
        <v>7</v>
      </c>
      <c r="F275" t="s">
        <v>393</v>
      </c>
      <c r="H275">
        <v>1.82</v>
      </c>
      <c r="J275">
        <v>1.0920000000000001</v>
      </c>
      <c r="K275">
        <v>2.9119999999999999</v>
      </c>
    </row>
    <row r="276" spans="1:11">
      <c r="A276">
        <v>278</v>
      </c>
      <c r="B276" t="s">
        <v>1295</v>
      </c>
      <c r="C276" t="s">
        <v>379</v>
      </c>
      <c r="D276" t="s">
        <v>380</v>
      </c>
      <c r="E276" t="s">
        <v>7</v>
      </c>
      <c r="F276" t="s">
        <v>394</v>
      </c>
      <c r="H276">
        <v>60</v>
      </c>
      <c r="J276">
        <v>36</v>
      </c>
      <c r="K276">
        <v>96</v>
      </c>
    </row>
    <row r="277" spans="1:11">
      <c r="A277">
        <v>279</v>
      </c>
      <c r="B277" t="s">
        <v>1295</v>
      </c>
      <c r="C277" t="s">
        <v>379</v>
      </c>
      <c r="D277" t="s">
        <v>380</v>
      </c>
      <c r="E277" t="s">
        <v>7</v>
      </c>
      <c r="F277" t="s">
        <v>395</v>
      </c>
      <c r="H277">
        <v>16.666699999999999</v>
      </c>
      <c r="J277">
        <v>10</v>
      </c>
      <c r="K277">
        <v>26.666699999999999</v>
      </c>
    </row>
    <row r="278" spans="1:11">
      <c r="A278">
        <v>280</v>
      </c>
      <c r="B278" t="s">
        <v>1295</v>
      </c>
      <c r="C278" t="s">
        <v>379</v>
      </c>
      <c r="D278" t="s">
        <v>380</v>
      </c>
      <c r="E278" t="s">
        <v>7</v>
      </c>
      <c r="J278">
        <v>0</v>
      </c>
    </row>
    <row r="279" spans="1:11">
      <c r="A279">
        <v>281</v>
      </c>
      <c r="B279" t="s">
        <v>1295</v>
      </c>
      <c r="C279" t="s">
        <v>45</v>
      </c>
      <c r="D279" t="s">
        <v>396</v>
      </c>
      <c r="E279" t="s">
        <v>7</v>
      </c>
      <c r="J279">
        <v>0</v>
      </c>
    </row>
    <row r="280" spans="1:11">
      <c r="A280">
        <v>282</v>
      </c>
      <c r="B280" t="s">
        <v>1295</v>
      </c>
      <c r="C280" t="s">
        <v>45</v>
      </c>
      <c r="D280" t="s">
        <v>396</v>
      </c>
      <c r="E280" t="s">
        <v>7</v>
      </c>
      <c r="J280">
        <v>0</v>
      </c>
    </row>
    <row r="281" spans="1:11">
      <c r="A281">
        <v>283</v>
      </c>
      <c r="B281" t="s">
        <v>1295</v>
      </c>
      <c r="C281" t="s">
        <v>45</v>
      </c>
      <c r="D281" t="s">
        <v>396</v>
      </c>
      <c r="E281" t="s">
        <v>7</v>
      </c>
      <c r="F281" t="s">
        <v>397</v>
      </c>
      <c r="J281">
        <v>0</v>
      </c>
      <c r="K281">
        <v>0</v>
      </c>
    </row>
    <row r="282" spans="1:11">
      <c r="A282">
        <v>284</v>
      </c>
      <c r="B282" t="s">
        <v>1295</v>
      </c>
      <c r="C282" t="s">
        <v>45</v>
      </c>
      <c r="D282" t="s">
        <v>396</v>
      </c>
      <c r="E282" t="s">
        <v>7</v>
      </c>
      <c r="J282">
        <v>0</v>
      </c>
    </row>
    <row r="283" spans="1:11">
      <c r="A283">
        <v>285</v>
      </c>
      <c r="B283" t="s">
        <v>1295</v>
      </c>
      <c r="C283" t="s">
        <v>98</v>
      </c>
      <c r="D283" t="s">
        <v>398</v>
      </c>
      <c r="E283" t="s">
        <v>7</v>
      </c>
      <c r="J283">
        <v>0</v>
      </c>
    </row>
    <row r="284" spans="1:11">
      <c r="A284">
        <v>286</v>
      </c>
      <c r="B284" t="s">
        <v>1295</v>
      </c>
      <c r="C284" t="s">
        <v>98</v>
      </c>
      <c r="D284" t="s">
        <v>398</v>
      </c>
      <c r="E284" t="s">
        <v>7</v>
      </c>
      <c r="F284" t="s">
        <v>399</v>
      </c>
    </row>
    <row r="285" spans="1:11">
      <c r="A285">
        <v>287</v>
      </c>
      <c r="B285" t="s">
        <v>1295</v>
      </c>
      <c r="C285" t="s">
        <v>98</v>
      </c>
      <c r="D285" t="s">
        <v>398</v>
      </c>
      <c r="E285" t="s">
        <v>7</v>
      </c>
      <c r="F285" t="s">
        <v>400</v>
      </c>
      <c r="H285">
        <v>20.52</v>
      </c>
      <c r="J285">
        <v>12.311999999999999</v>
      </c>
      <c r="K285">
        <v>32.832000000000001</v>
      </c>
    </row>
    <row r="286" spans="1:11">
      <c r="A286">
        <v>288</v>
      </c>
      <c r="B286" t="s">
        <v>1295</v>
      </c>
      <c r="C286" t="s">
        <v>98</v>
      </c>
      <c r="D286" t="s">
        <v>398</v>
      </c>
      <c r="E286" t="s">
        <v>7</v>
      </c>
      <c r="F286" t="s">
        <v>401</v>
      </c>
      <c r="H286">
        <v>24.623999999999999</v>
      </c>
      <c r="J286">
        <v>14.7744</v>
      </c>
      <c r="K286">
        <v>39.398400000000002</v>
      </c>
    </row>
    <row r="287" spans="1:11">
      <c r="A287">
        <v>289</v>
      </c>
      <c r="B287" t="s">
        <v>1295</v>
      </c>
      <c r="C287" t="s">
        <v>98</v>
      </c>
      <c r="D287" t="s">
        <v>398</v>
      </c>
      <c r="E287" t="s">
        <v>7</v>
      </c>
      <c r="F287" t="s">
        <v>402</v>
      </c>
      <c r="H287">
        <v>18.468</v>
      </c>
      <c r="J287">
        <v>11.0808</v>
      </c>
      <c r="K287">
        <v>29.5488</v>
      </c>
    </row>
    <row r="288" spans="1:11">
      <c r="A288">
        <v>290</v>
      </c>
      <c r="B288" t="s">
        <v>1295</v>
      </c>
      <c r="C288" t="s">
        <v>98</v>
      </c>
      <c r="D288" t="s">
        <v>398</v>
      </c>
      <c r="E288" t="s">
        <v>7</v>
      </c>
      <c r="F288" t="s">
        <v>403</v>
      </c>
      <c r="H288">
        <v>21.888000000000002</v>
      </c>
      <c r="J288">
        <v>13.1328</v>
      </c>
      <c r="K288">
        <v>35.020800000000001</v>
      </c>
    </row>
    <row r="289" spans="1:11">
      <c r="A289">
        <v>291</v>
      </c>
      <c r="B289" t="s">
        <v>1295</v>
      </c>
      <c r="C289" t="s">
        <v>98</v>
      </c>
      <c r="D289" t="s">
        <v>398</v>
      </c>
      <c r="E289" t="s">
        <v>7</v>
      </c>
      <c r="F289" t="s">
        <v>404</v>
      </c>
      <c r="H289">
        <v>16.416</v>
      </c>
      <c r="J289">
        <v>9.8496000000000006</v>
      </c>
      <c r="K289">
        <v>26.265599999999999</v>
      </c>
    </row>
    <row r="290" spans="1:11">
      <c r="A290">
        <v>292</v>
      </c>
      <c r="B290" t="s">
        <v>1295</v>
      </c>
      <c r="C290" t="s">
        <v>98</v>
      </c>
      <c r="D290" t="s">
        <v>398</v>
      </c>
      <c r="E290" t="s">
        <v>7</v>
      </c>
      <c r="F290" t="s">
        <v>405</v>
      </c>
      <c r="H290">
        <v>18.62</v>
      </c>
      <c r="J290">
        <v>11.172000000000001</v>
      </c>
      <c r="K290">
        <v>29.792000000000002</v>
      </c>
    </row>
    <row r="291" spans="1:11">
      <c r="A291">
        <v>293</v>
      </c>
      <c r="B291" t="s">
        <v>1295</v>
      </c>
      <c r="C291" t="s">
        <v>45</v>
      </c>
      <c r="D291" t="s">
        <v>406</v>
      </c>
      <c r="E291" t="s">
        <v>7</v>
      </c>
      <c r="F291" t="s">
        <v>407</v>
      </c>
      <c r="G291" t="s">
        <v>1306</v>
      </c>
      <c r="H291">
        <v>7.6</v>
      </c>
      <c r="J291">
        <v>4.5599999999999996</v>
      </c>
      <c r="K291">
        <v>12.16</v>
      </c>
    </row>
    <row r="292" spans="1:11">
      <c r="A292">
        <v>294</v>
      </c>
      <c r="B292" t="s">
        <v>1295</v>
      </c>
      <c r="C292" t="s">
        <v>45</v>
      </c>
      <c r="D292" t="s">
        <v>406</v>
      </c>
      <c r="E292" t="s">
        <v>7</v>
      </c>
      <c r="F292" t="s">
        <v>408</v>
      </c>
      <c r="G292" t="s">
        <v>1306</v>
      </c>
      <c r="H292">
        <v>5.3</v>
      </c>
      <c r="J292">
        <v>3.18</v>
      </c>
      <c r="K292">
        <v>8.48</v>
      </c>
    </row>
    <row r="293" spans="1:11">
      <c r="A293">
        <v>295</v>
      </c>
      <c r="B293" t="s">
        <v>1295</v>
      </c>
      <c r="C293" t="s">
        <v>45</v>
      </c>
      <c r="D293" t="s">
        <v>406</v>
      </c>
      <c r="E293" t="s">
        <v>7</v>
      </c>
      <c r="F293" t="s">
        <v>96</v>
      </c>
      <c r="G293" t="s">
        <v>1306</v>
      </c>
      <c r="H293">
        <v>6.7</v>
      </c>
      <c r="J293">
        <v>4.0199999999999996</v>
      </c>
      <c r="K293">
        <v>10.72</v>
      </c>
    </row>
    <row r="294" spans="1:11">
      <c r="A294">
        <v>296</v>
      </c>
      <c r="B294" t="s">
        <v>1295</v>
      </c>
      <c r="C294" t="s">
        <v>45</v>
      </c>
      <c r="D294" t="s">
        <v>406</v>
      </c>
      <c r="E294" t="s">
        <v>7</v>
      </c>
      <c r="F294" t="s">
        <v>97</v>
      </c>
      <c r="G294" t="s">
        <v>1306</v>
      </c>
      <c r="H294">
        <v>3.65</v>
      </c>
      <c r="J294">
        <v>2.19</v>
      </c>
      <c r="K294">
        <v>5.84</v>
      </c>
    </row>
    <row r="295" spans="1:11">
      <c r="A295">
        <v>299</v>
      </c>
      <c r="B295" t="s">
        <v>1295</v>
      </c>
      <c r="C295" t="s">
        <v>69</v>
      </c>
      <c r="D295" t="s">
        <v>409</v>
      </c>
      <c r="E295" t="s">
        <v>7</v>
      </c>
      <c r="F295" t="s">
        <v>410</v>
      </c>
      <c r="G295" t="s">
        <v>1307</v>
      </c>
    </row>
    <row r="296" spans="1:11">
      <c r="A296">
        <v>300</v>
      </c>
      <c r="B296" t="s">
        <v>1295</v>
      </c>
      <c r="C296" t="s">
        <v>69</v>
      </c>
      <c r="D296" t="s">
        <v>409</v>
      </c>
      <c r="E296" t="s">
        <v>7</v>
      </c>
      <c r="F296" t="s">
        <v>411</v>
      </c>
      <c r="G296" t="s">
        <v>1308</v>
      </c>
      <c r="H296">
        <v>133</v>
      </c>
      <c r="J296">
        <v>79.8</v>
      </c>
      <c r="K296">
        <v>212.8</v>
      </c>
    </row>
    <row r="297" spans="1:11">
      <c r="A297">
        <v>301</v>
      </c>
      <c r="B297" t="s">
        <v>1295</v>
      </c>
      <c r="C297" t="s">
        <v>69</v>
      </c>
      <c r="D297" t="s">
        <v>409</v>
      </c>
      <c r="E297" t="s">
        <v>7</v>
      </c>
      <c r="F297" t="s">
        <v>413</v>
      </c>
      <c r="G297" t="s">
        <v>1310</v>
      </c>
      <c r="H297">
        <v>150</v>
      </c>
      <c r="J297">
        <v>90</v>
      </c>
      <c r="K297">
        <v>240</v>
      </c>
    </row>
    <row r="298" spans="1:11">
      <c r="A298">
        <v>302</v>
      </c>
      <c r="B298" t="s">
        <v>1295</v>
      </c>
      <c r="C298" t="s">
        <v>69</v>
      </c>
      <c r="D298" t="s">
        <v>409</v>
      </c>
      <c r="E298" t="s">
        <v>7</v>
      </c>
      <c r="F298" t="s">
        <v>414</v>
      </c>
      <c r="G298" t="s">
        <v>1309</v>
      </c>
      <c r="H298">
        <v>165</v>
      </c>
      <c r="J298">
        <v>99</v>
      </c>
      <c r="K298">
        <v>264</v>
      </c>
    </row>
    <row r="299" spans="1:11">
      <c r="A299">
        <v>303</v>
      </c>
      <c r="B299" t="s">
        <v>1295</v>
      </c>
      <c r="C299" t="s">
        <v>69</v>
      </c>
      <c r="D299" t="s">
        <v>409</v>
      </c>
      <c r="E299" t="s">
        <v>7</v>
      </c>
      <c r="G299" t="s">
        <v>1309</v>
      </c>
      <c r="J299">
        <v>0</v>
      </c>
      <c r="K299">
        <v>0</v>
      </c>
    </row>
    <row r="300" spans="1:11">
      <c r="A300">
        <v>304</v>
      </c>
      <c r="B300" t="s">
        <v>1295</v>
      </c>
      <c r="C300" t="s">
        <v>69</v>
      </c>
      <c r="D300" t="s">
        <v>409</v>
      </c>
      <c r="E300" t="s">
        <v>7</v>
      </c>
      <c r="F300" t="s">
        <v>415</v>
      </c>
      <c r="G300" t="s">
        <v>1309</v>
      </c>
      <c r="H300">
        <v>23</v>
      </c>
      <c r="J300">
        <v>13.8</v>
      </c>
      <c r="K300">
        <v>36.799999999999997</v>
      </c>
    </row>
    <row r="301" spans="1:11">
      <c r="A301">
        <v>305</v>
      </c>
      <c r="B301" t="s">
        <v>1295</v>
      </c>
      <c r="C301" t="s">
        <v>69</v>
      </c>
      <c r="D301" t="s">
        <v>409</v>
      </c>
      <c r="E301" t="s">
        <v>7</v>
      </c>
      <c r="F301" t="s">
        <v>416</v>
      </c>
      <c r="G301" t="s">
        <v>1309</v>
      </c>
      <c r="H301">
        <v>58</v>
      </c>
      <c r="J301">
        <v>34.799999999999997</v>
      </c>
      <c r="K301">
        <v>92.8</v>
      </c>
    </row>
    <row r="302" spans="1:11">
      <c r="A302">
        <v>306</v>
      </c>
      <c r="B302" t="s">
        <v>1295</v>
      </c>
      <c r="C302" t="s">
        <v>69</v>
      </c>
      <c r="D302" t="s">
        <v>409</v>
      </c>
      <c r="E302" t="s">
        <v>7</v>
      </c>
      <c r="F302" t="s">
        <v>417</v>
      </c>
      <c r="G302" t="s">
        <v>1309</v>
      </c>
      <c r="H302">
        <v>104.69</v>
      </c>
      <c r="J302">
        <v>62.814</v>
      </c>
      <c r="K302">
        <v>167.50399999999999</v>
      </c>
    </row>
    <row r="303" spans="1:11">
      <c r="A303">
        <v>307</v>
      </c>
      <c r="B303" t="s">
        <v>1295</v>
      </c>
      <c r="C303" t="s">
        <v>69</v>
      </c>
      <c r="D303" t="s">
        <v>409</v>
      </c>
      <c r="E303" t="s">
        <v>7</v>
      </c>
      <c r="F303" t="s">
        <v>419</v>
      </c>
      <c r="G303" t="s">
        <v>1309</v>
      </c>
      <c r="H303">
        <v>9.64</v>
      </c>
      <c r="J303">
        <v>5.7839999999999998</v>
      </c>
      <c r="K303">
        <v>15.423999999999999</v>
      </c>
    </row>
    <row r="304" spans="1:11">
      <c r="A304">
        <v>308</v>
      </c>
      <c r="B304" t="s">
        <v>1295</v>
      </c>
      <c r="C304" t="s">
        <v>69</v>
      </c>
      <c r="D304" t="s">
        <v>409</v>
      </c>
      <c r="E304" t="s">
        <v>7</v>
      </c>
      <c r="F304" t="s">
        <v>420</v>
      </c>
      <c r="G304" t="s">
        <v>1309</v>
      </c>
      <c r="H304">
        <v>13.54</v>
      </c>
      <c r="J304">
        <v>8.1240000000000006</v>
      </c>
      <c r="K304">
        <v>21.664000000000001</v>
      </c>
    </row>
    <row r="305" spans="1:11">
      <c r="A305">
        <v>309</v>
      </c>
      <c r="B305" t="s">
        <v>1295</v>
      </c>
      <c r="C305" t="s">
        <v>69</v>
      </c>
      <c r="D305" t="s">
        <v>409</v>
      </c>
      <c r="E305" t="s">
        <v>7</v>
      </c>
      <c r="F305" t="s">
        <v>421</v>
      </c>
      <c r="G305" t="s">
        <v>1309</v>
      </c>
      <c r="H305">
        <v>350</v>
      </c>
      <c r="J305">
        <v>210</v>
      </c>
      <c r="K305">
        <v>560</v>
      </c>
    </row>
    <row r="306" spans="1:11">
      <c r="A306">
        <v>310</v>
      </c>
      <c r="B306" t="s">
        <v>1295</v>
      </c>
      <c r="C306" t="s">
        <v>69</v>
      </c>
      <c r="E306" t="s">
        <v>7</v>
      </c>
      <c r="J306">
        <v>0</v>
      </c>
      <c r="K306">
        <v>0</v>
      </c>
    </row>
    <row r="307" spans="1:11">
      <c r="A307">
        <v>311</v>
      </c>
      <c r="B307" t="s">
        <v>1295</v>
      </c>
      <c r="C307" t="s">
        <v>69</v>
      </c>
      <c r="D307" t="s">
        <v>422</v>
      </c>
      <c r="E307" t="s">
        <v>7</v>
      </c>
      <c r="J307">
        <v>0</v>
      </c>
      <c r="K307">
        <v>0</v>
      </c>
    </row>
    <row r="308" spans="1:11">
      <c r="A308">
        <v>312</v>
      </c>
      <c r="B308" t="s">
        <v>1295</v>
      </c>
      <c r="C308" t="s">
        <v>69</v>
      </c>
      <c r="D308" t="s">
        <v>422</v>
      </c>
      <c r="E308" t="s">
        <v>7</v>
      </c>
      <c r="F308" t="s">
        <v>423</v>
      </c>
      <c r="H308">
        <v>6.59</v>
      </c>
      <c r="J308">
        <v>3.9540000000000002</v>
      </c>
      <c r="K308">
        <v>10.544</v>
      </c>
    </row>
    <row r="309" spans="1:11">
      <c r="A309">
        <v>313</v>
      </c>
      <c r="B309" t="s">
        <v>1295</v>
      </c>
      <c r="C309" t="s">
        <v>69</v>
      </c>
      <c r="D309" t="s">
        <v>422</v>
      </c>
      <c r="E309" t="s">
        <v>7</v>
      </c>
      <c r="F309" t="s">
        <v>424</v>
      </c>
      <c r="H309">
        <v>6</v>
      </c>
      <c r="J309">
        <v>3.6</v>
      </c>
      <c r="K309">
        <v>9.6</v>
      </c>
    </row>
    <row r="310" spans="1:11">
      <c r="A310">
        <v>314</v>
      </c>
      <c r="B310" t="s">
        <v>1295</v>
      </c>
      <c r="C310" t="s">
        <v>69</v>
      </c>
      <c r="D310" t="s">
        <v>422</v>
      </c>
      <c r="E310" t="s">
        <v>7</v>
      </c>
      <c r="F310" t="s">
        <v>425</v>
      </c>
      <c r="H310">
        <v>71.171999999999997</v>
      </c>
      <c r="J310">
        <v>42.703200000000002</v>
      </c>
      <c r="K310">
        <v>113.87520000000001</v>
      </c>
    </row>
    <row r="311" spans="1:11">
      <c r="A311">
        <v>315</v>
      </c>
      <c r="B311" t="s">
        <v>1295</v>
      </c>
      <c r="C311" t="s">
        <v>69</v>
      </c>
      <c r="D311" t="s">
        <v>141</v>
      </c>
      <c r="E311" t="s">
        <v>7</v>
      </c>
      <c r="F311" t="s">
        <v>1133</v>
      </c>
      <c r="H311">
        <v>231.82</v>
      </c>
      <c r="J311">
        <v>139.09200000000001</v>
      </c>
      <c r="K311">
        <v>370.91199999999998</v>
      </c>
    </row>
    <row r="312" spans="1:11">
      <c r="A312">
        <v>316</v>
      </c>
      <c r="B312" t="s">
        <v>1295</v>
      </c>
      <c r="C312" t="s">
        <v>69</v>
      </c>
      <c r="D312" t="s">
        <v>141</v>
      </c>
      <c r="E312" t="s">
        <v>7</v>
      </c>
      <c r="F312" t="s">
        <v>86</v>
      </c>
      <c r="H312">
        <v>43.86</v>
      </c>
      <c r="J312">
        <v>26.315999999999999</v>
      </c>
      <c r="K312">
        <v>70.176000000000002</v>
      </c>
    </row>
    <row r="313" spans="1:11">
      <c r="A313">
        <v>317</v>
      </c>
      <c r="B313" t="s">
        <v>1295</v>
      </c>
      <c r="C313" t="s">
        <v>69</v>
      </c>
      <c r="D313" t="s">
        <v>141</v>
      </c>
      <c r="E313" t="s">
        <v>7</v>
      </c>
      <c r="F313" t="s">
        <v>1134</v>
      </c>
      <c r="H313">
        <v>34.76</v>
      </c>
      <c r="J313">
        <v>20.856000000000002</v>
      </c>
      <c r="K313">
        <v>55.616</v>
      </c>
    </row>
    <row r="314" spans="1:11">
      <c r="A314">
        <v>318</v>
      </c>
      <c r="B314" t="s">
        <v>1295</v>
      </c>
      <c r="C314" t="s">
        <v>69</v>
      </c>
      <c r="D314" t="s">
        <v>428</v>
      </c>
      <c r="E314" t="s">
        <v>7</v>
      </c>
      <c r="F314" t="s">
        <v>93</v>
      </c>
      <c r="H314">
        <v>0</v>
      </c>
      <c r="J314">
        <v>0</v>
      </c>
      <c r="K314">
        <v>0</v>
      </c>
    </row>
    <row r="315" spans="1:11">
      <c r="A315">
        <v>319</v>
      </c>
      <c r="B315" t="s">
        <v>1295</v>
      </c>
      <c r="C315" t="s">
        <v>69</v>
      </c>
      <c r="D315" t="s">
        <v>428</v>
      </c>
      <c r="E315" t="s">
        <v>7</v>
      </c>
      <c r="F315" t="s">
        <v>91</v>
      </c>
      <c r="H315">
        <v>289</v>
      </c>
      <c r="J315">
        <v>173.4</v>
      </c>
      <c r="K315">
        <v>462.4</v>
      </c>
    </row>
    <row r="316" spans="1:11">
      <c r="A316">
        <v>320</v>
      </c>
      <c r="B316" t="s">
        <v>1295</v>
      </c>
      <c r="C316" t="s">
        <v>69</v>
      </c>
      <c r="D316" t="s">
        <v>428</v>
      </c>
      <c r="E316" t="s">
        <v>7</v>
      </c>
      <c r="F316" t="s">
        <v>92</v>
      </c>
      <c r="H316">
        <v>190</v>
      </c>
      <c r="J316">
        <v>114</v>
      </c>
      <c r="K316">
        <v>304</v>
      </c>
    </row>
    <row r="317" spans="1:11">
      <c r="A317">
        <v>321</v>
      </c>
      <c r="B317" t="s">
        <v>1295</v>
      </c>
      <c r="C317" t="s">
        <v>69</v>
      </c>
      <c r="D317" t="s">
        <v>428</v>
      </c>
      <c r="E317" t="s">
        <v>7</v>
      </c>
      <c r="J317">
        <v>0</v>
      </c>
      <c r="K317">
        <v>0</v>
      </c>
    </row>
    <row r="318" spans="1:11">
      <c r="A318">
        <v>322</v>
      </c>
      <c r="B318" t="s">
        <v>1295</v>
      </c>
      <c r="C318" t="s">
        <v>69</v>
      </c>
      <c r="D318" t="s">
        <v>428</v>
      </c>
      <c r="E318" t="s">
        <v>7</v>
      </c>
      <c r="F318" t="s">
        <v>1135</v>
      </c>
      <c r="H318">
        <v>40.909999999999997</v>
      </c>
      <c r="J318">
        <v>24.545999999999999</v>
      </c>
      <c r="K318">
        <v>65.456000000000003</v>
      </c>
    </row>
    <row r="319" spans="1:11">
      <c r="A319">
        <v>323</v>
      </c>
      <c r="B319" t="s">
        <v>1295</v>
      </c>
      <c r="C319" t="s">
        <v>69</v>
      </c>
      <c r="D319" t="s">
        <v>428</v>
      </c>
      <c r="E319" t="s">
        <v>7</v>
      </c>
      <c r="F319" t="s">
        <v>1136</v>
      </c>
      <c r="H319">
        <v>40.909999999999997</v>
      </c>
      <c r="J319">
        <v>24.545999999999999</v>
      </c>
      <c r="K319">
        <v>65.456000000000003</v>
      </c>
    </row>
    <row r="320" spans="1:11">
      <c r="A320">
        <v>324</v>
      </c>
      <c r="B320" t="s">
        <v>1295</v>
      </c>
      <c r="C320" t="s">
        <v>69</v>
      </c>
      <c r="D320" t="s">
        <v>428</v>
      </c>
      <c r="E320" t="s">
        <v>7</v>
      </c>
      <c r="F320" t="s">
        <v>1137</v>
      </c>
      <c r="H320">
        <v>40.909999999999997</v>
      </c>
      <c r="J320">
        <v>24.545999999999999</v>
      </c>
      <c r="K320">
        <v>65.456000000000003</v>
      </c>
    </row>
    <row r="321" spans="1:11">
      <c r="A321">
        <v>325</v>
      </c>
      <c r="B321" t="s">
        <v>1295</v>
      </c>
      <c r="C321" t="s">
        <v>69</v>
      </c>
      <c r="D321" t="s">
        <v>428</v>
      </c>
      <c r="E321" t="s">
        <v>7</v>
      </c>
      <c r="F321" t="s">
        <v>1138</v>
      </c>
      <c r="H321">
        <v>47.27</v>
      </c>
      <c r="J321">
        <v>28.361999999999998</v>
      </c>
      <c r="K321">
        <v>75.632000000000005</v>
      </c>
    </row>
    <row r="322" spans="1:11">
      <c r="A322">
        <v>326</v>
      </c>
      <c r="B322" t="s">
        <v>1295</v>
      </c>
      <c r="C322" t="s">
        <v>69</v>
      </c>
      <c r="D322" t="s">
        <v>428</v>
      </c>
      <c r="E322" t="s">
        <v>7</v>
      </c>
      <c r="F322" t="s">
        <v>1139</v>
      </c>
      <c r="H322">
        <v>47.27</v>
      </c>
      <c r="J322">
        <v>28.361999999999998</v>
      </c>
      <c r="K322">
        <v>75.632000000000005</v>
      </c>
    </row>
    <row r="323" spans="1:11">
      <c r="A323">
        <v>327</v>
      </c>
      <c r="B323" t="s">
        <v>1295</v>
      </c>
      <c r="C323" t="s">
        <v>69</v>
      </c>
      <c r="D323" t="s">
        <v>428</v>
      </c>
      <c r="E323" t="s">
        <v>7</v>
      </c>
      <c r="F323" t="s">
        <v>1140</v>
      </c>
      <c r="H323">
        <v>47.27</v>
      </c>
      <c r="J323">
        <v>28.361999999999998</v>
      </c>
      <c r="K323">
        <v>75.632000000000005</v>
      </c>
    </row>
    <row r="324" spans="1:11">
      <c r="A324">
        <v>328</v>
      </c>
      <c r="B324" t="s">
        <v>1295</v>
      </c>
      <c r="C324" t="s">
        <v>69</v>
      </c>
      <c r="D324" t="s">
        <v>428</v>
      </c>
      <c r="E324" t="s">
        <v>7</v>
      </c>
      <c r="F324" t="s">
        <v>1141</v>
      </c>
      <c r="H324">
        <v>47.27</v>
      </c>
      <c r="J324">
        <v>28.361999999999998</v>
      </c>
      <c r="K324">
        <v>75.632000000000005</v>
      </c>
    </row>
    <row r="325" spans="1:11">
      <c r="A325">
        <v>329</v>
      </c>
      <c r="B325" t="s">
        <v>1295</v>
      </c>
      <c r="C325" t="s">
        <v>69</v>
      </c>
      <c r="D325" t="s">
        <v>428</v>
      </c>
      <c r="E325" t="s">
        <v>7</v>
      </c>
      <c r="F325" t="s">
        <v>1142</v>
      </c>
      <c r="H325">
        <v>47.27</v>
      </c>
      <c r="J325">
        <v>28.361999999999998</v>
      </c>
      <c r="K325">
        <v>75.632000000000005</v>
      </c>
    </row>
    <row r="326" spans="1:11">
      <c r="A326">
        <v>330</v>
      </c>
      <c r="B326" t="s">
        <v>1295</v>
      </c>
      <c r="C326" t="s">
        <v>69</v>
      </c>
      <c r="D326" t="s">
        <v>428</v>
      </c>
      <c r="E326" t="s">
        <v>7</v>
      </c>
      <c r="J326">
        <v>0</v>
      </c>
      <c r="K326">
        <v>0</v>
      </c>
    </row>
    <row r="327" spans="1:11">
      <c r="A327">
        <v>331</v>
      </c>
      <c r="B327" t="s">
        <v>1295</v>
      </c>
      <c r="C327" t="s">
        <v>69</v>
      </c>
      <c r="D327" t="s">
        <v>428</v>
      </c>
      <c r="E327" t="s">
        <v>7</v>
      </c>
      <c r="F327" t="s">
        <v>437</v>
      </c>
      <c r="H327">
        <v>250</v>
      </c>
      <c r="J327">
        <v>150</v>
      </c>
      <c r="K327">
        <v>400</v>
      </c>
    </row>
    <row r="328" spans="1:11">
      <c r="A328">
        <v>332</v>
      </c>
      <c r="B328" t="s">
        <v>1295</v>
      </c>
      <c r="C328" t="s">
        <v>69</v>
      </c>
      <c r="D328" t="s">
        <v>438</v>
      </c>
      <c r="E328" t="s">
        <v>7</v>
      </c>
      <c r="J328">
        <v>0</v>
      </c>
      <c r="K328">
        <v>0</v>
      </c>
    </row>
    <row r="329" spans="1:11">
      <c r="A329">
        <v>333</v>
      </c>
      <c r="B329" t="s">
        <v>1295</v>
      </c>
      <c r="C329" t="s">
        <v>69</v>
      </c>
      <c r="D329" t="s">
        <v>438</v>
      </c>
      <c r="E329" t="s">
        <v>7</v>
      </c>
      <c r="F329" t="s">
        <v>439</v>
      </c>
      <c r="H329">
        <v>10</v>
      </c>
      <c r="J329">
        <v>6</v>
      </c>
      <c r="K329">
        <v>16</v>
      </c>
    </row>
    <row r="330" spans="1:11">
      <c r="A330">
        <v>334</v>
      </c>
      <c r="B330" t="s">
        <v>1295</v>
      </c>
      <c r="C330" t="s">
        <v>69</v>
      </c>
      <c r="D330" t="s">
        <v>438</v>
      </c>
      <c r="E330" t="s">
        <v>7</v>
      </c>
      <c r="J330">
        <v>0</v>
      </c>
      <c r="K330">
        <v>0</v>
      </c>
    </row>
    <row r="331" spans="1:11">
      <c r="A331">
        <v>335</v>
      </c>
      <c r="B331" t="s">
        <v>1295</v>
      </c>
      <c r="C331" t="s">
        <v>69</v>
      </c>
      <c r="D331" t="s">
        <v>440</v>
      </c>
      <c r="E331" t="s">
        <v>7</v>
      </c>
      <c r="F331" t="s">
        <v>441</v>
      </c>
      <c r="H331">
        <v>50</v>
      </c>
      <c r="J331">
        <v>30</v>
      </c>
      <c r="K331">
        <v>80</v>
      </c>
    </row>
    <row r="332" spans="1:11">
      <c r="A332">
        <v>336</v>
      </c>
      <c r="B332" t="s">
        <v>1295</v>
      </c>
      <c r="C332" t="s">
        <v>69</v>
      </c>
      <c r="D332" t="s">
        <v>440</v>
      </c>
      <c r="E332" t="s">
        <v>7</v>
      </c>
      <c r="F332" t="s">
        <v>442</v>
      </c>
      <c r="H332">
        <v>50</v>
      </c>
      <c r="J332">
        <v>30</v>
      </c>
      <c r="K332">
        <v>80</v>
      </c>
    </row>
    <row r="333" spans="1:11">
      <c r="A333">
        <v>337</v>
      </c>
      <c r="B333" t="s">
        <v>1295</v>
      </c>
      <c r="C333" t="s">
        <v>69</v>
      </c>
      <c r="D333" t="s">
        <v>440</v>
      </c>
      <c r="E333" t="s">
        <v>7</v>
      </c>
      <c r="F333" t="s">
        <v>443</v>
      </c>
      <c r="H333">
        <v>0</v>
      </c>
      <c r="J333">
        <v>0</v>
      </c>
      <c r="K333">
        <v>0</v>
      </c>
    </row>
    <row r="334" spans="1:11">
      <c r="A334">
        <v>338</v>
      </c>
      <c r="B334" t="s">
        <v>1295</v>
      </c>
      <c r="C334" t="s">
        <v>69</v>
      </c>
      <c r="D334" t="s">
        <v>440</v>
      </c>
      <c r="E334" t="s">
        <v>7</v>
      </c>
      <c r="J334">
        <v>0</v>
      </c>
      <c r="K334">
        <v>0</v>
      </c>
    </row>
    <row r="335" spans="1:11">
      <c r="A335">
        <v>339</v>
      </c>
      <c r="B335" t="s">
        <v>1295</v>
      </c>
      <c r="C335" t="s">
        <v>69</v>
      </c>
      <c r="D335" t="s">
        <v>444</v>
      </c>
      <c r="E335" t="s">
        <v>7</v>
      </c>
      <c r="J335">
        <v>0</v>
      </c>
      <c r="K335">
        <v>0</v>
      </c>
    </row>
    <row r="336" spans="1:11">
      <c r="A336">
        <v>340</v>
      </c>
      <c r="B336" t="s">
        <v>1295</v>
      </c>
      <c r="C336" t="s">
        <v>69</v>
      </c>
      <c r="D336" t="s">
        <v>444</v>
      </c>
      <c r="E336" t="s">
        <v>7</v>
      </c>
      <c r="J336">
        <v>0</v>
      </c>
      <c r="K336">
        <v>0</v>
      </c>
    </row>
    <row r="337" spans="1:11">
      <c r="A337">
        <v>341</v>
      </c>
      <c r="B337" t="s">
        <v>1295</v>
      </c>
      <c r="C337" t="s">
        <v>69</v>
      </c>
      <c r="D337" t="s">
        <v>444</v>
      </c>
      <c r="E337" t="s">
        <v>7</v>
      </c>
      <c r="F337" t="s">
        <v>445</v>
      </c>
      <c r="J337">
        <v>0</v>
      </c>
      <c r="K337">
        <v>0</v>
      </c>
    </row>
    <row r="338" spans="1:11">
      <c r="A338">
        <v>342</v>
      </c>
      <c r="B338" t="s">
        <v>1295</v>
      </c>
      <c r="C338" t="s">
        <v>69</v>
      </c>
      <c r="D338" t="s">
        <v>444</v>
      </c>
      <c r="E338" t="s">
        <v>7</v>
      </c>
      <c r="F338" t="s">
        <v>446</v>
      </c>
      <c r="J338">
        <v>0</v>
      </c>
      <c r="K338">
        <v>0</v>
      </c>
    </row>
    <row r="339" spans="1:11">
      <c r="A339">
        <v>343</v>
      </c>
      <c r="B339" t="s">
        <v>1295</v>
      </c>
      <c r="C339" t="s">
        <v>69</v>
      </c>
      <c r="D339" t="s">
        <v>444</v>
      </c>
      <c r="E339" t="s">
        <v>7</v>
      </c>
      <c r="F339" t="s">
        <v>447</v>
      </c>
      <c r="H339">
        <v>1140</v>
      </c>
      <c r="J339">
        <v>684</v>
      </c>
      <c r="K339">
        <v>1824</v>
      </c>
    </row>
    <row r="340" spans="1:11">
      <c r="A340">
        <v>344</v>
      </c>
      <c r="B340" t="s">
        <v>1295</v>
      </c>
      <c r="C340" t="s">
        <v>69</v>
      </c>
      <c r="D340" t="s">
        <v>444</v>
      </c>
      <c r="E340" t="s">
        <v>7</v>
      </c>
      <c r="F340" t="s">
        <v>448</v>
      </c>
      <c r="H340">
        <v>2656</v>
      </c>
      <c r="J340">
        <v>1593.6</v>
      </c>
      <c r="K340">
        <v>4249.6000000000004</v>
      </c>
    </row>
    <row r="341" spans="1:11">
      <c r="A341">
        <v>345</v>
      </c>
      <c r="B341" t="s">
        <v>1295</v>
      </c>
      <c r="C341" t="s">
        <v>69</v>
      </c>
      <c r="D341" t="s">
        <v>444</v>
      </c>
      <c r="E341" t="s">
        <v>7</v>
      </c>
      <c r="F341" t="s">
        <v>449</v>
      </c>
      <c r="J341">
        <v>0</v>
      </c>
      <c r="K341">
        <v>0</v>
      </c>
    </row>
    <row r="342" spans="1:11">
      <c r="A342">
        <v>346</v>
      </c>
      <c r="B342" t="s">
        <v>1295</v>
      </c>
      <c r="C342" t="s">
        <v>69</v>
      </c>
      <c r="D342" t="s">
        <v>444</v>
      </c>
      <c r="E342" t="s">
        <v>7</v>
      </c>
      <c r="F342" t="s">
        <v>450</v>
      </c>
      <c r="J342">
        <v>0</v>
      </c>
      <c r="K342">
        <v>0</v>
      </c>
    </row>
    <row r="343" spans="1:11">
      <c r="A343">
        <v>347</v>
      </c>
      <c r="B343" t="s">
        <v>1295</v>
      </c>
      <c r="C343" t="s">
        <v>69</v>
      </c>
      <c r="D343" t="s">
        <v>444</v>
      </c>
      <c r="E343" t="s">
        <v>7</v>
      </c>
      <c r="F343" t="s">
        <v>451</v>
      </c>
      <c r="J343">
        <v>0</v>
      </c>
      <c r="K343">
        <v>0</v>
      </c>
    </row>
    <row r="344" spans="1:11">
      <c r="A344">
        <v>348</v>
      </c>
      <c r="B344" t="s">
        <v>1295</v>
      </c>
      <c r="C344" t="s">
        <v>69</v>
      </c>
      <c r="D344" t="s">
        <v>444</v>
      </c>
      <c r="E344" t="s">
        <v>7</v>
      </c>
      <c r="F344" t="s">
        <v>452</v>
      </c>
      <c r="J344">
        <v>0</v>
      </c>
      <c r="K344">
        <v>0</v>
      </c>
    </row>
    <row r="345" spans="1:11">
      <c r="A345">
        <v>349</v>
      </c>
      <c r="B345" t="s">
        <v>1295</v>
      </c>
      <c r="C345" t="s">
        <v>69</v>
      </c>
      <c r="D345" t="s">
        <v>444</v>
      </c>
      <c r="E345" t="s">
        <v>7</v>
      </c>
      <c r="F345" t="s">
        <v>453</v>
      </c>
      <c r="H345">
        <v>3575</v>
      </c>
      <c r="J345">
        <v>2145</v>
      </c>
      <c r="K345">
        <v>5720</v>
      </c>
    </row>
    <row r="346" spans="1:11">
      <c r="A346">
        <v>350</v>
      </c>
      <c r="B346" t="s">
        <v>1295</v>
      </c>
      <c r="C346" t="s">
        <v>69</v>
      </c>
      <c r="D346" t="s">
        <v>444</v>
      </c>
      <c r="E346" t="s">
        <v>7</v>
      </c>
      <c r="F346" t="s">
        <v>454</v>
      </c>
      <c r="J346">
        <v>0</v>
      </c>
      <c r="K346">
        <v>0</v>
      </c>
    </row>
    <row r="347" spans="1:11">
      <c r="A347">
        <v>351</v>
      </c>
      <c r="B347" t="s">
        <v>1295</v>
      </c>
      <c r="C347" t="s">
        <v>69</v>
      </c>
      <c r="D347" t="s">
        <v>444</v>
      </c>
      <c r="E347" t="s">
        <v>7</v>
      </c>
      <c r="F347" t="s">
        <v>455</v>
      </c>
      <c r="H347">
        <v>3935</v>
      </c>
      <c r="J347">
        <v>2361</v>
      </c>
      <c r="K347">
        <v>6296</v>
      </c>
    </row>
    <row r="348" spans="1:11">
      <c r="A348">
        <v>352</v>
      </c>
      <c r="B348" t="s">
        <v>1295</v>
      </c>
      <c r="C348" t="s">
        <v>69</v>
      </c>
      <c r="D348" t="s">
        <v>444</v>
      </c>
      <c r="E348" t="s">
        <v>7</v>
      </c>
      <c r="J348">
        <v>0</v>
      </c>
      <c r="K348">
        <v>0</v>
      </c>
    </row>
    <row r="349" spans="1:11">
      <c r="A349">
        <v>353</v>
      </c>
      <c r="B349" t="s">
        <v>1295</v>
      </c>
      <c r="C349" t="s">
        <v>69</v>
      </c>
      <c r="D349" t="s">
        <v>87</v>
      </c>
      <c r="E349" t="s">
        <v>7</v>
      </c>
      <c r="J349">
        <v>0</v>
      </c>
      <c r="K349">
        <v>0</v>
      </c>
    </row>
    <row r="350" spans="1:11">
      <c r="A350">
        <v>354</v>
      </c>
      <c r="B350" t="s">
        <v>1295</v>
      </c>
      <c r="C350" t="s">
        <v>69</v>
      </c>
      <c r="D350" t="s">
        <v>87</v>
      </c>
      <c r="E350" t="s">
        <v>7</v>
      </c>
      <c r="J350">
        <v>0</v>
      </c>
      <c r="K350">
        <v>0</v>
      </c>
    </row>
    <row r="351" spans="1:11">
      <c r="A351">
        <v>355</v>
      </c>
      <c r="B351" t="s">
        <v>1295</v>
      </c>
      <c r="C351" t="s">
        <v>69</v>
      </c>
      <c r="D351" t="s">
        <v>87</v>
      </c>
      <c r="E351" t="s">
        <v>7</v>
      </c>
      <c r="F351" t="s">
        <v>88</v>
      </c>
      <c r="J351">
        <v>0</v>
      </c>
      <c r="K351">
        <v>0</v>
      </c>
    </row>
    <row r="352" spans="1:11">
      <c r="A352">
        <v>356</v>
      </c>
      <c r="B352" t="s">
        <v>1295</v>
      </c>
      <c r="C352" t="s">
        <v>69</v>
      </c>
      <c r="D352" t="s">
        <v>87</v>
      </c>
      <c r="E352" t="s">
        <v>7</v>
      </c>
      <c r="F352" t="s">
        <v>456</v>
      </c>
      <c r="H352">
        <v>2656</v>
      </c>
      <c r="J352">
        <v>1593.6</v>
      </c>
      <c r="K352">
        <v>4249.6000000000004</v>
      </c>
    </row>
    <row r="353" spans="1:11">
      <c r="A353">
        <v>357</v>
      </c>
      <c r="B353" t="s">
        <v>1295</v>
      </c>
      <c r="C353" t="s">
        <v>69</v>
      </c>
      <c r="D353" t="s">
        <v>87</v>
      </c>
      <c r="E353" t="s">
        <v>7</v>
      </c>
      <c r="F353" t="s">
        <v>89</v>
      </c>
      <c r="J353">
        <v>0</v>
      </c>
      <c r="K353">
        <v>0</v>
      </c>
    </row>
    <row r="354" spans="1:11">
      <c r="A354">
        <v>358</v>
      </c>
      <c r="B354" t="s">
        <v>1295</v>
      </c>
      <c r="C354" t="s">
        <v>69</v>
      </c>
      <c r="D354" t="s">
        <v>87</v>
      </c>
      <c r="E354" t="s">
        <v>7</v>
      </c>
      <c r="F354" t="s">
        <v>90</v>
      </c>
      <c r="J354">
        <v>0</v>
      </c>
      <c r="K354">
        <v>0</v>
      </c>
    </row>
    <row r="355" spans="1:11">
      <c r="A355">
        <v>359</v>
      </c>
      <c r="B355" t="s">
        <v>1295</v>
      </c>
      <c r="C355" t="s">
        <v>69</v>
      </c>
      <c r="D355" t="s">
        <v>87</v>
      </c>
      <c r="E355" t="s">
        <v>7</v>
      </c>
      <c r="F355" t="s">
        <v>457</v>
      </c>
      <c r="J355">
        <v>0</v>
      </c>
      <c r="K355">
        <v>0</v>
      </c>
    </row>
    <row r="356" spans="1:11">
      <c r="A356">
        <v>360</v>
      </c>
      <c r="B356" t="s">
        <v>1295</v>
      </c>
      <c r="C356" t="s">
        <v>69</v>
      </c>
      <c r="D356" t="s">
        <v>87</v>
      </c>
      <c r="E356" t="s">
        <v>7</v>
      </c>
      <c r="F356" t="s">
        <v>458</v>
      </c>
      <c r="J356">
        <v>0</v>
      </c>
      <c r="K356">
        <v>0</v>
      </c>
    </row>
    <row r="357" spans="1:11">
      <c r="A357">
        <v>361</v>
      </c>
      <c r="B357" t="s">
        <v>1295</v>
      </c>
      <c r="C357" t="s">
        <v>69</v>
      </c>
      <c r="D357" t="s">
        <v>87</v>
      </c>
      <c r="E357" t="s">
        <v>7</v>
      </c>
      <c r="F357" t="s">
        <v>459</v>
      </c>
      <c r="J357">
        <v>0</v>
      </c>
      <c r="K357">
        <v>0</v>
      </c>
    </row>
    <row r="358" spans="1:11">
      <c r="A358">
        <v>362</v>
      </c>
      <c r="B358" t="s">
        <v>1295</v>
      </c>
      <c r="C358" t="s">
        <v>69</v>
      </c>
      <c r="D358" t="s">
        <v>87</v>
      </c>
      <c r="E358" t="s">
        <v>7</v>
      </c>
      <c r="F358" t="s">
        <v>460</v>
      </c>
      <c r="J358">
        <v>0</v>
      </c>
      <c r="K358">
        <v>0</v>
      </c>
    </row>
    <row r="359" spans="1:11">
      <c r="A359">
        <v>363</v>
      </c>
      <c r="B359" t="s">
        <v>1295</v>
      </c>
      <c r="C359" t="s">
        <v>69</v>
      </c>
      <c r="D359" t="s">
        <v>87</v>
      </c>
      <c r="E359" t="s">
        <v>7</v>
      </c>
      <c r="J359">
        <v>0</v>
      </c>
      <c r="K359">
        <v>0</v>
      </c>
    </row>
    <row r="360" spans="1:11">
      <c r="A360">
        <v>364</v>
      </c>
      <c r="B360" t="s">
        <v>1295</v>
      </c>
      <c r="C360" t="s">
        <v>69</v>
      </c>
      <c r="D360" t="s">
        <v>461</v>
      </c>
      <c r="E360" t="s">
        <v>7</v>
      </c>
      <c r="J360">
        <v>0</v>
      </c>
      <c r="K360">
        <v>0</v>
      </c>
    </row>
    <row r="361" spans="1:11">
      <c r="A361">
        <v>365</v>
      </c>
      <c r="B361" t="s">
        <v>1295</v>
      </c>
      <c r="C361" t="s">
        <v>69</v>
      </c>
      <c r="D361" t="s">
        <v>461</v>
      </c>
      <c r="E361" t="s">
        <v>7</v>
      </c>
      <c r="J361">
        <v>0</v>
      </c>
      <c r="K361">
        <v>0</v>
      </c>
    </row>
    <row r="362" spans="1:11">
      <c r="A362">
        <v>366</v>
      </c>
      <c r="B362" t="s">
        <v>1295</v>
      </c>
      <c r="C362" t="s">
        <v>69</v>
      </c>
      <c r="D362" t="s">
        <v>461</v>
      </c>
      <c r="E362" t="s">
        <v>7</v>
      </c>
      <c r="F362" t="s">
        <v>94</v>
      </c>
      <c r="J362">
        <v>0</v>
      </c>
      <c r="K362">
        <v>0</v>
      </c>
    </row>
    <row r="363" spans="1:11">
      <c r="A363">
        <v>367</v>
      </c>
      <c r="B363" t="s">
        <v>1295</v>
      </c>
      <c r="C363" t="s">
        <v>69</v>
      </c>
      <c r="D363" t="s">
        <v>461</v>
      </c>
      <c r="E363" t="s">
        <v>7</v>
      </c>
      <c r="F363" t="s">
        <v>462</v>
      </c>
      <c r="J363">
        <v>0</v>
      </c>
      <c r="K363">
        <v>0</v>
      </c>
    </row>
    <row r="364" spans="1:11">
      <c r="A364">
        <v>368</v>
      </c>
      <c r="B364" t="s">
        <v>1295</v>
      </c>
      <c r="C364" t="s">
        <v>69</v>
      </c>
      <c r="D364" t="s">
        <v>461</v>
      </c>
      <c r="E364" t="s">
        <v>7</v>
      </c>
      <c r="F364" t="s">
        <v>463</v>
      </c>
      <c r="J364">
        <v>0</v>
      </c>
      <c r="K364">
        <v>0</v>
      </c>
    </row>
    <row r="365" spans="1:11">
      <c r="A365">
        <v>369</v>
      </c>
      <c r="B365" t="s">
        <v>1295</v>
      </c>
      <c r="C365" t="s">
        <v>69</v>
      </c>
      <c r="D365" t="s">
        <v>461</v>
      </c>
      <c r="E365" t="s">
        <v>7</v>
      </c>
      <c r="F365" t="s">
        <v>464</v>
      </c>
      <c r="J365">
        <v>0</v>
      </c>
      <c r="K365">
        <v>0</v>
      </c>
    </row>
    <row r="366" spans="1:11">
      <c r="A366">
        <v>370</v>
      </c>
      <c r="B366" t="s">
        <v>1295</v>
      </c>
      <c r="C366" t="s">
        <v>69</v>
      </c>
      <c r="D366" t="s">
        <v>461</v>
      </c>
      <c r="E366" t="s">
        <v>7</v>
      </c>
      <c r="F366" t="s">
        <v>465</v>
      </c>
      <c r="J366">
        <v>0</v>
      </c>
      <c r="K366">
        <v>0</v>
      </c>
    </row>
    <row r="367" spans="1:11">
      <c r="A367">
        <v>371</v>
      </c>
      <c r="B367" t="s">
        <v>1295</v>
      </c>
      <c r="C367" t="s">
        <v>69</v>
      </c>
      <c r="D367" t="s">
        <v>461</v>
      </c>
      <c r="E367" t="s">
        <v>7</v>
      </c>
      <c r="F367" t="s">
        <v>466</v>
      </c>
      <c r="J367">
        <v>0</v>
      </c>
      <c r="K367">
        <v>0</v>
      </c>
    </row>
    <row r="368" spans="1:11">
      <c r="A368">
        <v>372</v>
      </c>
      <c r="B368" t="s">
        <v>1295</v>
      </c>
      <c r="C368" t="s">
        <v>69</v>
      </c>
      <c r="D368" t="s">
        <v>461</v>
      </c>
      <c r="E368" t="s">
        <v>7</v>
      </c>
      <c r="F368" t="s">
        <v>467</v>
      </c>
      <c r="J368">
        <v>0</v>
      </c>
      <c r="K368">
        <v>0</v>
      </c>
    </row>
    <row r="369" spans="1:11">
      <c r="A369">
        <v>373</v>
      </c>
      <c r="B369" t="s">
        <v>1295</v>
      </c>
      <c r="C369" t="s">
        <v>69</v>
      </c>
      <c r="D369" t="s">
        <v>461</v>
      </c>
      <c r="E369" t="s">
        <v>7</v>
      </c>
      <c r="F369" t="s">
        <v>468</v>
      </c>
      <c r="J369">
        <v>0</v>
      </c>
      <c r="K369">
        <v>0</v>
      </c>
    </row>
    <row r="370" spans="1:11">
      <c r="A370">
        <v>374</v>
      </c>
      <c r="B370" t="s">
        <v>1295</v>
      </c>
      <c r="C370" t="s">
        <v>69</v>
      </c>
      <c r="D370" t="s">
        <v>461</v>
      </c>
      <c r="E370" t="s">
        <v>7</v>
      </c>
      <c r="F370" t="s">
        <v>469</v>
      </c>
      <c r="J370">
        <v>0</v>
      </c>
      <c r="K370">
        <v>0</v>
      </c>
    </row>
    <row r="371" spans="1:11">
      <c r="A371">
        <v>375</v>
      </c>
      <c r="B371" t="s">
        <v>1295</v>
      </c>
      <c r="C371" t="s">
        <v>69</v>
      </c>
      <c r="D371" t="s">
        <v>461</v>
      </c>
      <c r="E371" t="s">
        <v>7</v>
      </c>
      <c r="F371" t="s">
        <v>470</v>
      </c>
      <c r="J371">
        <v>0</v>
      </c>
      <c r="K371">
        <v>0</v>
      </c>
    </row>
    <row r="372" spans="1:11">
      <c r="A372">
        <v>376</v>
      </c>
      <c r="B372" t="s">
        <v>1295</v>
      </c>
      <c r="C372" t="s">
        <v>69</v>
      </c>
      <c r="D372" t="s">
        <v>461</v>
      </c>
      <c r="E372" t="s">
        <v>7</v>
      </c>
      <c r="F372" t="s">
        <v>471</v>
      </c>
      <c r="J372">
        <v>0</v>
      </c>
      <c r="K372">
        <v>0</v>
      </c>
    </row>
    <row r="373" spans="1:11">
      <c r="A373">
        <v>377</v>
      </c>
      <c r="B373" t="s">
        <v>1295</v>
      </c>
      <c r="C373" t="s">
        <v>69</v>
      </c>
      <c r="D373" t="s">
        <v>461</v>
      </c>
      <c r="E373" t="s">
        <v>7</v>
      </c>
      <c r="F373" t="s">
        <v>472</v>
      </c>
      <c r="J373">
        <v>0</v>
      </c>
      <c r="K373">
        <v>0</v>
      </c>
    </row>
    <row r="374" spans="1:11">
      <c r="A374">
        <v>378</v>
      </c>
      <c r="B374" t="s">
        <v>1295</v>
      </c>
      <c r="C374" t="s">
        <v>69</v>
      </c>
      <c r="D374" t="s">
        <v>461</v>
      </c>
      <c r="E374" t="s">
        <v>7</v>
      </c>
      <c r="F374" t="s">
        <v>473</v>
      </c>
      <c r="J374">
        <v>0</v>
      </c>
      <c r="K374">
        <v>0</v>
      </c>
    </row>
    <row r="375" spans="1:11">
      <c r="A375">
        <v>379</v>
      </c>
      <c r="B375" t="s">
        <v>1295</v>
      </c>
      <c r="C375" t="s">
        <v>69</v>
      </c>
      <c r="D375" t="s">
        <v>461</v>
      </c>
      <c r="E375" t="s">
        <v>7</v>
      </c>
      <c r="F375" t="s">
        <v>474</v>
      </c>
      <c r="J375">
        <v>0</v>
      </c>
      <c r="K375">
        <v>0</v>
      </c>
    </row>
    <row r="376" spans="1:11">
      <c r="A376">
        <v>380</v>
      </c>
      <c r="B376" t="s">
        <v>1295</v>
      </c>
      <c r="C376" t="s">
        <v>69</v>
      </c>
      <c r="D376" t="s">
        <v>461</v>
      </c>
      <c r="E376" t="s">
        <v>7</v>
      </c>
      <c r="F376" t="s">
        <v>475</v>
      </c>
      <c r="J376">
        <v>0</v>
      </c>
      <c r="K376">
        <v>0</v>
      </c>
    </row>
    <row r="377" spans="1:11">
      <c r="A377">
        <v>381</v>
      </c>
      <c r="B377" t="s">
        <v>1295</v>
      </c>
      <c r="C377" t="s">
        <v>69</v>
      </c>
      <c r="D377" t="s">
        <v>461</v>
      </c>
      <c r="E377" t="s">
        <v>7</v>
      </c>
      <c r="F377" t="s">
        <v>476</v>
      </c>
      <c r="J377">
        <v>0</v>
      </c>
      <c r="K377">
        <v>0</v>
      </c>
    </row>
    <row r="378" spans="1:11">
      <c r="A378">
        <v>382</v>
      </c>
      <c r="B378" t="s">
        <v>1295</v>
      </c>
      <c r="C378" t="s">
        <v>69</v>
      </c>
      <c r="D378" t="s">
        <v>461</v>
      </c>
      <c r="E378" t="s">
        <v>7</v>
      </c>
      <c r="F378" t="s">
        <v>477</v>
      </c>
      <c r="J378">
        <v>0</v>
      </c>
      <c r="K378">
        <v>0</v>
      </c>
    </row>
    <row r="379" spans="1:11">
      <c r="A379">
        <v>383</v>
      </c>
      <c r="B379" t="s">
        <v>1295</v>
      </c>
      <c r="C379" t="s">
        <v>69</v>
      </c>
      <c r="D379" t="s">
        <v>461</v>
      </c>
      <c r="E379" t="s">
        <v>7</v>
      </c>
      <c r="F379" t="s">
        <v>478</v>
      </c>
      <c r="J379">
        <v>0</v>
      </c>
      <c r="K379">
        <v>0</v>
      </c>
    </row>
    <row r="380" spans="1:11">
      <c r="A380">
        <v>384</v>
      </c>
      <c r="B380" t="s">
        <v>1295</v>
      </c>
      <c r="C380" t="s">
        <v>69</v>
      </c>
      <c r="D380" t="s">
        <v>461</v>
      </c>
      <c r="E380" t="s">
        <v>7</v>
      </c>
      <c r="F380" t="s">
        <v>479</v>
      </c>
      <c r="J380">
        <v>0</v>
      </c>
      <c r="K380">
        <v>0</v>
      </c>
    </row>
    <row r="381" spans="1:11">
      <c r="A381">
        <v>385</v>
      </c>
      <c r="B381" t="s">
        <v>1295</v>
      </c>
      <c r="C381" t="s">
        <v>69</v>
      </c>
      <c r="D381" t="s">
        <v>461</v>
      </c>
      <c r="E381" t="s">
        <v>7</v>
      </c>
      <c r="F381" t="s">
        <v>480</v>
      </c>
      <c r="J381">
        <v>0</v>
      </c>
      <c r="K381">
        <v>0</v>
      </c>
    </row>
    <row r="382" spans="1:11">
      <c r="A382">
        <v>386</v>
      </c>
      <c r="B382" t="s">
        <v>1295</v>
      </c>
      <c r="C382" t="s">
        <v>69</v>
      </c>
      <c r="D382" t="s">
        <v>461</v>
      </c>
      <c r="E382" t="s">
        <v>7</v>
      </c>
      <c r="F382" t="s">
        <v>481</v>
      </c>
      <c r="J382">
        <v>0</v>
      </c>
      <c r="K382">
        <v>0</v>
      </c>
    </row>
    <row r="383" spans="1:11">
      <c r="A383">
        <v>387</v>
      </c>
      <c r="B383" t="s">
        <v>1295</v>
      </c>
      <c r="C383" t="s">
        <v>69</v>
      </c>
      <c r="D383" t="s">
        <v>461</v>
      </c>
      <c r="E383" t="s">
        <v>7</v>
      </c>
      <c r="F383" t="s">
        <v>482</v>
      </c>
      <c r="J383">
        <v>0</v>
      </c>
      <c r="K383">
        <v>0</v>
      </c>
    </row>
    <row r="384" spans="1:11">
      <c r="A384">
        <v>388</v>
      </c>
      <c r="B384" t="s">
        <v>1295</v>
      </c>
      <c r="C384" t="s">
        <v>69</v>
      </c>
      <c r="D384" t="s">
        <v>461</v>
      </c>
      <c r="E384" t="s">
        <v>7</v>
      </c>
      <c r="F384" t="s">
        <v>483</v>
      </c>
      <c r="H384">
        <v>539.51</v>
      </c>
      <c r="J384">
        <v>323.70600000000002</v>
      </c>
      <c r="K384">
        <v>863.21600000000001</v>
      </c>
    </row>
    <row r="385" spans="1:11">
      <c r="A385">
        <v>389</v>
      </c>
      <c r="B385" t="s">
        <v>1295</v>
      </c>
      <c r="C385" t="s">
        <v>69</v>
      </c>
      <c r="D385" t="s">
        <v>461</v>
      </c>
      <c r="E385" t="s">
        <v>7</v>
      </c>
      <c r="F385" t="s">
        <v>484</v>
      </c>
      <c r="J385">
        <v>0</v>
      </c>
      <c r="K385">
        <v>0</v>
      </c>
    </row>
    <row r="386" spans="1:11">
      <c r="A386">
        <v>390</v>
      </c>
      <c r="B386" t="s">
        <v>1295</v>
      </c>
      <c r="C386" t="s">
        <v>69</v>
      </c>
      <c r="D386" t="s">
        <v>461</v>
      </c>
      <c r="E386" t="s">
        <v>7</v>
      </c>
      <c r="F386" t="s">
        <v>485</v>
      </c>
      <c r="J386">
        <v>0</v>
      </c>
      <c r="K386">
        <v>0</v>
      </c>
    </row>
    <row r="387" spans="1:11">
      <c r="A387">
        <v>391</v>
      </c>
      <c r="B387" t="s">
        <v>1295</v>
      </c>
      <c r="C387" t="s">
        <v>69</v>
      </c>
      <c r="D387" t="s">
        <v>461</v>
      </c>
      <c r="E387" t="s">
        <v>7</v>
      </c>
      <c r="F387" t="s">
        <v>486</v>
      </c>
      <c r="J387">
        <v>0</v>
      </c>
      <c r="K387">
        <v>0</v>
      </c>
    </row>
    <row r="388" spans="1:11">
      <c r="A388">
        <v>392</v>
      </c>
      <c r="B388" t="s">
        <v>1295</v>
      </c>
      <c r="C388" t="s">
        <v>69</v>
      </c>
      <c r="D388" t="s">
        <v>461</v>
      </c>
      <c r="E388" t="s">
        <v>7</v>
      </c>
      <c r="F388" t="s">
        <v>487</v>
      </c>
      <c r="J388">
        <v>0</v>
      </c>
      <c r="K388">
        <v>0</v>
      </c>
    </row>
    <row r="389" spans="1:11">
      <c r="A389">
        <v>393</v>
      </c>
      <c r="B389" t="s">
        <v>1295</v>
      </c>
      <c r="C389" t="s">
        <v>69</v>
      </c>
      <c r="D389" t="s">
        <v>461</v>
      </c>
      <c r="E389" t="s">
        <v>7</v>
      </c>
      <c r="F389" t="s">
        <v>488</v>
      </c>
      <c r="J389">
        <v>0</v>
      </c>
      <c r="K389">
        <v>0</v>
      </c>
    </row>
    <row r="390" spans="1:11">
      <c r="A390">
        <v>394</v>
      </c>
      <c r="B390" t="s">
        <v>1295</v>
      </c>
      <c r="C390" t="s">
        <v>69</v>
      </c>
      <c r="D390" t="s">
        <v>461</v>
      </c>
      <c r="E390" t="s">
        <v>7</v>
      </c>
      <c r="F390" t="s">
        <v>489</v>
      </c>
      <c r="J390">
        <v>0</v>
      </c>
      <c r="K390">
        <v>0</v>
      </c>
    </row>
    <row r="391" spans="1:11">
      <c r="A391">
        <v>395</v>
      </c>
      <c r="B391" t="s">
        <v>1295</v>
      </c>
      <c r="C391" t="s">
        <v>69</v>
      </c>
      <c r="D391" t="s">
        <v>461</v>
      </c>
      <c r="E391" t="s">
        <v>7</v>
      </c>
      <c r="F391" t="s">
        <v>490</v>
      </c>
      <c r="J391">
        <v>0</v>
      </c>
      <c r="K391">
        <v>0</v>
      </c>
    </row>
    <row r="392" spans="1:11">
      <c r="A392">
        <v>396</v>
      </c>
      <c r="B392" t="s">
        <v>1295</v>
      </c>
      <c r="C392" t="s">
        <v>69</v>
      </c>
      <c r="D392" t="s">
        <v>461</v>
      </c>
      <c r="E392" t="s">
        <v>7</v>
      </c>
      <c r="F392" t="s">
        <v>491</v>
      </c>
      <c r="J392">
        <v>0</v>
      </c>
      <c r="K392">
        <v>0</v>
      </c>
    </row>
    <row r="393" spans="1:11">
      <c r="A393">
        <v>397</v>
      </c>
      <c r="B393" t="s">
        <v>1295</v>
      </c>
      <c r="C393" t="s">
        <v>69</v>
      </c>
      <c r="D393" t="s">
        <v>461</v>
      </c>
      <c r="E393" t="s">
        <v>7</v>
      </c>
      <c r="F393" t="s">
        <v>492</v>
      </c>
      <c r="J393">
        <v>0</v>
      </c>
      <c r="K393">
        <v>0</v>
      </c>
    </row>
    <row r="394" spans="1:11">
      <c r="A394">
        <v>398</v>
      </c>
      <c r="B394" t="s">
        <v>1295</v>
      </c>
      <c r="C394" t="s">
        <v>69</v>
      </c>
      <c r="D394" t="s">
        <v>461</v>
      </c>
      <c r="E394" t="s">
        <v>7</v>
      </c>
      <c r="F394" t="s">
        <v>493</v>
      </c>
      <c r="J394">
        <v>0</v>
      </c>
      <c r="K394">
        <v>0</v>
      </c>
    </row>
    <row r="395" spans="1:11">
      <c r="A395">
        <v>399</v>
      </c>
      <c r="B395" t="s">
        <v>1295</v>
      </c>
      <c r="C395" t="s">
        <v>69</v>
      </c>
      <c r="D395" t="s">
        <v>461</v>
      </c>
      <c r="E395" t="s">
        <v>7</v>
      </c>
      <c r="F395" t="s">
        <v>494</v>
      </c>
      <c r="J395">
        <v>0</v>
      </c>
      <c r="K395">
        <v>0</v>
      </c>
    </row>
    <row r="396" spans="1:11">
      <c r="A396">
        <v>400</v>
      </c>
      <c r="B396" t="s">
        <v>1295</v>
      </c>
      <c r="C396" t="s">
        <v>69</v>
      </c>
      <c r="D396" t="s">
        <v>461</v>
      </c>
      <c r="E396" t="s">
        <v>7</v>
      </c>
      <c r="F396" t="s">
        <v>495</v>
      </c>
      <c r="J396">
        <v>0</v>
      </c>
      <c r="K396">
        <v>0</v>
      </c>
    </row>
    <row r="397" spans="1:11">
      <c r="A397">
        <v>401</v>
      </c>
      <c r="B397" t="s">
        <v>1295</v>
      </c>
      <c r="C397" t="s">
        <v>69</v>
      </c>
      <c r="D397" t="s">
        <v>461</v>
      </c>
      <c r="E397" t="s">
        <v>7</v>
      </c>
      <c r="F397" t="s">
        <v>496</v>
      </c>
      <c r="J397">
        <v>0</v>
      </c>
      <c r="K397">
        <v>0</v>
      </c>
    </row>
    <row r="398" spans="1:11">
      <c r="A398">
        <v>402</v>
      </c>
      <c r="B398" t="s">
        <v>1295</v>
      </c>
      <c r="C398" t="s">
        <v>69</v>
      </c>
      <c r="D398" t="s">
        <v>461</v>
      </c>
      <c r="E398" t="s">
        <v>7</v>
      </c>
      <c r="F398" t="s">
        <v>497</v>
      </c>
      <c r="J398">
        <v>0</v>
      </c>
      <c r="K398">
        <v>0</v>
      </c>
    </row>
    <row r="399" spans="1:11">
      <c r="A399">
        <v>403</v>
      </c>
      <c r="B399" t="s">
        <v>1295</v>
      </c>
      <c r="C399" t="s">
        <v>69</v>
      </c>
      <c r="D399" t="s">
        <v>461</v>
      </c>
      <c r="E399" t="s">
        <v>7</v>
      </c>
      <c r="F399" t="s">
        <v>498</v>
      </c>
      <c r="J399">
        <v>0</v>
      </c>
      <c r="K399">
        <v>0</v>
      </c>
    </row>
    <row r="400" spans="1:11">
      <c r="A400">
        <v>404</v>
      </c>
      <c r="B400" t="s">
        <v>1295</v>
      </c>
      <c r="C400" t="s">
        <v>69</v>
      </c>
      <c r="D400" t="s">
        <v>461</v>
      </c>
      <c r="E400" t="s">
        <v>7</v>
      </c>
      <c r="F400" t="s">
        <v>499</v>
      </c>
      <c r="J400">
        <v>0</v>
      </c>
      <c r="K400">
        <v>0</v>
      </c>
    </row>
    <row r="401" spans="1:11">
      <c r="A401">
        <v>405</v>
      </c>
      <c r="B401" t="s">
        <v>1295</v>
      </c>
      <c r="C401" t="s">
        <v>69</v>
      </c>
      <c r="D401" t="s">
        <v>461</v>
      </c>
      <c r="E401" t="s">
        <v>7</v>
      </c>
      <c r="F401" t="s">
        <v>500</v>
      </c>
      <c r="J401">
        <v>0</v>
      </c>
      <c r="K401">
        <v>0</v>
      </c>
    </row>
    <row r="402" spans="1:11">
      <c r="A402">
        <v>406</v>
      </c>
      <c r="B402" t="s">
        <v>1295</v>
      </c>
      <c r="C402" t="s">
        <v>69</v>
      </c>
      <c r="D402" t="s">
        <v>461</v>
      </c>
      <c r="E402" t="s">
        <v>7</v>
      </c>
      <c r="F402" t="s">
        <v>501</v>
      </c>
      <c r="J402">
        <v>0</v>
      </c>
      <c r="K402">
        <v>0</v>
      </c>
    </row>
    <row r="403" spans="1:11">
      <c r="A403">
        <v>407</v>
      </c>
      <c r="B403" t="s">
        <v>1295</v>
      </c>
      <c r="C403" t="s">
        <v>69</v>
      </c>
      <c r="D403" t="s">
        <v>461</v>
      </c>
      <c r="E403" t="s">
        <v>7</v>
      </c>
      <c r="F403" t="s">
        <v>502</v>
      </c>
      <c r="J403">
        <v>0</v>
      </c>
      <c r="K403">
        <v>0</v>
      </c>
    </row>
    <row r="404" spans="1:11">
      <c r="A404">
        <v>408</v>
      </c>
      <c r="B404" t="s">
        <v>1295</v>
      </c>
      <c r="C404" t="s">
        <v>69</v>
      </c>
      <c r="D404" t="s">
        <v>461</v>
      </c>
      <c r="E404" t="s">
        <v>7</v>
      </c>
      <c r="F404" t="s">
        <v>503</v>
      </c>
      <c r="J404">
        <v>0</v>
      </c>
      <c r="K404">
        <v>0</v>
      </c>
    </row>
    <row r="405" spans="1:11">
      <c r="A405">
        <v>409</v>
      </c>
      <c r="B405" t="s">
        <v>1295</v>
      </c>
      <c r="C405" t="s">
        <v>69</v>
      </c>
      <c r="D405" t="s">
        <v>461</v>
      </c>
      <c r="E405" t="s">
        <v>7</v>
      </c>
      <c r="F405" t="s">
        <v>504</v>
      </c>
      <c r="J405">
        <v>0</v>
      </c>
      <c r="K405">
        <v>0</v>
      </c>
    </row>
    <row r="406" spans="1:11">
      <c r="A406">
        <v>410</v>
      </c>
      <c r="B406" t="s">
        <v>1295</v>
      </c>
      <c r="C406" t="s">
        <v>69</v>
      </c>
      <c r="D406" t="s">
        <v>461</v>
      </c>
      <c r="E406" t="s">
        <v>7</v>
      </c>
      <c r="F406" t="s">
        <v>505</v>
      </c>
      <c r="J406">
        <v>0</v>
      </c>
      <c r="K406">
        <v>0</v>
      </c>
    </row>
    <row r="407" spans="1:11">
      <c r="A407">
        <v>411</v>
      </c>
      <c r="B407" t="s">
        <v>1295</v>
      </c>
      <c r="C407" t="s">
        <v>69</v>
      </c>
      <c r="D407" t="s">
        <v>461</v>
      </c>
      <c r="E407" t="s">
        <v>7</v>
      </c>
      <c r="F407" t="s">
        <v>506</v>
      </c>
      <c r="J407">
        <v>0</v>
      </c>
      <c r="K407">
        <v>0</v>
      </c>
    </row>
    <row r="408" spans="1:11">
      <c r="A408">
        <v>412</v>
      </c>
      <c r="B408" t="s">
        <v>1295</v>
      </c>
      <c r="C408" t="s">
        <v>69</v>
      </c>
      <c r="D408" t="s">
        <v>461</v>
      </c>
      <c r="E408" t="s">
        <v>7</v>
      </c>
      <c r="F408" t="s">
        <v>500</v>
      </c>
      <c r="J408">
        <v>0</v>
      </c>
      <c r="K408">
        <v>0</v>
      </c>
    </row>
    <row r="409" spans="1:11">
      <c r="A409">
        <v>413</v>
      </c>
      <c r="B409" t="s">
        <v>1295</v>
      </c>
      <c r="C409" t="s">
        <v>69</v>
      </c>
      <c r="D409" t="s">
        <v>461</v>
      </c>
      <c r="E409" t="s">
        <v>7</v>
      </c>
      <c r="F409" t="s">
        <v>507</v>
      </c>
      <c r="J409">
        <v>0</v>
      </c>
      <c r="K409">
        <v>0</v>
      </c>
    </row>
    <row r="410" spans="1:11">
      <c r="A410">
        <v>414</v>
      </c>
      <c r="B410" t="s">
        <v>1295</v>
      </c>
      <c r="C410" t="s">
        <v>69</v>
      </c>
      <c r="D410" t="s">
        <v>461</v>
      </c>
      <c r="E410" t="s">
        <v>7</v>
      </c>
      <c r="F410" t="s">
        <v>508</v>
      </c>
      <c r="J410">
        <v>0</v>
      </c>
      <c r="K410">
        <v>0</v>
      </c>
    </row>
    <row r="411" spans="1:11">
      <c r="A411">
        <v>415</v>
      </c>
      <c r="B411" t="s">
        <v>1295</v>
      </c>
      <c r="C411" t="s">
        <v>69</v>
      </c>
      <c r="D411" t="s">
        <v>461</v>
      </c>
      <c r="E411" t="s">
        <v>7</v>
      </c>
      <c r="F411" t="s">
        <v>509</v>
      </c>
      <c r="J411">
        <v>0</v>
      </c>
      <c r="K411">
        <v>0</v>
      </c>
    </row>
    <row r="412" spans="1:11">
      <c r="A412">
        <v>416</v>
      </c>
      <c r="B412" t="s">
        <v>1295</v>
      </c>
      <c r="C412" t="s">
        <v>69</v>
      </c>
      <c r="D412" t="s">
        <v>461</v>
      </c>
      <c r="E412" t="s">
        <v>7</v>
      </c>
      <c r="F412" t="s">
        <v>510</v>
      </c>
      <c r="J412">
        <v>0</v>
      </c>
      <c r="K412">
        <v>0</v>
      </c>
    </row>
    <row r="413" spans="1:11">
      <c r="A413">
        <v>417</v>
      </c>
      <c r="B413" t="s">
        <v>1295</v>
      </c>
      <c r="C413" t="s">
        <v>69</v>
      </c>
      <c r="D413" t="s">
        <v>461</v>
      </c>
      <c r="E413" t="s">
        <v>7</v>
      </c>
      <c r="F413" t="s">
        <v>511</v>
      </c>
      <c r="J413">
        <v>0</v>
      </c>
      <c r="K413">
        <v>0</v>
      </c>
    </row>
    <row r="414" spans="1:11">
      <c r="A414">
        <v>418</v>
      </c>
      <c r="B414" t="s">
        <v>1295</v>
      </c>
      <c r="C414" t="s">
        <v>69</v>
      </c>
      <c r="D414" t="s">
        <v>512</v>
      </c>
      <c r="E414" t="s">
        <v>7</v>
      </c>
      <c r="F414" t="s">
        <v>513</v>
      </c>
      <c r="G414" t="s">
        <v>512</v>
      </c>
      <c r="J414">
        <v>0</v>
      </c>
    </row>
    <row r="415" spans="1:11">
      <c r="A415">
        <v>419</v>
      </c>
      <c r="B415" t="s">
        <v>1295</v>
      </c>
      <c r="C415" t="s">
        <v>69</v>
      </c>
      <c r="D415" t="s">
        <v>514</v>
      </c>
      <c r="E415" t="s">
        <v>7</v>
      </c>
      <c r="F415" t="s">
        <v>24</v>
      </c>
      <c r="G415" t="s">
        <v>515</v>
      </c>
      <c r="H415">
        <v>100</v>
      </c>
      <c r="J415">
        <v>60</v>
      </c>
      <c r="K415">
        <v>160</v>
      </c>
    </row>
    <row r="416" spans="1:11">
      <c r="A416">
        <v>420</v>
      </c>
      <c r="B416" t="s">
        <v>1295</v>
      </c>
      <c r="C416" t="s">
        <v>69</v>
      </c>
      <c r="D416" t="s">
        <v>514</v>
      </c>
      <c r="E416" t="s">
        <v>7</v>
      </c>
      <c r="F416" t="s">
        <v>516</v>
      </c>
      <c r="G416" t="s">
        <v>517</v>
      </c>
      <c r="H416">
        <v>18.5</v>
      </c>
      <c r="J416">
        <v>11.1</v>
      </c>
      <c r="K416">
        <v>29.6</v>
      </c>
    </row>
    <row r="417" spans="1:11">
      <c r="A417">
        <v>421</v>
      </c>
      <c r="B417" t="s">
        <v>1295</v>
      </c>
      <c r="C417" t="s">
        <v>69</v>
      </c>
      <c r="D417" t="s">
        <v>514</v>
      </c>
      <c r="E417" t="s">
        <v>7</v>
      </c>
      <c r="F417" t="s">
        <v>518</v>
      </c>
      <c r="G417" t="s">
        <v>519</v>
      </c>
      <c r="H417">
        <v>40</v>
      </c>
      <c r="J417">
        <v>24</v>
      </c>
      <c r="K417">
        <v>64</v>
      </c>
    </row>
    <row r="418" spans="1:11">
      <c r="A418">
        <v>422</v>
      </c>
      <c r="B418" t="s">
        <v>1295</v>
      </c>
      <c r="C418" t="s">
        <v>67</v>
      </c>
      <c r="D418" t="s">
        <v>520</v>
      </c>
      <c r="E418" t="s">
        <v>7</v>
      </c>
      <c r="F418" t="s">
        <v>521</v>
      </c>
      <c r="H418">
        <v>7.56</v>
      </c>
      <c r="J418">
        <v>4.5359999999999996</v>
      </c>
      <c r="K418">
        <v>12.096</v>
      </c>
    </row>
    <row r="419" spans="1:11">
      <c r="A419">
        <v>423</v>
      </c>
      <c r="B419" t="s">
        <v>1295</v>
      </c>
      <c r="C419" t="s">
        <v>51</v>
      </c>
      <c r="D419" t="s">
        <v>522</v>
      </c>
      <c r="E419" t="s">
        <v>7</v>
      </c>
    </row>
    <row r="420" spans="1:11">
      <c r="A420">
        <v>424</v>
      </c>
      <c r="B420" t="s">
        <v>1295</v>
      </c>
      <c r="C420" t="s">
        <v>51</v>
      </c>
      <c r="D420" t="s">
        <v>522</v>
      </c>
      <c r="E420" t="s">
        <v>7</v>
      </c>
      <c r="F420" t="s">
        <v>1143</v>
      </c>
      <c r="G420" t="s">
        <v>525</v>
      </c>
      <c r="H420">
        <v>14.61</v>
      </c>
      <c r="J420">
        <v>8.766</v>
      </c>
      <c r="K420">
        <v>23.376000000000001</v>
      </c>
    </row>
    <row r="421" spans="1:11">
      <c r="A421">
        <v>425</v>
      </c>
      <c r="B421" t="s">
        <v>1295</v>
      </c>
      <c r="C421" t="s">
        <v>51</v>
      </c>
      <c r="D421" t="s">
        <v>522</v>
      </c>
      <c r="E421" t="s">
        <v>7</v>
      </c>
      <c r="F421" t="s">
        <v>1144</v>
      </c>
      <c r="G421" t="s">
        <v>527</v>
      </c>
      <c r="H421">
        <v>18.84</v>
      </c>
      <c r="J421">
        <v>11.304</v>
      </c>
      <c r="K421">
        <v>30.143999999999998</v>
      </c>
    </row>
    <row r="422" spans="1:11">
      <c r="A422">
        <v>426</v>
      </c>
      <c r="B422" t="s">
        <v>1295</v>
      </c>
      <c r="C422" t="s">
        <v>51</v>
      </c>
      <c r="D422" t="s">
        <v>522</v>
      </c>
      <c r="E422" t="s">
        <v>7</v>
      </c>
      <c r="F422" t="s">
        <v>52</v>
      </c>
      <c r="G422" t="s">
        <v>528</v>
      </c>
      <c r="H422">
        <v>9.0299999999999994</v>
      </c>
      <c r="J422">
        <v>5.4180000000000001</v>
      </c>
      <c r="K422">
        <v>14.448</v>
      </c>
    </row>
    <row r="423" spans="1:11">
      <c r="A423">
        <v>427</v>
      </c>
      <c r="B423" t="s">
        <v>1295</v>
      </c>
      <c r="C423" t="s">
        <v>51</v>
      </c>
      <c r="D423" t="s">
        <v>522</v>
      </c>
      <c r="E423" t="s">
        <v>7</v>
      </c>
      <c r="F423" t="s">
        <v>529</v>
      </c>
      <c r="G423" t="s">
        <v>1</v>
      </c>
      <c r="H423">
        <v>38.520000000000003</v>
      </c>
      <c r="J423">
        <v>23.111999999999998</v>
      </c>
      <c r="K423">
        <v>61.631999999999998</v>
      </c>
    </row>
    <row r="424" spans="1:11">
      <c r="A424">
        <v>428</v>
      </c>
      <c r="B424" t="s">
        <v>1295</v>
      </c>
      <c r="C424" t="s">
        <v>51</v>
      </c>
      <c r="D424" t="s">
        <v>522</v>
      </c>
      <c r="E424" t="s">
        <v>7</v>
      </c>
      <c r="F424" t="s">
        <v>1145</v>
      </c>
      <c r="G424" t="s">
        <v>531</v>
      </c>
      <c r="H424">
        <v>15.31</v>
      </c>
      <c r="J424">
        <v>9.1859999999999999</v>
      </c>
      <c r="K424">
        <v>24.495999999999999</v>
      </c>
    </row>
    <row r="425" spans="1:11">
      <c r="A425">
        <v>429</v>
      </c>
      <c r="B425" t="s">
        <v>1295</v>
      </c>
      <c r="C425" t="s">
        <v>51</v>
      </c>
      <c r="D425" t="s">
        <v>522</v>
      </c>
      <c r="E425" t="s">
        <v>7</v>
      </c>
      <c r="F425" t="s">
        <v>1146</v>
      </c>
      <c r="G425" t="s">
        <v>533</v>
      </c>
      <c r="H425">
        <v>21.53</v>
      </c>
      <c r="J425">
        <v>12.917999999999999</v>
      </c>
      <c r="K425">
        <v>34.448</v>
      </c>
    </row>
    <row r="426" spans="1:11">
      <c r="A426">
        <v>430</v>
      </c>
      <c r="B426" t="s">
        <v>1295</v>
      </c>
      <c r="C426" t="s">
        <v>51</v>
      </c>
      <c r="D426" t="s">
        <v>522</v>
      </c>
      <c r="E426" t="s">
        <v>7</v>
      </c>
      <c r="F426" t="s">
        <v>1147</v>
      </c>
      <c r="G426" t="s">
        <v>535</v>
      </c>
      <c r="H426">
        <v>7.16</v>
      </c>
      <c r="J426">
        <v>4.2960000000000003</v>
      </c>
      <c r="K426">
        <v>11.456</v>
      </c>
    </row>
    <row r="427" spans="1:11">
      <c r="A427">
        <v>431</v>
      </c>
      <c r="B427" t="s">
        <v>1295</v>
      </c>
      <c r="C427" t="s">
        <v>51</v>
      </c>
      <c r="D427" t="s">
        <v>522</v>
      </c>
      <c r="E427" t="s">
        <v>7</v>
      </c>
      <c r="F427" t="s">
        <v>536</v>
      </c>
      <c r="G427" t="s">
        <v>537</v>
      </c>
      <c r="H427">
        <v>13.9</v>
      </c>
      <c r="J427">
        <v>8.34</v>
      </c>
      <c r="K427">
        <v>22.24</v>
      </c>
    </row>
    <row r="428" spans="1:11">
      <c r="A428">
        <v>432</v>
      </c>
      <c r="B428" t="s">
        <v>1295</v>
      </c>
      <c r="C428" t="s">
        <v>51</v>
      </c>
      <c r="D428" t="s">
        <v>522</v>
      </c>
      <c r="E428" t="s">
        <v>7</v>
      </c>
      <c r="F428" t="s">
        <v>1148</v>
      </c>
      <c r="G428" t="s">
        <v>539</v>
      </c>
      <c r="H428">
        <v>18.77</v>
      </c>
      <c r="J428">
        <v>11.262</v>
      </c>
      <c r="K428">
        <v>30.032</v>
      </c>
    </row>
    <row r="429" spans="1:11">
      <c r="A429">
        <v>433</v>
      </c>
      <c r="B429" t="s">
        <v>1295</v>
      </c>
      <c r="C429" t="s">
        <v>51</v>
      </c>
      <c r="D429" t="s">
        <v>522</v>
      </c>
      <c r="E429" t="s">
        <v>7</v>
      </c>
      <c r="F429" t="s">
        <v>1149</v>
      </c>
      <c r="G429" t="s">
        <v>541</v>
      </c>
      <c r="H429">
        <v>6.52</v>
      </c>
      <c r="J429">
        <v>3.9119999999999999</v>
      </c>
      <c r="K429">
        <v>10.432</v>
      </c>
    </row>
    <row r="430" spans="1:11">
      <c r="A430">
        <v>434</v>
      </c>
      <c r="B430" t="s">
        <v>1295</v>
      </c>
      <c r="C430" t="s">
        <v>51</v>
      </c>
      <c r="D430" t="s">
        <v>522</v>
      </c>
      <c r="E430" t="s">
        <v>7</v>
      </c>
      <c r="F430" t="s">
        <v>542</v>
      </c>
      <c r="G430" t="s">
        <v>537</v>
      </c>
      <c r="H430">
        <v>15.91</v>
      </c>
      <c r="J430">
        <v>9.5459999999999994</v>
      </c>
      <c r="K430">
        <v>25.456</v>
      </c>
    </row>
    <row r="431" spans="1:11">
      <c r="A431">
        <v>435</v>
      </c>
      <c r="B431" t="s">
        <v>1295</v>
      </c>
      <c r="C431" t="s">
        <v>51</v>
      </c>
      <c r="D431" t="s">
        <v>522</v>
      </c>
      <c r="E431" t="s">
        <v>7</v>
      </c>
      <c r="F431" t="s">
        <v>1150</v>
      </c>
      <c r="G431" t="s">
        <v>544</v>
      </c>
      <c r="H431">
        <v>10.47</v>
      </c>
      <c r="J431">
        <v>6.282</v>
      </c>
      <c r="K431">
        <v>16.751999999999999</v>
      </c>
    </row>
    <row r="432" spans="1:11">
      <c r="A432">
        <v>436</v>
      </c>
      <c r="B432" t="s">
        <v>1295</v>
      </c>
      <c r="C432" t="s">
        <v>51</v>
      </c>
      <c r="D432" t="s">
        <v>522</v>
      </c>
      <c r="E432" t="s">
        <v>7</v>
      </c>
      <c r="F432" t="s">
        <v>29</v>
      </c>
      <c r="G432" t="s">
        <v>545</v>
      </c>
      <c r="H432">
        <v>17.350000000000001</v>
      </c>
      <c r="J432">
        <v>10.41</v>
      </c>
      <c r="K432">
        <v>27.76</v>
      </c>
    </row>
    <row r="433" spans="1:11">
      <c r="A433">
        <v>437</v>
      </c>
      <c r="B433" t="s">
        <v>1295</v>
      </c>
      <c r="C433" t="s">
        <v>51</v>
      </c>
      <c r="D433" t="s">
        <v>522</v>
      </c>
      <c r="E433" t="s">
        <v>7</v>
      </c>
      <c r="F433" t="s">
        <v>546</v>
      </c>
      <c r="G433" t="s">
        <v>547</v>
      </c>
      <c r="H433">
        <v>15.31</v>
      </c>
      <c r="J433">
        <v>9.1859999999999999</v>
      </c>
      <c r="K433">
        <v>24.495999999999999</v>
      </c>
    </row>
    <row r="434" spans="1:11">
      <c r="A434">
        <v>438</v>
      </c>
      <c r="B434" t="s">
        <v>1295</v>
      </c>
      <c r="C434" t="s">
        <v>51</v>
      </c>
      <c r="D434" t="s">
        <v>522</v>
      </c>
      <c r="E434" t="s">
        <v>7</v>
      </c>
      <c r="J434">
        <v>0</v>
      </c>
      <c r="K434">
        <v>0</v>
      </c>
    </row>
    <row r="435" spans="1:11">
      <c r="A435">
        <v>439</v>
      </c>
      <c r="B435" t="s">
        <v>1295</v>
      </c>
      <c r="C435" t="s">
        <v>51</v>
      </c>
      <c r="D435" t="s">
        <v>522</v>
      </c>
      <c r="E435" t="s">
        <v>7</v>
      </c>
      <c r="F435" t="s">
        <v>548</v>
      </c>
      <c r="G435" t="s">
        <v>545</v>
      </c>
      <c r="H435">
        <v>17.350000000000001</v>
      </c>
      <c r="J435">
        <v>10.41</v>
      </c>
      <c r="K435">
        <v>27.76</v>
      </c>
    </row>
    <row r="436" spans="1:11">
      <c r="A436">
        <v>440</v>
      </c>
      <c r="B436" t="s">
        <v>1295</v>
      </c>
      <c r="C436" t="s">
        <v>51</v>
      </c>
      <c r="D436" t="s">
        <v>522</v>
      </c>
      <c r="E436" t="s">
        <v>7</v>
      </c>
      <c r="F436" t="s">
        <v>549</v>
      </c>
      <c r="G436" t="s">
        <v>550</v>
      </c>
      <c r="H436">
        <v>7.95</v>
      </c>
      <c r="J436">
        <v>4.7699999999999996</v>
      </c>
      <c r="K436">
        <v>12.72</v>
      </c>
    </row>
    <row r="437" spans="1:11">
      <c r="A437">
        <v>441</v>
      </c>
      <c r="B437" t="s">
        <v>1295</v>
      </c>
      <c r="C437" t="s">
        <v>51</v>
      </c>
      <c r="D437" t="s">
        <v>522</v>
      </c>
      <c r="E437" t="s">
        <v>7</v>
      </c>
      <c r="F437" t="s">
        <v>551</v>
      </c>
      <c r="G437" t="s">
        <v>1</v>
      </c>
      <c r="H437">
        <v>11.5</v>
      </c>
      <c r="J437">
        <v>6.9</v>
      </c>
      <c r="K437">
        <v>18.399999999999999</v>
      </c>
    </row>
    <row r="438" spans="1:11">
      <c r="A438">
        <v>442</v>
      </c>
      <c r="B438" t="s">
        <v>1295</v>
      </c>
      <c r="C438" t="s">
        <v>51</v>
      </c>
      <c r="D438" t="s">
        <v>552</v>
      </c>
      <c r="E438" t="s">
        <v>7</v>
      </c>
      <c r="F438" t="s">
        <v>54</v>
      </c>
      <c r="G438" t="s">
        <v>539</v>
      </c>
      <c r="H438">
        <v>18.77</v>
      </c>
      <c r="J438">
        <v>11.262</v>
      </c>
      <c r="K438">
        <v>30.032</v>
      </c>
    </row>
    <row r="439" spans="1:11">
      <c r="A439">
        <v>443</v>
      </c>
      <c r="B439" t="s">
        <v>1295</v>
      </c>
      <c r="C439" t="s">
        <v>51</v>
      </c>
      <c r="D439" t="s">
        <v>552</v>
      </c>
      <c r="E439" t="s">
        <v>7</v>
      </c>
      <c r="F439" t="s">
        <v>55</v>
      </c>
      <c r="G439" t="s">
        <v>525</v>
      </c>
      <c r="H439">
        <v>14.61</v>
      </c>
      <c r="J439">
        <v>8.766</v>
      </c>
      <c r="K439">
        <v>23.376000000000001</v>
      </c>
    </row>
    <row r="440" spans="1:11">
      <c r="A440">
        <v>444</v>
      </c>
      <c r="B440" t="s">
        <v>1295</v>
      </c>
      <c r="C440" t="s">
        <v>51</v>
      </c>
      <c r="D440" t="s">
        <v>552</v>
      </c>
      <c r="E440" t="s">
        <v>7</v>
      </c>
      <c r="F440" t="s">
        <v>56</v>
      </c>
      <c r="G440" t="s">
        <v>553</v>
      </c>
      <c r="H440">
        <v>17.489999999999998</v>
      </c>
      <c r="J440">
        <v>10.494</v>
      </c>
      <c r="K440">
        <v>27.984000000000002</v>
      </c>
    </row>
    <row r="441" spans="1:11">
      <c r="A441">
        <v>445</v>
      </c>
      <c r="B441" t="s">
        <v>1295</v>
      </c>
      <c r="C441" t="s">
        <v>51</v>
      </c>
      <c r="D441" t="s">
        <v>552</v>
      </c>
      <c r="E441" t="s">
        <v>7</v>
      </c>
      <c r="F441" t="s">
        <v>554</v>
      </c>
      <c r="G441" t="s">
        <v>555</v>
      </c>
      <c r="H441">
        <v>32.299999999999997</v>
      </c>
      <c r="J441">
        <v>19.38</v>
      </c>
      <c r="K441">
        <v>51.68</v>
      </c>
    </row>
    <row r="442" spans="1:11">
      <c r="A442">
        <v>446</v>
      </c>
      <c r="B442" t="s">
        <v>1295</v>
      </c>
      <c r="C442" t="s">
        <v>51</v>
      </c>
      <c r="D442" t="s">
        <v>552</v>
      </c>
      <c r="E442" t="s">
        <v>7</v>
      </c>
      <c r="F442" t="s">
        <v>556</v>
      </c>
      <c r="G442" t="s">
        <v>557</v>
      </c>
      <c r="H442">
        <v>5</v>
      </c>
      <c r="J442">
        <v>3</v>
      </c>
      <c r="K442">
        <v>8</v>
      </c>
    </row>
    <row r="443" spans="1:11">
      <c r="A443">
        <v>447</v>
      </c>
      <c r="B443" t="s">
        <v>1349</v>
      </c>
      <c r="C443" t="s">
        <v>51</v>
      </c>
      <c r="D443" t="s">
        <v>552</v>
      </c>
      <c r="E443" t="s">
        <v>7</v>
      </c>
      <c r="F443" t="s">
        <v>95</v>
      </c>
      <c r="G443" t="s">
        <v>558</v>
      </c>
      <c r="H443">
        <v>11.96</v>
      </c>
      <c r="J443">
        <v>7.1760000000000002</v>
      </c>
      <c r="K443">
        <v>19.135999999999999</v>
      </c>
    </row>
    <row r="444" spans="1:11">
      <c r="A444">
        <v>449</v>
      </c>
      <c r="B444" t="s">
        <v>1295</v>
      </c>
      <c r="C444" t="s">
        <v>559</v>
      </c>
      <c r="D444" t="s">
        <v>560</v>
      </c>
      <c r="E444" t="s">
        <v>7</v>
      </c>
      <c r="F444" t="s">
        <v>561</v>
      </c>
      <c r="H444">
        <v>7.26</v>
      </c>
      <c r="J444">
        <v>4.3559999999999999</v>
      </c>
      <c r="K444">
        <v>11.616</v>
      </c>
    </row>
    <row r="445" spans="1:11">
      <c r="A445">
        <v>450</v>
      </c>
      <c r="B445" t="s">
        <v>1295</v>
      </c>
      <c r="C445" t="s">
        <v>559</v>
      </c>
      <c r="D445" t="s">
        <v>560</v>
      </c>
      <c r="E445" t="s">
        <v>7</v>
      </c>
      <c r="F445" t="s">
        <v>562</v>
      </c>
      <c r="H445">
        <v>11.4</v>
      </c>
      <c r="J445">
        <v>6.84</v>
      </c>
      <c r="K445">
        <v>18.239999999999998</v>
      </c>
    </row>
    <row r="446" spans="1:11">
      <c r="A446">
        <v>451</v>
      </c>
      <c r="B446" t="s">
        <v>1295</v>
      </c>
      <c r="C446" t="s">
        <v>559</v>
      </c>
      <c r="D446" t="s">
        <v>560</v>
      </c>
      <c r="E446" t="s">
        <v>7</v>
      </c>
      <c r="F446" t="s">
        <v>563</v>
      </c>
      <c r="H446">
        <v>10.95</v>
      </c>
      <c r="J446">
        <v>6.57</v>
      </c>
      <c r="K446">
        <v>17.52</v>
      </c>
    </row>
    <row r="447" spans="1:11">
      <c r="A447">
        <v>452</v>
      </c>
      <c r="B447" t="s">
        <v>1295</v>
      </c>
      <c r="C447" t="s">
        <v>559</v>
      </c>
      <c r="D447" t="s">
        <v>560</v>
      </c>
      <c r="E447" t="s">
        <v>7</v>
      </c>
      <c r="F447" t="s">
        <v>564</v>
      </c>
      <c r="H447">
        <v>33.630000000000003</v>
      </c>
      <c r="J447">
        <v>20.178000000000001</v>
      </c>
      <c r="K447">
        <v>53.808</v>
      </c>
    </row>
    <row r="448" spans="1:11">
      <c r="A448">
        <v>453</v>
      </c>
      <c r="B448" t="s">
        <v>1295</v>
      </c>
      <c r="C448" t="s">
        <v>559</v>
      </c>
      <c r="D448" t="s">
        <v>560</v>
      </c>
      <c r="E448" t="s">
        <v>7</v>
      </c>
      <c r="F448" t="s">
        <v>565</v>
      </c>
      <c r="H448">
        <v>44</v>
      </c>
      <c r="J448">
        <v>26.4</v>
      </c>
      <c r="K448">
        <v>70.400000000000006</v>
      </c>
    </row>
    <row r="449" spans="1:11">
      <c r="A449">
        <v>454</v>
      </c>
      <c r="B449" t="s">
        <v>1295</v>
      </c>
      <c r="C449" t="s">
        <v>559</v>
      </c>
      <c r="D449" t="s">
        <v>560</v>
      </c>
      <c r="E449" t="s">
        <v>7</v>
      </c>
      <c r="F449" t="s">
        <v>566</v>
      </c>
      <c r="H449">
        <v>13.55</v>
      </c>
      <c r="J449">
        <v>8.1300000000000008</v>
      </c>
      <c r="K449">
        <v>21.68</v>
      </c>
    </row>
    <row r="450" spans="1:11">
      <c r="A450">
        <v>455</v>
      </c>
      <c r="B450" t="s">
        <v>1295</v>
      </c>
      <c r="C450" t="s">
        <v>559</v>
      </c>
      <c r="D450" t="s">
        <v>560</v>
      </c>
      <c r="E450" t="s">
        <v>7</v>
      </c>
      <c r="F450" t="s">
        <v>567</v>
      </c>
      <c r="H450">
        <v>20</v>
      </c>
      <c r="J450">
        <v>12</v>
      </c>
      <c r="K450">
        <v>32</v>
      </c>
    </row>
    <row r="451" spans="1:11">
      <c r="A451">
        <v>456</v>
      </c>
      <c r="B451" t="s">
        <v>1295</v>
      </c>
      <c r="C451" t="s">
        <v>559</v>
      </c>
      <c r="D451" t="s">
        <v>560</v>
      </c>
      <c r="E451" t="s">
        <v>7</v>
      </c>
      <c r="F451" t="s">
        <v>568</v>
      </c>
      <c r="H451">
        <v>54</v>
      </c>
      <c r="J451">
        <v>32.4</v>
      </c>
      <c r="K451">
        <v>86.4</v>
      </c>
    </row>
    <row r="452" spans="1:11">
      <c r="A452">
        <v>457</v>
      </c>
      <c r="B452" t="s">
        <v>1295</v>
      </c>
      <c r="C452" t="s">
        <v>559</v>
      </c>
      <c r="D452" t="s">
        <v>569</v>
      </c>
      <c r="E452" t="s">
        <v>7</v>
      </c>
      <c r="F452" t="s">
        <v>570</v>
      </c>
      <c r="H452">
        <v>3.56</v>
      </c>
      <c r="J452">
        <v>2.1360000000000001</v>
      </c>
      <c r="K452">
        <v>5.6959999999999997</v>
      </c>
    </row>
    <row r="453" spans="1:11">
      <c r="A453">
        <v>458</v>
      </c>
      <c r="B453" t="s">
        <v>1295</v>
      </c>
      <c r="C453" t="s">
        <v>559</v>
      </c>
      <c r="D453" t="s">
        <v>569</v>
      </c>
      <c r="E453" t="s">
        <v>7</v>
      </c>
      <c r="F453" t="s">
        <v>571</v>
      </c>
      <c r="H453">
        <v>3.56</v>
      </c>
      <c r="J453">
        <v>2.1360000000000001</v>
      </c>
      <c r="K453">
        <v>5.6959999999999997</v>
      </c>
    </row>
    <row r="454" spans="1:11">
      <c r="A454">
        <v>459</v>
      </c>
      <c r="B454" t="s">
        <v>1295</v>
      </c>
      <c r="C454" t="s">
        <v>559</v>
      </c>
      <c r="D454" t="s">
        <v>569</v>
      </c>
      <c r="E454" t="s">
        <v>7</v>
      </c>
      <c r="F454" t="s">
        <v>572</v>
      </c>
      <c r="H454">
        <v>6</v>
      </c>
      <c r="J454">
        <v>3.6</v>
      </c>
      <c r="K454">
        <v>9.6</v>
      </c>
    </row>
    <row r="455" spans="1:11">
      <c r="A455">
        <v>460</v>
      </c>
      <c r="B455" t="s">
        <v>1295</v>
      </c>
      <c r="C455" t="s">
        <v>559</v>
      </c>
      <c r="D455" t="s">
        <v>573</v>
      </c>
      <c r="E455" t="s">
        <v>7</v>
      </c>
      <c r="F455" t="s">
        <v>574</v>
      </c>
      <c r="H455">
        <v>37.1</v>
      </c>
      <c r="J455">
        <v>22.26</v>
      </c>
      <c r="K455">
        <v>37.1</v>
      </c>
    </row>
    <row r="456" spans="1:11">
      <c r="A456">
        <v>461</v>
      </c>
      <c r="B456" t="s">
        <v>1295</v>
      </c>
      <c r="C456" t="s">
        <v>559</v>
      </c>
      <c r="D456" t="s">
        <v>573</v>
      </c>
      <c r="E456" t="s">
        <v>7</v>
      </c>
      <c r="F456" t="s">
        <v>575</v>
      </c>
      <c r="H456">
        <v>30</v>
      </c>
      <c r="J456">
        <v>18</v>
      </c>
      <c r="K456">
        <v>48</v>
      </c>
    </row>
    <row r="457" spans="1:11">
      <c r="A457">
        <v>462</v>
      </c>
      <c r="B457" t="s">
        <v>1295</v>
      </c>
      <c r="C457" t="s">
        <v>559</v>
      </c>
      <c r="D457" t="s">
        <v>573</v>
      </c>
      <c r="E457" t="s">
        <v>7</v>
      </c>
      <c r="F457" t="s">
        <v>567</v>
      </c>
      <c r="H457">
        <v>30</v>
      </c>
      <c r="J457">
        <v>18</v>
      </c>
      <c r="K457">
        <v>48</v>
      </c>
    </row>
    <row r="458" spans="1:11">
      <c r="A458">
        <v>463</v>
      </c>
      <c r="B458" t="s">
        <v>1295</v>
      </c>
      <c r="C458" t="s">
        <v>559</v>
      </c>
      <c r="D458" t="s">
        <v>48</v>
      </c>
      <c r="E458" t="s">
        <v>7</v>
      </c>
      <c r="F458" t="s">
        <v>576</v>
      </c>
      <c r="H458">
        <v>6.01</v>
      </c>
      <c r="J458">
        <v>3.6059999999999999</v>
      </c>
      <c r="K458">
        <v>9.6159999999999997</v>
      </c>
    </row>
    <row r="459" spans="1:11">
      <c r="A459">
        <v>464</v>
      </c>
      <c r="B459" t="s">
        <v>1295</v>
      </c>
      <c r="C459" t="s">
        <v>559</v>
      </c>
      <c r="D459" t="s">
        <v>48</v>
      </c>
      <c r="E459" t="s">
        <v>7</v>
      </c>
      <c r="F459" t="s">
        <v>577</v>
      </c>
      <c r="H459">
        <v>6.5</v>
      </c>
      <c r="J459">
        <v>3.9</v>
      </c>
      <c r="K459">
        <v>10.4</v>
      </c>
    </row>
    <row r="460" spans="1:11">
      <c r="A460">
        <v>465</v>
      </c>
      <c r="B460" t="s">
        <v>1295</v>
      </c>
      <c r="C460" t="s">
        <v>50</v>
      </c>
      <c r="D460" t="s">
        <v>578</v>
      </c>
      <c r="E460" t="s">
        <v>7</v>
      </c>
      <c r="F460" t="s">
        <v>579</v>
      </c>
      <c r="H460">
        <v>19.420000000000002</v>
      </c>
      <c r="J460">
        <v>11.651999999999999</v>
      </c>
      <c r="K460">
        <v>31.071999999999999</v>
      </c>
    </row>
    <row r="461" spans="1:11">
      <c r="A461">
        <v>466</v>
      </c>
      <c r="B461" t="s">
        <v>1295</v>
      </c>
      <c r="C461" t="s">
        <v>50</v>
      </c>
      <c r="D461" t="s">
        <v>578</v>
      </c>
      <c r="E461" t="s">
        <v>7</v>
      </c>
      <c r="F461" t="s">
        <v>580</v>
      </c>
      <c r="H461">
        <v>26.84</v>
      </c>
      <c r="J461">
        <v>16.103999999999999</v>
      </c>
      <c r="K461">
        <v>42.944000000000003</v>
      </c>
    </row>
    <row r="462" spans="1:11">
      <c r="A462">
        <v>467</v>
      </c>
      <c r="B462" t="s">
        <v>1295</v>
      </c>
      <c r="C462" t="s">
        <v>50</v>
      </c>
      <c r="D462" t="s">
        <v>578</v>
      </c>
      <c r="E462" t="s">
        <v>7</v>
      </c>
      <c r="F462" t="s">
        <v>581</v>
      </c>
      <c r="H462">
        <v>36.06</v>
      </c>
      <c r="J462">
        <v>21.635999999999999</v>
      </c>
      <c r="K462">
        <v>57.695999999999998</v>
      </c>
    </row>
    <row r="463" spans="1:11">
      <c r="A463">
        <v>468</v>
      </c>
      <c r="B463" t="s">
        <v>1295</v>
      </c>
      <c r="C463" t="s">
        <v>50</v>
      </c>
      <c r="D463" t="s">
        <v>582</v>
      </c>
      <c r="E463" t="s">
        <v>7</v>
      </c>
      <c r="F463" t="s">
        <v>583</v>
      </c>
      <c r="H463">
        <v>50.07</v>
      </c>
      <c r="J463">
        <v>30.042000000000002</v>
      </c>
      <c r="K463">
        <v>80.111999999999995</v>
      </c>
    </row>
    <row r="464" spans="1:11">
      <c r="A464">
        <v>469</v>
      </c>
      <c r="B464" t="s">
        <v>1295</v>
      </c>
      <c r="C464" t="s">
        <v>50</v>
      </c>
      <c r="D464" t="s">
        <v>582</v>
      </c>
      <c r="E464" t="s">
        <v>7</v>
      </c>
      <c r="F464" t="s">
        <v>584</v>
      </c>
      <c r="H464">
        <v>70.25</v>
      </c>
      <c r="J464">
        <v>42.15</v>
      </c>
      <c r="K464">
        <v>112.4</v>
      </c>
    </row>
    <row r="465" spans="1:11">
      <c r="A465">
        <v>470</v>
      </c>
      <c r="B465" t="s">
        <v>1295</v>
      </c>
      <c r="C465" t="s">
        <v>50</v>
      </c>
      <c r="D465" t="s">
        <v>585</v>
      </c>
      <c r="E465" t="s">
        <v>7</v>
      </c>
      <c r="F465" t="s">
        <v>586</v>
      </c>
      <c r="H465">
        <v>5.97</v>
      </c>
      <c r="J465">
        <v>3.5819999999999999</v>
      </c>
      <c r="K465">
        <v>9.5519999999999996</v>
      </c>
    </row>
    <row r="466" spans="1:11">
      <c r="A466">
        <v>471</v>
      </c>
      <c r="B466" t="s">
        <v>1295</v>
      </c>
      <c r="C466" t="s">
        <v>50</v>
      </c>
      <c r="D466" t="s">
        <v>585</v>
      </c>
      <c r="E466" t="s">
        <v>7</v>
      </c>
      <c r="F466" t="s">
        <v>587</v>
      </c>
      <c r="H466">
        <v>7.78</v>
      </c>
      <c r="J466">
        <v>4.6680000000000001</v>
      </c>
      <c r="K466">
        <v>12.448</v>
      </c>
    </row>
    <row r="467" spans="1:11">
      <c r="A467">
        <v>472</v>
      </c>
      <c r="B467" t="s">
        <v>1295</v>
      </c>
      <c r="C467" t="s">
        <v>50</v>
      </c>
      <c r="D467" t="s">
        <v>588</v>
      </c>
      <c r="E467" t="s">
        <v>7</v>
      </c>
      <c r="F467" t="s">
        <v>589</v>
      </c>
      <c r="H467">
        <v>3.66</v>
      </c>
      <c r="J467">
        <v>2.1960000000000002</v>
      </c>
      <c r="K467">
        <v>5.8559999999999999</v>
      </c>
    </row>
    <row r="468" spans="1:11">
      <c r="A468">
        <v>473</v>
      </c>
      <c r="B468" t="s">
        <v>1295</v>
      </c>
      <c r="C468" t="s">
        <v>50</v>
      </c>
      <c r="D468" t="s">
        <v>588</v>
      </c>
      <c r="E468" t="s">
        <v>7</v>
      </c>
      <c r="F468" t="s">
        <v>590</v>
      </c>
      <c r="H468">
        <v>4.24</v>
      </c>
      <c r="J468">
        <v>2.544</v>
      </c>
      <c r="K468">
        <v>6.7839999999999998</v>
      </c>
    </row>
    <row r="469" spans="1:11">
      <c r="A469">
        <v>474</v>
      </c>
      <c r="B469" t="s">
        <v>1295</v>
      </c>
      <c r="C469" t="s">
        <v>50</v>
      </c>
      <c r="D469" t="s">
        <v>591</v>
      </c>
      <c r="E469" t="s">
        <v>7</v>
      </c>
      <c r="F469" t="s">
        <v>1151</v>
      </c>
      <c r="H469">
        <v>100</v>
      </c>
      <c r="J469">
        <v>60</v>
      </c>
      <c r="K469">
        <v>160</v>
      </c>
    </row>
    <row r="470" spans="1:11">
      <c r="A470">
        <v>475</v>
      </c>
      <c r="B470" t="s">
        <v>1295</v>
      </c>
      <c r="C470" t="s">
        <v>50</v>
      </c>
      <c r="D470" t="s">
        <v>591</v>
      </c>
      <c r="E470" t="s">
        <v>7</v>
      </c>
      <c r="F470" t="s">
        <v>1152</v>
      </c>
      <c r="H470">
        <v>200</v>
      </c>
      <c r="J470">
        <v>120</v>
      </c>
      <c r="K470">
        <v>320</v>
      </c>
    </row>
    <row r="471" spans="1:11">
      <c r="A471">
        <v>476</v>
      </c>
      <c r="B471" t="s">
        <v>1295</v>
      </c>
      <c r="C471" t="s">
        <v>58</v>
      </c>
      <c r="D471" t="s">
        <v>60</v>
      </c>
      <c r="E471" t="s">
        <v>7</v>
      </c>
      <c r="F471" t="s">
        <v>61</v>
      </c>
      <c r="H471">
        <v>167.42</v>
      </c>
      <c r="J471">
        <v>100.452</v>
      </c>
      <c r="K471">
        <v>267.87200000000001</v>
      </c>
    </row>
    <row r="472" spans="1:11">
      <c r="A472">
        <v>477</v>
      </c>
      <c r="B472" t="s">
        <v>1295</v>
      </c>
      <c r="C472" t="s">
        <v>58</v>
      </c>
      <c r="D472" t="s">
        <v>60</v>
      </c>
      <c r="E472" t="s">
        <v>7</v>
      </c>
      <c r="J472">
        <v>0</v>
      </c>
      <c r="K472">
        <v>0</v>
      </c>
    </row>
    <row r="473" spans="1:11">
      <c r="A473">
        <v>478</v>
      </c>
      <c r="B473" t="s">
        <v>1295</v>
      </c>
      <c r="C473" t="s">
        <v>58</v>
      </c>
      <c r="D473" t="s">
        <v>60</v>
      </c>
      <c r="E473" t="s">
        <v>7</v>
      </c>
      <c r="F473" t="s">
        <v>594</v>
      </c>
      <c r="J473">
        <v>0</v>
      </c>
      <c r="K473">
        <v>0</v>
      </c>
    </row>
    <row r="474" spans="1:11">
      <c r="A474">
        <v>479</v>
      </c>
      <c r="B474" t="s">
        <v>1295</v>
      </c>
      <c r="C474" t="s">
        <v>58</v>
      </c>
      <c r="D474" t="s">
        <v>60</v>
      </c>
      <c r="E474" t="s">
        <v>7</v>
      </c>
      <c r="F474" t="s">
        <v>595</v>
      </c>
      <c r="H474">
        <v>15</v>
      </c>
      <c r="J474">
        <v>9</v>
      </c>
      <c r="K474">
        <v>24</v>
      </c>
    </row>
    <row r="475" spans="1:11">
      <c r="A475">
        <v>480</v>
      </c>
      <c r="B475" t="s">
        <v>1295</v>
      </c>
      <c r="C475" t="s">
        <v>58</v>
      </c>
      <c r="D475" t="s">
        <v>60</v>
      </c>
      <c r="E475" t="s">
        <v>7</v>
      </c>
      <c r="F475" t="s">
        <v>569</v>
      </c>
      <c r="H475">
        <v>5.46</v>
      </c>
      <c r="J475">
        <v>3.2759999999999998</v>
      </c>
      <c r="K475">
        <v>8.7360000000000007</v>
      </c>
    </row>
    <row r="476" spans="1:11">
      <c r="A476">
        <v>481</v>
      </c>
      <c r="B476" t="s">
        <v>1295</v>
      </c>
      <c r="C476" t="s">
        <v>58</v>
      </c>
      <c r="D476" t="s">
        <v>596</v>
      </c>
      <c r="E476" t="s">
        <v>7</v>
      </c>
      <c r="J476">
        <v>0</v>
      </c>
    </row>
    <row r="477" spans="1:11">
      <c r="A477">
        <v>482</v>
      </c>
      <c r="B477" t="s">
        <v>1295</v>
      </c>
      <c r="C477" t="s">
        <v>58</v>
      </c>
      <c r="D477" t="s">
        <v>597</v>
      </c>
      <c r="E477" t="s">
        <v>7</v>
      </c>
      <c r="F477" t="s">
        <v>598</v>
      </c>
      <c r="H477">
        <v>12.61</v>
      </c>
      <c r="J477">
        <v>7.5659999999999998</v>
      </c>
      <c r="K477">
        <v>20.175999999999998</v>
      </c>
    </row>
    <row r="478" spans="1:11">
      <c r="A478">
        <v>483</v>
      </c>
      <c r="B478" t="s">
        <v>1295</v>
      </c>
      <c r="C478" t="s">
        <v>58</v>
      </c>
      <c r="D478" t="s">
        <v>597</v>
      </c>
      <c r="E478" t="s">
        <v>7</v>
      </c>
      <c r="F478" t="s">
        <v>599</v>
      </c>
      <c r="H478">
        <v>15.42</v>
      </c>
      <c r="J478">
        <v>9.2520000000000007</v>
      </c>
      <c r="K478">
        <v>24.672000000000001</v>
      </c>
    </row>
    <row r="479" spans="1:11">
      <c r="A479">
        <v>484</v>
      </c>
      <c r="B479" t="s">
        <v>1295</v>
      </c>
      <c r="C479" t="s">
        <v>58</v>
      </c>
      <c r="D479" t="s">
        <v>597</v>
      </c>
      <c r="E479" t="s">
        <v>7</v>
      </c>
      <c r="F479" t="s">
        <v>600</v>
      </c>
      <c r="H479">
        <v>14.01</v>
      </c>
      <c r="J479">
        <v>8.4060000000000006</v>
      </c>
      <c r="K479">
        <v>22.416</v>
      </c>
    </row>
    <row r="480" spans="1:11">
      <c r="A480">
        <v>485</v>
      </c>
      <c r="B480" t="s">
        <v>1295</v>
      </c>
      <c r="C480" t="s">
        <v>58</v>
      </c>
      <c r="D480" t="s">
        <v>597</v>
      </c>
      <c r="E480" t="s">
        <v>7</v>
      </c>
      <c r="F480" t="s">
        <v>601</v>
      </c>
      <c r="H480">
        <v>0</v>
      </c>
      <c r="J480">
        <v>0</v>
      </c>
      <c r="K480">
        <v>0</v>
      </c>
    </row>
    <row r="481" spans="1:11">
      <c r="A481">
        <v>486</v>
      </c>
      <c r="B481" t="s">
        <v>1295</v>
      </c>
      <c r="C481" t="s">
        <v>58</v>
      </c>
      <c r="D481" t="s">
        <v>597</v>
      </c>
      <c r="E481" t="s">
        <v>7</v>
      </c>
      <c r="F481" t="s">
        <v>602</v>
      </c>
      <c r="H481">
        <v>0</v>
      </c>
      <c r="J481">
        <v>0</v>
      </c>
      <c r="K481">
        <v>0</v>
      </c>
    </row>
    <row r="482" spans="1:11">
      <c r="A482">
        <v>487</v>
      </c>
      <c r="B482" t="s">
        <v>1295</v>
      </c>
      <c r="C482" t="s">
        <v>58</v>
      </c>
      <c r="D482" t="s">
        <v>597</v>
      </c>
      <c r="E482" t="s">
        <v>7</v>
      </c>
      <c r="F482" t="s">
        <v>603</v>
      </c>
      <c r="J482">
        <v>0</v>
      </c>
      <c r="K482">
        <v>0</v>
      </c>
    </row>
    <row r="483" spans="1:11">
      <c r="A483">
        <v>488</v>
      </c>
      <c r="B483" t="s">
        <v>1295</v>
      </c>
      <c r="C483" t="s">
        <v>58</v>
      </c>
      <c r="D483" t="s">
        <v>597</v>
      </c>
      <c r="E483" t="s">
        <v>7</v>
      </c>
      <c r="F483" t="s">
        <v>604</v>
      </c>
      <c r="J483">
        <v>0</v>
      </c>
      <c r="K483">
        <v>0</v>
      </c>
    </row>
    <row r="484" spans="1:11">
      <c r="A484">
        <v>489</v>
      </c>
      <c r="B484" t="s">
        <v>1295</v>
      </c>
      <c r="C484" t="s">
        <v>58</v>
      </c>
      <c r="D484" t="s">
        <v>597</v>
      </c>
      <c r="E484" t="s">
        <v>7</v>
      </c>
      <c r="F484" t="s">
        <v>606</v>
      </c>
      <c r="J484">
        <v>0</v>
      </c>
      <c r="K484">
        <v>0</v>
      </c>
    </row>
    <row r="485" spans="1:11">
      <c r="A485">
        <v>490</v>
      </c>
      <c r="B485" t="s">
        <v>1295</v>
      </c>
      <c r="C485" t="s">
        <v>58</v>
      </c>
      <c r="D485" t="s">
        <v>607</v>
      </c>
      <c r="E485" t="s">
        <v>7</v>
      </c>
      <c r="F485" t="s">
        <v>608</v>
      </c>
      <c r="H485">
        <v>0</v>
      </c>
      <c r="J485">
        <v>0</v>
      </c>
      <c r="K485">
        <v>0</v>
      </c>
    </row>
    <row r="486" spans="1:11">
      <c r="A486">
        <v>491</v>
      </c>
      <c r="B486" t="s">
        <v>1295</v>
      </c>
      <c r="C486" t="s">
        <v>58</v>
      </c>
      <c r="D486" t="s">
        <v>607</v>
      </c>
      <c r="E486" t="s">
        <v>7</v>
      </c>
      <c r="F486" t="s">
        <v>610</v>
      </c>
      <c r="H486">
        <v>0</v>
      </c>
      <c r="J486">
        <v>0</v>
      </c>
      <c r="K486">
        <v>0</v>
      </c>
    </row>
    <row r="487" spans="1:11">
      <c r="A487">
        <v>492</v>
      </c>
      <c r="B487" t="s">
        <v>1295</v>
      </c>
      <c r="C487" t="s">
        <v>58</v>
      </c>
      <c r="D487" t="s">
        <v>607</v>
      </c>
      <c r="E487" t="s">
        <v>7</v>
      </c>
      <c r="F487" t="s">
        <v>59</v>
      </c>
      <c r="H487">
        <v>9.56</v>
      </c>
      <c r="J487">
        <v>5.7359999999999998</v>
      </c>
      <c r="K487">
        <v>15.295999999999999</v>
      </c>
    </row>
    <row r="488" spans="1:11">
      <c r="A488">
        <v>493</v>
      </c>
      <c r="B488" t="s">
        <v>1295</v>
      </c>
      <c r="C488" t="s">
        <v>58</v>
      </c>
      <c r="D488" t="s">
        <v>607</v>
      </c>
      <c r="E488" t="s">
        <v>7</v>
      </c>
      <c r="F488" t="s">
        <v>611</v>
      </c>
      <c r="H488">
        <v>0</v>
      </c>
      <c r="J488">
        <v>0</v>
      </c>
      <c r="K488">
        <v>0</v>
      </c>
    </row>
    <row r="489" spans="1:11">
      <c r="A489">
        <v>494</v>
      </c>
      <c r="B489" t="s">
        <v>1295</v>
      </c>
      <c r="C489" t="s">
        <v>58</v>
      </c>
      <c r="D489" t="s">
        <v>607</v>
      </c>
      <c r="E489" t="s">
        <v>7</v>
      </c>
      <c r="F489" t="s">
        <v>612</v>
      </c>
      <c r="H489">
        <v>25.146000000000001</v>
      </c>
      <c r="J489">
        <v>15.0876</v>
      </c>
      <c r="K489">
        <v>40.233600000000003</v>
      </c>
    </row>
    <row r="490" spans="1:11">
      <c r="A490">
        <v>495</v>
      </c>
      <c r="B490" t="s">
        <v>1295</v>
      </c>
      <c r="C490" t="s">
        <v>58</v>
      </c>
      <c r="D490" t="s">
        <v>607</v>
      </c>
      <c r="E490" t="s">
        <v>7</v>
      </c>
      <c r="F490" t="s">
        <v>613</v>
      </c>
      <c r="H490">
        <v>3.77</v>
      </c>
      <c r="J490">
        <v>2.262</v>
      </c>
      <c r="K490">
        <v>6.032</v>
      </c>
    </row>
    <row r="491" spans="1:11">
      <c r="A491">
        <v>496</v>
      </c>
      <c r="B491" t="s">
        <v>1295</v>
      </c>
      <c r="C491" t="s">
        <v>58</v>
      </c>
      <c r="D491" t="s">
        <v>607</v>
      </c>
      <c r="E491" t="s">
        <v>7</v>
      </c>
      <c r="F491" t="s">
        <v>614</v>
      </c>
      <c r="H491">
        <v>1.53</v>
      </c>
      <c r="J491">
        <v>0.91800000000000004</v>
      </c>
      <c r="K491">
        <v>2.448</v>
      </c>
    </row>
    <row r="492" spans="1:11">
      <c r="A492">
        <v>497</v>
      </c>
      <c r="B492" t="s">
        <v>1295</v>
      </c>
      <c r="C492" t="s">
        <v>58</v>
      </c>
      <c r="D492" t="s">
        <v>616</v>
      </c>
      <c r="E492" t="s">
        <v>7</v>
      </c>
      <c r="J492">
        <v>0</v>
      </c>
    </row>
    <row r="493" spans="1:11">
      <c r="A493">
        <v>498</v>
      </c>
      <c r="B493" t="s">
        <v>1295</v>
      </c>
      <c r="C493" t="s">
        <v>58</v>
      </c>
      <c r="D493" t="s">
        <v>617</v>
      </c>
      <c r="E493" t="s">
        <v>7</v>
      </c>
      <c r="F493" t="s">
        <v>618</v>
      </c>
      <c r="H493">
        <v>110</v>
      </c>
      <c r="J493">
        <v>66</v>
      </c>
      <c r="K493">
        <v>176</v>
      </c>
    </row>
    <row r="494" spans="1:11">
      <c r="A494">
        <v>499</v>
      </c>
      <c r="B494" t="s">
        <v>1295</v>
      </c>
      <c r="C494" t="s">
        <v>58</v>
      </c>
      <c r="D494" t="s">
        <v>617</v>
      </c>
      <c r="E494" t="s">
        <v>7</v>
      </c>
      <c r="F494" t="s">
        <v>619</v>
      </c>
      <c r="H494">
        <v>110</v>
      </c>
      <c r="J494">
        <v>66</v>
      </c>
      <c r="K494">
        <v>176</v>
      </c>
    </row>
    <row r="495" spans="1:11">
      <c r="A495">
        <v>500</v>
      </c>
      <c r="B495" t="s">
        <v>1295</v>
      </c>
      <c r="C495" t="s">
        <v>58</v>
      </c>
      <c r="D495" t="s">
        <v>617</v>
      </c>
      <c r="E495" t="s">
        <v>7</v>
      </c>
      <c r="F495" t="s">
        <v>620</v>
      </c>
      <c r="H495">
        <v>110</v>
      </c>
      <c r="J495">
        <v>66</v>
      </c>
      <c r="K495">
        <v>176</v>
      </c>
    </row>
    <row r="496" spans="1:11">
      <c r="A496">
        <v>501</v>
      </c>
      <c r="B496" t="s">
        <v>1295</v>
      </c>
      <c r="C496" t="s">
        <v>58</v>
      </c>
      <c r="D496" t="s">
        <v>617</v>
      </c>
      <c r="E496" t="s">
        <v>7</v>
      </c>
      <c r="F496" t="s">
        <v>621</v>
      </c>
      <c r="H496">
        <v>110</v>
      </c>
      <c r="J496">
        <v>66</v>
      </c>
      <c r="K496">
        <v>176</v>
      </c>
    </row>
    <row r="497" spans="1:11">
      <c r="A497">
        <v>502</v>
      </c>
      <c r="B497" t="s">
        <v>1295</v>
      </c>
      <c r="C497" t="s">
        <v>58</v>
      </c>
      <c r="D497" t="s">
        <v>617</v>
      </c>
      <c r="E497" t="s">
        <v>7</v>
      </c>
      <c r="J497">
        <v>0</v>
      </c>
      <c r="K497">
        <v>0</v>
      </c>
    </row>
    <row r="498" spans="1:11">
      <c r="A498">
        <v>503</v>
      </c>
      <c r="B498" t="s">
        <v>1295</v>
      </c>
      <c r="C498" t="s">
        <v>58</v>
      </c>
      <c r="D498" t="s">
        <v>622</v>
      </c>
      <c r="E498" t="s">
        <v>7</v>
      </c>
      <c r="F498" t="s">
        <v>623</v>
      </c>
      <c r="H498">
        <v>22</v>
      </c>
      <c r="J498">
        <v>13.2</v>
      </c>
      <c r="K498">
        <v>35.200000000000003</v>
      </c>
    </row>
    <row r="499" spans="1:11">
      <c r="A499">
        <v>504</v>
      </c>
      <c r="B499" t="s">
        <v>1295</v>
      </c>
      <c r="C499" t="s">
        <v>58</v>
      </c>
      <c r="D499" t="s">
        <v>622</v>
      </c>
      <c r="E499" t="s">
        <v>7</v>
      </c>
      <c r="F499" t="s">
        <v>624</v>
      </c>
      <c r="H499">
        <v>28</v>
      </c>
      <c r="J499">
        <v>16.8</v>
      </c>
      <c r="K499">
        <v>44.8</v>
      </c>
    </row>
    <row r="500" spans="1:11">
      <c r="A500">
        <v>505</v>
      </c>
      <c r="B500" t="s">
        <v>1295</v>
      </c>
      <c r="C500" t="s">
        <v>58</v>
      </c>
      <c r="D500" t="s">
        <v>622</v>
      </c>
      <c r="E500" t="s">
        <v>7</v>
      </c>
      <c r="F500" t="s">
        <v>625</v>
      </c>
      <c r="H500">
        <v>22</v>
      </c>
      <c r="J500">
        <v>13.2</v>
      </c>
      <c r="K500">
        <v>35.200000000000003</v>
      </c>
    </row>
    <row r="501" spans="1:11">
      <c r="A501">
        <v>506</v>
      </c>
      <c r="B501" t="s">
        <v>1295</v>
      </c>
      <c r="C501" t="s">
        <v>58</v>
      </c>
      <c r="D501" t="s">
        <v>622</v>
      </c>
      <c r="E501" t="s">
        <v>7</v>
      </c>
      <c r="F501" t="s">
        <v>626</v>
      </c>
      <c r="H501">
        <v>22</v>
      </c>
      <c r="J501">
        <v>13.2</v>
      </c>
      <c r="K501">
        <v>35.200000000000003</v>
      </c>
    </row>
    <row r="502" spans="1:11">
      <c r="A502">
        <v>507</v>
      </c>
      <c r="B502" t="s">
        <v>1295</v>
      </c>
      <c r="C502" t="s">
        <v>58</v>
      </c>
      <c r="D502" t="s">
        <v>622</v>
      </c>
      <c r="E502" t="s">
        <v>7</v>
      </c>
      <c r="F502" t="s">
        <v>627</v>
      </c>
      <c r="H502">
        <v>450</v>
      </c>
      <c r="J502">
        <v>270</v>
      </c>
      <c r="K502">
        <v>720</v>
      </c>
    </row>
    <row r="503" spans="1:11">
      <c r="A503">
        <v>508</v>
      </c>
      <c r="B503" t="s">
        <v>1295</v>
      </c>
      <c r="C503" t="s">
        <v>58</v>
      </c>
      <c r="D503" t="s">
        <v>622</v>
      </c>
      <c r="E503" t="s">
        <v>7</v>
      </c>
      <c r="F503" t="s">
        <v>628</v>
      </c>
      <c r="H503">
        <v>150</v>
      </c>
      <c r="J503">
        <v>90</v>
      </c>
      <c r="K503">
        <v>240</v>
      </c>
    </row>
    <row r="504" spans="1:11">
      <c r="A504">
        <v>509</v>
      </c>
      <c r="B504" t="s">
        <v>1349</v>
      </c>
      <c r="C504" t="s">
        <v>58</v>
      </c>
      <c r="D504" t="s">
        <v>622</v>
      </c>
      <c r="E504" t="s">
        <v>7</v>
      </c>
      <c r="F504" t="s">
        <v>1317</v>
      </c>
      <c r="H504">
        <v>30</v>
      </c>
      <c r="J504">
        <v>18</v>
      </c>
    </row>
    <row r="505" spans="1:11">
      <c r="A505">
        <v>510</v>
      </c>
      <c r="B505" t="s">
        <v>1295</v>
      </c>
      <c r="C505" t="s">
        <v>98</v>
      </c>
      <c r="D505" t="s">
        <v>629</v>
      </c>
      <c r="E505" t="s">
        <v>7</v>
      </c>
      <c r="F505" t="s">
        <v>630</v>
      </c>
      <c r="H505">
        <v>42.8</v>
      </c>
      <c r="J505">
        <v>25.68</v>
      </c>
      <c r="K505">
        <v>68.48</v>
      </c>
    </row>
    <row r="506" spans="1:11">
      <c r="A506">
        <v>511</v>
      </c>
      <c r="B506" t="s">
        <v>1295</v>
      </c>
      <c r="C506" t="s">
        <v>98</v>
      </c>
      <c r="D506" t="s">
        <v>629</v>
      </c>
      <c r="E506" t="s">
        <v>7</v>
      </c>
      <c r="F506" t="s">
        <v>631</v>
      </c>
    </row>
    <row r="507" spans="1:11">
      <c r="A507">
        <v>512</v>
      </c>
      <c r="B507" t="s">
        <v>1295</v>
      </c>
      <c r="C507" t="s">
        <v>98</v>
      </c>
      <c r="D507" t="s">
        <v>629</v>
      </c>
      <c r="E507" t="s">
        <v>7</v>
      </c>
      <c r="F507" t="s">
        <v>632</v>
      </c>
    </row>
    <row r="508" spans="1:11">
      <c r="A508">
        <v>513</v>
      </c>
      <c r="B508" t="s">
        <v>1295</v>
      </c>
      <c r="C508" t="s">
        <v>98</v>
      </c>
      <c r="D508" t="s">
        <v>629</v>
      </c>
      <c r="E508" t="s">
        <v>7</v>
      </c>
      <c r="F508" t="s">
        <v>633</v>
      </c>
    </row>
    <row r="509" spans="1:11">
      <c r="A509">
        <v>514</v>
      </c>
      <c r="B509" t="s">
        <v>1295</v>
      </c>
      <c r="C509" t="s">
        <v>98</v>
      </c>
      <c r="D509" t="s">
        <v>629</v>
      </c>
      <c r="E509" t="s">
        <v>7</v>
      </c>
      <c r="F509" t="s">
        <v>634</v>
      </c>
      <c r="H509">
        <v>3</v>
      </c>
      <c r="J509">
        <v>1.8</v>
      </c>
      <c r="K509">
        <v>4.8</v>
      </c>
    </row>
    <row r="510" spans="1:11">
      <c r="A510">
        <v>515</v>
      </c>
      <c r="B510" t="s">
        <v>1295</v>
      </c>
      <c r="C510" t="s">
        <v>98</v>
      </c>
      <c r="D510" t="s">
        <v>629</v>
      </c>
      <c r="E510" t="s">
        <v>7</v>
      </c>
      <c r="F510" t="s">
        <v>635</v>
      </c>
    </row>
    <row r="511" spans="1:11">
      <c r="A511">
        <v>516</v>
      </c>
      <c r="B511" t="s">
        <v>1295</v>
      </c>
      <c r="C511" t="s">
        <v>98</v>
      </c>
      <c r="D511" t="s">
        <v>629</v>
      </c>
      <c r="E511" t="s">
        <v>7</v>
      </c>
      <c r="F511" t="s">
        <v>636</v>
      </c>
    </row>
    <row r="512" spans="1:11">
      <c r="A512">
        <v>517</v>
      </c>
      <c r="B512" t="s">
        <v>1295</v>
      </c>
      <c r="C512" t="s">
        <v>98</v>
      </c>
      <c r="D512" t="s">
        <v>629</v>
      </c>
      <c r="E512" t="s">
        <v>7</v>
      </c>
      <c r="F512" t="s">
        <v>637</v>
      </c>
    </row>
    <row r="513" spans="1:11">
      <c r="A513">
        <v>518</v>
      </c>
      <c r="B513" t="s">
        <v>1295</v>
      </c>
      <c r="C513" t="s">
        <v>98</v>
      </c>
      <c r="D513" t="s">
        <v>629</v>
      </c>
      <c r="E513" t="s">
        <v>7</v>
      </c>
      <c r="F513" t="s">
        <v>638</v>
      </c>
      <c r="H513">
        <v>200</v>
      </c>
      <c r="J513">
        <v>120</v>
      </c>
      <c r="K513">
        <v>320</v>
      </c>
    </row>
    <row r="514" spans="1:11">
      <c r="A514">
        <v>519</v>
      </c>
      <c r="B514" t="s">
        <v>1295</v>
      </c>
      <c r="C514" t="s">
        <v>98</v>
      </c>
      <c r="D514" t="s">
        <v>629</v>
      </c>
      <c r="E514" t="s">
        <v>7</v>
      </c>
      <c r="F514" t="s">
        <v>639</v>
      </c>
      <c r="H514">
        <v>381</v>
      </c>
      <c r="J514">
        <v>228.6</v>
      </c>
      <c r="K514">
        <v>609.6</v>
      </c>
    </row>
    <row r="515" spans="1:11">
      <c r="A515">
        <v>520</v>
      </c>
      <c r="B515" t="s">
        <v>1295</v>
      </c>
      <c r="C515" t="s">
        <v>57</v>
      </c>
      <c r="D515" t="s">
        <v>640</v>
      </c>
      <c r="E515" t="s">
        <v>7</v>
      </c>
      <c r="F515" t="s">
        <v>641</v>
      </c>
    </row>
    <row r="516" spans="1:11">
      <c r="A516">
        <v>521</v>
      </c>
      <c r="B516" t="s">
        <v>1295</v>
      </c>
      <c r="C516" t="s">
        <v>57</v>
      </c>
      <c r="D516" t="s">
        <v>640</v>
      </c>
      <c r="E516" t="s">
        <v>7</v>
      </c>
      <c r="F516" t="s">
        <v>642</v>
      </c>
      <c r="H516">
        <v>2.2599999999999998</v>
      </c>
      <c r="J516">
        <v>1.3560000000000001</v>
      </c>
      <c r="K516">
        <v>3.6160000000000001</v>
      </c>
    </row>
    <row r="517" spans="1:11">
      <c r="A517">
        <v>522</v>
      </c>
      <c r="B517" t="s">
        <v>1295</v>
      </c>
      <c r="C517" t="s">
        <v>57</v>
      </c>
      <c r="D517" t="s">
        <v>640</v>
      </c>
      <c r="E517" t="s">
        <v>7</v>
      </c>
      <c r="F517" t="s">
        <v>643</v>
      </c>
      <c r="H517">
        <v>4.53</v>
      </c>
      <c r="J517">
        <v>2.718</v>
      </c>
      <c r="K517">
        <v>7.2480000000000002</v>
      </c>
    </row>
    <row r="518" spans="1:11">
      <c r="A518">
        <v>523</v>
      </c>
      <c r="B518" t="s">
        <v>1295</v>
      </c>
      <c r="C518" t="s">
        <v>57</v>
      </c>
      <c r="D518" t="s">
        <v>640</v>
      </c>
      <c r="E518" t="s">
        <v>7</v>
      </c>
      <c r="F518" t="s">
        <v>644</v>
      </c>
      <c r="H518">
        <v>3.38</v>
      </c>
      <c r="J518">
        <v>2.028</v>
      </c>
      <c r="K518">
        <v>5.4080000000000004</v>
      </c>
    </row>
    <row r="519" spans="1:11">
      <c r="A519">
        <v>524</v>
      </c>
      <c r="B519" t="s">
        <v>1295</v>
      </c>
      <c r="C519" t="s">
        <v>57</v>
      </c>
      <c r="D519" t="s">
        <v>640</v>
      </c>
      <c r="E519" t="s">
        <v>7</v>
      </c>
      <c r="F519" t="s">
        <v>645</v>
      </c>
      <c r="H519">
        <v>3.54</v>
      </c>
      <c r="J519">
        <v>2.1240000000000001</v>
      </c>
      <c r="K519">
        <v>5.6639999999999997</v>
      </c>
    </row>
    <row r="520" spans="1:11">
      <c r="A520">
        <v>525</v>
      </c>
      <c r="B520" t="s">
        <v>1295</v>
      </c>
      <c r="C520" t="s">
        <v>57</v>
      </c>
      <c r="D520" t="s">
        <v>640</v>
      </c>
      <c r="E520" t="s">
        <v>7</v>
      </c>
      <c r="F520" t="s">
        <v>646</v>
      </c>
      <c r="H520">
        <v>3.35</v>
      </c>
      <c r="J520">
        <v>2.0099999999999998</v>
      </c>
      <c r="K520">
        <v>5.36</v>
      </c>
    </row>
    <row r="521" spans="1:11">
      <c r="A521">
        <v>526</v>
      </c>
      <c r="B521" t="s">
        <v>1295</v>
      </c>
      <c r="C521" t="s">
        <v>57</v>
      </c>
      <c r="D521" t="s">
        <v>640</v>
      </c>
      <c r="E521" t="s">
        <v>7</v>
      </c>
      <c r="F521" t="s">
        <v>647</v>
      </c>
      <c r="H521">
        <v>3</v>
      </c>
      <c r="J521">
        <v>1.8</v>
      </c>
      <c r="K521">
        <v>4.8</v>
      </c>
    </row>
    <row r="522" spans="1:11">
      <c r="A522">
        <v>528</v>
      </c>
      <c r="B522" t="s">
        <v>1295</v>
      </c>
      <c r="C522" t="s">
        <v>650</v>
      </c>
      <c r="D522" t="s">
        <v>651</v>
      </c>
      <c r="E522" t="s">
        <v>7</v>
      </c>
      <c r="F522" t="s">
        <v>652</v>
      </c>
      <c r="H522">
        <v>0</v>
      </c>
      <c r="J522">
        <v>0</v>
      </c>
      <c r="K522">
        <v>0</v>
      </c>
    </row>
    <row r="523" spans="1:11">
      <c r="A523">
        <v>529</v>
      </c>
      <c r="B523" t="s">
        <v>1295</v>
      </c>
      <c r="C523" t="s">
        <v>650</v>
      </c>
      <c r="D523" t="s">
        <v>651</v>
      </c>
      <c r="E523" t="s">
        <v>7</v>
      </c>
      <c r="F523" t="s">
        <v>653</v>
      </c>
      <c r="H523">
        <v>0</v>
      </c>
      <c r="J523">
        <v>0</v>
      </c>
      <c r="K523">
        <v>0</v>
      </c>
    </row>
    <row r="524" spans="1:11">
      <c r="A524">
        <v>530</v>
      </c>
      <c r="B524" t="s">
        <v>1295</v>
      </c>
      <c r="C524" t="s">
        <v>650</v>
      </c>
      <c r="D524" t="s">
        <v>651</v>
      </c>
      <c r="E524" t="s">
        <v>7</v>
      </c>
      <c r="F524" t="s">
        <v>654</v>
      </c>
      <c r="H524">
        <v>0</v>
      </c>
      <c r="J524">
        <v>0</v>
      </c>
      <c r="K524">
        <v>0</v>
      </c>
    </row>
    <row r="525" spans="1:11">
      <c r="A525">
        <v>531</v>
      </c>
      <c r="B525" t="s">
        <v>1295</v>
      </c>
      <c r="C525" t="s">
        <v>650</v>
      </c>
      <c r="D525" t="s">
        <v>651</v>
      </c>
      <c r="E525" t="s">
        <v>7</v>
      </c>
      <c r="F525" t="s">
        <v>655</v>
      </c>
      <c r="H525">
        <v>0</v>
      </c>
      <c r="J525">
        <v>0</v>
      </c>
      <c r="K525">
        <v>0</v>
      </c>
    </row>
    <row r="526" spans="1:11">
      <c r="A526">
        <v>532</v>
      </c>
      <c r="B526" t="s">
        <v>1295</v>
      </c>
      <c r="C526" t="s">
        <v>650</v>
      </c>
      <c r="D526" t="s">
        <v>651</v>
      </c>
      <c r="E526" t="s">
        <v>7</v>
      </c>
      <c r="F526" t="s">
        <v>656</v>
      </c>
    </row>
    <row r="527" spans="1:11">
      <c r="A527">
        <v>533</v>
      </c>
      <c r="B527" t="s">
        <v>1295</v>
      </c>
      <c r="C527" t="s">
        <v>650</v>
      </c>
      <c r="D527" t="s">
        <v>651</v>
      </c>
      <c r="E527" t="s">
        <v>7</v>
      </c>
      <c r="F527" t="s">
        <v>657</v>
      </c>
      <c r="H527">
        <v>0</v>
      </c>
      <c r="J527">
        <v>0</v>
      </c>
      <c r="K527">
        <v>0</v>
      </c>
    </row>
    <row r="528" spans="1:11">
      <c r="A528">
        <v>534</v>
      </c>
      <c r="B528" t="s">
        <v>1295</v>
      </c>
      <c r="C528" t="s">
        <v>650</v>
      </c>
      <c r="D528" t="s">
        <v>651</v>
      </c>
      <c r="E528" t="s">
        <v>7</v>
      </c>
      <c r="F528" t="s">
        <v>658</v>
      </c>
      <c r="H528">
        <v>0</v>
      </c>
      <c r="J528">
        <v>0</v>
      </c>
      <c r="K528">
        <v>0</v>
      </c>
    </row>
    <row r="529" spans="1:11">
      <c r="A529">
        <v>535</v>
      </c>
      <c r="B529" t="s">
        <v>1295</v>
      </c>
      <c r="C529" t="s">
        <v>650</v>
      </c>
      <c r="D529" t="s">
        <v>651</v>
      </c>
      <c r="E529" t="s">
        <v>7</v>
      </c>
      <c r="F529" t="s">
        <v>660</v>
      </c>
      <c r="H529">
        <v>0</v>
      </c>
      <c r="J529">
        <v>0</v>
      </c>
      <c r="K529">
        <v>0</v>
      </c>
    </row>
    <row r="530" spans="1:11">
      <c r="A530">
        <v>536</v>
      </c>
      <c r="B530" t="s">
        <v>1295</v>
      </c>
      <c r="C530" t="s">
        <v>650</v>
      </c>
      <c r="D530" t="s">
        <v>661</v>
      </c>
      <c r="E530" t="s">
        <v>7</v>
      </c>
      <c r="F530" t="s">
        <v>662</v>
      </c>
      <c r="H530">
        <v>0.30099999999999999</v>
      </c>
      <c r="J530">
        <v>0.18060000000000001</v>
      </c>
      <c r="K530">
        <v>0.48159999999999997</v>
      </c>
    </row>
    <row r="531" spans="1:11">
      <c r="A531">
        <v>537</v>
      </c>
      <c r="B531" t="s">
        <v>1295</v>
      </c>
      <c r="C531" t="s">
        <v>650</v>
      </c>
      <c r="D531" t="s">
        <v>661</v>
      </c>
      <c r="E531" t="s">
        <v>7</v>
      </c>
      <c r="F531" t="s">
        <v>663</v>
      </c>
      <c r="H531">
        <v>0.19500000000000001</v>
      </c>
      <c r="J531">
        <v>0.11700000000000001</v>
      </c>
      <c r="K531">
        <v>0.312</v>
      </c>
    </row>
    <row r="532" spans="1:11">
      <c r="A532">
        <v>538</v>
      </c>
      <c r="B532" t="s">
        <v>1295</v>
      </c>
      <c r="C532" t="s">
        <v>650</v>
      </c>
      <c r="D532" t="s">
        <v>661</v>
      </c>
      <c r="E532" t="s">
        <v>7</v>
      </c>
      <c r="F532" t="s">
        <v>664</v>
      </c>
      <c r="H532">
        <v>2.363</v>
      </c>
      <c r="J532">
        <v>1.4177999999999999</v>
      </c>
      <c r="K532">
        <v>3.7808000000000002</v>
      </c>
    </row>
    <row r="533" spans="1:11">
      <c r="A533">
        <v>539</v>
      </c>
      <c r="B533" t="s">
        <v>1295</v>
      </c>
      <c r="C533" t="s">
        <v>650</v>
      </c>
      <c r="D533" t="s">
        <v>665</v>
      </c>
      <c r="E533" t="s">
        <v>7</v>
      </c>
      <c r="J533">
        <v>0</v>
      </c>
      <c r="K533">
        <v>0</v>
      </c>
    </row>
    <row r="534" spans="1:11">
      <c r="A534">
        <v>540</v>
      </c>
      <c r="B534" t="s">
        <v>1295</v>
      </c>
      <c r="C534" t="s">
        <v>650</v>
      </c>
      <c r="D534" t="s">
        <v>665</v>
      </c>
      <c r="E534" t="s">
        <v>7</v>
      </c>
      <c r="F534" t="s">
        <v>666</v>
      </c>
      <c r="H534">
        <v>0.4</v>
      </c>
      <c r="J534">
        <v>0.24</v>
      </c>
      <c r="K534">
        <v>0.64</v>
      </c>
    </row>
    <row r="535" spans="1:11">
      <c r="A535">
        <v>541</v>
      </c>
      <c r="B535" t="s">
        <v>1295</v>
      </c>
      <c r="C535" t="s">
        <v>650</v>
      </c>
      <c r="D535" t="s">
        <v>665</v>
      </c>
      <c r="E535" t="s">
        <v>7</v>
      </c>
      <c r="F535" t="s">
        <v>667</v>
      </c>
      <c r="H535">
        <v>0.20100000000000001</v>
      </c>
      <c r="J535">
        <v>0.1206</v>
      </c>
      <c r="K535">
        <v>0.3216</v>
      </c>
    </row>
    <row r="536" spans="1:11">
      <c r="A536">
        <v>542</v>
      </c>
      <c r="B536" t="s">
        <v>1295</v>
      </c>
      <c r="C536" t="s">
        <v>650</v>
      </c>
      <c r="D536" t="s">
        <v>665</v>
      </c>
      <c r="E536" t="s">
        <v>7</v>
      </c>
      <c r="F536" t="s">
        <v>668</v>
      </c>
      <c r="H536">
        <v>0.20499999999999999</v>
      </c>
      <c r="J536">
        <v>0.123</v>
      </c>
      <c r="K536">
        <v>0.32800000000000001</v>
      </c>
    </row>
    <row r="537" spans="1:11">
      <c r="A537">
        <v>543</v>
      </c>
      <c r="B537" t="s">
        <v>1295</v>
      </c>
      <c r="C537" t="s">
        <v>650</v>
      </c>
      <c r="D537" t="s">
        <v>665</v>
      </c>
      <c r="E537" t="s">
        <v>7</v>
      </c>
      <c r="F537" t="s">
        <v>669</v>
      </c>
      <c r="H537">
        <v>0.3</v>
      </c>
      <c r="J537">
        <v>0.18</v>
      </c>
      <c r="K537">
        <v>0.48</v>
      </c>
    </row>
    <row r="538" spans="1:11">
      <c r="A538">
        <v>544</v>
      </c>
      <c r="B538" t="s">
        <v>1295</v>
      </c>
      <c r="C538" t="s">
        <v>650</v>
      </c>
      <c r="D538" t="s">
        <v>665</v>
      </c>
      <c r="E538" t="s">
        <v>7</v>
      </c>
      <c r="F538" t="s">
        <v>671</v>
      </c>
      <c r="H538">
        <v>0</v>
      </c>
      <c r="J538">
        <v>0</v>
      </c>
      <c r="K538">
        <v>0</v>
      </c>
    </row>
    <row r="539" spans="1:11">
      <c r="A539">
        <v>545</v>
      </c>
      <c r="B539" t="s">
        <v>1295</v>
      </c>
      <c r="C539" t="s">
        <v>650</v>
      </c>
      <c r="D539" t="s">
        <v>665</v>
      </c>
      <c r="E539" t="s">
        <v>7</v>
      </c>
      <c r="F539" t="s">
        <v>672</v>
      </c>
      <c r="H539">
        <v>0.22839999999999999</v>
      </c>
      <c r="J539">
        <v>0.13700000000000001</v>
      </c>
      <c r="K539">
        <v>0.3654</v>
      </c>
    </row>
    <row r="540" spans="1:11">
      <c r="A540">
        <v>546</v>
      </c>
      <c r="B540" t="s">
        <v>1295</v>
      </c>
      <c r="C540" t="s">
        <v>650</v>
      </c>
      <c r="D540" t="s">
        <v>673</v>
      </c>
      <c r="E540" t="s">
        <v>7</v>
      </c>
      <c r="F540" t="s">
        <v>674</v>
      </c>
      <c r="H540">
        <v>0.35199999999999998</v>
      </c>
      <c r="J540">
        <v>0.2112</v>
      </c>
      <c r="K540">
        <v>0.56320000000000003</v>
      </c>
    </row>
    <row r="541" spans="1:11">
      <c r="A541">
        <v>547</v>
      </c>
      <c r="B541" t="s">
        <v>1295</v>
      </c>
      <c r="C541" t="s">
        <v>650</v>
      </c>
      <c r="D541" t="s">
        <v>673</v>
      </c>
      <c r="E541" t="s">
        <v>7</v>
      </c>
      <c r="F541" t="s">
        <v>675</v>
      </c>
      <c r="H541">
        <v>0.3916</v>
      </c>
      <c r="J541">
        <v>0.23499999999999999</v>
      </c>
      <c r="K541">
        <v>0.62660000000000005</v>
      </c>
    </row>
    <row r="542" spans="1:11">
      <c r="A542">
        <v>548</v>
      </c>
      <c r="B542" t="s">
        <v>1295</v>
      </c>
      <c r="C542" t="s">
        <v>650</v>
      </c>
      <c r="D542" t="s">
        <v>673</v>
      </c>
      <c r="E542" t="s">
        <v>7</v>
      </c>
      <c r="F542" t="s">
        <v>676</v>
      </c>
      <c r="H542">
        <v>2.7E-2</v>
      </c>
      <c r="J542">
        <v>1.6199999999999999E-2</v>
      </c>
      <c r="K542">
        <v>4.3200000000000002E-2</v>
      </c>
    </row>
    <row r="543" spans="1:11">
      <c r="A543">
        <v>549</v>
      </c>
      <c r="B543" t="s">
        <v>1295</v>
      </c>
      <c r="C543" t="s">
        <v>650</v>
      </c>
      <c r="D543" t="s">
        <v>673</v>
      </c>
      <c r="E543" t="s">
        <v>7</v>
      </c>
      <c r="F543" t="s">
        <v>677</v>
      </c>
      <c r="H543">
        <v>1</v>
      </c>
      <c r="J543">
        <v>0.6</v>
      </c>
      <c r="K543">
        <v>1.6</v>
      </c>
    </row>
    <row r="544" spans="1:11">
      <c r="A544">
        <v>550</v>
      </c>
      <c r="B544" t="s">
        <v>1295</v>
      </c>
      <c r="C544" t="s">
        <v>650</v>
      </c>
      <c r="D544" t="s">
        <v>673</v>
      </c>
      <c r="E544" t="s">
        <v>7</v>
      </c>
      <c r="F544" t="s">
        <v>678</v>
      </c>
      <c r="H544">
        <v>0.17499999999999999</v>
      </c>
      <c r="J544">
        <v>0.105</v>
      </c>
      <c r="K544">
        <v>0.28000000000000003</v>
      </c>
    </row>
    <row r="545" spans="1:11">
      <c r="A545">
        <v>551</v>
      </c>
      <c r="B545" t="s">
        <v>1295</v>
      </c>
      <c r="C545" t="s">
        <v>650</v>
      </c>
      <c r="D545" t="s">
        <v>673</v>
      </c>
      <c r="E545" t="s">
        <v>7</v>
      </c>
      <c r="F545" t="s">
        <v>679</v>
      </c>
      <c r="H545">
        <v>0</v>
      </c>
      <c r="J545">
        <v>0</v>
      </c>
      <c r="K545">
        <v>0</v>
      </c>
    </row>
    <row r="546" spans="1:11">
      <c r="A546">
        <v>552</v>
      </c>
      <c r="B546" t="s">
        <v>1295</v>
      </c>
      <c r="C546" t="s">
        <v>650</v>
      </c>
      <c r="D546" t="s">
        <v>673</v>
      </c>
      <c r="E546" t="s">
        <v>7</v>
      </c>
      <c r="F546" t="s">
        <v>1367</v>
      </c>
      <c r="H546">
        <v>85.45</v>
      </c>
      <c r="J546">
        <v>51.27</v>
      </c>
      <c r="K546">
        <v>136.72</v>
      </c>
    </row>
    <row r="547" spans="1:11">
      <c r="A547">
        <v>553</v>
      </c>
      <c r="B547" t="s">
        <v>1295</v>
      </c>
      <c r="C547" t="s">
        <v>650</v>
      </c>
      <c r="D547" t="s">
        <v>673</v>
      </c>
      <c r="E547" t="s">
        <v>7</v>
      </c>
      <c r="F547" t="s">
        <v>680</v>
      </c>
      <c r="H547">
        <v>1.4</v>
      </c>
      <c r="J547">
        <v>0.84</v>
      </c>
      <c r="K547">
        <v>2.2400000000000002</v>
      </c>
    </row>
    <row r="548" spans="1:11">
      <c r="A548">
        <v>554</v>
      </c>
      <c r="B548" t="s">
        <v>1295</v>
      </c>
      <c r="C548" t="s">
        <v>650</v>
      </c>
      <c r="D548" t="s">
        <v>673</v>
      </c>
      <c r="E548" t="s">
        <v>7</v>
      </c>
      <c r="F548" t="s">
        <v>682</v>
      </c>
      <c r="H548">
        <v>3</v>
      </c>
      <c r="J548">
        <v>1.8</v>
      </c>
      <c r="K548">
        <v>4.8</v>
      </c>
    </row>
    <row r="549" spans="1:11">
      <c r="A549">
        <v>555</v>
      </c>
      <c r="B549" t="s">
        <v>1295</v>
      </c>
      <c r="C549" t="s">
        <v>650</v>
      </c>
      <c r="D549" t="s">
        <v>673</v>
      </c>
      <c r="E549" t="s">
        <v>7</v>
      </c>
      <c r="F549" t="s">
        <v>683</v>
      </c>
      <c r="H549">
        <v>4.3</v>
      </c>
      <c r="J549">
        <v>2.58</v>
      </c>
      <c r="K549">
        <v>6.88</v>
      </c>
    </row>
    <row r="550" spans="1:11">
      <c r="A550">
        <v>556</v>
      </c>
      <c r="B550" t="s">
        <v>1295</v>
      </c>
      <c r="C550" t="s">
        <v>650</v>
      </c>
      <c r="D550" t="s">
        <v>673</v>
      </c>
      <c r="E550" t="s">
        <v>7</v>
      </c>
      <c r="F550" t="s">
        <v>684</v>
      </c>
      <c r="H550">
        <v>5.3</v>
      </c>
      <c r="J550">
        <v>3.18</v>
      </c>
      <c r="K550">
        <v>8.48</v>
      </c>
    </row>
    <row r="551" spans="1:11">
      <c r="A551">
        <v>557</v>
      </c>
      <c r="B551" t="s">
        <v>1295</v>
      </c>
      <c r="C551" t="s">
        <v>650</v>
      </c>
      <c r="D551" t="s">
        <v>673</v>
      </c>
      <c r="E551" t="s">
        <v>7</v>
      </c>
      <c r="F551" t="s">
        <v>685</v>
      </c>
      <c r="H551">
        <v>1.7666999999999999</v>
      </c>
      <c r="J551">
        <v>1.06</v>
      </c>
      <c r="K551">
        <v>2.8267000000000002</v>
      </c>
    </row>
    <row r="552" spans="1:11">
      <c r="A552">
        <v>558</v>
      </c>
      <c r="B552" t="s">
        <v>1295</v>
      </c>
      <c r="C552" t="s">
        <v>650</v>
      </c>
      <c r="D552" t="s">
        <v>673</v>
      </c>
      <c r="E552" t="s">
        <v>7</v>
      </c>
      <c r="F552" t="s">
        <v>686</v>
      </c>
      <c r="H552">
        <v>0</v>
      </c>
      <c r="J552">
        <v>0</v>
      </c>
      <c r="K552">
        <v>0</v>
      </c>
    </row>
    <row r="553" spans="1:11">
      <c r="A553">
        <v>559</v>
      </c>
      <c r="B553" t="s">
        <v>1295</v>
      </c>
      <c r="C553" t="s">
        <v>650</v>
      </c>
      <c r="D553" t="s">
        <v>673</v>
      </c>
      <c r="E553" t="s">
        <v>7</v>
      </c>
      <c r="F553" t="s">
        <v>687</v>
      </c>
      <c r="H553">
        <v>1.4500000000000001E-2</v>
      </c>
      <c r="J553">
        <v>8.6999999999999994E-3</v>
      </c>
      <c r="K553">
        <v>2.3199999999999998E-2</v>
      </c>
    </row>
    <row r="554" spans="1:11">
      <c r="A554">
        <v>560</v>
      </c>
      <c r="B554" t="s">
        <v>1295</v>
      </c>
      <c r="C554" t="s">
        <v>650</v>
      </c>
      <c r="D554" t="s">
        <v>673</v>
      </c>
      <c r="E554" t="s">
        <v>7</v>
      </c>
      <c r="F554" t="s">
        <v>1288</v>
      </c>
      <c r="H554">
        <v>11.9</v>
      </c>
      <c r="J554">
        <v>7.14</v>
      </c>
      <c r="K554">
        <v>19.04</v>
      </c>
    </row>
    <row r="555" spans="1:11">
      <c r="A555">
        <v>561</v>
      </c>
      <c r="B555" t="s">
        <v>1295</v>
      </c>
      <c r="C555" t="s">
        <v>23</v>
      </c>
      <c r="D555" t="s">
        <v>689</v>
      </c>
      <c r="E555" t="s">
        <v>7</v>
      </c>
      <c r="F555" t="s">
        <v>690</v>
      </c>
      <c r="H555">
        <v>32.5</v>
      </c>
      <c r="J555">
        <v>19.5</v>
      </c>
      <c r="K555">
        <v>52</v>
      </c>
    </row>
    <row r="556" spans="1:11">
      <c r="A556">
        <v>562</v>
      </c>
      <c r="B556" t="s">
        <v>1295</v>
      </c>
      <c r="C556" t="s">
        <v>23</v>
      </c>
      <c r="D556" t="s">
        <v>689</v>
      </c>
      <c r="E556" t="s">
        <v>7</v>
      </c>
      <c r="F556" t="s">
        <v>691</v>
      </c>
      <c r="H556">
        <v>0</v>
      </c>
      <c r="J556">
        <v>0</v>
      </c>
      <c r="K556">
        <v>0</v>
      </c>
    </row>
    <row r="557" spans="1:11">
      <c r="A557">
        <v>563</v>
      </c>
      <c r="B557" t="s">
        <v>1295</v>
      </c>
      <c r="C557" t="s">
        <v>23</v>
      </c>
      <c r="D557" t="s">
        <v>689</v>
      </c>
      <c r="E557" t="s">
        <v>7</v>
      </c>
      <c r="F557" t="s">
        <v>692</v>
      </c>
      <c r="H557">
        <v>0</v>
      </c>
      <c r="J557">
        <v>0</v>
      </c>
      <c r="K557">
        <v>0</v>
      </c>
    </row>
    <row r="558" spans="1:11">
      <c r="A558">
        <v>564</v>
      </c>
      <c r="B558" t="s">
        <v>1349</v>
      </c>
      <c r="C558" t="s">
        <v>23</v>
      </c>
      <c r="D558" t="s">
        <v>689</v>
      </c>
      <c r="E558" t="s">
        <v>7</v>
      </c>
      <c r="F558" t="s">
        <v>693</v>
      </c>
      <c r="H558">
        <v>80</v>
      </c>
      <c r="J558">
        <v>48</v>
      </c>
      <c r="K558">
        <v>128</v>
      </c>
    </row>
    <row r="559" spans="1:11">
      <c r="A559">
        <v>565</v>
      </c>
      <c r="B559" t="s">
        <v>1295</v>
      </c>
      <c r="C559" t="s">
        <v>23</v>
      </c>
      <c r="D559" t="s">
        <v>689</v>
      </c>
      <c r="E559" t="s">
        <v>7</v>
      </c>
      <c r="F559" t="s">
        <v>694</v>
      </c>
      <c r="H559">
        <v>5.6</v>
      </c>
      <c r="J559">
        <v>3.36</v>
      </c>
      <c r="K559">
        <v>8.9600000000000009</v>
      </c>
    </row>
    <row r="560" spans="1:11">
      <c r="A560">
        <v>566</v>
      </c>
      <c r="B560" t="s">
        <v>1295</v>
      </c>
      <c r="C560" t="s">
        <v>23</v>
      </c>
      <c r="D560" t="s">
        <v>689</v>
      </c>
      <c r="E560" t="s">
        <v>7</v>
      </c>
      <c r="J560">
        <v>0</v>
      </c>
      <c r="K560">
        <v>0</v>
      </c>
    </row>
    <row r="561" spans="1:11">
      <c r="A561">
        <v>567</v>
      </c>
      <c r="B561" t="s">
        <v>1295</v>
      </c>
      <c r="C561" t="s">
        <v>43</v>
      </c>
      <c r="D561" t="s">
        <v>695</v>
      </c>
      <c r="E561" t="s">
        <v>7</v>
      </c>
      <c r="J561">
        <v>0</v>
      </c>
    </row>
    <row r="562" spans="1:11">
      <c r="A562">
        <v>568</v>
      </c>
      <c r="B562" t="s">
        <v>1295</v>
      </c>
      <c r="C562" t="s">
        <v>43</v>
      </c>
      <c r="D562" t="s">
        <v>695</v>
      </c>
      <c r="E562" t="s">
        <v>7</v>
      </c>
      <c r="J562">
        <v>0</v>
      </c>
    </row>
    <row r="563" spans="1:11">
      <c r="A563">
        <v>569</v>
      </c>
      <c r="B563" t="s">
        <v>1295</v>
      </c>
      <c r="C563" t="s">
        <v>43</v>
      </c>
      <c r="D563" t="s">
        <v>695</v>
      </c>
      <c r="E563" t="s">
        <v>7</v>
      </c>
      <c r="F563" t="s">
        <v>1153</v>
      </c>
      <c r="H563">
        <v>111.75</v>
      </c>
      <c r="J563">
        <v>67.05</v>
      </c>
      <c r="K563">
        <v>178.8</v>
      </c>
    </row>
    <row r="564" spans="1:11">
      <c r="A564">
        <v>570</v>
      </c>
      <c r="B564" t="s">
        <v>1295</v>
      </c>
      <c r="C564" t="s">
        <v>43</v>
      </c>
      <c r="D564" t="s">
        <v>695</v>
      </c>
      <c r="E564" t="s">
        <v>7</v>
      </c>
      <c r="F564" t="s">
        <v>1154</v>
      </c>
      <c r="H564">
        <v>155.63</v>
      </c>
      <c r="J564">
        <v>93.378</v>
      </c>
      <c r="K564">
        <v>249.00800000000001</v>
      </c>
    </row>
    <row r="565" spans="1:11">
      <c r="A565">
        <v>571</v>
      </c>
      <c r="B565" t="s">
        <v>1295</v>
      </c>
      <c r="C565" t="s">
        <v>43</v>
      </c>
      <c r="D565" t="s">
        <v>695</v>
      </c>
      <c r="E565" t="s">
        <v>7</v>
      </c>
      <c r="F565" t="s">
        <v>1155</v>
      </c>
      <c r="H565">
        <v>137.63</v>
      </c>
      <c r="J565">
        <v>82.578000000000003</v>
      </c>
      <c r="K565">
        <v>220.208</v>
      </c>
    </row>
    <row r="566" spans="1:11">
      <c r="A566">
        <v>572</v>
      </c>
      <c r="B566" t="s">
        <v>1295</v>
      </c>
      <c r="C566" t="s">
        <v>43</v>
      </c>
      <c r="D566" t="s">
        <v>695</v>
      </c>
      <c r="E566" t="s">
        <v>7</v>
      </c>
      <c r="F566" t="s">
        <v>699</v>
      </c>
      <c r="H566">
        <v>1.62</v>
      </c>
      <c r="J566">
        <v>0.97199999999999998</v>
      </c>
      <c r="K566">
        <v>2.5920000000000001</v>
      </c>
    </row>
    <row r="567" spans="1:11">
      <c r="A567">
        <v>573</v>
      </c>
      <c r="B567" t="s">
        <v>1295</v>
      </c>
      <c r="C567" t="s">
        <v>43</v>
      </c>
      <c r="D567" t="s">
        <v>695</v>
      </c>
      <c r="E567" t="s">
        <v>7</v>
      </c>
      <c r="F567" t="s">
        <v>700</v>
      </c>
      <c r="H567">
        <v>132</v>
      </c>
      <c r="J567">
        <v>79.2</v>
      </c>
      <c r="K567">
        <v>211.2</v>
      </c>
    </row>
    <row r="568" spans="1:11">
      <c r="A568">
        <v>574</v>
      </c>
      <c r="B568" t="s">
        <v>1295</v>
      </c>
      <c r="C568" t="s">
        <v>43</v>
      </c>
      <c r="D568" t="s">
        <v>695</v>
      </c>
      <c r="E568" t="s">
        <v>7</v>
      </c>
      <c r="J568">
        <v>0</v>
      </c>
      <c r="K568">
        <v>0</v>
      </c>
    </row>
    <row r="569" spans="1:11">
      <c r="A569">
        <v>575</v>
      </c>
      <c r="B569" t="s">
        <v>1295</v>
      </c>
      <c r="C569" t="s">
        <v>64</v>
      </c>
      <c r="D569" t="s">
        <v>65</v>
      </c>
      <c r="E569" t="s">
        <v>7</v>
      </c>
      <c r="F569" t="s">
        <v>701</v>
      </c>
      <c r="H569">
        <v>175</v>
      </c>
      <c r="J569">
        <v>105</v>
      </c>
      <c r="K569">
        <v>280</v>
      </c>
    </row>
    <row r="570" spans="1:11">
      <c r="A570">
        <v>576</v>
      </c>
      <c r="B570" t="s">
        <v>1295</v>
      </c>
      <c r="C570" t="s">
        <v>64</v>
      </c>
      <c r="D570" t="s">
        <v>65</v>
      </c>
      <c r="E570" t="s">
        <v>7</v>
      </c>
      <c r="F570" t="s">
        <v>702</v>
      </c>
      <c r="H570">
        <v>5</v>
      </c>
      <c r="J570">
        <v>3</v>
      </c>
      <c r="K570">
        <v>8</v>
      </c>
    </row>
    <row r="571" spans="1:11">
      <c r="A571">
        <v>577</v>
      </c>
      <c r="B571" t="s">
        <v>1295</v>
      </c>
      <c r="C571" t="s">
        <v>64</v>
      </c>
      <c r="D571" t="s">
        <v>65</v>
      </c>
      <c r="E571" t="s">
        <v>7</v>
      </c>
      <c r="F571" t="s">
        <v>703</v>
      </c>
      <c r="H571">
        <v>90</v>
      </c>
      <c r="J571">
        <v>54</v>
      </c>
      <c r="K571">
        <v>144</v>
      </c>
    </row>
    <row r="572" spans="1:11">
      <c r="A572">
        <v>578</v>
      </c>
      <c r="B572" t="s">
        <v>1295</v>
      </c>
      <c r="C572" t="s">
        <v>64</v>
      </c>
      <c r="D572" t="s">
        <v>65</v>
      </c>
      <c r="E572" t="s">
        <v>7</v>
      </c>
      <c r="F572" t="s">
        <v>704</v>
      </c>
      <c r="H572">
        <v>50</v>
      </c>
      <c r="J572">
        <v>30</v>
      </c>
      <c r="K572">
        <v>80</v>
      </c>
    </row>
    <row r="573" spans="1:11">
      <c r="A573">
        <v>579</v>
      </c>
      <c r="B573" t="s">
        <v>1295</v>
      </c>
      <c r="C573" t="s">
        <v>64</v>
      </c>
      <c r="D573" t="s">
        <v>65</v>
      </c>
      <c r="E573" t="s">
        <v>7</v>
      </c>
      <c r="F573" t="s">
        <v>705</v>
      </c>
      <c r="H573">
        <v>25</v>
      </c>
      <c r="J573">
        <v>15</v>
      </c>
      <c r="K573">
        <v>40</v>
      </c>
    </row>
    <row r="574" spans="1:11">
      <c r="A574">
        <v>580</v>
      </c>
      <c r="B574" t="s">
        <v>1295</v>
      </c>
      <c r="C574" t="s">
        <v>64</v>
      </c>
      <c r="D574" t="s">
        <v>65</v>
      </c>
      <c r="E574" t="s">
        <v>7</v>
      </c>
      <c r="F574" t="s">
        <v>706</v>
      </c>
      <c r="H574">
        <v>50</v>
      </c>
      <c r="J574">
        <v>30</v>
      </c>
      <c r="K574">
        <v>80</v>
      </c>
    </row>
    <row r="575" spans="1:11">
      <c r="A575">
        <v>581</v>
      </c>
      <c r="B575" t="s">
        <v>1295</v>
      </c>
      <c r="C575" t="s">
        <v>922</v>
      </c>
      <c r="D575" t="s">
        <v>707</v>
      </c>
      <c r="E575" t="s">
        <v>7</v>
      </c>
      <c r="F575" t="s">
        <v>708</v>
      </c>
      <c r="H575">
        <v>14</v>
      </c>
      <c r="J575">
        <v>8.4</v>
      </c>
      <c r="K575">
        <v>22.4</v>
      </c>
    </row>
    <row r="576" spans="1:11">
      <c r="A576">
        <v>582</v>
      </c>
      <c r="B576" t="s">
        <v>1295</v>
      </c>
      <c r="C576" t="s">
        <v>109</v>
      </c>
      <c r="D576" t="s">
        <v>709</v>
      </c>
      <c r="E576" t="s">
        <v>7</v>
      </c>
      <c r="F576" t="s">
        <v>710</v>
      </c>
      <c r="H576">
        <v>130</v>
      </c>
      <c r="J576">
        <v>78</v>
      </c>
      <c r="K576">
        <v>208</v>
      </c>
    </row>
    <row r="577" spans="1:11">
      <c r="A577">
        <v>583</v>
      </c>
      <c r="B577" t="s">
        <v>1295</v>
      </c>
      <c r="C577" t="s">
        <v>109</v>
      </c>
      <c r="D577" t="s">
        <v>709</v>
      </c>
      <c r="E577" t="s">
        <v>7</v>
      </c>
      <c r="F577" t="s">
        <v>711</v>
      </c>
      <c r="H577">
        <v>110</v>
      </c>
      <c r="J577">
        <v>66</v>
      </c>
      <c r="K577">
        <v>176</v>
      </c>
    </row>
    <row r="578" spans="1:11">
      <c r="A578">
        <v>584</v>
      </c>
      <c r="B578" t="s">
        <v>1295</v>
      </c>
      <c r="C578" t="s">
        <v>109</v>
      </c>
      <c r="D578" t="s">
        <v>709</v>
      </c>
      <c r="E578" t="s">
        <v>7</v>
      </c>
      <c r="F578" t="s">
        <v>712</v>
      </c>
      <c r="H578">
        <v>80</v>
      </c>
      <c r="J578">
        <v>48</v>
      </c>
      <c r="K578">
        <v>128</v>
      </c>
    </row>
    <row r="579" spans="1:11">
      <c r="A579">
        <v>586</v>
      </c>
      <c r="B579" t="s">
        <v>1295</v>
      </c>
      <c r="C579" t="s">
        <v>713</v>
      </c>
      <c r="D579" t="s">
        <v>714</v>
      </c>
      <c r="E579" t="s">
        <v>7</v>
      </c>
      <c r="J579">
        <v>0</v>
      </c>
    </row>
    <row r="580" spans="1:11">
      <c r="A580">
        <v>587</v>
      </c>
      <c r="B580" t="s">
        <v>1295</v>
      </c>
      <c r="C580" t="s">
        <v>713</v>
      </c>
      <c r="D580" t="s">
        <v>714</v>
      </c>
      <c r="E580" t="s">
        <v>7</v>
      </c>
      <c r="F580" t="s">
        <v>112</v>
      </c>
      <c r="H580">
        <v>180</v>
      </c>
      <c r="J580">
        <v>108</v>
      </c>
      <c r="K580">
        <v>288</v>
      </c>
    </row>
    <row r="581" spans="1:11">
      <c r="A581">
        <v>588</v>
      </c>
      <c r="B581" t="s">
        <v>1295</v>
      </c>
      <c r="C581" t="s">
        <v>713</v>
      </c>
      <c r="D581" t="s">
        <v>714</v>
      </c>
      <c r="E581" t="s">
        <v>7</v>
      </c>
      <c r="F581" t="s">
        <v>715</v>
      </c>
      <c r="H581">
        <v>180</v>
      </c>
      <c r="J581">
        <v>108</v>
      </c>
      <c r="K581">
        <v>288</v>
      </c>
    </row>
    <row r="582" spans="1:11">
      <c r="A582">
        <v>589</v>
      </c>
      <c r="B582" t="s">
        <v>1295</v>
      </c>
      <c r="C582" t="s">
        <v>713</v>
      </c>
      <c r="D582" t="s">
        <v>714</v>
      </c>
      <c r="E582" t="s">
        <v>7</v>
      </c>
      <c r="F582" t="s">
        <v>716</v>
      </c>
      <c r="H582">
        <v>400</v>
      </c>
      <c r="J582">
        <v>240</v>
      </c>
      <c r="K582">
        <v>640</v>
      </c>
    </row>
    <row r="583" spans="1:11">
      <c r="A583">
        <v>590</v>
      </c>
      <c r="B583" t="s">
        <v>1295</v>
      </c>
      <c r="C583" t="s">
        <v>717</v>
      </c>
      <c r="D583" t="s">
        <v>718</v>
      </c>
      <c r="E583" t="s">
        <v>7</v>
      </c>
      <c r="F583" t="s">
        <v>719</v>
      </c>
      <c r="H583">
        <v>8.15</v>
      </c>
      <c r="J583">
        <v>4.8899999999999997</v>
      </c>
      <c r="K583">
        <v>13.04</v>
      </c>
    </row>
    <row r="584" spans="1:11">
      <c r="A584">
        <v>591</v>
      </c>
      <c r="B584" t="s">
        <v>1295</v>
      </c>
      <c r="C584" t="s">
        <v>717</v>
      </c>
      <c r="D584" t="s">
        <v>718</v>
      </c>
      <c r="E584" t="s">
        <v>7</v>
      </c>
      <c r="F584" t="s">
        <v>720</v>
      </c>
      <c r="H584">
        <v>5.79</v>
      </c>
      <c r="J584">
        <v>3.4740000000000002</v>
      </c>
      <c r="K584">
        <v>9.2639999999999993</v>
      </c>
    </row>
    <row r="585" spans="1:11">
      <c r="A585">
        <v>592</v>
      </c>
      <c r="B585" t="s">
        <v>1295</v>
      </c>
      <c r="C585" t="s">
        <v>717</v>
      </c>
      <c r="D585" t="s">
        <v>718</v>
      </c>
      <c r="E585" t="s">
        <v>7</v>
      </c>
      <c r="F585" t="s">
        <v>721</v>
      </c>
      <c r="H585">
        <v>5.65</v>
      </c>
      <c r="J585">
        <v>3.39</v>
      </c>
      <c r="K585">
        <v>9.0399999999999991</v>
      </c>
    </row>
    <row r="586" spans="1:11">
      <c r="A586">
        <v>593</v>
      </c>
      <c r="B586" t="s">
        <v>1295</v>
      </c>
      <c r="C586" t="s">
        <v>717</v>
      </c>
      <c r="D586" t="s">
        <v>718</v>
      </c>
      <c r="E586" t="s">
        <v>7</v>
      </c>
      <c r="F586" t="s">
        <v>722</v>
      </c>
      <c r="H586">
        <v>5.4</v>
      </c>
      <c r="J586">
        <v>3.24</v>
      </c>
      <c r="K586">
        <v>8.64</v>
      </c>
    </row>
    <row r="587" spans="1:11">
      <c r="A587">
        <v>594</v>
      </c>
      <c r="B587" t="s">
        <v>1295</v>
      </c>
      <c r="C587" t="s">
        <v>69</v>
      </c>
      <c r="D587" t="s">
        <v>723</v>
      </c>
      <c r="E587" t="s">
        <v>7</v>
      </c>
      <c r="F587" t="s">
        <v>724</v>
      </c>
      <c r="H587">
        <v>2.23</v>
      </c>
      <c r="J587">
        <v>1.3380000000000001</v>
      </c>
      <c r="K587">
        <v>3.5680000000000001</v>
      </c>
    </row>
    <row r="588" spans="1:11">
      <c r="A588">
        <v>595</v>
      </c>
      <c r="B588" t="s">
        <v>1295</v>
      </c>
      <c r="C588" t="s">
        <v>69</v>
      </c>
      <c r="D588" t="s">
        <v>723</v>
      </c>
      <c r="E588" t="s">
        <v>7</v>
      </c>
      <c r="F588" t="s">
        <v>725</v>
      </c>
      <c r="H588">
        <v>1.23</v>
      </c>
      <c r="J588">
        <v>0.73799999999999999</v>
      </c>
      <c r="K588">
        <v>1.968</v>
      </c>
    </row>
    <row r="589" spans="1:11">
      <c r="A589">
        <v>596</v>
      </c>
      <c r="B589" t="s">
        <v>1295</v>
      </c>
      <c r="C589" t="s">
        <v>353</v>
      </c>
      <c r="D589" t="s">
        <v>726</v>
      </c>
      <c r="E589" t="s">
        <v>7</v>
      </c>
      <c r="F589" t="s">
        <v>727</v>
      </c>
      <c r="H589">
        <v>2.67</v>
      </c>
      <c r="J589">
        <v>1.6020000000000001</v>
      </c>
      <c r="K589">
        <v>4.2720000000000002</v>
      </c>
    </row>
    <row r="590" spans="1:11">
      <c r="A590">
        <v>597</v>
      </c>
      <c r="B590" t="s">
        <v>1295</v>
      </c>
      <c r="C590" t="s">
        <v>353</v>
      </c>
      <c r="D590" t="s">
        <v>726</v>
      </c>
      <c r="E590" t="s">
        <v>7</v>
      </c>
      <c r="F590" t="s">
        <v>728</v>
      </c>
      <c r="H590">
        <v>0.23</v>
      </c>
      <c r="J590">
        <v>0.13800000000000001</v>
      </c>
      <c r="K590">
        <v>0.36799999999999999</v>
      </c>
    </row>
    <row r="591" spans="1:11">
      <c r="A591">
        <v>598</v>
      </c>
      <c r="B591" t="s">
        <v>1295</v>
      </c>
      <c r="C591" t="s">
        <v>353</v>
      </c>
      <c r="D591" t="s">
        <v>726</v>
      </c>
      <c r="E591" t="s">
        <v>7</v>
      </c>
      <c r="F591" t="s">
        <v>729</v>
      </c>
      <c r="H591">
        <v>0.35</v>
      </c>
      <c r="J591">
        <v>0.21</v>
      </c>
      <c r="K591">
        <v>0.56000000000000005</v>
      </c>
    </row>
    <row r="592" spans="1:11">
      <c r="A592">
        <v>599</v>
      </c>
      <c r="B592" t="s">
        <v>1295</v>
      </c>
      <c r="C592" t="s">
        <v>353</v>
      </c>
      <c r="D592" t="s">
        <v>726</v>
      </c>
      <c r="E592" t="s">
        <v>7</v>
      </c>
      <c r="F592" t="s">
        <v>730</v>
      </c>
      <c r="H592">
        <v>0.45</v>
      </c>
      <c r="J592">
        <v>0.27</v>
      </c>
      <c r="K592">
        <v>0.72</v>
      </c>
    </row>
    <row r="593" spans="1:11">
      <c r="A593">
        <v>600</v>
      </c>
      <c r="B593" t="s">
        <v>1295</v>
      </c>
      <c r="C593" t="s">
        <v>353</v>
      </c>
      <c r="D593" t="s">
        <v>726</v>
      </c>
      <c r="E593" t="s">
        <v>7</v>
      </c>
      <c r="F593" t="s">
        <v>731</v>
      </c>
      <c r="H593">
        <v>0.11</v>
      </c>
      <c r="J593">
        <v>6.6000000000000003E-2</v>
      </c>
      <c r="K593">
        <v>0.17599999999999999</v>
      </c>
    </row>
    <row r="594" spans="1:11">
      <c r="A594">
        <v>601</v>
      </c>
      <c r="B594" t="s">
        <v>1295</v>
      </c>
      <c r="C594" t="s">
        <v>353</v>
      </c>
      <c r="D594" t="s">
        <v>726</v>
      </c>
      <c r="E594" t="s">
        <v>7</v>
      </c>
      <c r="F594" t="s">
        <v>732</v>
      </c>
      <c r="H594">
        <v>1</v>
      </c>
      <c r="J594">
        <v>0.6</v>
      </c>
      <c r="K594">
        <v>1.6</v>
      </c>
    </row>
    <row r="595" spans="1:11">
      <c r="A595">
        <v>602</v>
      </c>
      <c r="B595" t="s">
        <v>1295</v>
      </c>
      <c r="C595" t="s">
        <v>353</v>
      </c>
      <c r="D595" t="s">
        <v>726</v>
      </c>
      <c r="E595" t="s">
        <v>7</v>
      </c>
      <c r="F595" t="s">
        <v>733</v>
      </c>
      <c r="H595">
        <v>45</v>
      </c>
      <c r="J595">
        <v>27</v>
      </c>
      <c r="K595">
        <v>72</v>
      </c>
    </row>
    <row r="596" spans="1:11">
      <c r="A596">
        <v>603</v>
      </c>
      <c r="B596" t="s">
        <v>1295</v>
      </c>
      <c r="C596" t="s">
        <v>353</v>
      </c>
      <c r="D596" t="s">
        <v>726</v>
      </c>
      <c r="E596" t="s">
        <v>7</v>
      </c>
      <c r="F596" t="s">
        <v>734</v>
      </c>
      <c r="H596">
        <v>32</v>
      </c>
      <c r="J596">
        <v>19.2</v>
      </c>
      <c r="K596">
        <v>51.2</v>
      </c>
    </row>
    <row r="597" spans="1:11">
      <c r="A597">
        <v>604</v>
      </c>
      <c r="B597" t="s">
        <v>1295</v>
      </c>
      <c r="C597" t="s">
        <v>353</v>
      </c>
      <c r="D597" t="s">
        <v>726</v>
      </c>
      <c r="E597" t="s">
        <v>7</v>
      </c>
      <c r="F597" t="s">
        <v>735</v>
      </c>
      <c r="H597">
        <v>24.18</v>
      </c>
      <c r="J597">
        <v>14.507999999999999</v>
      </c>
      <c r="K597">
        <v>38.688000000000002</v>
      </c>
    </row>
    <row r="598" spans="1:11">
      <c r="A598">
        <v>605</v>
      </c>
      <c r="B598" t="s">
        <v>1295</v>
      </c>
      <c r="C598" t="s">
        <v>353</v>
      </c>
      <c r="D598" t="s">
        <v>726</v>
      </c>
      <c r="E598" t="s">
        <v>7</v>
      </c>
      <c r="F598" t="s">
        <v>736</v>
      </c>
      <c r="H598">
        <v>135</v>
      </c>
      <c r="J598">
        <v>81</v>
      </c>
      <c r="K598">
        <v>216</v>
      </c>
    </row>
    <row r="599" spans="1:11">
      <c r="A599">
        <v>606</v>
      </c>
      <c r="B599" t="s">
        <v>1295</v>
      </c>
      <c r="C599" t="s">
        <v>353</v>
      </c>
      <c r="D599" t="s">
        <v>726</v>
      </c>
      <c r="E599" t="s">
        <v>7</v>
      </c>
      <c r="F599" t="s">
        <v>737</v>
      </c>
      <c r="H599">
        <v>39</v>
      </c>
      <c r="J599">
        <v>23.4</v>
      </c>
      <c r="K599">
        <v>62.4</v>
      </c>
    </row>
    <row r="600" spans="1:11">
      <c r="A600">
        <v>607</v>
      </c>
      <c r="B600" t="s">
        <v>1295</v>
      </c>
      <c r="C600" t="s">
        <v>353</v>
      </c>
      <c r="D600" t="s">
        <v>726</v>
      </c>
      <c r="E600" t="s">
        <v>7</v>
      </c>
      <c r="F600" t="s">
        <v>738</v>
      </c>
      <c r="H600">
        <v>39</v>
      </c>
      <c r="J600">
        <v>23.4</v>
      </c>
      <c r="K600">
        <v>62.4</v>
      </c>
    </row>
    <row r="601" spans="1:11">
      <c r="A601">
        <v>608</v>
      </c>
      <c r="B601" t="s">
        <v>1295</v>
      </c>
      <c r="C601" t="s">
        <v>353</v>
      </c>
      <c r="D601" t="s">
        <v>726</v>
      </c>
      <c r="E601" t="s">
        <v>7</v>
      </c>
      <c r="F601" t="s">
        <v>739</v>
      </c>
      <c r="H601">
        <v>0.2</v>
      </c>
      <c r="J601">
        <v>0.12</v>
      </c>
      <c r="K601">
        <v>0.32</v>
      </c>
    </row>
    <row r="602" spans="1:11">
      <c r="A602">
        <v>609</v>
      </c>
      <c r="B602" t="s">
        <v>1295</v>
      </c>
      <c r="C602" t="s">
        <v>353</v>
      </c>
      <c r="D602" t="s">
        <v>726</v>
      </c>
      <c r="E602" t="s">
        <v>7</v>
      </c>
      <c r="J602">
        <v>0</v>
      </c>
      <c r="K602">
        <v>0</v>
      </c>
    </row>
    <row r="603" spans="1:11">
      <c r="A603">
        <v>610</v>
      </c>
      <c r="B603" t="s">
        <v>1295</v>
      </c>
      <c r="C603" t="s">
        <v>113</v>
      </c>
      <c r="D603" t="s">
        <v>740</v>
      </c>
      <c r="E603" t="s">
        <v>7</v>
      </c>
      <c r="F603" t="s">
        <v>741</v>
      </c>
      <c r="H603">
        <v>44</v>
      </c>
      <c r="J603">
        <v>26.4</v>
      </c>
      <c r="K603">
        <v>70.400000000000006</v>
      </c>
    </row>
    <row r="604" spans="1:11">
      <c r="A604">
        <v>611</v>
      </c>
      <c r="B604" t="s">
        <v>1295</v>
      </c>
      <c r="C604" t="s">
        <v>113</v>
      </c>
      <c r="D604" t="s">
        <v>740</v>
      </c>
      <c r="E604" t="s">
        <v>7</v>
      </c>
      <c r="F604" t="s">
        <v>742</v>
      </c>
      <c r="H604">
        <v>135</v>
      </c>
      <c r="J604">
        <v>81</v>
      </c>
      <c r="K604">
        <v>216</v>
      </c>
    </row>
    <row r="605" spans="1:11">
      <c r="A605">
        <v>612</v>
      </c>
      <c r="B605" t="s">
        <v>1295</v>
      </c>
      <c r="C605" t="s">
        <v>743</v>
      </c>
      <c r="D605" t="s">
        <v>744</v>
      </c>
      <c r="E605" t="s">
        <v>7</v>
      </c>
      <c r="F605" t="s">
        <v>745</v>
      </c>
      <c r="H605">
        <v>120</v>
      </c>
      <c r="J605">
        <v>72</v>
      </c>
      <c r="K605">
        <v>192</v>
      </c>
    </row>
    <row r="606" spans="1:11">
      <c r="A606">
        <v>613</v>
      </c>
      <c r="B606" t="s">
        <v>1295</v>
      </c>
      <c r="C606" t="s">
        <v>743</v>
      </c>
      <c r="D606" t="s">
        <v>744</v>
      </c>
      <c r="E606" t="s">
        <v>7</v>
      </c>
      <c r="F606" t="s">
        <v>746</v>
      </c>
      <c r="H606">
        <v>10.4</v>
      </c>
      <c r="J606">
        <v>6.24</v>
      </c>
    </row>
    <row r="607" spans="1:11">
      <c r="A607">
        <v>614</v>
      </c>
      <c r="B607" t="s">
        <v>1295</v>
      </c>
      <c r="C607" t="s">
        <v>743</v>
      </c>
      <c r="D607" t="s">
        <v>744</v>
      </c>
      <c r="E607" t="s">
        <v>7</v>
      </c>
      <c r="F607" t="s">
        <v>747</v>
      </c>
      <c r="H607">
        <v>0.41599999999999998</v>
      </c>
      <c r="J607">
        <v>0.24959999999999999</v>
      </c>
      <c r="K607">
        <v>0.66559999999999997</v>
      </c>
    </row>
    <row r="608" spans="1:11">
      <c r="A608">
        <v>615</v>
      </c>
      <c r="B608" t="s">
        <v>1295</v>
      </c>
      <c r="C608" t="s">
        <v>743</v>
      </c>
      <c r="D608" t="s">
        <v>744</v>
      </c>
      <c r="E608" t="s">
        <v>7</v>
      </c>
      <c r="F608" t="s">
        <v>748</v>
      </c>
    </row>
    <row r="609" spans="1:11">
      <c r="A609">
        <v>616</v>
      </c>
      <c r="B609" t="s">
        <v>1295</v>
      </c>
      <c r="C609" t="s">
        <v>113</v>
      </c>
      <c r="D609" t="s">
        <v>749</v>
      </c>
      <c r="E609" t="s">
        <v>7</v>
      </c>
      <c r="F609" t="s">
        <v>115</v>
      </c>
      <c r="H609">
        <v>25.86</v>
      </c>
      <c r="J609">
        <v>15.516</v>
      </c>
      <c r="K609">
        <v>41.375999999999998</v>
      </c>
    </row>
    <row r="610" spans="1:11">
      <c r="A610">
        <v>617</v>
      </c>
      <c r="B610" t="s">
        <v>1295</v>
      </c>
      <c r="C610" t="s">
        <v>113</v>
      </c>
      <c r="D610" t="s">
        <v>749</v>
      </c>
      <c r="E610" t="s">
        <v>7</v>
      </c>
      <c r="J610">
        <v>0</v>
      </c>
    </row>
    <row r="611" spans="1:11">
      <c r="A611">
        <v>618</v>
      </c>
      <c r="B611" t="s">
        <v>1295</v>
      </c>
      <c r="C611" t="s">
        <v>113</v>
      </c>
      <c r="D611" t="s">
        <v>749</v>
      </c>
      <c r="E611" t="s">
        <v>7</v>
      </c>
      <c r="F611" t="s">
        <v>751</v>
      </c>
      <c r="H611">
        <v>1.68</v>
      </c>
      <c r="J611">
        <v>1.008</v>
      </c>
      <c r="K611">
        <v>2.6880000000000002</v>
      </c>
    </row>
    <row r="612" spans="1:11">
      <c r="A612">
        <v>619</v>
      </c>
      <c r="B612" t="s">
        <v>1295</v>
      </c>
      <c r="C612" t="s">
        <v>113</v>
      </c>
      <c r="D612" t="s">
        <v>749</v>
      </c>
      <c r="E612" t="s">
        <v>7</v>
      </c>
      <c r="F612" t="s">
        <v>752</v>
      </c>
      <c r="J612">
        <v>0</v>
      </c>
    </row>
    <row r="613" spans="1:11">
      <c r="A613">
        <v>620</v>
      </c>
      <c r="B613" t="s">
        <v>1295</v>
      </c>
      <c r="C613" t="s">
        <v>113</v>
      </c>
      <c r="D613" t="s">
        <v>749</v>
      </c>
      <c r="E613" t="s">
        <v>7</v>
      </c>
      <c r="F613" t="s">
        <v>753</v>
      </c>
      <c r="J613">
        <v>0</v>
      </c>
      <c r="K613">
        <v>2500</v>
      </c>
    </row>
    <row r="614" spans="1:11">
      <c r="A614">
        <v>621</v>
      </c>
      <c r="B614" t="s">
        <v>1295</v>
      </c>
      <c r="C614" t="s">
        <v>99</v>
      </c>
      <c r="D614" t="s">
        <v>754</v>
      </c>
      <c r="E614" t="s">
        <v>7</v>
      </c>
      <c r="F614" t="s">
        <v>100</v>
      </c>
      <c r="H614">
        <v>65</v>
      </c>
      <c r="J614">
        <v>39</v>
      </c>
      <c r="K614">
        <v>104</v>
      </c>
    </row>
    <row r="615" spans="1:11">
      <c r="A615">
        <v>622</v>
      </c>
      <c r="B615" t="s">
        <v>1295</v>
      </c>
      <c r="C615" t="s">
        <v>99</v>
      </c>
      <c r="D615" t="s">
        <v>754</v>
      </c>
      <c r="E615" t="s">
        <v>7</v>
      </c>
      <c r="F615" t="s">
        <v>755</v>
      </c>
      <c r="H615">
        <v>40</v>
      </c>
      <c r="J615">
        <v>24</v>
      </c>
      <c r="K615">
        <v>64</v>
      </c>
    </row>
    <row r="616" spans="1:11">
      <c r="A616">
        <v>623</v>
      </c>
      <c r="B616" t="s">
        <v>1295</v>
      </c>
      <c r="C616" t="s">
        <v>99</v>
      </c>
      <c r="D616" t="s">
        <v>754</v>
      </c>
      <c r="E616" t="s">
        <v>7</v>
      </c>
      <c r="F616" t="s">
        <v>756</v>
      </c>
      <c r="H616">
        <v>45</v>
      </c>
      <c r="J616">
        <v>27</v>
      </c>
      <c r="K616">
        <v>72</v>
      </c>
    </row>
    <row r="617" spans="1:11">
      <c r="A617">
        <v>624</v>
      </c>
      <c r="B617" t="s">
        <v>1349</v>
      </c>
      <c r="C617" t="s">
        <v>99</v>
      </c>
      <c r="D617" t="s">
        <v>754</v>
      </c>
      <c r="E617" t="s">
        <v>7</v>
      </c>
      <c r="F617" t="s">
        <v>1316</v>
      </c>
      <c r="H617">
        <v>1500</v>
      </c>
      <c r="J617">
        <v>900</v>
      </c>
      <c r="K617">
        <v>2400</v>
      </c>
    </row>
    <row r="618" spans="1:11">
      <c r="A618">
        <v>625</v>
      </c>
      <c r="B618" t="s">
        <v>1349</v>
      </c>
      <c r="C618" t="s">
        <v>98</v>
      </c>
      <c r="D618" t="s">
        <v>757</v>
      </c>
      <c r="E618" t="s">
        <v>10</v>
      </c>
      <c r="F618" t="s">
        <v>757</v>
      </c>
      <c r="K618">
        <v>0.5</v>
      </c>
    </row>
    <row r="619" spans="1:11">
      <c r="A619">
        <v>626</v>
      </c>
      <c r="B619" t="s">
        <v>1349</v>
      </c>
      <c r="C619" t="s">
        <v>98</v>
      </c>
      <c r="D619" t="s">
        <v>757</v>
      </c>
      <c r="E619" t="s">
        <v>10</v>
      </c>
      <c r="F619" t="s">
        <v>762</v>
      </c>
      <c r="H619">
        <v>120</v>
      </c>
      <c r="J619">
        <v>72</v>
      </c>
      <c r="K619">
        <v>121.8</v>
      </c>
    </row>
    <row r="620" spans="1:11">
      <c r="A620">
        <v>627</v>
      </c>
      <c r="B620" t="s">
        <v>1349</v>
      </c>
      <c r="C620" t="s">
        <v>98</v>
      </c>
      <c r="D620" t="s">
        <v>757</v>
      </c>
      <c r="E620" t="s">
        <v>10</v>
      </c>
    </row>
    <row r="621" spans="1:11">
      <c r="A621">
        <v>628</v>
      </c>
      <c r="B621" t="s">
        <v>1349</v>
      </c>
      <c r="C621" t="s">
        <v>98</v>
      </c>
      <c r="D621" t="s">
        <v>757</v>
      </c>
      <c r="E621" t="s">
        <v>10</v>
      </c>
      <c r="F621" t="s">
        <v>765</v>
      </c>
      <c r="H621">
        <v>55</v>
      </c>
      <c r="J621">
        <v>33</v>
      </c>
      <c r="K621">
        <v>59.125</v>
      </c>
    </row>
    <row r="622" spans="1:11">
      <c r="A622">
        <v>629</v>
      </c>
      <c r="B622" t="s">
        <v>1349</v>
      </c>
      <c r="C622" t="s">
        <v>98</v>
      </c>
      <c r="D622" t="s">
        <v>757</v>
      </c>
      <c r="E622" t="s">
        <v>10</v>
      </c>
      <c r="J622">
        <v>0</v>
      </c>
    </row>
    <row r="623" spans="1:11">
      <c r="A623">
        <v>630</v>
      </c>
      <c r="B623" t="s">
        <v>1349</v>
      </c>
      <c r="C623" t="s">
        <v>98</v>
      </c>
      <c r="D623" t="s">
        <v>757</v>
      </c>
      <c r="E623" t="s">
        <v>10</v>
      </c>
      <c r="F623" t="s">
        <v>766</v>
      </c>
      <c r="H623">
        <v>37.5</v>
      </c>
      <c r="J623">
        <v>22.5</v>
      </c>
      <c r="K623">
        <v>60</v>
      </c>
    </row>
    <row r="624" spans="1:11">
      <c r="A624">
        <v>631</v>
      </c>
      <c r="B624" t="s">
        <v>1349</v>
      </c>
      <c r="C624" t="s">
        <v>98</v>
      </c>
      <c r="D624" t="s">
        <v>757</v>
      </c>
      <c r="E624" t="s">
        <v>10</v>
      </c>
    </row>
    <row r="625" spans="1:11">
      <c r="A625">
        <v>632</v>
      </c>
      <c r="B625" t="s">
        <v>1349</v>
      </c>
      <c r="C625" t="s">
        <v>98</v>
      </c>
      <c r="D625" t="s">
        <v>757</v>
      </c>
      <c r="E625" t="s">
        <v>10</v>
      </c>
      <c r="F625" t="s">
        <v>768</v>
      </c>
    </row>
    <row r="626" spans="1:11">
      <c r="A626">
        <v>633</v>
      </c>
      <c r="B626" t="s">
        <v>1349</v>
      </c>
      <c r="C626" t="s">
        <v>98</v>
      </c>
      <c r="D626" t="s">
        <v>757</v>
      </c>
      <c r="E626" t="s">
        <v>10</v>
      </c>
      <c r="F626" t="s">
        <v>769</v>
      </c>
      <c r="H626">
        <v>0.91669999999999996</v>
      </c>
      <c r="J626">
        <v>0.55000000000000004</v>
      </c>
      <c r="K626">
        <v>1.4666999999999999</v>
      </c>
    </row>
    <row r="627" spans="1:11">
      <c r="A627">
        <v>634</v>
      </c>
      <c r="B627" t="s">
        <v>1349</v>
      </c>
      <c r="C627" t="s">
        <v>98</v>
      </c>
      <c r="D627" t="s">
        <v>757</v>
      </c>
      <c r="E627" t="s">
        <v>10</v>
      </c>
      <c r="F627" t="s">
        <v>770</v>
      </c>
      <c r="H627">
        <v>0</v>
      </c>
      <c r="J627">
        <v>0</v>
      </c>
      <c r="K627">
        <v>0</v>
      </c>
    </row>
    <row r="628" spans="1:11">
      <c r="A628">
        <v>635</v>
      </c>
      <c r="B628" t="s">
        <v>1349</v>
      </c>
      <c r="C628" t="s">
        <v>98</v>
      </c>
      <c r="D628" t="s">
        <v>757</v>
      </c>
      <c r="E628" t="s">
        <v>10</v>
      </c>
      <c r="F628" t="s">
        <v>771</v>
      </c>
      <c r="H628">
        <v>0</v>
      </c>
      <c r="J628">
        <v>0</v>
      </c>
      <c r="K628">
        <v>0</v>
      </c>
    </row>
    <row r="629" spans="1:11">
      <c r="A629">
        <v>636</v>
      </c>
      <c r="B629" t="s">
        <v>1349</v>
      </c>
      <c r="C629" t="s">
        <v>98</v>
      </c>
      <c r="D629" t="s">
        <v>757</v>
      </c>
      <c r="E629" t="s">
        <v>10</v>
      </c>
      <c r="F629" t="s">
        <v>772</v>
      </c>
      <c r="H629">
        <v>0</v>
      </c>
      <c r="J629">
        <v>0</v>
      </c>
      <c r="K629">
        <v>0</v>
      </c>
    </row>
    <row r="630" spans="1:11">
      <c r="A630">
        <v>637</v>
      </c>
      <c r="B630" t="s">
        <v>1349</v>
      </c>
      <c r="C630" t="s">
        <v>98</v>
      </c>
      <c r="D630" t="s">
        <v>757</v>
      </c>
      <c r="E630" t="s">
        <v>10</v>
      </c>
      <c r="F630" t="s">
        <v>773</v>
      </c>
      <c r="H630">
        <v>0</v>
      </c>
      <c r="J630">
        <v>0</v>
      </c>
      <c r="K630">
        <v>0</v>
      </c>
    </row>
    <row r="631" spans="1:11">
      <c r="A631">
        <v>638</v>
      </c>
      <c r="B631" t="s">
        <v>1349</v>
      </c>
      <c r="C631" t="s">
        <v>98</v>
      </c>
      <c r="D631" t="s">
        <v>757</v>
      </c>
      <c r="E631" t="s">
        <v>10</v>
      </c>
      <c r="F631" t="s">
        <v>774</v>
      </c>
      <c r="H631">
        <v>0</v>
      </c>
      <c r="J631">
        <v>0</v>
      </c>
      <c r="K631">
        <v>0</v>
      </c>
    </row>
    <row r="632" spans="1:11">
      <c r="A632">
        <v>639</v>
      </c>
      <c r="B632" t="s">
        <v>1349</v>
      </c>
      <c r="C632" t="s">
        <v>98</v>
      </c>
      <c r="D632" t="s">
        <v>757</v>
      </c>
      <c r="E632" t="s">
        <v>10</v>
      </c>
      <c r="F632" t="s">
        <v>775</v>
      </c>
      <c r="H632">
        <v>14.666700000000001</v>
      </c>
      <c r="J632">
        <v>8.8000000000000007</v>
      </c>
      <c r="K632">
        <v>23.466699999999999</v>
      </c>
    </row>
    <row r="633" spans="1:11">
      <c r="A633">
        <v>640</v>
      </c>
      <c r="B633" t="s">
        <v>1349</v>
      </c>
      <c r="C633" t="s">
        <v>98</v>
      </c>
      <c r="D633" t="s">
        <v>757</v>
      </c>
      <c r="E633" t="s">
        <v>10</v>
      </c>
      <c r="F633" t="s">
        <v>776</v>
      </c>
      <c r="H633">
        <v>4.4000000000000004</v>
      </c>
      <c r="J633">
        <v>2.64</v>
      </c>
      <c r="K633">
        <v>7.04</v>
      </c>
    </row>
    <row r="634" spans="1:11">
      <c r="A634">
        <v>641</v>
      </c>
      <c r="B634" t="s">
        <v>1295</v>
      </c>
      <c r="C634" t="s">
        <v>98</v>
      </c>
      <c r="D634" t="s">
        <v>777</v>
      </c>
      <c r="E634" t="s">
        <v>10</v>
      </c>
      <c r="F634" t="s">
        <v>778</v>
      </c>
      <c r="H634">
        <v>40.333300000000001</v>
      </c>
      <c r="J634">
        <v>24.2</v>
      </c>
      <c r="K634">
        <v>64.533299999999997</v>
      </c>
    </row>
    <row r="635" spans="1:11">
      <c r="A635">
        <v>642</v>
      </c>
      <c r="B635" t="s">
        <v>1295</v>
      </c>
      <c r="C635" t="s">
        <v>98</v>
      </c>
      <c r="D635" t="s">
        <v>777</v>
      </c>
      <c r="E635" t="s">
        <v>10</v>
      </c>
      <c r="F635" t="s">
        <v>779</v>
      </c>
      <c r="H635">
        <v>18.333300000000001</v>
      </c>
      <c r="J635">
        <v>11</v>
      </c>
      <c r="K635">
        <v>29.333300000000001</v>
      </c>
    </row>
    <row r="636" spans="1:11">
      <c r="A636">
        <v>643</v>
      </c>
      <c r="B636" t="s">
        <v>1295</v>
      </c>
      <c r="C636" t="s">
        <v>98</v>
      </c>
      <c r="D636" t="s">
        <v>777</v>
      </c>
      <c r="E636" t="s">
        <v>10</v>
      </c>
      <c r="F636" t="s">
        <v>116</v>
      </c>
      <c r="H636">
        <v>0</v>
      </c>
      <c r="J636">
        <v>0</v>
      </c>
      <c r="K636">
        <v>0</v>
      </c>
    </row>
    <row r="637" spans="1:11">
      <c r="A637">
        <v>644</v>
      </c>
      <c r="B637" t="s">
        <v>1295</v>
      </c>
      <c r="C637" t="s">
        <v>98</v>
      </c>
      <c r="D637" t="s">
        <v>777</v>
      </c>
      <c r="E637" t="s">
        <v>10</v>
      </c>
      <c r="F637" t="s">
        <v>780</v>
      </c>
      <c r="H637">
        <v>5.5</v>
      </c>
      <c r="J637">
        <v>3.3</v>
      </c>
      <c r="K637">
        <v>8.8000000000000007</v>
      </c>
    </row>
    <row r="638" spans="1:11">
      <c r="A638">
        <v>645</v>
      </c>
      <c r="B638" t="s">
        <v>1295</v>
      </c>
      <c r="C638" t="s">
        <v>98</v>
      </c>
      <c r="D638" t="s">
        <v>777</v>
      </c>
      <c r="E638" t="s">
        <v>10</v>
      </c>
      <c r="F638" t="s">
        <v>781</v>
      </c>
      <c r="H638">
        <v>8.25</v>
      </c>
      <c r="J638">
        <v>4.95</v>
      </c>
      <c r="K638">
        <v>13.2</v>
      </c>
    </row>
    <row r="639" spans="1:11">
      <c r="A639">
        <v>646</v>
      </c>
      <c r="B639" t="s">
        <v>1295</v>
      </c>
      <c r="C639" t="s">
        <v>98</v>
      </c>
      <c r="D639" t="s">
        <v>777</v>
      </c>
      <c r="E639" t="s">
        <v>10</v>
      </c>
      <c r="F639" t="s">
        <v>782</v>
      </c>
      <c r="H639">
        <v>18.333300000000001</v>
      </c>
      <c r="J639">
        <v>11</v>
      </c>
      <c r="K639">
        <v>29.333300000000001</v>
      </c>
    </row>
    <row r="640" spans="1:11">
      <c r="A640">
        <v>647</v>
      </c>
      <c r="B640" t="s">
        <v>1295</v>
      </c>
      <c r="C640" t="s">
        <v>98</v>
      </c>
      <c r="D640" t="s">
        <v>777</v>
      </c>
      <c r="E640" t="s">
        <v>10</v>
      </c>
      <c r="F640" t="s">
        <v>783</v>
      </c>
      <c r="H640">
        <v>8.25</v>
      </c>
      <c r="J640">
        <v>4.95</v>
      </c>
      <c r="K640">
        <v>13.2</v>
      </c>
    </row>
    <row r="641" spans="1:11">
      <c r="A641">
        <v>648</v>
      </c>
      <c r="B641" t="s">
        <v>1295</v>
      </c>
      <c r="C641" t="s">
        <v>98</v>
      </c>
      <c r="D641" t="s">
        <v>777</v>
      </c>
      <c r="E641" t="s">
        <v>10</v>
      </c>
      <c r="F641" t="s">
        <v>784</v>
      </c>
      <c r="H641">
        <v>110</v>
      </c>
      <c r="J641">
        <v>66</v>
      </c>
      <c r="K641">
        <v>176</v>
      </c>
    </row>
    <row r="642" spans="1:11">
      <c r="A642">
        <v>649</v>
      </c>
      <c r="B642" t="s">
        <v>1295</v>
      </c>
      <c r="C642" t="s">
        <v>98</v>
      </c>
      <c r="D642" t="s">
        <v>777</v>
      </c>
      <c r="E642" t="s">
        <v>10</v>
      </c>
      <c r="F642" t="s">
        <v>785</v>
      </c>
      <c r="H642">
        <v>110</v>
      </c>
      <c r="J642">
        <v>66</v>
      </c>
      <c r="K642">
        <v>176</v>
      </c>
    </row>
    <row r="643" spans="1:11">
      <c r="A643">
        <v>650</v>
      </c>
      <c r="B643" t="s">
        <v>1295</v>
      </c>
      <c r="C643" t="s">
        <v>98</v>
      </c>
      <c r="D643" t="s">
        <v>777</v>
      </c>
      <c r="E643" t="s">
        <v>10</v>
      </c>
      <c r="F643" t="s">
        <v>786</v>
      </c>
      <c r="H643">
        <v>4.5833000000000004</v>
      </c>
      <c r="J643">
        <v>2.75</v>
      </c>
      <c r="K643">
        <v>7.3333000000000004</v>
      </c>
    </row>
    <row r="644" spans="1:11">
      <c r="A644">
        <v>651</v>
      </c>
      <c r="B644" t="s">
        <v>1295</v>
      </c>
      <c r="C644" t="s">
        <v>98</v>
      </c>
      <c r="D644" t="s">
        <v>777</v>
      </c>
      <c r="E644" t="s">
        <v>10</v>
      </c>
      <c r="F644" t="s">
        <v>787</v>
      </c>
      <c r="H644">
        <v>13.75</v>
      </c>
      <c r="J644">
        <v>8.25</v>
      </c>
      <c r="K644">
        <v>22</v>
      </c>
    </row>
    <row r="645" spans="1:11">
      <c r="A645">
        <v>652</v>
      </c>
      <c r="B645" t="s">
        <v>1295</v>
      </c>
      <c r="C645" t="s">
        <v>98</v>
      </c>
      <c r="D645" t="s">
        <v>777</v>
      </c>
      <c r="E645" t="s">
        <v>10</v>
      </c>
      <c r="F645" t="s">
        <v>788</v>
      </c>
      <c r="H645">
        <v>14.208299999999999</v>
      </c>
      <c r="J645">
        <v>8.5250000000000004</v>
      </c>
      <c r="K645">
        <v>22.7333</v>
      </c>
    </row>
    <row r="646" spans="1:11">
      <c r="A646">
        <v>653</v>
      </c>
      <c r="B646" t="s">
        <v>1295</v>
      </c>
      <c r="C646" t="s">
        <v>98</v>
      </c>
      <c r="D646" t="s">
        <v>777</v>
      </c>
      <c r="E646" t="s">
        <v>10</v>
      </c>
      <c r="F646" t="s">
        <v>789</v>
      </c>
      <c r="H646">
        <v>4.5833000000000004</v>
      </c>
      <c r="J646">
        <v>2.75</v>
      </c>
      <c r="K646">
        <v>7.3333000000000004</v>
      </c>
    </row>
    <row r="647" spans="1:11">
      <c r="A647">
        <v>654</v>
      </c>
      <c r="B647" t="s">
        <v>1295</v>
      </c>
      <c r="C647" t="s">
        <v>98</v>
      </c>
      <c r="D647" t="s">
        <v>777</v>
      </c>
      <c r="E647" t="s">
        <v>10</v>
      </c>
      <c r="F647" t="s">
        <v>790</v>
      </c>
      <c r="H647">
        <v>3.6667000000000001</v>
      </c>
      <c r="J647">
        <v>2.2000000000000002</v>
      </c>
      <c r="K647">
        <v>5.8666999999999998</v>
      </c>
    </row>
    <row r="648" spans="1:11">
      <c r="A648">
        <v>655</v>
      </c>
      <c r="B648" t="s">
        <v>1295</v>
      </c>
      <c r="C648" t="s">
        <v>98</v>
      </c>
      <c r="D648" t="s">
        <v>777</v>
      </c>
      <c r="E648" t="s">
        <v>10</v>
      </c>
      <c r="F648" t="s">
        <v>791</v>
      </c>
      <c r="H648">
        <v>0</v>
      </c>
      <c r="J648">
        <v>0</v>
      </c>
      <c r="K648">
        <v>0</v>
      </c>
    </row>
    <row r="649" spans="1:11">
      <c r="A649">
        <v>656</v>
      </c>
      <c r="B649" t="s">
        <v>1295</v>
      </c>
      <c r="C649" t="s">
        <v>98</v>
      </c>
      <c r="D649" t="s">
        <v>777</v>
      </c>
      <c r="E649" t="s">
        <v>10</v>
      </c>
      <c r="F649" t="s">
        <v>792</v>
      </c>
      <c r="H649">
        <v>24.997499999999999</v>
      </c>
      <c r="J649">
        <v>14.9985</v>
      </c>
      <c r="K649">
        <v>39.996000000000002</v>
      </c>
    </row>
    <row r="650" spans="1:11">
      <c r="A650">
        <v>657</v>
      </c>
      <c r="B650" t="s">
        <v>1295</v>
      </c>
      <c r="C650" t="s">
        <v>98</v>
      </c>
      <c r="D650" t="s">
        <v>777</v>
      </c>
      <c r="E650" t="s">
        <v>10</v>
      </c>
      <c r="F650" t="s">
        <v>793</v>
      </c>
      <c r="H650">
        <v>21.45</v>
      </c>
      <c r="J650">
        <v>12.87</v>
      </c>
      <c r="K650">
        <v>34.32</v>
      </c>
    </row>
    <row r="651" spans="1:11">
      <c r="A651">
        <v>658</v>
      </c>
      <c r="B651" t="s">
        <v>1295</v>
      </c>
      <c r="C651" t="s">
        <v>98</v>
      </c>
      <c r="D651" t="s">
        <v>777</v>
      </c>
      <c r="E651" t="s">
        <v>10</v>
      </c>
      <c r="F651" t="s">
        <v>794</v>
      </c>
      <c r="H651">
        <v>21.45</v>
      </c>
      <c r="J651">
        <v>12.87</v>
      </c>
      <c r="K651">
        <v>34.32</v>
      </c>
    </row>
    <row r="652" spans="1:11">
      <c r="A652">
        <v>659</v>
      </c>
      <c r="B652" t="s">
        <v>1295</v>
      </c>
      <c r="C652" t="s">
        <v>98</v>
      </c>
      <c r="D652" t="s">
        <v>777</v>
      </c>
      <c r="E652" t="s">
        <v>10</v>
      </c>
      <c r="F652" t="s">
        <v>795</v>
      </c>
      <c r="H652">
        <v>13.75</v>
      </c>
      <c r="J652">
        <v>8.25</v>
      </c>
      <c r="K652">
        <v>22</v>
      </c>
    </row>
    <row r="653" spans="1:11">
      <c r="A653">
        <v>660</v>
      </c>
      <c r="B653" t="s">
        <v>1295</v>
      </c>
      <c r="C653" t="s">
        <v>98</v>
      </c>
      <c r="D653" t="s">
        <v>777</v>
      </c>
      <c r="E653" t="s">
        <v>10</v>
      </c>
      <c r="F653" t="s">
        <v>796</v>
      </c>
      <c r="H653">
        <v>2.75</v>
      </c>
      <c r="J653">
        <v>1.65</v>
      </c>
      <c r="K653">
        <v>4.4000000000000004</v>
      </c>
    </row>
    <row r="654" spans="1:11">
      <c r="A654">
        <v>661</v>
      </c>
      <c r="B654" t="s">
        <v>1295</v>
      </c>
      <c r="C654" t="s">
        <v>98</v>
      </c>
      <c r="D654" t="s">
        <v>777</v>
      </c>
      <c r="E654" t="s">
        <v>10</v>
      </c>
      <c r="F654" t="s">
        <v>797</v>
      </c>
      <c r="H654">
        <v>27.5</v>
      </c>
      <c r="J654">
        <v>16.5</v>
      </c>
      <c r="K654">
        <v>44</v>
      </c>
    </row>
    <row r="655" spans="1:11">
      <c r="A655">
        <v>662</v>
      </c>
      <c r="B655" t="s">
        <v>1349</v>
      </c>
      <c r="C655" t="s">
        <v>98</v>
      </c>
      <c r="D655" t="s">
        <v>10</v>
      </c>
      <c r="E655" t="s">
        <v>10</v>
      </c>
      <c r="F655" t="s">
        <v>1315</v>
      </c>
      <c r="H655">
        <v>27.5</v>
      </c>
      <c r="J655">
        <v>16.5</v>
      </c>
      <c r="K655">
        <v>44</v>
      </c>
    </row>
    <row r="656" spans="1:11">
      <c r="A656">
        <v>663</v>
      </c>
      <c r="B656" t="s">
        <v>1295</v>
      </c>
      <c r="C656" t="s">
        <v>98</v>
      </c>
      <c r="D656" t="s">
        <v>777</v>
      </c>
      <c r="E656" t="s">
        <v>7</v>
      </c>
      <c r="J656">
        <v>0</v>
      </c>
    </row>
    <row r="657" spans="1:11">
      <c r="A657">
        <v>664</v>
      </c>
      <c r="B657" t="s">
        <v>1295</v>
      </c>
      <c r="C657" t="s">
        <v>798</v>
      </c>
      <c r="D657" t="s">
        <v>799</v>
      </c>
      <c r="E657" t="s">
        <v>7</v>
      </c>
      <c r="F657" t="s">
        <v>800</v>
      </c>
      <c r="H657">
        <v>60</v>
      </c>
      <c r="J657">
        <v>36</v>
      </c>
      <c r="K657">
        <v>96</v>
      </c>
    </row>
    <row r="658" spans="1:11">
      <c r="A658">
        <v>665</v>
      </c>
      <c r="B658" t="s">
        <v>1295</v>
      </c>
      <c r="C658" t="s">
        <v>798</v>
      </c>
      <c r="D658" t="s">
        <v>799</v>
      </c>
      <c r="E658" t="s">
        <v>7</v>
      </c>
      <c r="F658" t="s">
        <v>104</v>
      </c>
      <c r="H658">
        <v>70</v>
      </c>
      <c r="J658">
        <v>42</v>
      </c>
      <c r="K658">
        <v>112</v>
      </c>
    </row>
    <row r="659" spans="1:11">
      <c r="A659">
        <v>666</v>
      </c>
      <c r="B659" t="s">
        <v>1295</v>
      </c>
      <c r="C659" t="s">
        <v>798</v>
      </c>
      <c r="D659" t="s">
        <v>799</v>
      </c>
      <c r="E659" t="s">
        <v>7</v>
      </c>
      <c r="J659">
        <v>0</v>
      </c>
      <c r="K659">
        <v>0</v>
      </c>
    </row>
    <row r="660" spans="1:11">
      <c r="A660">
        <v>667</v>
      </c>
      <c r="B660" t="s">
        <v>1295</v>
      </c>
      <c r="C660" t="s">
        <v>798</v>
      </c>
      <c r="D660" t="s">
        <v>799</v>
      </c>
      <c r="E660" t="s">
        <v>7</v>
      </c>
      <c r="F660" t="s">
        <v>801</v>
      </c>
      <c r="H660">
        <v>50</v>
      </c>
      <c r="J660">
        <v>30</v>
      </c>
      <c r="K660">
        <v>80</v>
      </c>
    </row>
    <row r="661" spans="1:11">
      <c r="A661">
        <v>668</v>
      </c>
      <c r="B661" t="s">
        <v>1295</v>
      </c>
      <c r="C661" t="s">
        <v>798</v>
      </c>
      <c r="D661" t="s">
        <v>799</v>
      </c>
      <c r="E661" t="s">
        <v>7</v>
      </c>
      <c r="F661" t="s">
        <v>802</v>
      </c>
      <c r="H661">
        <v>55</v>
      </c>
      <c r="J661">
        <v>33</v>
      </c>
      <c r="K661">
        <v>88</v>
      </c>
    </row>
    <row r="662" spans="1:11">
      <c r="A662">
        <v>669</v>
      </c>
      <c r="B662" t="s">
        <v>1295</v>
      </c>
      <c r="C662" t="s">
        <v>798</v>
      </c>
      <c r="D662" t="s">
        <v>799</v>
      </c>
      <c r="E662" t="s">
        <v>7</v>
      </c>
      <c r="F662" t="s">
        <v>803</v>
      </c>
      <c r="H662">
        <v>70</v>
      </c>
      <c r="J662">
        <v>42</v>
      </c>
      <c r="K662">
        <v>112</v>
      </c>
    </row>
    <row r="663" spans="1:11">
      <c r="A663">
        <v>670</v>
      </c>
      <c r="B663" t="s">
        <v>1295</v>
      </c>
      <c r="C663" t="s">
        <v>798</v>
      </c>
      <c r="D663" t="s">
        <v>799</v>
      </c>
      <c r="E663" t="s">
        <v>7</v>
      </c>
      <c r="F663" t="s">
        <v>804</v>
      </c>
      <c r="H663">
        <v>70</v>
      </c>
      <c r="J663">
        <v>42</v>
      </c>
      <c r="K663">
        <v>112</v>
      </c>
    </row>
    <row r="664" spans="1:11">
      <c r="A664">
        <v>671</v>
      </c>
      <c r="B664" t="s">
        <v>1295</v>
      </c>
      <c r="C664" t="s">
        <v>798</v>
      </c>
      <c r="D664" t="s">
        <v>799</v>
      </c>
      <c r="E664" t="s">
        <v>7</v>
      </c>
      <c r="F664" t="s">
        <v>805</v>
      </c>
      <c r="H664">
        <v>5</v>
      </c>
      <c r="J664">
        <v>3</v>
      </c>
      <c r="K664">
        <v>8</v>
      </c>
    </row>
    <row r="665" spans="1:11">
      <c r="A665">
        <v>672</v>
      </c>
      <c r="B665" t="s">
        <v>1295</v>
      </c>
      <c r="C665" t="s">
        <v>798</v>
      </c>
      <c r="D665" t="s">
        <v>799</v>
      </c>
      <c r="E665" t="s">
        <v>7</v>
      </c>
      <c r="J665">
        <v>0</v>
      </c>
      <c r="K665">
        <v>0</v>
      </c>
    </row>
    <row r="666" spans="1:11">
      <c r="A666">
        <v>673</v>
      </c>
      <c r="B666" t="s">
        <v>1295</v>
      </c>
      <c r="C666" t="s">
        <v>798</v>
      </c>
      <c r="D666" t="s">
        <v>799</v>
      </c>
      <c r="E666" t="s">
        <v>7</v>
      </c>
      <c r="F666" t="s">
        <v>806</v>
      </c>
      <c r="H666">
        <v>45</v>
      </c>
      <c r="J666">
        <v>27</v>
      </c>
      <c r="K666">
        <v>72</v>
      </c>
    </row>
    <row r="667" spans="1:11">
      <c r="A667">
        <v>674</v>
      </c>
      <c r="B667" t="s">
        <v>1295</v>
      </c>
      <c r="C667" t="s">
        <v>798</v>
      </c>
      <c r="D667" t="s">
        <v>799</v>
      </c>
      <c r="E667" t="s">
        <v>7</v>
      </c>
      <c r="J667">
        <v>0</v>
      </c>
      <c r="K667">
        <v>0</v>
      </c>
    </row>
    <row r="668" spans="1:11">
      <c r="A668">
        <v>675</v>
      </c>
      <c r="B668" t="s">
        <v>1295</v>
      </c>
      <c r="C668" t="s">
        <v>807</v>
      </c>
      <c r="D668" t="s">
        <v>808</v>
      </c>
      <c r="E668" t="s">
        <v>7</v>
      </c>
      <c r="F668" t="s">
        <v>809</v>
      </c>
      <c r="H668">
        <v>46.6</v>
      </c>
      <c r="J668">
        <v>27.96</v>
      </c>
      <c r="K668">
        <v>74.56</v>
      </c>
    </row>
    <row r="669" spans="1:11">
      <c r="A669">
        <v>676</v>
      </c>
      <c r="B669" t="s">
        <v>1295</v>
      </c>
      <c r="C669" t="s">
        <v>807</v>
      </c>
      <c r="D669" t="s">
        <v>808</v>
      </c>
      <c r="E669" t="s">
        <v>7</v>
      </c>
      <c r="F669" t="s">
        <v>810</v>
      </c>
      <c r="H669">
        <v>70.58</v>
      </c>
      <c r="J669">
        <v>42.347999999999999</v>
      </c>
      <c r="K669">
        <v>112.928</v>
      </c>
    </row>
    <row r="670" spans="1:11">
      <c r="A670">
        <v>677</v>
      </c>
      <c r="B670" t="s">
        <v>1295</v>
      </c>
      <c r="C670" t="s">
        <v>807</v>
      </c>
      <c r="D670" t="s">
        <v>808</v>
      </c>
      <c r="E670" t="s">
        <v>7</v>
      </c>
      <c r="F670" t="s">
        <v>811</v>
      </c>
      <c r="H670">
        <v>79.400000000000006</v>
      </c>
      <c r="J670">
        <v>47.64</v>
      </c>
      <c r="K670">
        <v>127.04</v>
      </c>
    </row>
    <row r="671" spans="1:11">
      <c r="A671">
        <v>678</v>
      </c>
      <c r="B671" t="s">
        <v>1295</v>
      </c>
      <c r="C671" t="s">
        <v>807</v>
      </c>
      <c r="D671" t="s">
        <v>808</v>
      </c>
      <c r="E671" t="s">
        <v>7</v>
      </c>
      <c r="F671" t="s">
        <v>812</v>
      </c>
      <c r="H671">
        <v>88.22</v>
      </c>
      <c r="J671">
        <v>52.932000000000002</v>
      </c>
      <c r="K671">
        <v>141.15199999999999</v>
      </c>
    </row>
    <row r="672" spans="1:11">
      <c r="A672">
        <v>679</v>
      </c>
      <c r="B672" t="s">
        <v>1295</v>
      </c>
      <c r="C672" t="s">
        <v>105</v>
      </c>
      <c r="K672">
        <v>0.6</v>
      </c>
    </row>
    <row r="673" spans="1:11">
      <c r="A673">
        <v>680</v>
      </c>
      <c r="B673" t="s">
        <v>1295</v>
      </c>
      <c r="C673" t="s">
        <v>105</v>
      </c>
      <c r="D673" t="s">
        <v>813</v>
      </c>
      <c r="E673" t="s">
        <v>9</v>
      </c>
      <c r="F673" t="s">
        <v>814</v>
      </c>
      <c r="H673">
        <v>0</v>
      </c>
      <c r="J673">
        <v>0</v>
      </c>
      <c r="K673">
        <v>0</v>
      </c>
    </row>
    <row r="674" spans="1:11">
      <c r="A674">
        <v>681</v>
      </c>
      <c r="B674" t="s">
        <v>1295</v>
      </c>
      <c r="C674" t="s">
        <v>105</v>
      </c>
      <c r="D674" t="s">
        <v>813</v>
      </c>
      <c r="E674" t="s">
        <v>9</v>
      </c>
      <c r="F674" t="s">
        <v>815</v>
      </c>
      <c r="H674">
        <v>0</v>
      </c>
      <c r="J674">
        <v>0</v>
      </c>
      <c r="K674">
        <v>0</v>
      </c>
    </row>
    <row r="675" spans="1:11">
      <c r="A675">
        <v>682</v>
      </c>
      <c r="B675" t="s">
        <v>1295</v>
      </c>
      <c r="C675" t="s">
        <v>105</v>
      </c>
      <c r="D675" t="s">
        <v>813</v>
      </c>
      <c r="E675" t="s">
        <v>9</v>
      </c>
      <c r="F675" t="s">
        <v>816</v>
      </c>
      <c r="H675">
        <v>0</v>
      </c>
      <c r="J675">
        <v>0</v>
      </c>
      <c r="K675">
        <v>0</v>
      </c>
    </row>
    <row r="676" spans="1:11">
      <c r="A676">
        <v>683</v>
      </c>
      <c r="B676" t="s">
        <v>1295</v>
      </c>
      <c r="C676" t="s">
        <v>105</v>
      </c>
      <c r="D676" t="s">
        <v>813</v>
      </c>
      <c r="E676" t="s">
        <v>9</v>
      </c>
      <c r="F676" t="s">
        <v>817</v>
      </c>
      <c r="H676">
        <v>0</v>
      </c>
      <c r="J676">
        <v>0</v>
      </c>
      <c r="K676">
        <v>0</v>
      </c>
    </row>
    <row r="677" spans="1:11">
      <c r="A677">
        <v>684</v>
      </c>
      <c r="B677" t="s">
        <v>1349</v>
      </c>
      <c r="C677" t="s">
        <v>105</v>
      </c>
      <c r="D677" t="s">
        <v>1354</v>
      </c>
      <c r="E677" t="s">
        <v>9</v>
      </c>
      <c r="F677" t="s">
        <v>818</v>
      </c>
      <c r="H677">
        <v>0</v>
      </c>
      <c r="J677">
        <v>0</v>
      </c>
      <c r="K677">
        <v>0</v>
      </c>
    </row>
    <row r="678" spans="1:11">
      <c r="A678">
        <v>685</v>
      </c>
      <c r="B678" t="s">
        <v>1295</v>
      </c>
      <c r="C678" t="s">
        <v>559</v>
      </c>
      <c r="D678" t="s">
        <v>819</v>
      </c>
      <c r="E678" t="s">
        <v>767</v>
      </c>
      <c r="F678" t="s">
        <v>820</v>
      </c>
      <c r="H678">
        <v>0</v>
      </c>
      <c r="J678">
        <v>0</v>
      </c>
      <c r="K678">
        <v>0</v>
      </c>
    </row>
    <row r="679" spans="1:11">
      <c r="A679">
        <v>686</v>
      </c>
      <c r="B679" t="s">
        <v>1295</v>
      </c>
      <c r="C679" t="s">
        <v>559</v>
      </c>
      <c r="D679" t="s">
        <v>819</v>
      </c>
      <c r="E679" t="s">
        <v>767</v>
      </c>
      <c r="F679" t="s">
        <v>821</v>
      </c>
      <c r="H679">
        <v>1.4167000000000001</v>
      </c>
      <c r="J679">
        <v>0.85</v>
      </c>
      <c r="K679">
        <v>2.2667000000000002</v>
      </c>
    </row>
    <row r="680" spans="1:11">
      <c r="A680">
        <v>687</v>
      </c>
      <c r="B680" t="s">
        <v>1295</v>
      </c>
      <c r="C680" t="s">
        <v>559</v>
      </c>
      <c r="D680" t="s">
        <v>819</v>
      </c>
      <c r="E680" t="s">
        <v>767</v>
      </c>
      <c r="F680" t="s">
        <v>822</v>
      </c>
      <c r="H680">
        <v>1360</v>
      </c>
      <c r="J680">
        <v>816</v>
      </c>
      <c r="K680">
        <v>2176</v>
      </c>
    </row>
    <row r="681" spans="1:11">
      <c r="A681">
        <v>688</v>
      </c>
      <c r="B681" t="s">
        <v>1295</v>
      </c>
      <c r="C681" t="s">
        <v>559</v>
      </c>
      <c r="D681" t="s">
        <v>819</v>
      </c>
      <c r="E681" t="s">
        <v>767</v>
      </c>
      <c r="F681" t="s">
        <v>29</v>
      </c>
      <c r="H681">
        <v>1360</v>
      </c>
      <c r="J681">
        <v>816</v>
      </c>
      <c r="K681">
        <v>2176</v>
      </c>
    </row>
    <row r="682" spans="1:11">
      <c r="A682">
        <v>689</v>
      </c>
      <c r="B682" t="s">
        <v>1295</v>
      </c>
      <c r="C682" t="s">
        <v>559</v>
      </c>
      <c r="D682" t="s">
        <v>819</v>
      </c>
      <c r="E682" t="s">
        <v>767</v>
      </c>
      <c r="F682" t="s">
        <v>823</v>
      </c>
      <c r="H682">
        <v>170</v>
      </c>
      <c r="J682">
        <v>102</v>
      </c>
      <c r="K682">
        <v>272</v>
      </c>
    </row>
    <row r="683" spans="1:11">
      <c r="A683">
        <v>690</v>
      </c>
      <c r="B683" t="s">
        <v>1295</v>
      </c>
      <c r="C683" t="s">
        <v>559</v>
      </c>
      <c r="D683" t="s">
        <v>819</v>
      </c>
      <c r="E683" t="s">
        <v>767</v>
      </c>
      <c r="F683" t="s">
        <v>824</v>
      </c>
      <c r="H683">
        <v>680</v>
      </c>
      <c r="J683">
        <v>408</v>
      </c>
      <c r="K683">
        <v>1088</v>
      </c>
    </row>
    <row r="684" spans="1:11">
      <c r="A684">
        <v>691</v>
      </c>
      <c r="B684" t="s">
        <v>1295</v>
      </c>
      <c r="C684" t="s">
        <v>559</v>
      </c>
      <c r="D684" t="s">
        <v>819</v>
      </c>
      <c r="E684" t="s">
        <v>767</v>
      </c>
      <c r="F684" t="s">
        <v>28</v>
      </c>
      <c r="H684">
        <v>170</v>
      </c>
      <c r="J684">
        <v>102</v>
      </c>
      <c r="K684">
        <v>272</v>
      </c>
    </row>
    <row r="685" spans="1:11">
      <c r="A685">
        <v>692</v>
      </c>
      <c r="B685" t="s">
        <v>1295</v>
      </c>
      <c r="C685" t="s">
        <v>559</v>
      </c>
      <c r="D685" t="s">
        <v>819</v>
      </c>
      <c r="E685" t="s">
        <v>767</v>
      </c>
      <c r="H685">
        <v>7.0833000000000004</v>
      </c>
      <c r="J685">
        <v>4.25</v>
      </c>
      <c r="K685">
        <v>11.333299999999999</v>
      </c>
    </row>
    <row r="686" spans="1:11">
      <c r="A686">
        <v>693</v>
      </c>
      <c r="B686" t="s">
        <v>1295</v>
      </c>
      <c r="C686" t="s">
        <v>559</v>
      </c>
      <c r="D686" t="s">
        <v>819</v>
      </c>
      <c r="E686" t="s">
        <v>767</v>
      </c>
      <c r="F686" t="s">
        <v>825</v>
      </c>
      <c r="H686">
        <v>21.25</v>
      </c>
      <c r="J686">
        <v>12.75</v>
      </c>
      <c r="K686">
        <v>34</v>
      </c>
    </row>
    <row r="687" spans="1:11">
      <c r="A687">
        <v>694</v>
      </c>
      <c r="B687" t="s">
        <v>1295</v>
      </c>
      <c r="C687" t="s">
        <v>559</v>
      </c>
      <c r="D687" t="s">
        <v>819</v>
      </c>
      <c r="E687" t="s">
        <v>767</v>
      </c>
      <c r="F687" t="s">
        <v>826</v>
      </c>
      <c r="H687">
        <v>32.583300000000001</v>
      </c>
      <c r="J687">
        <v>19.55</v>
      </c>
      <c r="K687">
        <v>52.133299999999998</v>
      </c>
    </row>
    <row r="688" spans="1:11">
      <c r="A688">
        <v>695</v>
      </c>
      <c r="B688" t="s">
        <v>1295</v>
      </c>
      <c r="C688" t="s">
        <v>559</v>
      </c>
      <c r="D688" t="s">
        <v>819</v>
      </c>
      <c r="E688" t="s">
        <v>767</v>
      </c>
      <c r="F688" t="s">
        <v>827</v>
      </c>
      <c r="H688">
        <v>32.583300000000001</v>
      </c>
      <c r="J688">
        <v>19.55</v>
      </c>
      <c r="K688">
        <v>52.133299999999998</v>
      </c>
    </row>
    <row r="689" spans="1:11">
      <c r="A689">
        <v>696</v>
      </c>
      <c r="B689" t="s">
        <v>1295</v>
      </c>
      <c r="C689" t="s">
        <v>559</v>
      </c>
      <c r="D689" t="s">
        <v>819</v>
      </c>
      <c r="E689" t="s">
        <v>767</v>
      </c>
      <c r="F689" t="s">
        <v>828</v>
      </c>
      <c r="H689">
        <v>32.583300000000001</v>
      </c>
      <c r="J689">
        <v>19.55</v>
      </c>
      <c r="K689">
        <v>52.133299999999998</v>
      </c>
    </row>
    <row r="690" spans="1:11">
      <c r="A690">
        <v>697</v>
      </c>
      <c r="B690" t="s">
        <v>1295</v>
      </c>
      <c r="C690" t="s">
        <v>559</v>
      </c>
      <c r="D690" t="s">
        <v>819</v>
      </c>
      <c r="E690" t="s">
        <v>767</v>
      </c>
      <c r="F690" t="s">
        <v>829</v>
      </c>
      <c r="H690">
        <v>21.25</v>
      </c>
      <c r="J690">
        <v>12.75</v>
      </c>
      <c r="K690">
        <v>34</v>
      </c>
    </row>
    <row r="691" spans="1:11">
      <c r="A691">
        <v>698</v>
      </c>
      <c r="B691" t="s">
        <v>1295</v>
      </c>
      <c r="C691" t="s">
        <v>559</v>
      </c>
      <c r="D691" t="s">
        <v>819</v>
      </c>
      <c r="E691" t="s">
        <v>767</v>
      </c>
      <c r="F691" t="s">
        <v>49</v>
      </c>
      <c r="H691">
        <v>21.25</v>
      </c>
      <c r="J691">
        <v>12.75</v>
      </c>
      <c r="K691">
        <v>34</v>
      </c>
    </row>
    <row r="692" spans="1:11">
      <c r="A692">
        <v>699</v>
      </c>
      <c r="B692" t="s">
        <v>1295</v>
      </c>
      <c r="C692" t="s">
        <v>559</v>
      </c>
      <c r="D692" t="s">
        <v>819</v>
      </c>
      <c r="E692" t="s">
        <v>767</v>
      </c>
      <c r="F692" t="s">
        <v>830</v>
      </c>
      <c r="H692">
        <v>0</v>
      </c>
      <c r="J692">
        <v>0</v>
      </c>
      <c r="K692">
        <v>0</v>
      </c>
    </row>
    <row r="693" spans="1:11">
      <c r="A693">
        <v>700</v>
      </c>
      <c r="B693" t="s">
        <v>1295</v>
      </c>
      <c r="C693" t="s">
        <v>50</v>
      </c>
      <c r="D693" t="s">
        <v>831</v>
      </c>
      <c r="E693" t="s">
        <v>767</v>
      </c>
      <c r="J693">
        <v>0</v>
      </c>
      <c r="K693">
        <v>0</v>
      </c>
    </row>
    <row r="694" spans="1:11">
      <c r="A694">
        <v>701</v>
      </c>
      <c r="B694" t="s">
        <v>1295</v>
      </c>
      <c r="C694" t="s">
        <v>50</v>
      </c>
      <c r="D694" t="s">
        <v>831</v>
      </c>
      <c r="E694" t="s">
        <v>767</v>
      </c>
      <c r="F694" t="s">
        <v>1156</v>
      </c>
      <c r="H694">
        <v>7.0833000000000004</v>
      </c>
      <c r="J694">
        <v>4.25</v>
      </c>
      <c r="K694">
        <v>11.333299999999999</v>
      </c>
    </row>
    <row r="695" spans="1:11">
      <c r="A695">
        <v>702</v>
      </c>
      <c r="B695" t="s">
        <v>1295</v>
      </c>
      <c r="C695" t="s">
        <v>50</v>
      </c>
      <c r="D695" t="s">
        <v>831</v>
      </c>
      <c r="E695" t="s">
        <v>767</v>
      </c>
      <c r="F695" t="s">
        <v>1157</v>
      </c>
      <c r="H695">
        <v>21.25</v>
      </c>
      <c r="J695">
        <v>12.75</v>
      </c>
      <c r="K695">
        <v>34</v>
      </c>
    </row>
    <row r="696" spans="1:11">
      <c r="A696">
        <v>703</v>
      </c>
      <c r="B696" t="s">
        <v>1295</v>
      </c>
      <c r="C696" t="s">
        <v>50</v>
      </c>
      <c r="D696" t="s">
        <v>831</v>
      </c>
      <c r="E696" t="s">
        <v>767</v>
      </c>
      <c r="F696" t="s">
        <v>1158</v>
      </c>
      <c r="H696">
        <v>28.333300000000001</v>
      </c>
      <c r="J696">
        <v>17</v>
      </c>
      <c r="K696">
        <v>45.333300000000001</v>
      </c>
    </row>
    <row r="697" spans="1:11">
      <c r="A697">
        <v>704</v>
      </c>
      <c r="B697" t="s">
        <v>1295</v>
      </c>
      <c r="C697" t="s">
        <v>50</v>
      </c>
      <c r="D697" t="s">
        <v>831</v>
      </c>
      <c r="E697" t="s">
        <v>767</v>
      </c>
      <c r="F697" t="s">
        <v>1159</v>
      </c>
      <c r="H697">
        <v>56.666699999999999</v>
      </c>
      <c r="J697">
        <v>34</v>
      </c>
      <c r="K697">
        <v>90.666700000000006</v>
      </c>
    </row>
    <row r="698" spans="1:11">
      <c r="A698">
        <v>705</v>
      </c>
      <c r="B698" t="s">
        <v>1295</v>
      </c>
      <c r="C698" t="s">
        <v>50</v>
      </c>
      <c r="D698" t="s">
        <v>831</v>
      </c>
      <c r="E698" t="s">
        <v>767</v>
      </c>
      <c r="F698" t="s">
        <v>1160</v>
      </c>
      <c r="H698">
        <v>42.5</v>
      </c>
      <c r="J698">
        <v>25.5</v>
      </c>
      <c r="K698">
        <v>68</v>
      </c>
    </row>
    <row r="699" spans="1:11">
      <c r="A699">
        <v>706</v>
      </c>
      <c r="B699" t="s">
        <v>1295</v>
      </c>
      <c r="C699" t="s">
        <v>50</v>
      </c>
      <c r="D699" t="s">
        <v>837</v>
      </c>
      <c r="E699" t="s">
        <v>767</v>
      </c>
      <c r="F699" t="s">
        <v>838</v>
      </c>
      <c r="H699">
        <v>155.83330000000001</v>
      </c>
      <c r="J699">
        <v>93.5</v>
      </c>
      <c r="K699">
        <v>249.33330000000001</v>
      </c>
    </row>
    <row r="700" spans="1:11">
      <c r="A700">
        <v>707</v>
      </c>
      <c r="B700" t="s">
        <v>1295</v>
      </c>
      <c r="C700" t="s">
        <v>50</v>
      </c>
      <c r="D700" t="s">
        <v>837</v>
      </c>
      <c r="E700" t="s">
        <v>767</v>
      </c>
      <c r="F700" t="s">
        <v>839</v>
      </c>
      <c r="H700">
        <v>0</v>
      </c>
      <c r="J700">
        <v>0</v>
      </c>
      <c r="K700">
        <v>0</v>
      </c>
    </row>
    <row r="701" spans="1:11">
      <c r="A701">
        <v>708</v>
      </c>
      <c r="B701" t="s">
        <v>1295</v>
      </c>
      <c r="C701" t="s">
        <v>840</v>
      </c>
      <c r="D701" t="s">
        <v>841</v>
      </c>
      <c r="E701" t="s">
        <v>767</v>
      </c>
      <c r="F701" t="s">
        <v>842</v>
      </c>
      <c r="H701">
        <v>85</v>
      </c>
      <c r="J701">
        <v>51</v>
      </c>
      <c r="K701">
        <v>136</v>
      </c>
    </row>
    <row r="702" spans="1:11">
      <c r="A702">
        <v>709</v>
      </c>
      <c r="B702" t="s">
        <v>1295</v>
      </c>
      <c r="C702" t="s">
        <v>840</v>
      </c>
      <c r="D702" t="s">
        <v>841</v>
      </c>
      <c r="E702" t="s">
        <v>767</v>
      </c>
      <c r="F702" t="s">
        <v>843</v>
      </c>
      <c r="H702">
        <v>85</v>
      </c>
      <c r="J702">
        <v>51</v>
      </c>
      <c r="K702">
        <v>136</v>
      </c>
    </row>
    <row r="703" spans="1:11">
      <c r="A703">
        <v>710</v>
      </c>
      <c r="B703" t="s">
        <v>1295</v>
      </c>
      <c r="C703" t="s">
        <v>840</v>
      </c>
      <c r="D703" t="s">
        <v>841</v>
      </c>
      <c r="E703" t="s">
        <v>767</v>
      </c>
      <c r="F703" t="s">
        <v>1161</v>
      </c>
      <c r="H703">
        <v>85</v>
      </c>
      <c r="J703">
        <v>51</v>
      </c>
      <c r="K703">
        <v>85</v>
      </c>
    </row>
    <row r="704" spans="1:11">
      <c r="A704">
        <v>711</v>
      </c>
      <c r="B704" t="s">
        <v>1295</v>
      </c>
      <c r="C704" t="s">
        <v>840</v>
      </c>
      <c r="D704" t="s">
        <v>841</v>
      </c>
      <c r="E704" t="s">
        <v>767</v>
      </c>
      <c r="F704" t="s">
        <v>1162</v>
      </c>
      <c r="H704">
        <v>85</v>
      </c>
      <c r="J704">
        <v>51</v>
      </c>
      <c r="K704">
        <v>85</v>
      </c>
    </row>
    <row r="705" spans="1:11">
      <c r="A705">
        <v>712</v>
      </c>
      <c r="B705" t="s">
        <v>1295</v>
      </c>
      <c r="C705" t="s">
        <v>840</v>
      </c>
      <c r="D705" t="s">
        <v>841</v>
      </c>
      <c r="E705" t="s">
        <v>767</v>
      </c>
      <c r="F705" t="s">
        <v>846</v>
      </c>
      <c r="H705">
        <v>85</v>
      </c>
      <c r="J705">
        <v>51</v>
      </c>
      <c r="K705">
        <v>85</v>
      </c>
    </row>
    <row r="706" spans="1:11">
      <c r="A706">
        <v>713</v>
      </c>
      <c r="B706" t="s">
        <v>1295</v>
      </c>
      <c r="C706" t="s">
        <v>840</v>
      </c>
      <c r="D706" t="s">
        <v>841</v>
      </c>
      <c r="E706" t="s">
        <v>767</v>
      </c>
      <c r="F706" t="s">
        <v>53</v>
      </c>
      <c r="H706">
        <v>85</v>
      </c>
      <c r="J706">
        <v>51</v>
      </c>
      <c r="K706">
        <v>85</v>
      </c>
    </row>
    <row r="707" spans="1:11">
      <c r="A707">
        <v>714</v>
      </c>
      <c r="B707" t="s">
        <v>1295</v>
      </c>
      <c r="C707" t="s">
        <v>840</v>
      </c>
      <c r="D707" t="s">
        <v>841</v>
      </c>
      <c r="E707" t="s">
        <v>767</v>
      </c>
      <c r="F707" t="s">
        <v>847</v>
      </c>
      <c r="H707">
        <v>85</v>
      </c>
      <c r="J707">
        <v>51</v>
      </c>
      <c r="K707">
        <v>136</v>
      </c>
    </row>
    <row r="708" spans="1:11">
      <c r="A708">
        <v>715</v>
      </c>
      <c r="B708" t="s">
        <v>1295</v>
      </c>
      <c r="C708" t="s">
        <v>840</v>
      </c>
      <c r="D708" t="s">
        <v>841</v>
      </c>
      <c r="E708" t="s">
        <v>767</v>
      </c>
      <c r="F708" t="s">
        <v>848</v>
      </c>
      <c r="H708">
        <v>56.666699999999999</v>
      </c>
      <c r="J708">
        <v>34</v>
      </c>
      <c r="K708">
        <v>90.666700000000006</v>
      </c>
    </row>
    <row r="709" spans="1:11">
      <c r="A709">
        <v>716</v>
      </c>
      <c r="B709" t="s">
        <v>1295</v>
      </c>
      <c r="C709" t="s">
        <v>840</v>
      </c>
      <c r="D709" t="s">
        <v>841</v>
      </c>
      <c r="E709" t="s">
        <v>767</v>
      </c>
      <c r="F709" t="s">
        <v>849</v>
      </c>
      <c r="H709">
        <v>42.5</v>
      </c>
      <c r="J709">
        <v>25.5</v>
      </c>
      <c r="K709">
        <v>68</v>
      </c>
    </row>
    <row r="710" spans="1:11">
      <c r="A710">
        <v>717</v>
      </c>
      <c r="B710" t="s">
        <v>1295</v>
      </c>
      <c r="C710" t="s">
        <v>840</v>
      </c>
      <c r="D710" t="s">
        <v>841</v>
      </c>
      <c r="E710" t="s">
        <v>767</v>
      </c>
      <c r="F710" t="s">
        <v>850</v>
      </c>
      <c r="H710">
        <v>11.333299999999999</v>
      </c>
      <c r="J710">
        <v>6.8</v>
      </c>
      <c r="K710">
        <v>18.133299999999998</v>
      </c>
    </row>
    <row r="711" spans="1:11">
      <c r="A711">
        <v>718</v>
      </c>
      <c r="B711" t="s">
        <v>1295</v>
      </c>
      <c r="C711" t="s">
        <v>840</v>
      </c>
      <c r="D711" t="s">
        <v>851</v>
      </c>
      <c r="E711" t="s">
        <v>767</v>
      </c>
      <c r="F711" t="s">
        <v>852</v>
      </c>
      <c r="H711">
        <v>17</v>
      </c>
      <c r="J711">
        <v>10.199999999999999</v>
      </c>
      <c r="K711">
        <v>27.2</v>
      </c>
    </row>
    <row r="712" spans="1:11">
      <c r="A712">
        <v>719</v>
      </c>
      <c r="B712" t="s">
        <v>1295</v>
      </c>
      <c r="C712" t="s">
        <v>840</v>
      </c>
      <c r="D712" t="s">
        <v>851</v>
      </c>
      <c r="E712" t="s">
        <v>767</v>
      </c>
      <c r="F712" t="s">
        <v>54</v>
      </c>
      <c r="H712">
        <v>35.416699999999999</v>
      </c>
      <c r="J712">
        <v>21.25</v>
      </c>
      <c r="K712">
        <v>56.666699999999999</v>
      </c>
    </row>
    <row r="713" spans="1:11">
      <c r="A713">
        <v>720</v>
      </c>
      <c r="B713" t="s">
        <v>1295</v>
      </c>
      <c r="C713" t="s">
        <v>840</v>
      </c>
      <c r="D713" t="s">
        <v>851</v>
      </c>
      <c r="E713" t="s">
        <v>767</v>
      </c>
      <c r="F713" t="s">
        <v>853</v>
      </c>
      <c r="H713">
        <v>14.166700000000001</v>
      </c>
      <c r="J713">
        <v>8.5</v>
      </c>
      <c r="K713">
        <v>22.666699999999999</v>
      </c>
    </row>
    <row r="714" spans="1:11">
      <c r="A714">
        <v>721</v>
      </c>
      <c r="B714" t="s">
        <v>1295</v>
      </c>
      <c r="C714" t="s">
        <v>35</v>
      </c>
      <c r="D714" t="s">
        <v>854</v>
      </c>
      <c r="E714" t="s">
        <v>767</v>
      </c>
      <c r="J714">
        <v>0</v>
      </c>
      <c r="K714">
        <v>0</v>
      </c>
    </row>
    <row r="715" spans="1:11">
      <c r="A715">
        <v>722</v>
      </c>
      <c r="B715" t="s">
        <v>1295</v>
      </c>
      <c r="C715" t="s">
        <v>35</v>
      </c>
      <c r="D715" t="s">
        <v>854</v>
      </c>
      <c r="E715" t="s">
        <v>767</v>
      </c>
      <c r="F715" t="s">
        <v>855</v>
      </c>
      <c r="H715">
        <v>14.166700000000001</v>
      </c>
      <c r="J715">
        <v>8.5</v>
      </c>
      <c r="K715">
        <v>22.666699999999999</v>
      </c>
    </row>
    <row r="716" spans="1:11">
      <c r="A716">
        <v>723</v>
      </c>
      <c r="B716" t="s">
        <v>1295</v>
      </c>
      <c r="C716" t="s">
        <v>35</v>
      </c>
      <c r="D716" t="s">
        <v>854</v>
      </c>
      <c r="E716" t="s">
        <v>767</v>
      </c>
      <c r="F716" t="s">
        <v>856</v>
      </c>
      <c r="H716">
        <v>14.166700000000001</v>
      </c>
      <c r="J716">
        <v>8.5</v>
      </c>
      <c r="K716">
        <v>22.666699999999999</v>
      </c>
    </row>
    <row r="717" spans="1:11">
      <c r="A717">
        <v>724</v>
      </c>
      <c r="B717" t="s">
        <v>1295</v>
      </c>
      <c r="C717" t="s">
        <v>35</v>
      </c>
      <c r="D717" t="s">
        <v>854</v>
      </c>
      <c r="E717" t="s">
        <v>767</v>
      </c>
      <c r="F717" t="s">
        <v>857</v>
      </c>
      <c r="H717">
        <v>17</v>
      </c>
      <c r="J717">
        <v>10.199999999999999</v>
      </c>
      <c r="K717">
        <v>27.2</v>
      </c>
    </row>
    <row r="718" spans="1:11">
      <c r="A718">
        <v>725</v>
      </c>
      <c r="B718" t="s">
        <v>1295</v>
      </c>
      <c r="C718" t="s">
        <v>57</v>
      </c>
      <c r="D718" t="s">
        <v>858</v>
      </c>
      <c r="E718" t="s">
        <v>767</v>
      </c>
      <c r="J718">
        <v>0</v>
      </c>
      <c r="K718">
        <v>0</v>
      </c>
    </row>
    <row r="719" spans="1:11">
      <c r="A719">
        <v>726</v>
      </c>
      <c r="B719" t="s">
        <v>1295</v>
      </c>
      <c r="C719" t="s">
        <v>57</v>
      </c>
      <c r="D719" t="s">
        <v>858</v>
      </c>
      <c r="E719" t="s">
        <v>767</v>
      </c>
      <c r="F719" t="s">
        <v>859</v>
      </c>
      <c r="H719">
        <v>42.5</v>
      </c>
      <c r="J719">
        <v>25.5</v>
      </c>
      <c r="K719">
        <v>68</v>
      </c>
    </row>
    <row r="720" spans="1:11">
      <c r="A720">
        <v>727</v>
      </c>
      <c r="B720" t="s">
        <v>1295</v>
      </c>
      <c r="C720" t="s">
        <v>57</v>
      </c>
      <c r="D720" t="s">
        <v>858</v>
      </c>
      <c r="E720" t="s">
        <v>767</v>
      </c>
      <c r="F720" t="s">
        <v>860</v>
      </c>
      <c r="H720">
        <v>28.333300000000001</v>
      </c>
      <c r="J720">
        <v>17</v>
      </c>
      <c r="K720">
        <v>45.333300000000001</v>
      </c>
    </row>
    <row r="721" spans="1:11">
      <c r="A721">
        <v>728</v>
      </c>
      <c r="B721" t="s">
        <v>1295</v>
      </c>
      <c r="C721" t="s">
        <v>57</v>
      </c>
      <c r="D721" t="s">
        <v>858</v>
      </c>
      <c r="E721" t="s">
        <v>767</v>
      </c>
      <c r="F721" t="s">
        <v>861</v>
      </c>
      <c r="H721">
        <v>0</v>
      </c>
      <c r="J721">
        <v>0</v>
      </c>
      <c r="K721">
        <v>0</v>
      </c>
    </row>
    <row r="722" spans="1:11">
      <c r="A722">
        <v>729</v>
      </c>
      <c r="B722" t="s">
        <v>1295</v>
      </c>
      <c r="C722" t="s">
        <v>57</v>
      </c>
      <c r="D722" t="s">
        <v>858</v>
      </c>
      <c r="E722" t="s">
        <v>767</v>
      </c>
      <c r="F722" t="s">
        <v>1163</v>
      </c>
      <c r="H722">
        <v>0</v>
      </c>
      <c r="J722">
        <v>0</v>
      </c>
      <c r="K722">
        <v>0</v>
      </c>
    </row>
    <row r="723" spans="1:11">
      <c r="A723">
        <v>730</v>
      </c>
      <c r="B723" t="s">
        <v>1295</v>
      </c>
      <c r="C723" t="s">
        <v>57</v>
      </c>
      <c r="D723" t="s">
        <v>858</v>
      </c>
      <c r="E723" t="s">
        <v>767</v>
      </c>
      <c r="F723" t="s">
        <v>863</v>
      </c>
      <c r="H723">
        <v>21.25</v>
      </c>
      <c r="J723">
        <v>12.75</v>
      </c>
      <c r="K723">
        <v>34</v>
      </c>
    </row>
    <row r="724" spans="1:11">
      <c r="A724">
        <v>731</v>
      </c>
      <c r="B724" t="s">
        <v>1295</v>
      </c>
      <c r="C724" t="s">
        <v>596</v>
      </c>
      <c r="D724" t="s">
        <v>864</v>
      </c>
      <c r="E724" t="s">
        <v>767</v>
      </c>
      <c r="F724" t="s">
        <v>1289</v>
      </c>
      <c r="H724">
        <v>14.166700000000001</v>
      </c>
      <c r="J724">
        <v>8.5</v>
      </c>
      <c r="K724">
        <v>22.666699999999999</v>
      </c>
    </row>
    <row r="725" spans="1:11">
      <c r="A725">
        <v>732</v>
      </c>
      <c r="B725" t="s">
        <v>1295</v>
      </c>
      <c r="C725" t="s">
        <v>596</v>
      </c>
      <c r="D725" t="s">
        <v>864</v>
      </c>
      <c r="E725" t="s">
        <v>767</v>
      </c>
      <c r="F725" t="s">
        <v>1290</v>
      </c>
      <c r="H725">
        <v>0</v>
      </c>
      <c r="J725">
        <v>0</v>
      </c>
      <c r="K725">
        <v>0</v>
      </c>
    </row>
    <row r="726" spans="1:11">
      <c r="A726">
        <v>733</v>
      </c>
      <c r="B726" t="s">
        <v>1295</v>
      </c>
      <c r="C726" t="s">
        <v>596</v>
      </c>
      <c r="D726" t="s">
        <v>864</v>
      </c>
      <c r="E726" t="s">
        <v>767</v>
      </c>
      <c r="F726" t="s">
        <v>1291</v>
      </c>
      <c r="H726">
        <v>85</v>
      </c>
      <c r="J726">
        <v>51</v>
      </c>
      <c r="K726">
        <v>136</v>
      </c>
    </row>
    <row r="727" spans="1:11">
      <c r="A727">
        <v>734</v>
      </c>
      <c r="B727" t="s">
        <v>1295</v>
      </c>
      <c r="C727" t="s">
        <v>596</v>
      </c>
      <c r="D727" t="s">
        <v>864</v>
      </c>
      <c r="E727" t="s">
        <v>767</v>
      </c>
      <c r="F727" t="s">
        <v>1292</v>
      </c>
      <c r="H727">
        <v>53.125</v>
      </c>
      <c r="J727">
        <v>31.875</v>
      </c>
      <c r="K727">
        <v>85</v>
      </c>
    </row>
    <row r="728" spans="1:11">
      <c r="A728">
        <v>735</v>
      </c>
      <c r="B728" t="s">
        <v>1295</v>
      </c>
      <c r="C728" t="s">
        <v>596</v>
      </c>
      <c r="D728" t="s">
        <v>864</v>
      </c>
      <c r="E728" t="s">
        <v>767</v>
      </c>
      <c r="F728" t="s">
        <v>869</v>
      </c>
      <c r="H728">
        <v>170</v>
      </c>
      <c r="J728">
        <v>102</v>
      </c>
      <c r="K728">
        <v>272</v>
      </c>
    </row>
    <row r="729" spans="1:11">
      <c r="A729">
        <v>736</v>
      </c>
      <c r="B729" t="s">
        <v>1295</v>
      </c>
      <c r="C729" t="s">
        <v>596</v>
      </c>
      <c r="D729" t="s">
        <v>864</v>
      </c>
      <c r="E729" t="s">
        <v>767</v>
      </c>
      <c r="F729" t="s">
        <v>870</v>
      </c>
      <c r="H729">
        <v>35.416699999999999</v>
      </c>
      <c r="J729">
        <v>21.25</v>
      </c>
      <c r="K729">
        <v>56.666699999999999</v>
      </c>
    </row>
    <row r="730" spans="1:11">
      <c r="A730">
        <v>737</v>
      </c>
      <c r="B730" t="s">
        <v>1295</v>
      </c>
      <c r="C730" t="s">
        <v>596</v>
      </c>
      <c r="D730" t="s">
        <v>864</v>
      </c>
      <c r="E730" t="s">
        <v>767</v>
      </c>
      <c r="F730" t="s">
        <v>871</v>
      </c>
      <c r="H730">
        <v>340</v>
      </c>
      <c r="J730">
        <v>204</v>
      </c>
      <c r="K730">
        <v>544</v>
      </c>
    </row>
    <row r="731" spans="1:11">
      <c r="A731">
        <v>738</v>
      </c>
      <c r="B731" t="s">
        <v>1295</v>
      </c>
      <c r="C731" t="s">
        <v>596</v>
      </c>
      <c r="D731" t="s">
        <v>864</v>
      </c>
      <c r="E731" t="s">
        <v>767</v>
      </c>
      <c r="F731" t="s">
        <v>872</v>
      </c>
      <c r="H731">
        <v>35.416699999999999</v>
      </c>
      <c r="J731">
        <v>21.25</v>
      </c>
      <c r="K731">
        <v>56.666699999999999</v>
      </c>
    </row>
    <row r="732" spans="1:11">
      <c r="A732">
        <v>739</v>
      </c>
      <c r="B732" t="s">
        <v>1295</v>
      </c>
      <c r="C732" t="s">
        <v>596</v>
      </c>
      <c r="D732" t="s">
        <v>864</v>
      </c>
      <c r="E732" t="s">
        <v>767</v>
      </c>
      <c r="F732" t="s">
        <v>873</v>
      </c>
      <c r="H732">
        <v>35.416699999999999</v>
      </c>
      <c r="J732">
        <v>21.25</v>
      </c>
      <c r="K732">
        <v>56.666699999999999</v>
      </c>
    </row>
    <row r="733" spans="1:11">
      <c r="A733">
        <v>740</v>
      </c>
      <c r="B733" t="s">
        <v>1295</v>
      </c>
      <c r="C733" t="s">
        <v>596</v>
      </c>
      <c r="D733" t="s">
        <v>864</v>
      </c>
      <c r="E733" t="s">
        <v>767</v>
      </c>
      <c r="F733" t="s">
        <v>874</v>
      </c>
      <c r="H733">
        <v>42.5</v>
      </c>
      <c r="J733">
        <v>25.5</v>
      </c>
      <c r="K733">
        <v>68</v>
      </c>
    </row>
    <row r="734" spans="1:11">
      <c r="A734">
        <v>741</v>
      </c>
      <c r="B734" t="s">
        <v>1295</v>
      </c>
      <c r="C734" t="s">
        <v>596</v>
      </c>
      <c r="D734" t="s">
        <v>864</v>
      </c>
      <c r="E734" t="s">
        <v>767</v>
      </c>
      <c r="F734" t="s">
        <v>875</v>
      </c>
      <c r="H734">
        <v>53.125</v>
      </c>
      <c r="J734">
        <v>31.875</v>
      </c>
      <c r="K734">
        <v>85</v>
      </c>
    </row>
    <row r="735" spans="1:11">
      <c r="A735">
        <v>742</v>
      </c>
      <c r="B735" t="s">
        <v>1295</v>
      </c>
      <c r="C735" t="s">
        <v>596</v>
      </c>
      <c r="D735" t="s">
        <v>876</v>
      </c>
      <c r="E735" t="s">
        <v>767</v>
      </c>
      <c r="F735" t="s">
        <v>877</v>
      </c>
      <c r="H735">
        <v>42.5</v>
      </c>
      <c r="J735">
        <v>25.5</v>
      </c>
      <c r="K735">
        <v>68</v>
      </c>
    </row>
    <row r="736" spans="1:11">
      <c r="A736">
        <v>743</v>
      </c>
      <c r="B736" t="s">
        <v>1295</v>
      </c>
      <c r="C736" t="s">
        <v>596</v>
      </c>
      <c r="D736" t="s">
        <v>876</v>
      </c>
      <c r="E736" t="s">
        <v>767</v>
      </c>
      <c r="F736" t="s">
        <v>104</v>
      </c>
      <c r="H736">
        <v>1.7707999999999999</v>
      </c>
      <c r="J736">
        <v>1.0625</v>
      </c>
      <c r="K736">
        <v>2.8332999999999999</v>
      </c>
    </row>
    <row r="737" spans="1:11">
      <c r="A737">
        <v>744</v>
      </c>
      <c r="B737" t="s">
        <v>1295</v>
      </c>
      <c r="C737" t="s">
        <v>596</v>
      </c>
      <c r="D737" t="s">
        <v>876</v>
      </c>
      <c r="E737" t="s">
        <v>767</v>
      </c>
      <c r="F737" t="s">
        <v>104</v>
      </c>
      <c r="H737">
        <v>9.9167000000000005</v>
      </c>
      <c r="J737">
        <v>5.95</v>
      </c>
      <c r="K737">
        <v>15.8667</v>
      </c>
    </row>
    <row r="738" spans="1:11">
      <c r="A738">
        <v>745</v>
      </c>
      <c r="B738" t="s">
        <v>1295</v>
      </c>
      <c r="C738" t="s">
        <v>596</v>
      </c>
      <c r="D738" t="s">
        <v>876</v>
      </c>
      <c r="E738" t="s">
        <v>767</v>
      </c>
      <c r="F738" t="s">
        <v>104</v>
      </c>
      <c r="H738">
        <v>14.166700000000001</v>
      </c>
      <c r="J738">
        <v>8.5</v>
      </c>
      <c r="K738">
        <v>22.666699999999999</v>
      </c>
    </row>
    <row r="739" spans="1:11">
      <c r="A739">
        <v>746</v>
      </c>
      <c r="B739" t="s">
        <v>1295</v>
      </c>
      <c r="C739" t="s">
        <v>596</v>
      </c>
      <c r="D739" t="s">
        <v>876</v>
      </c>
      <c r="E739" t="s">
        <v>767</v>
      </c>
      <c r="H739">
        <v>28.333300000000001</v>
      </c>
      <c r="J739">
        <v>17</v>
      </c>
      <c r="K739">
        <v>45.333300000000001</v>
      </c>
    </row>
    <row r="740" spans="1:11">
      <c r="A740">
        <v>747</v>
      </c>
      <c r="B740" t="s">
        <v>1295</v>
      </c>
      <c r="C740" t="s">
        <v>105</v>
      </c>
      <c r="D740" t="s">
        <v>878</v>
      </c>
      <c r="E740" t="s">
        <v>9</v>
      </c>
      <c r="F740" t="s">
        <v>879</v>
      </c>
      <c r="H740">
        <v>400</v>
      </c>
      <c r="J740">
        <v>240</v>
      </c>
      <c r="K740">
        <v>640</v>
      </c>
    </row>
    <row r="741" spans="1:11">
      <c r="A741">
        <v>748</v>
      </c>
      <c r="B741" t="s">
        <v>1295</v>
      </c>
      <c r="C741" t="s">
        <v>105</v>
      </c>
      <c r="D741" t="s">
        <v>880</v>
      </c>
      <c r="E741" t="s">
        <v>9</v>
      </c>
      <c r="J741">
        <v>0</v>
      </c>
      <c r="K741">
        <v>0</v>
      </c>
    </row>
    <row r="742" spans="1:11">
      <c r="A742">
        <v>749</v>
      </c>
      <c r="B742" t="s">
        <v>1295</v>
      </c>
      <c r="C742" t="s">
        <v>105</v>
      </c>
      <c r="D742" t="s">
        <v>880</v>
      </c>
      <c r="E742" t="s">
        <v>9</v>
      </c>
      <c r="F742" t="s">
        <v>881</v>
      </c>
      <c r="H742">
        <v>100</v>
      </c>
      <c r="J742">
        <v>60</v>
      </c>
      <c r="K742">
        <v>160</v>
      </c>
    </row>
    <row r="743" spans="1:11">
      <c r="A743">
        <v>750</v>
      </c>
      <c r="B743" t="s">
        <v>1295</v>
      </c>
      <c r="C743" t="s">
        <v>105</v>
      </c>
      <c r="D743" t="s">
        <v>880</v>
      </c>
      <c r="E743" t="s">
        <v>9</v>
      </c>
      <c r="F743" t="s">
        <v>882</v>
      </c>
      <c r="H743">
        <v>50</v>
      </c>
      <c r="J743">
        <v>30</v>
      </c>
      <c r="K743">
        <v>80</v>
      </c>
    </row>
    <row r="744" spans="1:11">
      <c r="A744">
        <v>751</v>
      </c>
      <c r="B744" t="s">
        <v>1295</v>
      </c>
      <c r="C744" t="s">
        <v>105</v>
      </c>
      <c r="D744" t="s">
        <v>880</v>
      </c>
      <c r="E744" t="s">
        <v>9</v>
      </c>
      <c r="F744" t="s">
        <v>883</v>
      </c>
      <c r="H744">
        <v>350</v>
      </c>
      <c r="J744">
        <v>210</v>
      </c>
      <c r="K744">
        <v>560</v>
      </c>
    </row>
    <row r="745" spans="1:11">
      <c r="A745">
        <v>752</v>
      </c>
      <c r="B745" t="s">
        <v>1295</v>
      </c>
      <c r="C745" t="s">
        <v>105</v>
      </c>
      <c r="D745" t="s">
        <v>884</v>
      </c>
      <c r="E745" t="s">
        <v>9</v>
      </c>
      <c r="J745">
        <v>0</v>
      </c>
      <c r="K745">
        <v>0</v>
      </c>
    </row>
    <row r="746" spans="1:11">
      <c r="A746">
        <v>753</v>
      </c>
      <c r="B746" t="s">
        <v>1295</v>
      </c>
      <c r="C746" t="s">
        <v>105</v>
      </c>
      <c r="D746" t="s">
        <v>884</v>
      </c>
      <c r="E746" t="s">
        <v>9</v>
      </c>
      <c r="F746" t="s">
        <v>885</v>
      </c>
      <c r="H746">
        <v>120</v>
      </c>
      <c r="J746">
        <v>72</v>
      </c>
      <c r="K746">
        <v>192</v>
      </c>
    </row>
    <row r="747" spans="1:11">
      <c r="A747">
        <v>754</v>
      </c>
      <c r="B747" t="s">
        <v>1295</v>
      </c>
      <c r="C747" t="s">
        <v>105</v>
      </c>
      <c r="D747" t="s">
        <v>884</v>
      </c>
      <c r="E747" t="s">
        <v>9</v>
      </c>
      <c r="H747">
        <v>360</v>
      </c>
      <c r="J747">
        <v>216</v>
      </c>
      <c r="K747">
        <v>576</v>
      </c>
    </row>
    <row r="748" spans="1:11">
      <c r="A748">
        <v>755</v>
      </c>
      <c r="B748" t="s">
        <v>1295</v>
      </c>
      <c r="C748" t="s">
        <v>105</v>
      </c>
      <c r="D748" t="s">
        <v>886</v>
      </c>
      <c r="E748" t="s">
        <v>9</v>
      </c>
      <c r="F748" t="s">
        <v>887</v>
      </c>
      <c r="H748">
        <v>0</v>
      </c>
      <c r="J748">
        <v>0</v>
      </c>
      <c r="K748">
        <v>0</v>
      </c>
    </row>
    <row r="749" spans="1:11">
      <c r="A749">
        <v>756</v>
      </c>
      <c r="B749" t="s">
        <v>1295</v>
      </c>
      <c r="C749" t="s">
        <v>105</v>
      </c>
      <c r="D749" t="s">
        <v>886</v>
      </c>
      <c r="E749" t="s">
        <v>9</v>
      </c>
      <c r="F749" t="s">
        <v>888</v>
      </c>
      <c r="H749">
        <v>40</v>
      </c>
      <c r="J749">
        <v>24</v>
      </c>
      <c r="K749">
        <v>64</v>
      </c>
    </row>
    <row r="750" spans="1:11">
      <c r="A750">
        <v>757</v>
      </c>
      <c r="B750" t="s">
        <v>1295</v>
      </c>
      <c r="C750" t="s">
        <v>105</v>
      </c>
      <c r="D750" t="s">
        <v>886</v>
      </c>
      <c r="E750" t="s">
        <v>9</v>
      </c>
      <c r="F750" t="s">
        <v>889</v>
      </c>
      <c r="H750">
        <v>200</v>
      </c>
      <c r="J750">
        <v>120</v>
      </c>
      <c r="K750">
        <v>320</v>
      </c>
    </row>
    <row r="751" spans="1:11">
      <c r="A751">
        <v>760</v>
      </c>
      <c r="B751" t="s">
        <v>1295</v>
      </c>
      <c r="C751" t="s">
        <v>105</v>
      </c>
      <c r="D751" t="s">
        <v>890</v>
      </c>
      <c r="E751" t="s">
        <v>8</v>
      </c>
      <c r="F751" t="s">
        <v>891</v>
      </c>
      <c r="H751">
        <v>1280</v>
      </c>
      <c r="J751">
        <v>768</v>
      </c>
      <c r="K751">
        <v>2048</v>
      </c>
    </row>
    <row r="752" spans="1:11">
      <c r="A752">
        <v>761</v>
      </c>
      <c r="B752" t="s">
        <v>1295</v>
      </c>
      <c r="C752" t="s">
        <v>105</v>
      </c>
      <c r="D752" t="s">
        <v>890</v>
      </c>
      <c r="E752" t="s">
        <v>8</v>
      </c>
      <c r="F752" t="s">
        <v>892</v>
      </c>
      <c r="H752">
        <v>1280</v>
      </c>
      <c r="J752">
        <v>768</v>
      </c>
      <c r="K752">
        <v>2048</v>
      </c>
    </row>
    <row r="753" spans="1:11">
      <c r="A753">
        <v>762</v>
      </c>
      <c r="B753" t="s">
        <v>1295</v>
      </c>
      <c r="C753" t="s">
        <v>105</v>
      </c>
      <c r="D753" t="s">
        <v>890</v>
      </c>
      <c r="E753" t="s">
        <v>8</v>
      </c>
      <c r="F753" t="s">
        <v>893</v>
      </c>
      <c r="H753">
        <v>720</v>
      </c>
      <c r="J753">
        <v>432</v>
      </c>
      <c r="K753">
        <v>1152</v>
      </c>
    </row>
    <row r="754" spans="1:11">
      <c r="A754">
        <v>763</v>
      </c>
      <c r="B754" t="s">
        <v>1349</v>
      </c>
      <c r="C754" t="s">
        <v>105</v>
      </c>
      <c r="D754" t="s">
        <v>890</v>
      </c>
      <c r="E754" t="s">
        <v>8</v>
      </c>
      <c r="F754" t="s">
        <v>894</v>
      </c>
      <c r="H754">
        <v>160</v>
      </c>
      <c r="J754">
        <v>96</v>
      </c>
      <c r="K754">
        <v>256</v>
      </c>
    </row>
    <row r="755" spans="1:11">
      <c r="A755">
        <v>764</v>
      </c>
      <c r="B755" t="s">
        <v>1349</v>
      </c>
      <c r="C755" t="s">
        <v>105</v>
      </c>
      <c r="D755" t="s">
        <v>890</v>
      </c>
      <c r="E755" t="s">
        <v>8</v>
      </c>
      <c r="F755" t="s">
        <v>895</v>
      </c>
      <c r="H755">
        <v>80</v>
      </c>
      <c r="J755">
        <v>48</v>
      </c>
      <c r="K755">
        <v>128</v>
      </c>
    </row>
    <row r="756" spans="1:11">
      <c r="A756">
        <v>765</v>
      </c>
      <c r="B756" t="s">
        <v>1349</v>
      </c>
      <c r="C756" t="s">
        <v>105</v>
      </c>
      <c r="D756" t="s">
        <v>1353</v>
      </c>
      <c r="E756" t="s">
        <v>8</v>
      </c>
      <c r="F756" t="s">
        <v>896</v>
      </c>
      <c r="H756">
        <v>240</v>
      </c>
      <c r="J756">
        <v>144</v>
      </c>
      <c r="K756">
        <v>384</v>
      </c>
    </row>
    <row r="757" spans="1:11">
      <c r="A757">
        <v>766</v>
      </c>
      <c r="B757" t="s">
        <v>1349</v>
      </c>
      <c r="C757" t="s">
        <v>105</v>
      </c>
      <c r="D757" t="s">
        <v>890</v>
      </c>
      <c r="E757" t="s">
        <v>8</v>
      </c>
      <c r="F757" t="s">
        <v>897</v>
      </c>
      <c r="H757">
        <v>260</v>
      </c>
      <c r="J757">
        <v>156</v>
      </c>
      <c r="K757">
        <v>416</v>
      </c>
    </row>
    <row r="758" spans="1:11">
      <c r="A758">
        <v>767</v>
      </c>
      <c r="B758" t="s">
        <v>1295</v>
      </c>
      <c r="C758" t="s">
        <v>105</v>
      </c>
      <c r="D758" t="s">
        <v>890</v>
      </c>
      <c r="E758" t="s">
        <v>8</v>
      </c>
      <c r="F758" t="s">
        <v>898</v>
      </c>
      <c r="H758">
        <v>18.666699999999999</v>
      </c>
      <c r="J758">
        <v>11.2</v>
      </c>
      <c r="K758">
        <v>29.866700000000002</v>
      </c>
    </row>
    <row r="759" spans="1:11">
      <c r="A759">
        <v>768</v>
      </c>
      <c r="B759" t="s">
        <v>1295</v>
      </c>
      <c r="C759" t="s">
        <v>105</v>
      </c>
      <c r="D759" t="s">
        <v>890</v>
      </c>
      <c r="E759" t="s">
        <v>8</v>
      </c>
      <c r="F759" t="s">
        <v>899</v>
      </c>
      <c r="H759">
        <v>33.333300000000001</v>
      </c>
      <c r="J759">
        <v>20</v>
      </c>
      <c r="K759">
        <v>53.333300000000001</v>
      </c>
    </row>
    <row r="760" spans="1:11">
      <c r="A760">
        <v>769</v>
      </c>
      <c r="B760" t="s">
        <v>1295</v>
      </c>
      <c r="C760" t="s">
        <v>105</v>
      </c>
      <c r="D760" t="s">
        <v>890</v>
      </c>
      <c r="E760" t="s">
        <v>8</v>
      </c>
      <c r="F760" t="s">
        <v>900</v>
      </c>
      <c r="H760">
        <v>40</v>
      </c>
      <c r="J760">
        <v>24</v>
      </c>
      <c r="K760">
        <v>64</v>
      </c>
    </row>
    <row r="761" spans="1:11">
      <c r="A761">
        <v>770</v>
      </c>
      <c r="B761" t="s">
        <v>1295</v>
      </c>
      <c r="C761" t="s">
        <v>105</v>
      </c>
      <c r="D761" t="s">
        <v>890</v>
      </c>
      <c r="E761" t="s">
        <v>8</v>
      </c>
      <c r="F761" t="s">
        <v>106</v>
      </c>
      <c r="H761">
        <v>80</v>
      </c>
      <c r="J761">
        <v>48</v>
      </c>
      <c r="K761">
        <v>128</v>
      </c>
    </row>
    <row r="762" spans="1:11">
      <c r="A762">
        <v>771</v>
      </c>
      <c r="B762" t="s">
        <v>1295</v>
      </c>
      <c r="C762" t="s">
        <v>105</v>
      </c>
      <c r="D762" t="s">
        <v>890</v>
      </c>
      <c r="E762" t="s">
        <v>8</v>
      </c>
      <c r="J762">
        <v>0</v>
      </c>
      <c r="K762">
        <v>0</v>
      </c>
    </row>
    <row r="763" spans="1:11">
      <c r="A763">
        <v>772</v>
      </c>
      <c r="B763" t="s">
        <v>1295</v>
      </c>
      <c r="C763" t="s">
        <v>11</v>
      </c>
      <c r="J763">
        <v>0</v>
      </c>
      <c r="K763">
        <v>0</v>
      </c>
    </row>
    <row r="764" spans="1:11">
      <c r="A764">
        <v>773</v>
      </c>
      <c r="B764" t="s">
        <v>1295</v>
      </c>
      <c r="C764" t="s">
        <v>11</v>
      </c>
      <c r="D764" t="s">
        <v>1222</v>
      </c>
      <c r="E764" t="s">
        <v>8</v>
      </c>
      <c r="F764" t="s">
        <v>1206</v>
      </c>
      <c r="G764" t="s">
        <v>1219</v>
      </c>
      <c r="H764">
        <v>40</v>
      </c>
      <c r="J764">
        <v>24</v>
      </c>
      <c r="K764">
        <v>64</v>
      </c>
    </row>
    <row r="765" spans="1:11">
      <c r="A765">
        <v>774</v>
      </c>
      <c r="B765" t="s">
        <v>1295</v>
      </c>
      <c r="C765" t="s">
        <v>11</v>
      </c>
      <c r="D765" t="s">
        <v>1222</v>
      </c>
      <c r="E765" t="s">
        <v>8</v>
      </c>
      <c r="F765" t="s">
        <v>1220</v>
      </c>
      <c r="G765" t="s">
        <v>1221</v>
      </c>
      <c r="H765">
        <v>80</v>
      </c>
      <c r="J765">
        <v>48</v>
      </c>
      <c r="K765">
        <v>128</v>
      </c>
    </row>
    <row r="766" spans="1:11">
      <c r="A766">
        <v>775</v>
      </c>
      <c r="B766" t="s">
        <v>1295</v>
      </c>
      <c r="C766" t="s">
        <v>11</v>
      </c>
      <c r="D766" t="s">
        <v>15</v>
      </c>
      <c r="E766" t="s">
        <v>8</v>
      </c>
      <c r="F766" t="s">
        <v>17</v>
      </c>
      <c r="H766">
        <v>80</v>
      </c>
      <c r="J766">
        <v>48</v>
      </c>
      <c r="K766">
        <v>128</v>
      </c>
    </row>
    <row r="767" spans="1:11">
      <c r="A767">
        <v>776</v>
      </c>
      <c r="B767" t="s">
        <v>1295</v>
      </c>
      <c r="C767" t="s">
        <v>11</v>
      </c>
      <c r="D767" t="s">
        <v>15</v>
      </c>
      <c r="E767" t="s">
        <v>8</v>
      </c>
      <c r="F767" t="s">
        <v>205</v>
      </c>
      <c r="H767">
        <v>13.333299999999999</v>
      </c>
      <c r="J767">
        <v>8</v>
      </c>
      <c r="K767">
        <v>21.333300000000001</v>
      </c>
    </row>
    <row r="768" spans="1:11">
      <c r="A768">
        <v>777</v>
      </c>
      <c r="B768" t="s">
        <v>1295</v>
      </c>
      <c r="C768" t="s">
        <v>11</v>
      </c>
      <c r="D768" t="s">
        <v>15</v>
      </c>
      <c r="E768" t="s">
        <v>8</v>
      </c>
      <c r="F768" t="s">
        <v>20</v>
      </c>
      <c r="H768">
        <v>13.333299999999999</v>
      </c>
      <c r="J768">
        <v>8</v>
      </c>
      <c r="K768">
        <v>21.333300000000001</v>
      </c>
    </row>
    <row r="769" spans="1:11">
      <c r="A769">
        <v>778</v>
      </c>
      <c r="B769" t="s">
        <v>1295</v>
      </c>
      <c r="C769" t="s">
        <v>11</v>
      </c>
      <c r="D769" t="s">
        <v>15</v>
      </c>
      <c r="E769" t="s">
        <v>8</v>
      </c>
      <c r="F769" t="s">
        <v>206</v>
      </c>
      <c r="H769">
        <v>13.333299999999999</v>
      </c>
      <c r="J769">
        <v>8</v>
      </c>
      <c r="K769">
        <v>21.333300000000001</v>
      </c>
    </row>
    <row r="770" spans="1:11">
      <c r="A770">
        <v>779</v>
      </c>
      <c r="B770" t="s">
        <v>1295</v>
      </c>
      <c r="C770" t="s">
        <v>11</v>
      </c>
      <c r="D770" t="s">
        <v>15</v>
      </c>
      <c r="E770" t="s">
        <v>8</v>
      </c>
      <c r="F770" t="s">
        <v>19</v>
      </c>
      <c r="H770">
        <v>13.333299999999999</v>
      </c>
      <c r="J770">
        <v>8</v>
      </c>
      <c r="K770">
        <v>21.333300000000001</v>
      </c>
    </row>
    <row r="771" spans="1:11">
      <c r="A771">
        <v>780</v>
      </c>
      <c r="B771" t="s">
        <v>1295</v>
      </c>
      <c r="C771" t="s">
        <v>11</v>
      </c>
      <c r="D771" t="s">
        <v>15</v>
      </c>
      <c r="E771" t="s">
        <v>8</v>
      </c>
      <c r="F771" t="s">
        <v>21</v>
      </c>
      <c r="H771">
        <v>80</v>
      </c>
      <c r="J771">
        <v>48</v>
      </c>
      <c r="K771">
        <v>128</v>
      </c>
    </row>
    <row r="772" spans="1:11">
      <c r="A772">
        <v>781</v>
      </c>
      <c r="B772" t="s">
        <v>1295</v>
      </c>
      <c r="C772" t="s">
        <v>23</v>
      </c>
      <c r="D772" t="s">
        <v>15</v>
      </c>
      <c r="E772" t="s">
        <v>8</v>
      </c>
      <c r="J772">
        <v>0</v>
      </c>
      <c r="K772">
        <v>0</v>
      </c>
    </row>
    <row r="773" spans="1:11">
      <c r="A773">
        <v>782</v>
      </c>
      <c r="B773" t="s">
        <v>1295</v>
      </c>
      <c r="C773" t="s">
        <v>23</v>
      </c>
      <c r="D773" t="s">
        <v>901</v>
      </c>
      <c r="E773" t="s">
        <v>8</v>
      </c>
      <c r="J773">
        <v>0</v>
      </c>
      <c r="K773">
        <v>0</v>
      </c>
    </row>
    <row r="774" spans="1:11">
      <c r="A774">
        <v>783</v>
      </c>
      <c r="B774" t="s">
        <v>1295</v>
      </c>
      <c r="C774" t="s">
        <v>23</v>
      </c>
      <c r="D774" t="s">
        <v>901</v>
      </c>
      <c r="E774" t="s">
        <v>8</v>
      </c>
      <c r="F774" t="s">
        <v>22</v>
      </c>
      <c r="H774">
        <v>60</v>
      </c>
      <c r="J774">
        <v>36</v>
      </c>
      <c r="K774">
        <v>96</v>
      </c>
    </row>
    <row r="775" spans="1:11">
      <c r="A775">
        <v>784</v>
      </c>
      <c r="B775" t="s">
        <v>1295</v>
      </c>
      <c r="C775" t="s">
        <v>23</v>
      </c>
      <c r="D775" t="s">
        <v>901</v>
      </c>
      <c r="E775" t="s">
        <v>8</v>
      </c>
      <c r="F775" t="s">
        <v>902</v>
      </c>
      <c r="H775">
        <v>26.666699999999999</v>
      </c>
      <c r="J775">
        <v>16</v>
      </c>
      <c r="K775">
        <v>42.666699999999999</v>
      </c>
    </row>
    <row r="776" spans="1:11">
      <c r="A776">
        <v>785</v>
      </c>
      <c r="B776" t="s">
        <v>1295</v>
      </c>
      <c r="C776" t="s">
        <v>23</v>
      </c>
      <c r="D776" t="s">
        <v>901</v>
      </c>
      <c r="E776" t="s">
        <v>8</v>
      </c>
      <c r="F776" t="s">
        <v>903</v>
      </c>
      <c r="H776">
        <v>80</v>
      </c>
      <c r="J776">
        <v>48</v>
      </c>
      <c r="K776">
        <v>128</v>
      </c>
    </row>
    <row r="777" spans="1:11">
      <c r="A777">
        <v>786</v>
      </c>
      <c r="B777" t="s">
        <v>1295</v>
      </c>
      <c r="C777" t="s">
        <v>23</v>
      </c>
      <c r="D777" t="s">
        <v>901</v>
      </c>
      <c r="E777" t="s">
        <v>8</v>
      </c>
      <c r="F777" t="s">
        <v>904</v>
      </c>
      <c r="H777">
        <v>160</v>
      </c>
      <c r="J777">
        <v>96</v>
      </c>
      <c r="K777">
        <v>256</v>
      </c>
    </row>
    <row r="778" spans="1:11">
      <c r="A778">
        <v>787</v>
      </c>
      <c r="B778" t="s">
        <v>1295</v>
      </c>
      <c r="C778" t="s">
        <v>23</v>
      </c>
      <c r="D778" t="s">
        <v>901</v>
      </c>
      <c r="E778" t="s">
        <v>8</v>
      </c>
      <c r="F778" t="s">
        <v>905</v>
      </c>
      <c r="H778">
        <v>16</v>
      </c>
      <c r="J778">
        <v>9.6</v>
      </c>
      <c r="K778">
        <v>25.6</v>
      </c>
    </row>
    <row r="779" spans="1:11">
      <c r="A779">
        <v>788</v>
      </c>
      <c r="B779" t="s">
        <v>1295</v>
      </c>
      <c r="C779" t="s">
        <v>23</v>
      </c>
      <c r="D779" t="s">
        <v>901</v>
      </c>
      <c r="E779" t="s">
        <v>8</v>
      </c>
      <c r="F779" t="s">
        <v>906</v>
      </c>
      <c r="H779">
        <v>120</v>
      </c>
      <c r="J779">
        <v>72</v>
      </c>
      <c r="K779">
        <v>192</v>
      </c>
    </row>
    <row r="780" spans="1:11">
      <c r="A780">
        <v>789</v>
      </c>
      <c r="B780" t="s">
        <v>1295</v>
      </c>
      <c r="C780" t="s">
        <v>23</v>
      </c>
      <c r="D780" t="s">
        <v>901</v>
      </c>
      <c r="E780" t="s">
        <v>8</v>
      </c>
      <c r="F780" t="s">
        <v>907</v>
      </c>
      <c r="H780">
        <v>40</v>
      </c>
      <c r="J780">
        <v>24</v>
      </c>
      <c r="K780">
        <v>64</v>
      </c>
    </row>
    <row r="781" spans="1:11">
      <c r="A781">
        <v>790</v>
      </c>
      <c r="B781" t="s">
        <v>1295</v>
      </c>
      <c r="C781" t="s">
        <v>23</v>
      </c>
      <c r="D781" t="s">
        <v>901</v>
      </c>
      <c r="E781" t="s">
        <v>8</v>
      </c>
      <c r="F781" t="s">
        <v>908</v>
      </c>
      <c r="H781">
        <v>80</v>
      </c>
      <c r="J781">
        <v>48</v>
      </c>
      <c r="K781">
        <v>128</v>
      </c>
    </row>
    <row r="782" spans="1:11">
      <c r="A782">
        <v>791</v>
      </c>
      <c r="B782" t="s">
        <v>1295</v>
      </c>
      <c r="C782" t="s">
        <v>23</v>
      </c>
      <c r="D782" t="s">
        <v>901</v>
      </c>
      <c r="E782" t="s">
        <v>8</v>
      </c>
      <c r="F782" t="s">
        <v>909</v>
      </c>
      <c r="H782">
        <v>40</v>
      </c>
      <c r="J782">
        <v>24</v>
      </c>
      <c r="K782">
        <v>64</v>
      </c>
    </row>
    <row r="783" spans="1:11">
      <c r="A783">
        <v>792</v>
      </c>
      <c r="B783" t="s">
        <v>1295</v>
      </c>
      <c r="C783" t="s">
        <v>23</v>
      </c>
      <c r="D783" t="s">
        <v>104</v>
      </c>
      <c r="E783" t="s">
        <v>8</v>
      </c>
      <c r="H783">
        <v>1.3332999999999999</v>
      </c>
      <c r="J783">
        <v>0.8</v>
      </c>
      <c r="K783">
        <v>2.1333000000000002</v>
      </c>
    </row>
    <row r="784" spans="1:11">
      <c r="A784">
        <v>793</v>
      </c>
      <c r="B784" t="s">
        <v>1295</v>
      </c>
      <c r="C784" t="s">
        <v>23</v>
      </c>
      <c r="D784" t="s">
        <v>104</v>
      </c>
      <c r="E784" t="s">
        <v>8</v>
      </c>
      <c r="H784">
        <v>1.3332999999999999</v>
      </c>
      <c r="J784">
        <v>0.8</v>
      </c>
      <c r="K784">
        <v>2.1333000000000002</v>
      </c>
    </row>
    <row r="785" spans="1:11">
      <c r="A785">
        <v>794</v>
      </c>
      <c r="B785" t="s">
        <v>1295</v>
      </c>
      <c r="C785" t="s">
        <v>23</v>
      </c>
      <c r="D785" t="s">
        <v>104</v>
      </c>
      <c r="E785" t="s">
        <v>8</v>
      </c>
      <c r="H785">
        <v>1.3332999999999999</v>
      </c>
      <c r="J785">
        <v>0.8</v>
      </c>
      <c r="K785">
        <v>2.1333000000000002</v>
      </c>
    </row>
    <row r="786" spans="1:11">
      <c r="A786">
        <v>795</v>
      </c>
      <c r="B786" t="s">
        <v>1295</v>
      </c>
      <c r="C786" t="s">
        <v>23</v>
      </c>
      <c r="D786" t="s">
        <v>104</v>
      </c>
      <c r="E786" t="s">
        <v>8</v>
      </c>
      <c r="J786">
        <v>0</v>
      </c>
    </row>
    <row r="787" spans="1:11">
      <c r="A787">
        <v>796</v>
      </c>
      <c r="B787" t="s">
        <v>1295</v>
      </c>
      <c r="C787" t="s">
        <v>23</v>
      </c>
      <c r="D787" t="s">
        <v>910</v>
      </c>
      <c r="E787" t="s">
        <v>8</v>
      </c>
      <c r="H787">
        <v>0</v>
      </c>
      <c r="J787">
        <v>0</v>
      </c>
      <c r="K787">
        <v>0</v>
      </c>
    </row>
    <row r="788" spans="1:11">
      <c r="A788">
        <v>797</v>
      </c>
      <c r="B788" t="s">
        <v>1295</v>
      </c>
      <c r="C788" t="s">
        <v>23</v>
      </c>
      <c r="D788" t="s">
        <v>910</v>
      </c>
      <c r="E788" t="s">
        <v>8</v>
      </c>
      <c r="F788" t="s">
        <v>911</v>
      </c>
      <c r="H788">
        <v>40</v>
      </c>
      <c r="J788">
        <v>24</v>
      </c>
      <c r="K788">
        <v>64</v>
      </c>
    </row>
    <row r="789" spans="1:11">
      <c r="A789">
        <v>798</v>
      </c>
      <c r="B789" t="s">
        <v>1295</v>
      </c>
      <c r="C789" t="s">
        <v>559</v>
      </c>
      <c r="D789" t="s">
        <v>910</v>
      </c>
      <c r="E789" t="s">
        <v>8</v>
      </c>
      <c r="F789" t="s">
        <v>912</v>
      </c>
      <c r="H789">
        <v>20</v>
      </c>
      <c r="J789">
        <v>12</v>
      </c>
      <c r="K789">
        <v>32</v>
      </c>
    </row>
    <row r="790" spans="1:11">
      <c r="A790">
        <v>799</v>
      </c>
      <c r="B790" t="s">
        <v>1295</v>
      </c>
      <c r="C790" t="s">
        <v>559</v>
      </c>
      <c r="D790" t="s">
        <v>910</v>
      </c>
      <c r="E790" t="s">
        <v>8</v>
      </c>
      <c r="F790" t="s">
        <v>913</v>
      </c>
      <c r="H790">
        <v>26.666699999999999</v>
      </c>
      <c r="J790">
        <v>16</v>
      </c>
      <c r="K790">
        <v>42.666699999999999</v>
      </c>
    </row>
    <row r="791" spans="1:11">
      <c r="A791">
        <v>800</v>
      </c>
      <c r="B791" t="s">
        <v>1295</v>
      </c>
      <c r="C791" t="s">
        <v>559</v>
      </c>
      <c r="D791" t="s">
        <v>910</v>
      </c>
      <c r="E791" t="s">
        <v>8</v>
      </c>
      <c r="F791" t="s">
        <v>914</v>
      </c>
      <c r="H791">
        <v>40</v>
      </c>
      <c r="J791">
        <v>24</v>
      </c>
      <c r="K791">
        <v>64</v>
      </c>
    </row>
    <row r="792" spans="1:11">
      <c r="A792">
        <v>801</v>
      </c>
      <c r="B792" t="s">
        <v>1295</v>
      </c>
      <c r="C792" t="s">
        <v>559</v>
      </c>
      <c r="D792" t="s">
        <v>910</v>
      </c>
      <c r="E792" t="s">
        <v>8</v>
      </c>
      <c r="H792">
        <v>0</v>
      </c>
      <c r="J792">
        <v>0</v>
      </c>
      <c r="K792">
        <v>0</v>
      </c>
    </row>
    <row r="793" spans="1:11">
      <c r="A793">
        <v>802</v>
      </c>
      <c r="B793" t="s">
        <v>1295</v>
      </c>
      <c r="C793" t="s">
        <v>559</v>
      </c>
      <c r="D793" t="s">
        <v>910</v>
      </c>
      <c r="E793" t="s">
        <v>8</v>
      </c>
      <c r="J793">
        <v>0</v>
      </c>
    </row>
    <row r="794" spans="1:11">
      <c r="A794">
        <v>803</v>
      </c>
      <c r="B794" t="s">
        <v>1295</v>
      </c>
      <c r="C794" t="s">
        <v>33</v>
      </c>
      <c r="D794" t="s">
        <v>915</v>
      </c>
      <c r="E794" t="s">
        <v>8</v>
      </c>
      <c r="F794" t="s">
        <v>916</v>
      </c>
      <c r="H794">
        <v>6.6666999999999996</v>
      </c>
      <c r="J794">
        <v>4</v>
      </c>
      <c r="K794">
        <v>10.666700000000001</v>
      </c>
    </row>
    <row r="795" spans="1:11">
      <c r="A795">
        <v>804</v>
      </c>
      <c r="B795" t="s">
        <v>1295</v>
      </c>
      <c r="C795" t="s">
        <v>33</v>
      </c>
      <c r="D795" t="s">
        <v>915</v>
      </c>
      <c r="E795" t="s">
        <v>8</v>
      </c>
      <c r="F795" t="s">
        <v>917</v>
      </c>
      <c r="H795">
        <v>33.333300000000001</v>
      </c>
      <c r="J795">
        <v>20</v>
      </c>
      <c r="K795">
        <v>53.333300000000001</v>
      </c>
    </row>
    <row r="796" spans="1:11">
      <c r="A796">
        <v>805</v>
      </c>
      <c r="B796" t="s">
        <v>1295</v>
      </c>
      <c r="C796" t="s">
        <v>33</v>
      </c>
      <c r="D796" t="s">
        <v>915</v>
      </c>
      <c r="E796" t="s">
        <v>8</v>
      </c>
      <c r="F796" t="s">
        <v>918</v>
      </c>
      <c r="H796">
        <v>64</v>
      </c>
      <c r="J796">
        <v>38.4</v>
      </c>
      <c r="K796">
        <v>102.4</v>
      </c>
    </row>
    <row r="797" spans="1:11">
      <c r="A797">
        <v>806</v>
      </c>
      <c r="B797" t="s">
        <v>1295</v>
      </c>
      <c r="C797" t="s">
        <v>34</v>
      </c>
      <c r="D797" t="s">
        <v>915</v>
      </c>
      <c r="E797" t="s">
        <v>8</v>
      </c>
      <c r="F797" t="s">
        <v>919</v>
      </c>
      <c r="H797">
        <v>0</v>
      </c>
      <c r="J797">
        <v>0</v>
      </c>
      <c r="K797">
        <v>0</v>
      </c>
    </row>
    <row r="798" spans="1:11">
      <c r="A798">
        <v>807</v>
      </c>
      <c r="B798" t="s">
        <v>1295</v>
      </c>
      <c r="C798" t="s">
        <v>67</v>
      </c>
      <c r="D798" t="s">
        <v>915</v>
      </c>
      <c r="E798" t="s">
        <v>8</v>
      </c>
      <c r="F798" t="s">
        <v>920</v>
      </c>
      <c r="H798">
        <v>20</v>
      </c>
      <c r="J798">
        <v>12</v>
      </c>
      <c r="K798">
        <v>32</v>
      </c>
    </row>
    <row r="799" spans="1:11">
      <c r="A799">
        <v>808</v>
      </c>
      <c r="B799" t="s">
        <v>1295</v>
      </c>
      <c r="C799" t="s">
        <v>33</v>
      </c>
      <c r="D799" t="s">
        <v>915</v>
      </c>
      <c r="E799" t="s">
        <v>8</v>
      </c>
      <c r="F799" t="s">
        <v>921</v>
      </c>
      <c r="H799">
        <v>80</v>
      </c>
      <c r="J799">
        <v>48</v>
      </c>
      <c r="K799">
        <v>128</v>
      </c>
    </row>
    <row r="800" spans="1:11">
      <c r="A800">
        <v>809</v>
      </c>
      <c r="B800" t="s">
        <v>1295</v>
      </c>
      <c r="C800" t="s">
        <v>922</v>
      </c>
      <c r="D800" t="s">
        <v>915</v>
      </c>
      <c r="E800" t="s">
        <v>8</v>
      </c>
      <c r="F800" t="s">
        <v>923</v>
      </c>
      <c r="H800">
        <v>10.666700000000001</v>
      </c>
      <c r="J800">
        <v>6.4</v>
      </c>
      <c r="K800">
        <v>17.066700000000001</v>
      </c>
    </row>
    <row r="801" spans="1:11">
      <c r="A801">
        <v>810</v>
      </c>
      <c r="B801" t="s">
        <v>1295</v>
      </c>
      <c r="C801" t="s">
        <v>63</v>
      </c>
      <c r="D801" t="s">
        <v>915</v>
      </c>
      <c r="E801" t="s">
        <v>8</v>
      </c>
      <c r="F801" t="s">
        <v>924</v>
      </c>
      <c r="H801">
        <v>2.6667000000000001</v>
      </c>
      <c r="J801">
        <v>1.6</v>
      </c>
      <c r="K801">
        <v>4.2667000000000002</v>
      </c>
    </row>
    <row r="802" spans="1:11">
      <c r="A802">
        <v>811</v>
      </c>
      <c r="B802" t="s">
        <v>1295</v>
      </c>
      <c r="C802" t="s">
        <v>41</v>
      </c>
      <c r="D802" t="s">
        <v>915</v>
      </c>
      <c r="E802" t="s">
        <v>8</v>
      </c>
      <c r="F802" t="s">
        <v>925</v>
      </c>
      <c r="H802">
        <v>6.6666999999999996</v>
      </c>
      <c r="J802">
        <v>4</v>
      </c>
      <c r="K802">
        <v>10.666700000000001</v>
      </c>
    </row>
    <row r="803" spans="1:11">
      <c r="A803">
        <v>812</v>
      </c>
      <c r="B803" t="s">
        <v>1295</v>
      </c>
      <c r="C803" t="s">
        <v>69</v>
      </c>
      <c r="D803" t="s">
        <v>915</v>
      </c>
      <c r="E803" t="s">
        <v>8</v>
      </c>
      <c r="F803" t="s">
        <v>926</v>
      </c>
      <c r="H803">
        <v>32</v>
      </c>
      <c r="J803">
        <v>19.2</v>
      </c>
      <c r="K803">
        <v>51.2</v>
      </c>
    </row>
    <row r="804" spans="1:11">
      <c r="A804">
        <v>813</v>
      </c>
      <c r="B804" t="s">
        <v>1295</v>
      </c>
      <c r="C804" t="s">
        <v>69</v>
      </c>
      <c r="D804" t="s">
        <v>915</v>
      </c>
      <c r="E804" t="s">
        <v>8</v>
      </c>
      <c r="F804" t="s">
        <v>927</v>
      </c>
      <c r="H804">
        <v>13.333299999999999</v>
      </c>
      <c r="J804">
        <v>8</v>
      </c>
      <c r="K804">
        <v>21.333300000000001</v>
      </c>
    </row>
    <row r="805" spans="1:11">
      <c r="A805">
        <v>814</v>
      </c>
      <c r="B805" t="s">
        <v>1295</v>
      </c>
      <c r="C805" t="s">
        <v>42</v>
      </c>
      <c r="D805" t="s">
        <v>915</v>
      </c>
      <c r="E805" t="s">
        <v>8</v>
      </c>
      <c r="F805" t="s">
        <v>928</v>
      </c>
      <c r="H805">
        <v>426.66669999999999</v>
      </c>
      <c r="J805">
        <v>256</v>
      </c>
      <c r="K805">
        <v>682.66669999999999</v>
      </c>
    </row>
    <row r="806" spans="1:11">
      <c r="A806">
        <v>815</v>
      </c>
      <c r="B806" t="s">
        <v>1295</v>
      </c>
      <c r="C806" t="s">
        <v>42</v>
      </c>
      <c r="D806" t="s">
        <v>915</v>
      </c>
      <c r="E806" t="s">
        <v>8</v>
      </c>
      <c r="F806" t="s">
        <v>929</v>
      </c>
      <c r="H806">
        <v>160</v>
      </c>
      <c r="J806">
        <v>96</v>
      </c>
      <c r="K806">
        <v>256</v>
      </c>
    </row>
    <row r="807" spans="1:11">
      <c r="A807">
        <v>816</v>
      </c>
      <c r="B807" t="s">
        <v>1295</v>
      </c>
      <c r="C807" t="s">
        <v>33</v>
      </c>
      <c r="D807" t="s">
        <v>915</v>
      </c>
      <c r="E807" t="s">
        <v>8</v>
      </c>
      <c r="J807">
        <v>0</v>
      </c>
      <c r="K807">
        <v>0</v>
      </c>
    </row>
    <row r="808" spans="1:11">
      <c r="A808">
        <v>817</v>
      </c>
      <c r="B808" t="s">
        <v>1295</v>
      </c>
      <c r="C808" t="s">
        <v>26</v>
      </c>
      <c r="D808" t="s">
        <v>930</v>
      </c>
      <c r="E808" t="s">
        <v>8</v>
      </c>
      <c r="J808">
        <v>0</v>
      </c>
      <c r="K808">
        <v>0</v>
      </c>
    </row>
    <row r="809" spans="1:11">
      <c r="A809">
        <v>818</v>
      </c>
      <c r="B809" t="s">
        <v>1295</v>
      </c>
      <c r="C809" t="s">
        <v>26</v>
      </c>
      <c r="D809" t="s">
        <v>930</v>
      </c>
      <c r="E809" t="s">
        <v>8</v>
      </c>
      <c r="F809" t="s">
        <v>930</v>
      </c>
      <c r="H809">
        <v>40</v>
      </c>
      <c r="J809">
        <v>24</v>
      </c>
      <c r="K809">
        <v>64</v>
      </c>
    </row>
    <row r="810" spans="1:11">
      <c r="A810">
        <v>819</v>
      </c>
      <c r="B810" t="s">
        <v>1295</v>
      </c>
      <c r="C810" t="s">
        <v>26</v>
      </c>
      <c r="D810" t="s">
        <v>930</v>
      </c>
      <c r="E810" t="s">
        <v>8</v>
      </c>
      <c r="F810" t="s">
        <v>931</v>
      </c>
      <c r="H810">
        <v>0</v>
      </c>
      <c r="J810">
        <v>0</v>
      </c>
      <c r="K810">
        <v>0</v>
      </c>
    </row>
    <row r="811" spans="1:11">
      <c r="A811">
        <v>820</v>
      </c>
      <c r="B811" t="s">
        <v>1295</v>
      </c>
      <c r="C811" t="s">
        <v>26</v>
      </c>
      <c r="D811" t="s">
        <v>930</v>
      </c>
      <c r="E811" t="s">
        <v>8</v>
      </c>
      <c r="F811" t="s">
        <v>932</v>
      </c>
      <c r="H811">
        <v>0</v>
      </c>
      <c r="J811">
        <v>0</v>
      </c>
      <c r="K811">
        <v>0</v>
      </c>
    </row>
    <row r="812" spans="1:11">
      <c r="A812">
        <v>821</v>
      </c>
      <c r="B812" t="s">
        <v>1295</v>
      </c>
      <c r="C812" t="s">
        <v>26</v>
      </c>
      <c r="D812" t="s">
        <v>930</v>
      </c>
      <c r="E812" t="s">
        <v>8</v>
      </c>
      <c r="F812" t="s">
        <v>933</v>
      </c>
      <c r="H812">
        <v>10.666700000000001</v>
      </c>
      <c r="J812">
        <v>6.4</v>
      </c>
      <c r="K812">
        <v>17.066700000000001</v>
      </c>
    </row>
    <row r="813" spans="1:11">
      <c r="A813">
        <v>822</v>
      </c>
      <c r="B813" t="s">
        <v>1295</v>
      </c>
      <c r="C813" t="s">
        <v>26</v>
      </c>
      <c r="D813" t="s">
        <v>930</v>
      </c>
      <c r="E813" t="s">
        <v>8</v>
      </c>
      <c r="F813" t="s">
        <v>934</v>
      </c>
      <c r="H813">
        <v>4</v>
      </c>
      <c r="J813">
        <v>2.4</v>
      </c>
      <c r="K813">
        <v>6.4</v>
      </c>
    </row>
    <row r="814" spans="1:11">
      <c r="A814">
        <v>823</v>
      </c>
      <c r="B814" t="s">
        <v>1295</v>
      </c>
      <c r="C814" t="s">
        <v>26</v>
      </c>
      <c r="D814" t="s">
        <v>930</v>
      </c>
      <c r="E814" t="s">
        <v>8</v>
      </c>
      <c r="F814" t="s">
        <v>935</v>
      </c>
      <c r="H814">
        <v>0</v>
      </c>
      <c r="J814">
        <v>0</v>
      </c>
      <c r="K814">
        <v>0</v>
      </c>
    </row>
    <row r="815" spans="1:11">
      <c r="A815">
        <v>824</v>
      </c>
      <c r="B815" t="s">
        <v>1295</v>
      </c>
      <c r="C815" t="s">
        <v>26</v>
      </c>
      <c r="D815" t="s">
        <v>930</v>
      </c>
      <c r="E815" t="s">
        <v>8</v>
      </c>
      <c r="J815">
        <v>0</v>
      </c>
      <c r="K815">
        <v>0</v>
      </c>
    </row>
    <row r="816" spans="1:11">
      <c r="A816">
        <v>825</v>
      </c>
      <c r="B816" t="s">
        <v>1295</v>
      </c>
      <c r="C816" t="s">
        <v>68</v>
      </c>
      <c r="D816" t="s">
        <v>936</v>
      </c>
      <c r="E816" t="s">
        <v>8</v>
      </c>
      <c r="J816">
        <v>0</v>
      </c>
      <c r="K816">
        <v>0</v>
      </c>
    </row>
    <row r="817" spans="1:11">
      <c r="A817">
        <v>826</v>
      </c>
      <c r="B817" t="s">
        <v>1295</v>
      </c>
      <c r="C817" t="s">
        <v>68</v>
      </c>
      <c r="D817" t="s">
        <v>936</v>
      </c>
      <c r="E817" t="s">
        <v>8</v>
      </c>
      <c r="F817" t="s">
        <v>937</v>
      </c>
      <c r="H817">
        <v>20</v>
      </c>
      <c r="J817">
        <v>12</v>
      </c>
      <c r="K817">
        <v>32</v>
      </c>
    </row>
    <row r="818" spans="1:11">
      <c r="A818">
        <v>827</v>
      </c>
      <c r="B818" t="s">
        <v>1295</v>
      </c>
      <c r="C818" t="s">
        <v>68</v>
      </c>
      <c r="D818" t="s">
        <v>936</v>
      </c>
      <c r="E818" t="s">
        <v>8</v>
      </c>
      <c r="F818" t="s">
        <v>938</v>
      </c>
      <c r="H818">
        <v>20</v>
      </c>
      <c r="J818">
        <v>12</v>
      </c>
      <c r="K818">
        <v>32</v>
      </c>
    </row>
    <row r="819" spans="1:11">
      <c r="A819">
        <v>828</v>
      </c>
      <c r="B819" t="s">
        <v>1295</v>
      </c>
      <c r="C819" t="s">
        <v>68</v>
      </c>
      <c r="D819" t="s">
        <v>936</v>
      </c>
      <c r="E819" t="s">
        <v>8</v>
      </c>
      <c r="F819" t="s">
        <v>939</v>
      </c>
      <c r="H819">
        <v>6.6666999999999996</v>
      </c>
      <c r="J819">
        <v>4</v>
      </c>
      <c r="K819">
        <v>10.666700000000001</v>
      </c>
    </row>
    <row r="820" spans="1:11">
      <c r="A820">
        <v>829</v>
      </c>
      <c r="B820" t="s">
        <v>1295</v>
      </c>
      <c r="C820" t="s">
        <v>68</v>
      </c>
      <c r="D820" t="s">
        <v>936</v>
      </c>
      <c r="E820" t="s">
        <v>8</v>
      </c>
      <c r="F820" t="s">
        <v>940</v>
      </c>
      <c r="H820">
        <v>40</v>
      </c>
      <c r="J820">
        <v>24</v>
      </c>
      <c r="K820">
        <v>64</v>
      </c>
    </row>
    <row r="821" spans="1:11">
      <c r="A821">
        <v>830</v>
      </c>
      <c r="B821" t="s">
        <v>1295</v>
      </c>
      <c r="C821" t="s">
        <v>68</v>
      </c>
      <c r="D821" t="s">
        <v>936</v>
      </c>
      <c r="E821" t="s">
        <v>8</v>
      </c>
      <c r="F821" t="s">
        <v>941</v>
      </c>
      <c r="H821">
        <v>6.6666999999999996</v>
      </c>
      <c r="J821">
        <v>4</v>
      </c>
      <c r="K821">
        <v>10.666700000000001</v>
      </c>
    </row>
    <row r="822" spans="1:11">
      <c r="A822">
        <v>831</v>
      </c>
      <c r="B822" t="s">
        <v>1295</v>
      </c>
      <c r="C822" t="s">
        <v>68</v>
      </c>
      <c r="D822" t="s">
        <v>936</v>
      </c>
      <c r="E822" t="s">
        <v>8</v>
      </c>
      <c r="F822" t="s">
        <v>942</v>
      </c>
      <c r="H822">
        <v>13.333299999999999</v>
      </c>
      <c r="J822">
        <v>8</v>
      </c>
      <c r="K822">
        <v>21.333300000000001</v>
      </c>
    </row>
    <row r="823" spans="1:11">
      <c r="A823">
        <v>832</v>
      </c>
      <c r="B823" t="s">
        <v>1295</v>
      </c>
      <c r="C823" t="s">
        <v>68</v>
      </c>
      <c r="D823" t="s">
        <v>936</v>
      </c>
      <c r="E823" t="s">
        <v>8</v>
      </c>
      <c r="F823" t="s">
        <v>943</v>
      </c>
      <c r="H823">
        <v>13.333299999999999</v>
      </c>
      <c r="J823">
        <v>8</v>
      </c>
      <c r="K823">
        <v>21.333300000000001</v>
      </c>
    </row>
    <row r="824" spans="1:11">
      <c r="A824">
        <v>833</v>
      </c>
      <c r="B824" t="s">
        <v>1295</v>
      </c>
      <c r="C824" t="s">
        <v>44</v>
      </c>
      <c r="D824" t="s">
        <v>936</v>
      </c>
      <c r="E824" t="s">
        <v>8</v>
      </c>
      <c r="F824" t="s">
        <v>937</v>
      </c>
      <c r="J824">
        <v>0</v>
      </c>
      <c r="K824">
        <v>0</v>
      </c>
    </row>
    <row r="825" spans="1:11">
      <c r="A825">
        <v>834</v>
      </c>
      <c r="B825" t="s">
        <v>1295</v>
      </c>
      <c r="C825" t="s">
        <v>44</v>
      </c>
      <c r="D825" t="s">
        <v>936</v>
      </c>
      <c r="E825" t="s">
        <v>8</v>
      </c>
      <c r="F825" t="s">
        <v>938</v>
      </c>
      <c r="H825">
        <v>20</v>
      </c>
      <c r="J825">
        <v>12</v>
      </c>
      <c r="K825">
        <v>32</v>
      </c>
    </row>
    <row r="826" spans="1:11">
      <c r="A826">
        <v>835</v>
      </c>
      <c r="B826" t="s">
        <v>1295</v>
      </c>
      <c r="C826" t="s">
        <v>44</v>
      </c>
      <c r="D826" t="s">
        <v>936</v>
      </c>
      <c r="E826" t="s">
        <v>8</v>
      </c>
      <c r="F826" t="s">
        <v>939</v>
      </c>
      <c r="H826">
        <v>20</v>
      </c>
      <c r="J826">
        <v>12</v>
      </c>
      <c r="K826">
        <v>32</v>
      </c>
    </row>
    <row r="827" spans="1:11">
      <c r="A827">
        <v>836</v>
      </c>
      <c r="B827" t="s">
        <v>1295</v>
      </c>
      <c r="C827" t="s">
        <v>44</v>
      </c>
      <c r="D827" t="s">
        <v>936</v>
      </c>
      <c r="E827" t="s">
        <v>8</v>
      </c>
      <c r="F827" t="s">
        <v>940</v>
      </c>
      <c r="H827">
        <v>6.6666999999999996</v>
      </c>
      <c r="J827">
        <v>4</v>
      </c>
      <c r="K827">
        <v>10.666700000000001</v>
      </c>
    </row>
    <row r="828" spans="1:11">
      <c r="A828">
        <v>837</v>
      </c>
      <c r="B828" t="s">
        <v>1295</v>
      </c>
      <c r="C828" t="s">
        <v>44</v>
      </c>
      <c r="D828" t="s">
        <v>936</v>
      </c>
      <c r="E828" t="s">
        <v>8</v>
      </c>
      <c r="F828" t="s">
        <v>941</v>
      </c>
      <c r="H828">
        <v>40</v>
      </c>
      <c r="J828">
        <v>24</v>
      </c>
      <c r="K828">
        <v>64</v>
      </c>
    </row>
    <row r="829" spans="1:11">
      <c r="A829">
        <v>838</v>
      </c>
      <c r="B829" t="s">
        <v>1295</v>
      </c>
      <c r="C829" t="s">
        <v>44</v>
      </c>
      <c r="D829" t="s">
        <v>936</v>
      </c>
      <c r="E829" t="s">
        <v>8</v>
      </c>
      <c r="F829" t="s">
        <v>942</v>
      </c>
      <c r="H829">
        <v>6.6666999999999996</v>
      </c>
      <c r="J829">
        <v>4</v>
      </c>
      <c r="K829">
        <v>10.666700000000001</v>
      </c>
    </row>
    <row r="830" spans="1:11">
      <c r="A830">
        <v>839</v>
      </c>
      <c r="B830" t="s">
        <v>1295</v>
      </c>
      <c r="C830" t="s">
        <v>44</v>
      </c>
      <c r="D830" t="s">
        <v>936</v>
      </c>
      <c r="E830" t="s">
        <v>8</v>
      </c>
      <c r="F830" t="s">
        <v>943</v>
      </c>
      <c r="H830">
        <v>13.333299999999999</v>
      </c>
      <c r="J830">
        <v>8</v>
      </c>
      <c r="K830">
        <v>21.333300000000001</v>
      </c>
    </row>
    <row r="831" spans="1:11">
      <c r="A831">
        <v>840</v>
      </c>
      <c r="B831" t="s">
        <v>1295</v>
      </c>
      <c r="C831" t="s">
        <v>44</v>
      </c>
      <c r="D831" t="s">
        <v>936</v>
      </c>
      <c r="E831" t="s">
        <v>8</v>
      </c>
      <c r="H831">
        <v>13.333299999999999</v>
      </c>
      <c r="J831">
        <v>8</v>
      </c>
      <c r="K831">
        <v>21.333300000000001</v>
      </c>
    </row>
    <row r="832" spans="1:11">
      <c r="A832">
        <v>841</v>
      </c>
      <c r="B832" t="s">
        <v>1295</v>
      </c>
      <c r="C832" t="s">
        <v>41</v>
      </c>
      <c r="D832" t="s">
        <v>944</v>
      </c>
      <c r="E832" t="s">
        <v>8</v>
      </c>
      <c r="F832" t="s">
        <v>945</v>
      </c>
      <c r="H832">
        <v>20</v>
      </c>
      <c r="J832">
        <v>12</v>
      </c>
      <c r="K832">
        <v>32</v>
      </c>
    </row>
    <row r="833" spans="1:11">
      <c r="A833">
        <v>842</v>
      </c>
      <c r="B833" t="s">
        <v>1295</v>
      </c>
      <c r="C833" t="s">
        <v>41</v>
      </c>
      <c r="D833" t="s">
        <v>944</v>
      </c>
      <c r="E833" t="s">
        <v>8</v>
      </c>
      <c r="F833" t="s">
        <v>946</v>
      </c>
      <c r="H833">
        <v>40</v>
      </c>
      <c r="J833">
        <v>24</v>
      </c>
      <c r="K833">
        <v>64</v>
      </c>
    </row>
    <row r="834" spans="1:11">
      <c r="A834">
        <v>843</v>
      </c>
      <c r="B834" t="s">
        <v>1295</v>
      </c>
      <c r="C834" t="s">
        <v>41</v>
      </c>
      <c r="D834" t="s">
        <v>944</v>
      </c>
      <c r="E834" t="s">
        <v>8</v>
      </c>
      <c r="F834" t="s">
        <v>947</v>
      </c>
      <c r="H834">
        <v>26.666699999999999</v>
      </c>
      <c r="J834">
        <v>16</v>
      </c>
      <c r="K834">
        <v>42.666699999999999</v>
      </c>
    </row>
    <row r="835" spans="1:11">
      <c r="A835">
        <v>844</v>
      </c>
      <c r="B835" t="s">
        <v>1295</v>
      </c>
      <c r="C835" t="s">
        <v>41</v>
      </c>
      <c r="D835" t="s">
        <v>944</v>
      </c>
      <c r="E835" t="s">
        <v>8</v>
      </c>
      <c r="J835">
        <v>0</v>
      </c>
      <c r="K835">
        <v>0</v>
      </c>
    </row>
    <row r="836" spans="1:11">
      <c r="A836">
        <v>845</v>
      </c>
      <c r="B836" t="s">
        <v>1295</v>
      </c>
      <c r="C836" t="s">
        <v>69</v>
      </c>
      <c r="D836" t="s">
        <v>948</v>
      </c>
      <c r="E836" t="s">
        <v>8</v>
      </c>
      <c r="J836">
        <v>0</v>
      </c>
      <c r="K836">
        <v>0</v>
      </c>
    </row>
    <row r="837" spans="1:11">
      <c r="A837">
        <v>846</v>
      </c>
      <c r="B837" t="s">
        <v>1295</v>
      </c>
      <c r="C837" t="s">
        <v>69</v>
      </c>
      <c r="D837" t="s">
        <v>948</v>
      </c>
      <c r="E837" t="s">
        <v>8</v>
      </c>
      <c r="F837" t="s">
        <v>949</v>
      </c>
      <c r="H837">
        <v>20</v>
      </c>
      <c r="J837">
        <v>12</v>
      </c>
      <c r="K837">
        <v>32</v>
      </c>
    </row>
    <row r="838" spans="1:11">
      <c r="A838">
        <v>847</v>
      </c>
      <c r="B838" t="s">
        <v>1295</v>
      </c>
      <c r="C838" t="s">
        <v>69</v>
      </c>
      <c r="D838" t="s">
        <v>948</v>
      </c>
      <c r="E838" t="s">
        <v>8</v>
      </c>
      <c r="F838" t="s">
        <v>950</v>
      </c>
      <c r="H838">
        <v>8</v>
      </c>
      <c r="J838">
        <v>4.8</v>
      </c>
      <c r="K838">
        <v>12.8</v>
      </c>
    </row>
    <row r="839" spans="1:11">
      <c r="A839">
        <v>848</v>
      </c>
      <c r="B839" t="s">
        <v>1295</v>
      </c>
      <c r="C839" t="s">
        <v>69</v>
      </c>
      <c r="D839" t="s">
        <v>948</v>
      </c>
      <c r="E839" t="s">
        <v>8</v>
      </c>
      <c r="F839" t="s">
        <v>951</v>
      </c>
      <c r="H839">
        <v>13.333299999999999</v>
      </c>
      <c r="J839">
        <v>8</v>
      </c>
      <c r="K839">
        <v>21.333300000000001</v>
      </c>
    </row>
    <row r="840" spans="1:11">
      <c r="A840">
        <v>849</v>
      </c>
      <c r="B840" t="s">
        <v>1295</v>
      </c>
      <c r="C840" t="s">
        <v>69</v>
      </c>
      <c r="D840" t="s">
        <v>948</v>
      </c>
      <c r="E840" t="s">
        <v>8</v>
      </c>
      <c r="F840" t="s">
        <v>1164</v>
      </c>
      <c r="H840">
        <v>44</v>
      </c>
      <c r="J840">
        <v>26.4</v>
      </c>
      <c r="K840">
        <v>70.400000000000006</v>
      </c>
    </row>
    <row r="841" spans="1:11">
      <c r="A841">
        <v>850</v>
      </c>
      <c r="B841" t="s">
        <v>1295</v>
      </c>
      <c r="C841" t="s">
        <v>69</v>
      </c>
      <c r="D841" t="s">
        <v>948</v>
      </c>
      <c r="E841" t="s">
        <v>8</v>
      </c>
      <c r="F841" t="s">
        <v>953</v>
      </c>
      <c r="H841">
        <v>20</v>
      </c>
      <c r="J841">
        <v>12</v>
      </c>
      <c r="K841">
        <v>32</v>
      </c>
    </row>
    <row r="842" spans="1:11">
      <c r="A842">
        <v>851</v>
      </c>
      <c r="B842" t="s">
        <v>1295</v>
      </c>
      <c r="C842" t="s">
        <v>69</v>
      </c>
      <c r="D842" t="s">
        <v>948</v>
      </c>
      <c r="E842" t="s">
        <v>8</v>
      </c>
      <c r="F842" t="s">
        <v>954</v>
      </c>
      <c r="H842">
        <v>24</v>
      </c>
      <c r="J842">
        <v>14.4</v>
      </c>
      <c r="K842">
        <v>38.4</v>
      </c>
    </row>
    <row r="843" spans="1:11">
      <c r="A843">
        <v>852</v>
      </c>
      <c r="B843" t="s">
        <v>1295</v>
      </c>
      <c r="C843" t="s">
        <v>69</v>
      </c>
      <c r="D843" t="s">
        <v>948</v>
      </c>
      <c r="E843" t="s">
        <v>8</v>
      </c>
      <c r="F843" t="s">
        <v>955</v>
      </c>
      <c r="H843">
        <v>13.333299999999999</v>
      </c>
      <c r="J843">
        <v>8</v>
      </c>
      <c r="K843">
        <v>21.333300000000001</v>
      </c>
    </row>
    <row r="844" spans="1:11">
      <c r="A844">
        <v>853</v>
      </c>
      <c r="B844" t="s">
        <v>1295</v>
      </c>
      <c r="C844" t="s">
        <v>69</v>
      </c>
      <c r="D844" t="s">
        <v>948</v>
      </c>
      <c r="E844" t="s">
        <v>8</v>
      </c>
      <c r="F844" t="s">
        <v>1165</v>
      </c>
      <c r="H844">
        <v>33.333300000000001</v>
      </c>
      <c r="J844">
        <v>20</v>
      </c>
      <c r="K844">
        <v>53.333300000000001</v>
      </c>
    </row>
    <row r="845" spans="1:11">
      <c r="A845">
        <v>854</v>
      </c>
      <c r="B845" t="s">
        <v>1295</v>
      </c>
      <c r="C845" t="s">
        <v>69</v>
      </c>
      <c r="D845" t="s">
        <v>948</v>
      </c>
      <c r="E845" t="s">
        <v>8</v>
      </c>
      <c r="F845" t="s">
        <v>957</v>
      </c>
      <c r="H845">
        <v>6.6666999999999996</v>
      </c>
      <c r="J845">
        <v>4</v>
      </c>
      <c r="K845">
        <v>10.666700000000001</v>
      </c>
    </row>
    <row r="846" spans="1:11">
      <c r="A846">
        <v>855</v>
      </c>
      <c r="B846" t="s">
        <v>1295</v>
      </c>
      <c r="C846" t="s">
        <v>69</v>
      </c>
      <c r="D846" t="s">
        <v>948</v>
      </c>
      <c r="E846" t="s">
        <v>8</v>
      </c>
      <c r="F846" t="s">
        <v>46</v>
      </c>
      <c r="H846">
        <v>80</v>
      </c>
      <c r="J846">
        <v>48</v>
      </c>
      <c r="K846">
        <v>128</v>
      </c>
    </row>
    <row r="847" spans="1:11">
      <c r="A847">
        <v>856</v>
      </c>
      <c r="B847" t="s">
        <v>1295</v>
      </c>
      <c r="C847" t="s">
        <v>69</v>
      </c>
      <c r="D847" t="s">
        <v>948</v>
      </c>
      <c r="E847" t="s">
        <v>8</v>
      </c>
      <c r="F847" t="s">
        <v>47</v>
      </c>
      <c r="H847">
        <v>320</v>
      </c>
      <c r="J847">
        <v>192</v>
      </c>
      <c r="K847">
        <v>512</v>
      </c>
    </row>
    <row r="848" spans="1:11">
      <c r="A848">
        <v>857</v>
      </c>
      <c r="B848" t="s">
        <v>1295</v>
      </c>
      <c r="C848" t="s">
        <v>69</v>
      </c>
      <c r="D848" t="s">
        <v>948</v>
      </c>
      <c r="E848" t="s">
        <v>8</v>
      </c>
      <c r="F848" t="s">
        <v>958</v>
      </c>
      <c r="H848">
        <v>40</v>
      </c>
      <c r="J848">
        <v>24</v>
      </c>
      <c r="K848">
        <v>64</v>
      </c>
    </row>
    <row r="849" spans="1:11">
      <c r="A849">
        <v>858</v>
      </c>
      <c r="B849" t="s">
        <v>1295</v>
      </c>
      <c r="C849" t="s">
        <v>69</v>
      </c>
      <c r="D849" t="s">
        <v>948</v>
      </c>
      <c r="E849" t="s">
        <v>8</v>
      </c>
      <c r="F849" t="s">
        <v>959</v>
      </c>
      <c r="H849">
        <v>320</v>
      </c>
      <c r="J849">
        <v>192</v>
      </c>
      <c r="K849">
        <v>512</v>
      </c>
    </row>
    <row r="850" spans="1:11">
      <c r="A850">
        <v>859</v>
      </c>
      <c r="B850" t="s">
        <v>1295</v>
      </c>
      <c r="C850" t="s">
        <v>69</v>
      </c>
      <c r="D850" t="s">
        <v>948</v>
      </c>
      <c r="E850" t="s">
        <v>8</v>
      </c>
      <c r="F850" t="s">
        <v>960</v>
      </c>
      <c r="H850">
        <v>60</v>
      </c>
      <c r="J850">
        <v>36</v>
      </c>
      <c r="K850">
        <v>96</v>
      </c>
    </row>
    <row r="851" spans="1:11">
      <c r="A851">
        <v>860</v>
      </c>
      <c r="B851" t="s">
        <v>1295</v>
      </c>
      <c r="C851" t="s">
        <v>69</v>
      </c>
      <c r="D851" t="s">
        <v>948</v>
      </c>
      <c r="E851" t="s">
        <v>8</v>
      </c>
      <c r="F851" t="s">
        <v>1166</v>
      </c>
      <c r="H851">
        <v>38</v>
      </c>
      <c r="J851">
        <v>22.8</v>
      </c>
      <c r="K851">
        <v>60.8</v>
      </c>
    </row>
    <row r="852" spans="1:11">
      <c r="A852">
        <v>861</v>
      </c>
      <c r="B852" t="s">
        <v>1295</v>
      </c>
      <c r="C852" t="s">
        <v>69</v>
      </c>
      <c r="D852" t="s">
        <v>948</v>
      </c>
      <c r="E852" t="s">
        <v>8</v>
      </c>
      <c r="F852" t="s">
        <v>1167</v>
      </c>
      <c r="H852">
        <v>120</v>
      </c>
      <c r="J852">
        <v>72</v>
      </c>
      <c r="K852">
        <v>192</v>
      </c>
    </row>
    <row r="853" spans="1:11">
      <c r="A853">
        <v>862</v>
      </c>
      <c r="B853" t="s">
        <v>1295</v>
      </c>
      <c r="C853" t="s">
        <v>69</v>
      </c>
      <c r="D853" t="s">
        <v>963</v>
      </c>
      <c r="E853" t="s">
        <v>8</v>
      </c>
      <c r="F853" t="s">
        <v>964</v>
      </c>
      <c r="J853">
        <v>0</v>
      </c>
    </row>
    <row r="854" spans="1:11">
      <c r="A854">
        <v>863</v>
      </c>
      <c r="B854" t="s">
        <v>1295</v>
      </c>
      <c r="C854" t="s">
        <v>69</v>
      </c>
      <c r="D854" t="s">
        <v>963</v>
      </c>
      <c r="E854" t="s">
        <v>8</v>
      </c>
      <c r="F854" t="s">
        <v>965</v>
      </c>
      <c r="H854">
        <v>80</v>
      </c>
      <c r="J854">
        <v>48</v>
      </c>
      <c r="K854">
        <v>128</v>
      </c>
    </row>
    <row r="855" spans="1:11">
      <c r="A855">
        <v>864</v>
      </c>
      <c r="B855" t="s">
        <v>1295</v>
      </c>
      <c r="C855" t="s">
        <v>69</v>
      </c>
      <c r="D855" t="s">
        <v>963</v>
      </c>
      <c r="E855" t="s">
        <v>8</v>
      </c>
      <c r="F855" t="s">
        <v>966</v>
      </c>
      <c r="H855">
        <v>6.6666999999999996</v>
      </c>
      <c r="J855">
        <v>4</v>
      </c>
      <c r="K855">
        <v>10.666700000000001</v>
      </c>
    </row>
    <row r="856" spans="1:11">
      <c r="A856">
        <v>865</v>
      </c>
      <c r="B856" t="s">
        <v>1295</v>
      </c>
      <c r="C856" t="s">
        <v>69</v>
      </c>
      <c r="D856" t="s">
        <v>963</v>
      </c>
      <c r="E856" t="s">
        <v>8</v>
      </c>
      <c r="F856" t="s">
        <v>967</v>
      </c>
      <c r="H856">
        <v>6.6666999999999996</v>
      </c>
      <c r="J856">
        <v>4</v>
      </c>
      <c r="K856">
        <v>10.666700000000001</v>
      </c>
    </row>
    <row r="857" spans="1:11">
      <c r="A857">
        <v>866</v>
      </c>
      <c r="B857" t="s">
        <v>1295</v>
      </c>
      <c r="C857" t="s">
        <v>69</v>
      </c>
      <c r="D857" t="s">
        <v>963</v>
      </c>
      <c r="E857" t="s">
        <v>8</v>
      </c>
      <c r="F857" t="s">
        <v>968</v>
      </c>
      <c r="H857">
        <v>6.6666999999999996</v>
      </c>
      <c r="J857">
        <v>4</v>
      </c>
      <c r="K857">
        <v>10.666700000000001</v>
      </c>
    </row>
    <row r="858" spans="1:11">
      <c r="A858">
        <v>867</v>
      </c>
      <c r="B858" t="s">
        <v>1295</v>
      </c>
      <c r="C858" t="s">
        <v>69</v>
      </c>
      <c r="D858" t="s">
        <v>963</v>
      </c>
      <c r="E858" t="s">
        <v>8</v>
      </c>
      <c r="F858" t="s">
        <v>969</v>
      </c>
      <c r="H858">
        <v>6.6666999999999996</v>
      </c>
      <c r="J858">
        <v>4</v>
      </c>
      <c r="K858">
        <v>10.666700000000001</v>
      </c>
    </row>
    <row r="859" spans="1:11">
      <c r="A859">
        <v>868</v>
      </c>
      <c r="B859" t="s">
        <v>1295</v>
      </c>
      <c r="C859" t="s">
        <v>69</v>
      </c>
      <c r="D859" t="s">
        <v>963</v>
      </c>
      <c r="E859" t="s">
        <v>8</v>
      </c>
      <c r="H859">
        <v>6.6666999999999996</v>
      </c>
      <c r="J859">
        <v>4</v>
      </c>
      <c r="K859">
        <v>10.666700000000001</v>
      </c>
    </row>
    <row r="860" spans="1:11">
      <c r="A860">
        <v>869</v>
      </c>
      <c r="B860" t="s">
        <v>1295</v>
      </c>
      <c r="C860" t="s">
        <v>69</v>
      </c>
      <c r="D860" t="s">
        <v>963</v>
      </c>
      <c r="E860" t="s">
        <v>8</v>
      </c>
      <c r="F860" t="s">
        <v>970</v>
      </c>
      <c r="J860">
        <v>0</v>
      </c>
    </row>
    <row r="861" spans="1:11">
      <c r="A861">
        <v>870</v>
      </c>
      <c r="B861" t="s">
        <v>1295</v>
      </c>
      <c r="C861" t="s">
        <v>69</v>
      </c>
      <c r="D861" t="s">
        <v>971</v>
      </c>
      <c r="E861" t="s">
        <v>8</v>
      </c>
      <c r="H861">
        <v>0</v>
      </c>
      <c r="J861">
        <v>0</v>
      </c>
      <c r="K861">
        <v>0</v>
      </c>
    </row>
    <row r="862" spans="1:11">
      <c r="A862">
        <v>871</v>
      </c>
      <c r="B862" t="s">
        <v>1295</v>
      </c>
      <c r="C862" t="s">
        <v>69</v>
      </c>
      <c r="D862" t="s">
        <v>971</v>
      </c>
      <c r="E862" t="s">
        <v>8</v>
      </c>
      <c r="F862" t="s">
        <v>972</v>
      </c>
      <c r="H862">
        <v>33.333300000000001</v>
      </c>
      <c r="J862">
        <v>20</v>
      </c>
      <c r="K862">
        <v>53.333300000000001</v>
      </c>
    </row>
    <row r="863" spans="1:11">
      <c r="A863">
        <v>872</v>
      </c>
      <c r="B863" t="s">
        <v>1295</v>
      </c>
      <c r="C863" t="s">
        <v>69</v>
      </c>
      <c r="D863" t="s">
        <v>971</v>
      </c>
      <c r="E863" t="s">
        <v>8</v>
      </c>
      <c r="F863" t="s">
        <v>973</v>
      </c>
      <c r="H863">
        <v>4</v>
      </c>
      <c r="J863">
        <v>2.4</v>
      </c>
      <c r="K863">
        <v>6.4</v>
      </c>
    </row>
    <row r="864" spans="1:11">
      <c r="A864">
        <v>873</v>
      </c>
      <c r="B864" t="s">
        <v>1295</v>
      </c>
      <c r="C864" t="s">
        <v>69</v>
      </c>
      <c r="D864" t="s">
        <v>971</v>
      </c>
      <c r="E864" t="s">
        <v>8</v>
      </c>
      <c r="F864" t="s">
        <v>974</v>
      </c>
      <c r="H864">
        <v>20</v>
      </c>
      <c r="J864">
        <v>12</v>
      </c>
      <c r="K864">
        <v>32</v>
      </c>
    </row>
    <row r="865" spans="1:11">
      <c r="A865">
        <v>874</v>
      </c>
      <c r="B865" t="s">
        <v>1295</v>
      </c>
      <c r="C865" t="s">
        <v>69</v>
      </c>
      <c r="D865" t="s">
        <v>971</v>
      </c>
      <c r="E865" t="s">
        <v>8</v>
      </c>
      <c r="F865" t="s">
        <v>975</v>
      </c>
      <c r="H865">
        <v>48</v>
      </c>
      <c r="J865">
        <v>28.8</v>
      </c>
      <c r="K865">
        <v>76.8</v>
      </c>
    </row>
    <row r="866" spans="1:11">
      <c r="A866">
        <v>875</v>
      </c>
      <c r="B866" t="s">
        <v>1295</v>
      </c>
      <c r="C866" t="s">
        <v>69</v>
      </c>
      <c r="D866" t="s">
        <v>976</v>
      </c>
      <c r="E866" t="s">
        <v>8</v>
      </c>
      <c r="J866">
        <v>0</v>
      </c>
      <c r="K866">
        <v>0</v>
      </c>
    </row>
    <row r="867" spans="1:11">
      <c r="A867">
        <v>876</v>
      </c>
      <c r="B867" t="s">
        <v>1295</v>
      </c>
      <c r="C867" t="s">
        <v>69</v>
      </c>
      <c r="D867" t="s">
        <v>976</v>
      </c>
      <c r="E867" t="s">
        <v>8</v>
      </c>
      <c r="F867" t="s">
        <v>977</v>
      </c>
      <c r="H867">
        <v>80</v>
      </c>
      <c r="J867">
        <v>48</v>
      </c>
      <c r="K867">
        <v>128</v>
      </c>
    </row>
    <row r="868" spans="1:11">
      <c r="A868">
        <v>877</v>
      </c>
      <c r="B868" t="s">
        <v>1295</v>
      </c>
      <c r="C868" t="s">
        <v>69</v>
      </c>
      <c r="D868" t="s">
        <v>976</v>
      </c>
      <c r="E868" t="s">
        <v>8</v>
      </c>
      <c r="F868" t="s">
        <v>978</v>
      </c>
      <c r="H868">
        <v>33.333300000000001</v>
      </c>
      <c r="J868">
        <v>20</v>
      </c>
      <c r="K868">
        <v>81.333299999999994</v>
      </c>
    </row>
    <row r="869" spans="1:11">
      <c r="A869">
        <v>878</v>
      </c>
      <c r="B869" t="s">
        <v>1295</v>
      </c>
      <c r="C869" t="s">
        <v>69</v>
      </c>
      <c r="D869" t="s">
        <v>976</v>
      </c>
      <c r="E869" t="s">
        <v>8</v>
      </c>
      <c r="F869" t="s">
        <v>979</v>
      </c>
      <c r="H869">
        <v>20</v>
      </c>
      <c r="J869">
        <v>12</v>
      </c>
      <c r="K869">
        <v>32</v>
      </c>
    </row>
    <row r="870" spans="1:11">
      <c r="A870">
        <v>879</v>
      </c>
      <c r="B870" t="s">
        <v>1295</v>
      </c>
      <c r="C870" t="s">
        <v>69</v>
      </c>
      <c r="D870" t="s">
        <v>980</v>
      </c>
      <c r="E870" t="s">
        <v>8</v>
      </c>
      <c r="F870" t="s">
        <v>1168</v>
      </c>
      <c r="H870">
        <v>0</v>
      </c>
      <c r="J870">
        <v>0</v>
      </c>
      <c r="K870">
        <v>0</v>
      </c>
    </row>
    <row r="871" spans="1:11">
      <c r="A871">
        <v>880</v>
      </c>
      <c r="B871" t="s">
        <v>1295</v>
      </c>
      <c r="C871" t="s">
        <v>69</v>
      </c>
      <c r="D871" t="s">
        <v>982</v>
      </c>
      <c r="E871" t="s">
        <v>8</v>
      </c>
      <c r="F871" t="s">
        <v>983</v>
      </c>
      <c r="H871">
        <v>33.333300000000001</v>
      </c>
      <c r="J871">
        <v>20</v>
      </c>
      <c r="K871">
        <v>53.333300000000001</v>
      </c>
    </row>
    <row r="872" spans="1:11">
      <c r="A872">
        <v>881</v>
      </c>
      <c r="B872" t="s">
        <v>1295</v>
      </c>
      <c r="C872" t="s">
        <v>69</v>
      </c>
      <c r="D872" t="s">
        <v>982</v>
      </c>
      <c r="E872" t="s">
        <v>8</v>
      </c>
      <c r="F872" t="s">
        <v>984</v>
      </c>
      <c r="H872">
        <v>4</v>
      </c>
      <c r="J872">
        <v>2.4</v>
      </c>
      <c r="K872">
        <v>6.4</v>
      </c>
    </row>
    <row r="873" spans="1:11">
      <c r="A873">
        <v>882</v>
      </c>
      <c r="B873" t="s">
        <v>1295</v>
      </c>
      <c r="C873" t="s">
        <v>69</v>
      </c>
      <c r="D873" t="s">
        <v>982</v>
      </c>
      <c r="E873" t="s">
        <v>8</v>
      </c>
      <c r="F873" t="s">
        <v>985</v>
      </c>
      <c r="H873">
        <v>20</v>
      </c>
      <c r="J873">
        <v>12</v>
      </c>
      <c r="K873">
        <v>32</v>
      </c>
    </row>
    <row r="874" spans="1:11">
      <c r="A874">
        <v>883</v>
      </c>
      <c r="B874" t="s">
        <v>1295</v>
      </c>
      <c r="C874" t="s">
        <v>69</v>
      </c>
      <c r="D874" t="s">
        <v>982</v>
      </c>
      <c r="E874" t="s">
        <v>8</v>
      </c>
      <c r="F874" t="s">
        <v>986</v>
      </c>
      <c r="H874">
        <v>48</v>
      </c>
      <c r="J874">
        <v>28.8</v>
      </c>
      <c r="K874">
        <v>76.8</v>
      </c>
    </row>
    <row r="875" spans="1:11">
      <c r="A875">
        <v>884</v>
      </c>
      <c r="B875" t="s">
        <v>1295</v>
      </c>
      <c r="C875" t="s">
        <v>69</v>
      </c>
      <c r="D875" t="s">
        <v>987</v>
      </c>
      <c r="E875" t="s">
        <v>8</v>
      </c>
      <c r="F875" t="s">
        <v>988</v>
      </c>
      <c r="H875">
        <v>0</v>
      </c>
      <c r="J875">
        <v>0</v>
      </c>
      <c r="K875">
        <v>0</v>
      </c>
    </row>
    <row r="876" spans="1:11">
      <c r="A876">
        <v>885</v>
      </c>
      <c r="B876" t="s">
        <v>1295</v>
      </c>
      <c r="C876" t="s">
        <v>69</v>
      </c>
      <c r="D876" t="s">
        <v>987</v>
      </c>
      <c r="E876" t="s">
        <v>8</v>
      </c>
      <c r="F876" t="s">
        <v>989</v>
      </c>
      <c r="H876">
        <v>80</v>
      </c>
      <c r="J876">
        <v>48</v>
      </c>
      <c r="K876">
        <v>128</v>
      </c>
    </row>
    <row r="877" spans="1:11">
      <c r="A877">
        <v>886</v>
      </c>
      <c r="B877" t="s">
        <v>1295</v>
      </c>
      <c r="C877" t="s">
        <v>69</v>
      </c>
      <c r="D877" t="s">
        <v>987</v>
      </c>
      <c r="E877" t="s">
        <v>8</v>
      </c>
      <c r="H877">
        <v>33.333300000000001</v>
      </c>
      <c r="J877">
        <v>20</v>
      </c>
      <c r="K877">
        <v>53.333300000000001</v>
      </c>
    </row>
    <row r="878" spans="1:11">
      <c r="A878">
        <v>887</v>
      </c>
      <c r="B878" t="s">
        <v>1295</v>
      </c>
      <c r="C878" t="s">
        <v>69</v>
      </c>
      <c r="D878" t="s">
        <v>990</v>
      </c>
      <c r="E878" t="s">
        <v>8</v>
      </c>
      <c r="F878" t="s">
        <v>991</v>
      </c>
      <c r="H878">
        <v>20</v>
      </c>
      <c r="J878">
        <v>12</v>
      </c>
      <c r="K878">
        <v>32</v>
      </c>
    </row>
    <row r="879" spans="1:11">
      <c r="A879">
        <v>888</v>
      </c>
      <c r="B879" t="s">
        <v>1295</v>
      </c>
      <c r="C879" t="s">
        <v>69</v>
      </c>
      <c r="D879" t="s">
        <v>992</v>
      </c>
      <c r="E879" t="s">
        <v>8</v>
      </c>
      <c r="F879" t="s">
        <v>1169</v>
      </c>
      <c r="H879">
        <v>80</v>
      </c>
      <c r="J879">
        <v>48</v>
      </c>
      <c r="K879">
        <v>128</v>
      </c>
    </row>
    <row r="880" spans="1:11">
      <c r="A880">
        <v>889</v>
      </c>
      <c r="B880" t="s">
        <v>1295</v>
      </c>
      <c r="C880" t="s">
        <v>69</v>
      </c>
      <c r="D880" t="s">
        <v>992</v>
      </c>
      <c r="E880" t="s">
        <v>8</v>
      </c>
      <c r="F880" t="s">
        <v>1170</v>
      </c>
      <c r="H880">
        <v>160</v>
      </c>
      <c r="J880">
        <v>96</v>
      </c>
      <c r="K880">
        <v>256</v>
      </c>
    </row>
    <row r="881" spans="1:11">
      <c r="A881">
        <v>890</v>
      </c>
      <c r="B881" t="s">
        <v>1295</v>
      </c>
      <c r="C881" t="s">
        <v>69</v>
      </c>
      <c r="D881" t="s">
        <v>992</v>
      </c>
      <c r="E881" t="s">
        <v>8</v>
      </c>
      <c r="F881" t="s">
        <v>1171</v>
      </c>
      <c r="H881">
        <v>160</v>
      </c>
      <c r="J881">
        <v>96</v>
      </c>
      <c r="K881">
        <v>256</v>
      </c>
    </row>
    <row r="882" spans="1:11">
      <c r="A882">
        <v>891</v>
      </c>
      <c r="B882" t="s">
        <v>1295</v>
      </c>
      <c r="C882" t="s">
        <v>69</v>
      </c>
      <c r="D882" t="s">
        <v>992</v>
      </c>
      <c r="E882" t="s">
        <v>8</v>
      </c>
      <c r="F882" t="s">
        <v>1172</v>
      </c>
      <c r="H882">
        <v>60</v>
      </c>
      <c r="J882">
        <v>36</v>
      </c>
      <c r="K882">
        <v>96</v>
      </c>
    </row>
    <row r="883" spans="1:11">
      <c r="A883">
        <v>892</v>
      </c>
      <c r="B883" t="s">
        <v>1295</v>
      </c>
      <c r="C883" t="s">
        <v>69</v>
      </c>
      <c r="D883" t="s">
        <v>997</v>
      </c>
      <c r="E883" t="s">
        <v>8</v>
      </c>
      <c r="F883" t="s">
        <v>1173</v>
      </c>
      <c r="H883">
        <v>40</v>
      </c>
      <c r="J883">
        <v>24</v>
      </c>
      <c r="K883">
        <v>64</v>
      </c>
    </row>
    <row r="884" spans="1:11">
      <c r="A884">
        <v>893</v>
      </c>
      <c r="B884" t="s">
        <v>1295</v>
      </c>
      <c r="C884" t="s">
        <v>69</v>
      </c>
      <c r="D884" t="s">
        <v>997</v>
      </c>
      <c r="E884" t="s">
        <v>8</v>
      </c>
      <c r="F884" t="s">
        <v>1174</v>
      </c>
      <c r="H884">
        <v>160</v>
      </c>
      <c r="J884">
        <v>96</v>
      </c>
      <c r="K884">
        <v>256</v>
      </c>
    </row>
    <row r="885" spans="1:11">
      <c r="A885">
        <v>894</v>
      </c>
      <c r="B885" t="s">
        <v>1295</v>
      </c>
      <c r="C885" t="s">
        <v>69</v>
      </c>
      <c r="D885" t="s">
        <v>997</v>
      </c>
      <c r="E885" t="s">
        <v>8</v>
      </c>
      <c r="J885">
        <v>0</v>
      </c>
      <c r="K885">
        <v>0</v>
      </c>
    </row>
    <row r="886" spans="1:11">
      <c r="A886">
        <v>895</v>
      </c>
      <c r="B886" t="s">
        <v>1295</v>
      </c>
      <c r="C886" t="s">
        <v>69</v>
      </c>
      <c r="D886" t="s">
        <v>997</v>
      </c>
      <c r="E886" t="s">
        <v>8</v>
      </c>
      <c r="F886" t="s">
        <v>444</v>
      </c>
      <c r="J886">
        <v>0</v>
      </c>
      <c r="K886">
        <v>0</v>
      </c>
    </row>
    <row r="887" spans="1:11">
      <c r="A887">
        <v>896</v>
      </c>
      <c r="B887" t="s">
        <v>1295</v>
      </c>
      <c r="C887" t="s">
        <v>69</v>
      </c>
      <c r="D887" t="s">
        <v>997</v>
      </c>
      <c r="E887" t="s">
        <v>8</v>
      </c>
      <c r="J887">
        <v>0</v>
      </c>
      <c r="K887">
        <v>0</v>
      </c>
    </row>
    <row r="888" spans="1:11">
      <c r="A888">
        <v>897</v>
      </c>
      <c r="B888" t="s">
        <v>1295</v>
      </c>
      <c r="C888" t="s">
        <v>69</v>
      </c>
      <c r="D888" t="s">
        <v>997</v>
      </c>
      <c r="E888" t="s">
        <v>8</v>
      </c>
      <c r="J888">
        <v>0</v>
      </c>
      <c r="K888">
        <v>0</v>
      </c>
    </row>
    <row r="889" spans="1:11">
      <c r="A889">
        <v>898</v>
      </c>
      <c r="B889" t="s">
        <v>1295</v>
      </c>
      <c r="C889" t="s">
        <v>69</v>
      </c>
      <c r="D889" t="s">
        <v>997</v>
      </c>
      <c r="E889" t="s">
        <v>8</v>
      </c>
      <c r="J889">
        <v>0</v>
      </c>
      <c r="K889">
        <v>0</v>
      </c>
    </row>
    <row r="890" spans="1:11">
      <c r="A890">
        <v>899</v>
      </c>
      <c r="B890" t="s">
        <v>1295</v>
      </c>
      <c r="C890" t="s">
        <v>69</v>
      </c>
      <c r="D890" t="s">
        <v>997</v>
      </c>
      <c r="E890" t="s">
        <v>8</v>
      </c>
      <c r="J890">
        <v>0</v>
      </c>
      <c r="K890">
        <v>0</v>
      </c>
    </row>
    <row r="891" spans="1:11">
      <c r="A891">
        <v>900</v>
      </c>
      <c r="B891" t="s">
        <v>1295</v>
      </c>
      <c r="C891" t="s">
        <v>69</v>
      </c>
      <c r="D891" t="s">
        <v>997</v>
      </c>
      <c r="E891" t="s">
        <v>8</v>
      </c>
      <c r="J891">
        <v>0</v>
      </c>
      <c r="K891">
        <v>0</v>
      </c>
    </row>
    <row r="892" spans="1:11">
      <c r="A892">
        <v>901</v>
      </c>
      <c r="B892" t="s">
        <v>1295</v>
      </c>
      <c r="C892" t="s">
        <v>69</v>
      </c>
      <c r="D892" t="s">
        <v>997</v>
      </c>
      <c r="E892" t="s">
        <v>8</v>
      </c>
      <c r="J892">
        <v>0</v>
      </c>
      <c r="K892">
        <v>0</v>
      </c>
    </row>
    <row r="893" spans="1:11">
      <c r="A893">
        <v>902</v>
      </c>
      <c r="B893" t="s">
        <v>1295</v>
      </c>
      <c r="C893" t="s">
        <v>69</v>
      </c>
      <c r="D893" t="s">
        <v>997</v>
      </c>
      <c r="E893" t="s">
        <v>8</v>
      </c>
      <c r="J893">
        <v>0</v>
      </c>
      <c r="K893">
        <v>0</v>
      </c>
    </row>
    <row r="894" spans="1:11">
      <c r="A894">
        <v>903</v>
      </c>
      <c r="B894" t="s">
        <v>1295</v>
      </c>
      <c r="C894" t="s">
        <v>69</v>
      </c>
      <c r="D894" t="s">
        <v>997</v>
      </c>
      <c r="E894" t="s">
        <v>8</v>
      </c>
      <c r="J894">
        <v>0</v>
      </c>
      <c r="K894">
        <v>0</v>
      </c>
    </row>
    <row r="895" spans="1:11">
      <c r="A895">
        <v>904</v>
      </c>
      <c r="B895" t="s">
        <v>1295</v>
      </c>
      <c r="C895" t="s">
        <v>69</v>
      </c>
      <c r="D895" t="s">
        <v>997</v>
      </c>
      <c r="E895" t="s">
        <v>8</v>
      </c>
      <c r="J895">
        <v>0</v>
      </c>
      <c r="K895">
        <v>0</v>
      </c>
    </row>
    <row r="896" spans="1:11">
      <c r="A896">
        <v>905</v>
      </c>
      <c r="B896" t="s">
        <v>1295</v>
      </c>
      <c r="C896" t="s">
        <v>69</v>
      </c>
      <c r="D896" t="s">
        <v>997</v>
      </c>
      <c r="E896" t="s">
        <v>8</v>
      </c>
      <c r="F896" t="s">
        <v>1000</v>
      </c>
      <c r="H896">
        <v>1000</v>
      </c>
      <c r="J896">
        <v>600</v>
      </c>
      <c r="K896">
        <v>1600</v>
      </c>
    </row>
    <row r="897" spans="1:11">
      <c r="A897">
        <v>906</v>
      </c>
      <c r="B897" t="s">
        <v>1295</v>
      </c>
      <c r="C897" t="s">
        <v>69</v>
      </c>
      <c r="D897" t="s">
        <v>997</v>
      </c>
      <c r="E897" t="s">
        <v>8</v>
      </c>
      <c r="F897" t="s">
        <v>1001</v>
      </c>
      <c r="H897">
        <v>0</v>
      </c>
      <c r="J897">
        <v>0</v>
      </c>
      <c r="K897">
        <v>0</v>
      </c>
    </row>
    <row r="898" spans="1:11">
      <c r="A898">
        <v>907</v>
      </c>
      <c r="B898" t="s">
        <v>1295</v>
      </c>
      <c r="C898" t="s">
        <v>69</v>
      </c>
      <c r="D898" t="s">
        <v>997</v>
      </c>
      <c r="E898" t="s">
        <v>8</v>
      </c>
      <c r="F898" t="s">
        <v>1002</v>
      </c>
      <c r="H898">
        <v>0</v>
      </c>
      <c r="J898">
        <v>0</v>
      </c>
      <c r="K898">
        <v>0</v>
      </c>
    </row>
    <row r="899" spans="1:11">
      <c r="A899">
        <v>908</v>
      </c>
      <c r="B899" t="s">
        <v>1295</v>
      </c>
      <c r="C899" t="s">
        <v>69</v>
      </c>
      <c r="D899" t="s">
        <v>997</v>
      </c>
      <c r="E899" t="s">
        <v>8</v>
      </c>
      <c r="H899">
        <v>0</v>
      </c>
      <c r="J899">
        <v>0</v>
      </c>
      <c r="K899">
        <v>0</v>
      </c>
    </row>
    <row r="900" spans="1:11">
      <c r="A900">
        <v>909</v>
      </c>
      <c r="B900" t="s">
        <v>1295</v>
      </c>
      <c r="C900" t="s">
        <v>69</v>
      </c>
      <c r="D900" t="s">
        <v>997</v>
      </c>
      <c r="E900" t="s">
        <v>8</v>
      </c>
      <c r="H900">
        <v>0</v>
      </c>
      <c r="J900">
        <v>0</v>
      </c>
      <c r="K900">
        <v>0</v>
      </c>
    </row>
    <row r="901" spans="1:11">
      <c r="A901">
        <v>910</v>
      </c>
      <c r="B901" t="s">
        <v>1295</v>
      </c>
      <c r="C901" t="s">
        <v>69</v>
      </c>
      <c r="D901" t="s">
        <v>997</v>
      </c>
      <c r="E901" t="s">
        <v>8</v>
      </c>
      <c r="F901" t="s">
        <v>1003</v>
      </c>
      <c r="H901">
        <v>0</v>
      </c>
      <c r="J901">
        <v>0</v>
      </c>
      <c r="K901">
        <v>0</v>
      </c>
    </row>
    <row r="902" spans="1:11">
      <c r="A902">
        <v>911</v>
      </c>
      <c r="B902" t="s">
        <v>1295</v>
      </c>
      <c r="C902" t="s">
        <v>69</v>
      </c>
      <c r="D902" t="s">
        <v>997</v>
      </c>
      <c r="E902" t="s">
        <v>8</v>
      </c>
      <c r="F902" t="s">
        <v>1005</v>
      </c>
      <c r="H902">
        <v>0</v>
      </c>
      <c r="J902">
        <v>0</v>
      </c>
      <c r="K902">
        <v>0</v>
      </c>
    </row>
    <row r="903" spans="1:11">
      <c r="A903">
        <v>912</v>
      </c>
      <c r="B903" t="s">
        <v>1295</v>
      </c>
      <c r="C903" t="s">
        <v>69</v>
      </c>
      <c r="D903" t="s">
        <v>997</v>
      </c>
      <c r="E903" t="s">
        <v>8</v>
      </c>
      <c r="H903">
        <v>0</v>
      </c>
      <c r="J903">
        <v>0</v>
      </c>
      <c r="K903">
        <v>0</v>
      </c>
    </row>
    <row r="904" spans="1:11">
      <c r="A904">
        <v>913</v>
      </c>
      <c r="B904" t="s">
        <v>1295</v>
      </c>
      <c r="C904" t="s">
        <v>69</v>
      </c>
      <c r="D904" t="s">
        <v>997</v>
      </c>
      <c r="E904" t="s">
        <v>8</v>
      </c>
      <c r="H904">
        <v>0</v>
      </c>
      <c r="J904">
        <v>0</v>
      </c>
      <c r="K904">
        <v>0</v>
      </c>
    </row>
    <row r="905" spans="1:11">
      <c r="A905">
        <v>914</v>
      </c>
      <c r="B905" t="s">
        <v>1295</v>
      </c>
      <c r="C905" t="s">
        <v>69</v>
      </c>
      <c r="D905" t="s">
        <v>997</v>
      </c>
      <c r="E905" t="s">
        <v>8</v>
      </c>
      <c r="F905" t="s">
        <v>1006</v>
      </c>
      <c r="H905">
        <v>0</v>
      </c>
      <c r="J905">
        <v>0</v>
      </c>
      <c r="K905">
        <v>0</v>
      </c>
    </row>
    <row r="906" spans="1:11">
      <c r="A906">
        <v>915</v>
      </c>
      <c r="B906" t="s">
        <v>1295</v>
      </c>
      <c r="C906" t="s">
        <v>69</v>
      </c>
      <c r="D906" t="s">
        <v>997</v>
      </c>
      <c r="E906" t="s">
        <v>8</v>
      </c>
      <c r="F906" t="s">
        <v>1007</v>
      </c>
      <c r="H906">
        <v>40</v>
      </c>
      <c r="J906">
        <v>24</v>
      </c>
      <c r="K906">
        <v>64</v>
      </c>
    </row>
    <row r="907" spans="1:11">
      <c r="A907">
        <v>916</v>
      </c>
      <c r="B907" t="s">
        <v>1295</v>
      </c>
      <c r="C907" t="s">
        <v>69</v>
      </c>
      <c r="D907" t="s">
        <v>997</v>
      </c>
      <c r="E907" t="s">
        <v>8</v>
      </c>
      <c r="H907">
        <v>40</v>
      </c>
      <c r="J907">
        <v>24</v>
      </c>
      <c r="K907">
        <v>64</v>
      </c>
    </row>
    <row r="908" spans="1:11">
      <c r="A908">
        <v>917</v>
      </c>
      <c r="B908" t="s">
        <v>1295</v>
      </c>
      <c r="C908" t="s">
        <v>69</v>
      </c>
      <c r="D908" t="s">
        <v>997</v>
      </c>
      <c r="E908" t="s">
        <v>8</v>
      </c>
      <c r="H908">
        <v>0</v>
      </c>
      <c r="J908">
        <v>0</v>
      </c>
      <c r="K908">
        <v>0</v>
      </c>
    </row>
    <row r="909" spans="1:11">
      <c r="A909">
        <v>918</v>
      </c>
      <c r="B909" t="s">
        <v>1295</v>
      </c>
      <c r="C909" t="s">
        <v>69</v>
      </c>
      <c r="D909" t="s">
        <v>997</v>
      </c>
      <c r="E909" t="s">
        <v>8</v>
      </c>
      <c r="F909" t="s">
        <v>1008</v>
      </c>
      <c r="H909">
        <v>0</v>
      </c>
      <c r="J909">
        <v>0</v>
      </c>
      <c r="K909">
        <v>0</v>
      </c>
    </row>
    <row r="910" spans="1:11">
      <c r="A910">
        <v>919</v>
      </c>
      <c r="B910" t="s">
        <v>1295</v>
      </c>
      <c r="C910" t="s">
        <v>69</v>
      </c>
      <c r="D910" t="s">
        <v>997</v>
      </c>
      <c r="E910" t="s">
        <v>8</v>
      </c>
      <c r="F910" t="s">
        <v>1009</v>
      </c>
      <c r="H910">
        <v>80</v>
      </c>
      <c r="J910">
        <v>48</v>
      </c>
      <c r="K910">
        <v>128</v>
      </c>
    </row>
    <row r="911" spans="1:11">
      <c r="A911">
        <v>920</v>
      </c>
      <c r="B911" t="s">
        <v>1295</v>
      </c>
      <c r="C911" t="s">
        <v>69</v>
      </c>
      <c r="D911" t="s">
        <v>997</v>
      </c>
      <c r="E911" t="s">
        <v>8</v>
      </c>
      <c r="F911" t="s">
        <v>1010</v>
      </c>
      <c r="H911">
        <v>80</v>
      </c>
      <c r="J911">
        <v>48</v>
      </c>
      <c r="K911">
        <v>128</v>
      </c>
    </row>
    <row r="912" spans="1:11">
      <c r="A912">
        <v>921</v>
      </c>
      <c r="B912" t="s">
        <v>1295</v>
      </c>
      <c r="C912" t="s">
        <v>69</v>
      </c>
      <c r="D912" t="s">
        <v>997</v>
      </c>
      <c r="E912" t="s">
        <v>8</v>
      </c>
      <c r="H912">
        <v>0</v>
      </c>
      <c r="J912">
        <v>0</v>
      </c>
      <c r="K912">
        <v>0</v>
      </c>
    </row>
    <row r="913" spans="1:11">
      <c r="A913">
        <v>922</v>
      </c>
      <c r="B913" t="s">
        <v>1295</v>
      </c>
      <c r="C913" t="s">
        <v>69</v>
      </c>
      <c r="D913" t="s">
        <v>997</v>
      </c>
      <c r="E913" t="s">
        <v>8</v>
      </c>
      <c r="H913">
        <v>0</v>
      </c>
      <c r="J913">
        <v>0</v>
      </c>
      <c r="K913">
        <v>0</v>
      </c>
    </row>
    <row r="914" spans="1:11">
      <c r="A914">
        <v>923</v>
      </c>
      <c r="B914" t="s">
        <v>1295</v>
      </c>
      <c r="C914" t="s">
        <v>69</v>
      </c>
      <c r="D914" t="s">
        <v>997</v>
      </c>
      <c r="E914" t="s">
        <v>8</v>
      </c>
      <c r="H914">
        <v>40</v>
      </c>
      <c r="J914">
        <v>24</v>
      </c>
      <c r="K914">
        <v>64</v>
      </c>
    </row>
    <row r="915" spans="1:11">
      <c r="A915">
        <v>924</v>
      </c>
      <c r="B915" t="s">
        <v>1295</v>
      </c>
      <c r="C915" t="s">
        <v>69</v>
      </c>
      <c r="D915" t="s">
        <v>997</v>
      </c>
      <c r="E915" t="s">
        <v>8</v>
      </c>
      <c r="H915">
        <v>20</v>
      </c>
      <c r="J915">
        <v>12</v>
      </c>
      <c r="K915">
        <v>32</v>
      </c>
    </row>
    <row r="916" spans="1:11">
      <c r="A916">
        <v>925</v>
      </c>
      <c r="B916" t="s">
        <v>1295</v>
      </c>
      <c r="C916" t="s">
        <v>69</v>
      </c>
      <c r="D916" t="s">
        <v>997</v>
      </c>
      <c r="E916" t="s">
        <v>8</v>
      </c>
      <c r="H916">
        <v>0</v>
      </c>
      <c r="J916">
        <v>0</v>
      </c>
      <c r="K916">
        <v>0</v>
      </c>
    </row>
    <row r="917" spans="1:11">
      <c r="A917">
        <v>926</v>
      </c>
      <c r="B917" t="s">
        <v>1295</v>
      </c>
      <c r="C917" t="s">
        <v>69</v>
      </c>
      <c r="D917" t="s">
        <v>997</v>
      </c>
      <c r="E917" t="s">
        <v>8</v>
      </c>
      <c r="F917" t="s">
        <v>1011</v>
      </c>
      <c r="H917">
        <v>0</v>
      </c>
      <c r="J917">
        <v>0</v>
      </c>
      <c r="K917">
        <v>0</v>
      </c>
    </row>
    <row r="918" spans="1:11">
      <c r="A918">
        <v>927</v>
      </c>
      <c r="B918" t="s">
        <v>1295</v>
      </c>
      <c r="C918" t="s">
        <v>69</v>
      </c>
      <c r="D918" t="s">
        <v>997</v>
      </c>
      <c r="E918" t="s">
        <v>8</v>
      </c>
      <c r="F918" t="s">
        <v>1012</v>
      </c>
      <c r="H918">
        <v>120</v>
      </c>
      <c r="J918">
        <v>72</v>
      </c>
      <c r="K918">
        <v>192</v>
      </c>
    </row>
    <row r="919" spans="1:11">
      <c r="A919">
        <v>928</v>
      </c>
      <c r="B919" t="s">
        <v>1295</v>
      </c>
      <c r="C919" t="s">
        <v>69</v>
      </c>
      <c r="D919" t="s">
        <v>997</v>
      </c>
      <c r="E919" t="s">
        <v>8</v>
      </c>
      <c r="F919" t="s">
        <v>1013</v>
      </c>
      <c r="H919">
        <v>7.3333000000000004</v>
      </c>
      <c r="J919">
        <v>4.4000000000000004</v>
      </c>
      <c r="K919">
        <v>11.7333</v>
      </c>
    </row>
    <row r="920" spans="1:11">
      <c r="A920">
        <v>929</v>
      </c>
      <c r="B920" t="s">
        <v>1295</v>
      </c>
      <c r="C920" t="s">
        <v>69</v>
      </c>
      <c r="D920" t="s">
        <v>997</v>
      </c>
      <c r="E920" t="s">
        <v>8</v>
      </c>
      <c r="F920" t="s">
        <v>1014</v>
      </c>
      <c r="H920">
        <v>40</v>
      </c>
      <c r="J920">
        <v>24</v>
      </c>
      <c r="K920">
        <v>64</v>
      </c>
    </row>
    <row r="921" spans="1:11">
      <c r="A921">
        <v>932</v>
      </c>
      <c r="B921" t="s">
        <v>1295</v>
      </c>
      <c r="C921" t="s">
        <v>101</v>
      </c>
      <c r="D921" t="s">
        <v>1015</v>
      </c>
      <c r="E921" t="s">
        <v>8</v>
      </c>
      <c r="F921" t="s">
        <v>1016</v>
      </c>
      <c r="H921">
        <v>0</v>
      </c>
      <c r="J921">
        <v>0</v>
      </c>
      <c r="K921">
        <v>0</v>
      </c>
    </row>
    <row r="922" spans="1:11">
      <c r="A922">
        <v>933</v>
      </c>
      <c r="B922" t="s">
        <v>1295</v>
      </c>
      <c r="C922" t="s">
        <v>101</v>
      </c>
      <c r="D922" t="s">
        <v>1015</v>
      </c>
      <c r="E922" t="s">
        <v>8</v>
      </c>
      <c r="F922" t="s">
        <v>1017</v>
      </c>
      <c r="H922">
        <v>0</v>
      </c>
      <c r="J922">
        <v>0</v>
      </c>
      <c r="K922">
        <v>0</v>
      </c>
    </row>
    <row r="923" spans="1:11">
      <c r="A923">
        <v>934</v>
      </c>
      <c r="B923" t="s">
        <v>1295</v>
      </c>
      <c r="C923" t="s">
        <v>101</v>
      </c>
      <c r="D923" t="s">
        <v>1015</v>
      </c>
      <c r="E923" t="s">
        <v>8</v>
      </c>
      <c r="F923" t="s">
        <v>1018</v>
      </c>
      <c r="H923">
        <v>0</v>
      </c>
      <c r="J923">
        <v>0</v>
      </c>
      <c r="K923">
        <v>0</v>
      </c>
    </row>
    <row r="924" spans="1:11">
      <c r="A924">
        <v>935</v>
      </c>
      <c r="B924" t="s">
        <v>1295</v>
      </c>
      <c r="C924" t="s">
        <v>101</v>
      </c>
      <c r="D924" t="s">
        <v>1015</v>
      </c>
      <c r="E924" t="s">
        <v>8</v>
      </c>
      <c r="F924" t="s">
        <v>1020</v>
      </c>
      <c r="H924">
        <v>0</v>
      </c>
      <c r="J924">
        <v>0</v>
      </c>
      <c r="K924">
        <v>0</v>
      </c>
    </row>
    <row r="925" spans="1:11">
      <c r="A925">
        <v>936</v>
      </c>
      <c r="B925" t="s">
        <v>1295</v>
      </c>
      <c r="C925" t="s">
        <v>101</v>
      </c>
      <c r="D925" t="s">
        <v>1015</v>
      </c>
      <c r="E925" t="s">
        <v>8</v>
      </c>
      <c r="J925">
        <v>0</v>
      </c>
      <c r="K925">
        <v>0</v>
      </c>
    </row>
    <row r="926" spans="1:11">
      <c r="A926">
        <v>937</v>
      </c>
      <c r="B926" t="s">
        <v>1295</v>
      </c>
      <c r="C926" t="s">
        <v>101</v>
      </c>
      <c r="D926" t="s">
        <v>1015</v>
      </c>
      <c r="E926" t="s">
        <v>8</v>
      </c>
      <c r="F926" t="s">
        <v>1021</v>
      </c>
      <c r="H926">
        <v>640</v>
      </c>
      <c r="J926">
        <v>384</v>
      </c>
      <c r="K926">
        <v>1024</v>
      </c>
    </row>
    <row r="927" spans="1:11">
      <c r="A927">
        <v>938</v>
      </c>
      <c r="B927" t="s">
        <v>1295</v>
      </c>
      <c r="C927" t="s">
        <v>101</v>
      </c>
      <c r="D927" t="s">
        <v>1015</v>
      </c>
      <c r="E927" t="s">
        <v>8</v>
      </c>
      <c r="F927" t="s">
        <v>1022</v>
      </c>
      <c r="H927">
        <v>1280</v>
      </c>
      <c r="J927">
        <v>768</v>
      </c>
      <c r="K927">
        <v>2048</v>
      </c>
    </row>
    <row r="928" spans="1:11">
      <c r="A928">
        <v>939</v>
      </c>
      <c r="B928" t="s">
        <v>1295</v>
      </c>
      <c r="C928" t="s">
        <v>101</v>
      </c>
      <c r="D928" t="s">
        <v>1015</v>
      </c>
      <c r="E928" t="s">
        <v>8</v>
      </c>
      <c r="F928" t="s">
        <v>1023</v>
      </c>
      <c r="H928">
        <v>80</v>
      </c>
      <c r="J928">
        <v>48</v>
      </c>
      <c r="K928">
        <v>128</v>
      </c>
    </row>
    <row r="929" spans="1:11">
      <c r="A929">
        <v>940</v>
      </c>
      <c r="B929" t="s">
        <v>1295</v>
      </c>
      <c r="C929" t="s">
        <v>101</v>
      </c>
      <c r="D929" t="s">
        <v>1015</v>
      </c>
      <c r="E929" t="s">
        <v>8</v>
      </c>
      <c r="J929">
        <v>0</v>
      </c>
      <c r="K929">
        <v>0</v>
      </c>
    </row>
    <row r="930" spans="1:11">
      <c r="A930">
        <v>941</v>
      </c>
      <c r="B930" t="s">
        <v>1295</v>
      </c>
      <c r="C930" t="s">
        <v>101</v>
      </c>
      <c r="D930" t="s">
        <v>1015</v>
      </c>
      <c r="E930" t="s">
        <v>8</v>
      </c>
      <c r="F930" t="s">
        <v>1024</v>
      </c>
      <c r="H930">
        <v>0</v>
      </c>
      <c r="J930">
        <v>0</v>
      </c>
      <c r="K930">
        <v>0</v>
      </c>
    </row>
    <row r="931" spans="1:11">
      <c r="A931">
        <v>942</v>
      </c>
      <c r="B931" t="s">
        <v>1295</v>
      </c>
      <c r="C931" t="s">
        <v>101</v>
      </c>
      <c r="D931" t="s">
        <v>1015</v>
      </c>
      <c r="E931" t="s">
        <v>8</v>
      </c>
      <c r="F931" t="s">
        <v>102</v>
      </c>
      <c r="H931">
        <v>0</v>
      </c>
      <c r="J931">
        <v>0</v>
      </c>
      <c r="K931">
        <v>0</v>
      </c>
    </row>
    <row r="932" spans="1:11">
      <c r="A932">
        <v>943</v>
      </c>
      <c r="B932" t="s">
        <v>1295</v>
      </c>
      <c r="C932" t="s">
        <v>101</v>
      </c>
      <c r="D932" t="s">
        <v>1015</v>
      </c>
      <c r="E932" t="s">
        <v>8</v>
      </c>
      <c r="F932" t="s">
        <v>103</v>
      </c>
      <c r="H932">
        <v>66.666700000000006</v>
      </c>
      <c r="J932">
        <v>40</v>
      </c>
      <c r="K932">
        <v>106.66670000000001</v>
      </c>
    </row>
    <row r="933" spans="1:11">
      <c r="A933">
        <v>944</v>
      </c>
      <c r="B933" t="s">
        <v>1295</v>
      </c>
      <c r="C933" t="s">
        <v>101</v>
      </c>
      <c r="D933" t="s">
        <v>1015</v>
      </c>
      <c r="E933" t="s">
        <v>8</v>
      </c>
      <c r="F933" t="s">
        <v>36</v>
      </c>
      <c r="H933">
        <v>96</v>
      </c>
      <c r="J933">
        <v>57.6</v>
      </c>
      <c r="K933">
        <v>153.6</v>
      </c>
    </row>
    <row r="934" spans="1:11">
      <c r="A934">
        <v>945</v>
      </c>
      <c r="B934" t="s">
        <v>1295</v>
      </c>
      <c r="C934" t="s">
        <v>101</v>
      </c>
      <c r="D934" t="s">
        <v>1015</v>
      </c>
      <c r="E934" t="s">
        <v>8</v>
      </c>
      <c r="J934">
        <v>0</v>
      </c>
      <c r="K934">
        <v>0</v>
      </c>
    </row>
    <row r="935" spans="1:11">
      <c r="A935">
        <v>946</v>
      </c>
      <c r="B935" t="s">
        <v>1295</v>
      </c>
      <c r="C935" t="s">
        <v>101</v>
      </c>
      <c r="D935" t="s">
        <v>1015</v>
      </c>
      <c r="E935" t="s">
        <v>8</v>
      </c>
      <c r="F935" t="s">
        <v>1025</v>
      </c>
      <c r="H935">
        <v>156</v>
      </c>
      <c r="J935">
        <v>93.6</v>
      </c>
      <c r="K935">
        <v>249.6</v>
      </c>
    </row>
    <row r="936" spans="1:11">
      <c r="A936">
        <v>947</v>
      </c>
      <c r="B936" t="s">
        <v>1295</v>
      </c>
      <c r="C936" t="s">
        <v>101</v>
      </c>
      <c r="D936" t="s">
        <v>1015</v>
      </c>
      <c r="E936" t="s">
        <v>8</v>
      </c>
      <c r="F936" t="s">
        <v>1026</v>
      </c>
      <c r="H936">
        <v>0</v>
      </c>
      <c r="J936">
        <v>0</v>
      </c>
      <c r="K936">
        <v>0</v>
      </c>
    </row>
    <row r="937" spans="1:11">
      <c r="A937">
        <v>948</v>
      </c>
      <c r="B937" t="s">
        <v>1295</v>
      </c>
      <c r="C937" t="s">
        <v>101</v>
      </c>
      <c r="D937" t="s">
        <v>1015</v>
      </c>
      <c r="E937" t="s">
        <v>8</v>
      </c>
      <c r="H937">
        <v>156</v>
      </c>
      <c r="J937">
        <v>93.6</v>
      </c>
      <c r="K937">
        <v>249.6</v>
      </c>
    </row>
    <row r="938" spans="1:11">
      <c r="A938">
        <v>949</v>
      </c>
      <c r="B938" t="s">
        <v>1295</v>
      </c>
      <c r="C938" t="s">
        <v>101</v>
      </c>
      <c r="D938" t="s">
        <v>1027</v>
      </c>
      <c r="E938" t="s">
        <v>8</v>
      </c>
      <c r="H938">
        <v>182.66669999999999</v>
      </c>
      <c r="J938">
        <v>109.6</v>
      </c>
      <c r="K938">
        <v>292.26670000000001</v>
      </c>
    </row>
    <row r="939" spans="1:11">
      <c r="A939">
        <v>950</v>
      </c>
      <c r="B939" t="s">
        <v>1295</v>
      </c>
      <c r="C939" t="s">
        <v>101</v>
      </c>
      <c r="D939" t="s">
        <v>1027</v>
      </c>
      <c r="E939" t="s">
        <v>8</v>
      </c>
      <c r="H939">
        <v>225.33330000000001</v>
      </c>
      <c r="J939">
        <v>135.19999999999999</v>
      </c>
      <c r="K939">
        <v>360.5333</v>
      </c>
    </row>
    <row r="940" spans="1:11">
      <c r="A940">
        <v>951</v>
      </c>
      <c r="B940" t="s">
        <v>1295</v>
      </c>
      <c r="C940" t="s">
        <v>101</v>
      </c>
      <c r="D940" t="s">
        <v>1027</v>
      </c>
      <c r="E940" t="s">
        <v>8</v>
      </c>
      <c r="F940" t="s">
        <v>1028</v>
      </c>
      <c r="H940">
        <v>0</v>
      </c>
      <c r="J940">
        <v>0</v>
      </c>
      <c r="K940">
        <v>0</v>
      </c>
    </row>
    <row r="941" spans="1:11">
      <c r="A941">
        <v>952</v>
      </c>
      <c r="B941" t="s">
        <v>1295</v>
      </c>
      <c r="C941" t="s">
        <v>101</v>
      </c>
      <c r="D941" t="s">
        <v>1027</v>
      </c>
      <c r="E941" t="s">
        <v>8</v>
      </c>
      <c r="F941" t="s">
        <v>1175</v>
      </c>
      <c r="H941">
        <v>160</v>
      </c>
      <c r="J941">
        <v>96</v>
      </c>
      <c r="K941">
        <v>256</v>
      </c>
    </row>
    <row r="942" spans="1:11">
      <c r="A942">
        <v>953</v>
      </c>
      <c r="B942" t="s">
        <v>1295</v>
      </c>
      <c r="C942" t="s">
        <v>101</v>
      </c>
      <c r="D942" t="s">
        <v>1027</v>
      </c>
      <c r="E942" t="s">
        <v>8</v>
      </c>
      <c r="F942" t="s">
        <v>1176</v>
      </c>
      <c r="H942">
        <v>80</v>
      </c>
      <c r="J942">
        <v>48</v>
      </c>
      <c r="K942">
        <v>128</v>
      </c>
    </row>
    <row r="943" spans="1:11">
      <c r="A943">
        <v>954</v>
      </c>
      <c r="B943" t="s">
        <v>1295</v>
      </c>
      <c r="C943" t="s">
        <v>101</v>
      </c>
      <c r="D943" t="s">
        <v>1027</v>
      </c>
      <c r="E943" t="s">
        <v>8</v>
      </c>
      <c r="F943" t="s">
        <v>1177</v>
      </c>
      <c r="H943">
        <v>66.666700000000006</v>
      </c>
      <c r="J943">
        <v>40</v>
      </c>
      <c r="K943">
        <v>106.66670000000001</v>
      </c>
    </row>
    <row r="944" spans="1:11">
      <c r="A944">
        <v>955</v>
      </c>
      <c r="B944" t="s">
        <v>1295</v>
      </c>
      <c r="C944" t="s">
        <v>101</v>
      </c>
      <c r="D944" t="s">
        <v>1027</v>
      </c>
      <c r="E944" t="s">
        <v>8</v>
      </c>
      <c r="F944" t="s">
        <v>1178</v>
      </c>
      <c r="H944">
        <v>80</v>
      </c>
      <c r="J944">
        <v>48</v>
      </c>
      <c r="K944">
        <v>128</v>
      </c>
    </row>
    <row r="945" spans="1:11">
      <c r="A945">
        <v>956</v>
      </c>
      <c r="B945" t="s">
        <v>1295</v>
      </c>
      <c r="C945" t="s">
        <v>101</v>
      </c>
      <c r="D945" t="s">
        <v>1027</v>
      </c>
      <c r="E945" t="s">
        <v>8</v>
      </c>
      <c r="F945" t="s">
        <v>1179</v>
      </c>
      <c r="H945">
        <v>0</v>
      </c>
      <c r="J945">
        <v>0</v>
      </c>
      <c r="K945">
        <v>0</v>
      </c>
    </row>
    <row r="946" spans="1:11">
      <c r="A946">
        <v>957</v>
      </c>
      <c r="B946" t="s">
        <v>1295</v>
      </c>
      <c r="C946" t="s">
        <v>101</v>
      </c>
      <c r="D946" t="s">
        <v>1027</v>
      </c>
      <c r="E946" t="s">
        <v>8</v>
      </c>
      <c r="F946" t="s">
        <v>1180</v>
      </c>
      <c r="H946">
        <v>40</v>
      </c>
      <c r="J946">
        <v>24</v>
      </c>
      <c r="K946">
        <v>64</v>
      </c>
    </row>
    <row r="947" spans="1:11">
      <c r="A947">
        <v>961</v>
      </c>
      <c r="B947" t="s">
        <v>1295</v>
      </c>
      <c r="C947" t="s">
        <v>34</v>
      </c>
      <c r="D947" t="s">
        <v>1035</v>
      </c>
      <c r="E947" t="s">
        <v>767</v>
      </c>
      <c r="F947" t="s">
        <v>1036</v>
      </c>
      <c r="H947">
        <v>96</v>
      </c>
      <c r="J947">
        <v>57.6</v>
      </c>
      <c r="K947">
        <v>96</v>
      </c>
    </row>
    <row r="948" spans="1:11">
      <c r="A948">
        <v>962</v>
      </c>
      <c r="B948" t="s">
        <v>1295</v>
      </c>
      <c r="C948" t="s">
        <v>105</v>
      </c>
      <c r="D948" t="s">
        <v>1035</v>
      </c>
      <c r="E948" t="s">
        <v>767</v>
      </c>
      <c r="F948" t="s">
        <v>1036</v>
      </c>
      <c r="J948">
        <v>0</v>
      </c>
    </row>
    <row r="949" spans="1:11">
      <c r="A949">
        <v>963</v>
      </c>
      <c r="B949" t="s">
        <v>1295</v>
      </c>
      <c r="C949" t="s">
        <v>105</v>
      </c>
      <c r="D949" t="s">
        <v>1035</v>
      </c>
      <c r="E949" t="s">
        <v>767</v>
      </c>
      <c r="J949">
        <v>0</v>
      </c>
      <c r="K949">
        <v>0</v>
      </c>
    </row>
    <row r="950" spans="1:11">
      <c r="A950">
        <v>964</v>
      </c>
      <c r="B950" t="s">
        <v>1295</v>
      </c>
      <c r="C950" t="s">
        <v>105</v>
      </c>
      <c r="D950" t="s">
        <v>1035</v>
      </c>
      <c r="E950" t="s">
        <v>767</v>
      </c>
      <c r="J950">
        <v>0</v>
      </c>
      <c r="K950">
        <v>0</v>
      </c>
    </row>
    <row r="951" spans="1:11">
      <c r="A951">
        <v>965</v>
      </c>
      <c r="B951" t="s">
        <v>1295</v>
      </c>
      <c r="C951" t="s">
        <v>105</v>
      </c>
      <c r="D951" t="s">
        <v>1037</v>
      </c>
      <c r="E951" t="s">
        <v>767</v>
      </c>
      <c r="H951">
        <v>37.333300000000001</v>
      </c>
      <c r="J951">
        <v>22.4</v>
      </c>
      <c r="K951">
        <v>59.7333</v>
      </c>
    </row>
    <row r="952" spans="1:11">
      <c r="A952">
        <v>966</v>
      </c>
      <c r="B952" t="s">
        <v>1295</v>
      </c>
      <c r="C952" t="s">
        <v>105</v>
      </c>
      <c r="D952" t="s">
        <v>1037</v>
      </c>
      <c r="E952" t="s">
        <v>767</v>
      </c>
      <c r="F952" t="s">
        <v>1038</v>
      </c>
      <c r="H952">
        <v>120</v>
      </c>
      <c r="J952">
        <v>72</v>
      </c>
      <c r="K952">
        <v>192</v>
      </c>
    </row>
    <row r="953" spans="1:11">
      <c r="A953">
        <v>967</v>
      </c>
      <c r="B953" t="s">
        <v>1295</v>
      </c>
      <c r="C953" t="s">
        <v>105</v>
      </c>
      <c r="D953" t="s">
        <v>1037</v>
      </c>
      <c r="E953" t="s">
        <v>767</v>
      </c>
      <c r="F953" t="s">
        <v>1039</v>
      </c>
      <c r="H953">
        <v>120</v>
      </c>
      <c r="J953">
        <v>72</v>
      </c>
      <c r="K953">
        <v>192</v>
      </c>
    </row>
    <row r="954" spans="1:11">
      <c r="A954">
        <v>968</v>
      </c>
      <c r="B954" t="s">
        <v>1295</v>
      </c>
      <c r="C954" t="s">
        <v>105</v>
      </c>
      <c r="D954" t="s">
        <v>1037</v>
      </c>
      <c r="E954" t="s">
        <v>767</v>
      </c>
      <c r="F954" t="s">
        <v>1040</v>
      </c>
      <c r="J954">
        <v>0</v>
      </c>
    </row>
    <row r="955" spans="1:11">
      <c r="A955">
        <v>969</v>
      </c>
      <c r="B955" t="s">
        <v>1295</v>
      </c>
      <c r="C955" t="s">
        <v>105</v>
      </c>
      <c r="D955" t="s">
        <v>1037</v>
      </c>
      <c r="E955" t="s">
        <v>767</v>
      </c>
      <c r="J955">
        <v>0</v>
      </c>
      <c r="K955">
        <v>0</v>
      </c>
    </row>
    <row r="956" spans="1:11">
      <c r="A956">
        <v>970</v>
      </c>
      <c r="B956" t="s">
        <v>1295</v>
      </c>
      <c r="C956" t="s">
        <v>105</v>
      </c>
      <c r="D956" t="s">
        <v>1041</v>
      </c>
      <c r="E956" t="s">
        <v>767</v>
      </c>
      <c r="J956">
        <v>0</v>
      </c>
      <c r="K956">
        <v>0</v>
      </c>
    </row>
    <row r="957" spans="1:11">
      <c r="A957">
        <v>971</v>
      </c>
      <c r="B957" t="s">
        <v>1295</v>
      </c>
      <c r="C957" t="s">
        <v>105</v>
      </c>
      <c r="D957" t="s">
        <v>1041</v>
      </c>
      <c r="E957" t="s">
        <v>767</v>
      </c>
      <c r="F957" t="s">
        <v>1042</v>
      </c>
      <c r="H957">
        <v>120</v>
      </c>
      <c r="J957">
        <v>72</v>
      </c>
      <c r="K957">
        <v>192</v>
      </c>
    </row>
    <row r="958" spans="1:11">
      <c r="A958">
        <v>972</v>
      </c>
      <c r="B958" t="s">
        <v>1295</v>
      </c>
      <c r="C958" t="s">
        <v>105</v>
      </c>
      <c r="D958" t="s">
        <v>1041</v>
      </c>
      <c r="E958" t="s">
        <v>767</v>
      </c>
      <c r="F958" t="s">
        <v>1043</v>
      </c>
      <c r="H958">
        <v>110</v>
      </c>
      <c r="J958">
        <v>66</v>
      </c>
      <c r="K958">
        <v>176</v>
      </c>
    </row>
    <row r="959" spans="1:11">
      <c r="A959">
        <v>973</v>
      </c>
      <c r="B959" t="s">
        <v>1295</v>
      </c>
      <c r="C959" t="s">
        <v>105</v>
      </c>
      <c r="D959" t="s">
        <v>1041</v>
      </c>
      <c r="E959" t="s">
        <v>767</v>
      </c>
      <c r="J959">
        <v>0</v>
      </c>
      <c r="K959">
        <v>0</v>
      </c>
    </row>
    <row r="960" spans="1:11">
      <c r="A960">
        <v>974</v>
      </c>
      <c r="B960" t="s">
        <v>1295</v>
      </c>
      <c r="C960" t="s">
        <v>105</v>
      </c>
      <c r="D960" t="s">
        <v>1044</v>
      </c>
      <c r="E960" t="s">
        <v>767</v>
      </c>
      <c r="J960">
        <v>0</v>
      </c>
      <c r="K960">
        <v>0</v>
      </c>
    </row>
    <row r="961" spans="1:11">
      <c r="A961">
        <v>975</v>
      </c>
      <c r="B961" t="s">
        <v>1295</v>
      </c>
      <c r="C961" t="s">
        <v>105</v>
      </c>
      <c r="D961" t="s">
        <v>1044</v>
      </c>
      <c r="E961" t="s">
        <v>767</v>
      </c>
      <c r="F961" t="s">
        <v>1045</v>
      </c>
      <c r="H961">
        <v>6.6666999999999996</v>
      </c>
      <c r="J961">
        <v>4</v>
      </c>
      <c r="K961">
        <v>10.666700000000001</v>
      </c>
    </row>
    <row r="962" spans="1:11">
      <c r="A962">
        <v>976</v>
      </c>
      <c r="B962" t="s">
        <v>1295</v>
      </c>
      <c r="C962" t="s">
        <v>105</v>
      </c>
      <c r="D962" t="s">
        <v>1044</v>
      </c>
      <c r="E962" t="s">
        <v>767</v>
      </c>
      <c r="F962" t="s">
        <v>1046</v>
      </c>
      <c r="H962">
        <v>0</v>
      </c>
      <c r="J962">
        <v>0</v>
      </c>
      <c r="K962">
        <v>0</v>
      </c>
    </row>
    <row r="963" spans="1:11">
      <c r="A963">
        <v>977</v>
      </c>
      <c r="B963" t="s">
        <v>1295</v>
      </c>
      <c r="C963" t="s">
        <v>105</v>
      </c>
      <c r="D963" t="s">
        <v>1044</v>
      </c>
      <c r="E963" t="s">
        <v>767</v>
      </c>
      <c r="J963">
        <v>0</v>
      </c>
      <c r="K963">
        <v>0</v>
      </c>
    </row>
    <row r="964" spans="1:11">
      <c r="A964">
        <v>978</v>
      </c>
      <c r="B964" t="s">
        <v>1295</v>
      </c>
      <c r="C964" t="s">
        <v>105</v>
      </c>
      <c r="D964" t="s">
        <v>1047</v>
      </c>
      <c r="E964" t="s">
        <v>767</v>
      </c>
      <c r="J964">
        <v>0</v>
      </c>
      <c r="K964">
        <v>0</v>
      </c>
    </row>
    <row r="965" spans="1:11">
      <c r="A965">
        <v>979</v>
      </c>
      <c r="B965" t="s">
        <v>1349</v>
      </c>
      <c r="C965" t="s">
        <v>105</v>
      </c>
      <c r="D965" t="s">
        <v>1047</v>
      </c>
      <c r="E965" t="s">
        <v>767</v>
      </c>
      <c r="F965" t="s">
        <v>1048</v>
      </c>
      <c r="H965">
        <v>10.666700000000001</v>
      </c>
      <c r="J965">
        <v>6.4</v>
      </c>
      <c r="K965">
        <v>17.066700000000001</v>
      </c>
    </row>
    <row r="966" spans="1:11">
      <c r="A966">
        <v>980</v>
      </c>
      <c r="B966" t="s">
        <v>1295</v>
      </c>
      <c r="C966" t="s">
        <v>105</v>
      </c>
      <c r="D966" t="s">
        <v>1047</v>
      </c>
      <c r="E966" t="s">
        <v>767</v>
      </c>
      <c r="J966">
        <v>0</v>
      </c>
      <c r="K966">
        <v>0</v>
      </c>
    </row>
    <row r="967" spans="1:11">
      <c r="A967">
        <v>981</v>
      </c>
      <c r="B967" t="s">
        <v>1295</v>
      </c>
      <c r="C967" t="s">
        <v>105</v>
      </c>
      <c r="D967" t="s">
        <v>1047</v>
      </c>
      <c r="E967" t="s">
        <v>767</v>
      </c>
      <c r="J967">
        <v>0</v>
      </c>
      <c r="K967">
        <v>0</v>
      </c>
    </row>
    <row r="968" spans="1:11">
      <c r="A968">
        <v>982</v>
      </c>
      <c r="B968" t="s">
        <v>1295</v>
      </c>
      <c r="C968" t="s">
        <v>105</v>
      </c>
      <c r="D968" t="s">
        <v>1049</v>
      </c>
      <c r="E968" t="s">
        <v>767</v>
      </c>
      <c r="J968">
        <v>0</v>
      </c>
      <c r="K968">
        <v>0</v>
      </c>
    </row>
    <row r="969" spans="1:11">
      <c r="A969">
        <v>983</v>
      </c>
      <c r="B969" t="s">
        <v>1295</v>
      </c>
      <c r="C969" t="s">
        <v>105</v>
      </c>
      <c r="D969" t="s">
        <v>1049</v>
      </c>
      <c r="E969" t="s">
        <v>767</v>
      </c>
      <c r="F969" t="s">
        <v>1050</v>
      </c>
      <c r="H969">
        <v>0</v>
      </c>
      <c r="J969">
        <v>0</v>
      </c>
      <c r="K969">
        <v>0</v>
      </c>
    </row>
    <row r="970" spans="1:11">
      <c r="A970">
        <v>984</v>
      </c>
      <c r="B970" t="s">
        <v>1295</v>
      </c>
      <c r="C970" t="s">
        <v>105</v>
      </c>
      <c r="D970" t="s">
        <v>1049</v>
      </c>
      <c r="E970" t="s">
        <v>767</v>
      </c>
      <c r="F970" t="s">
        <v>1051</v>
      </c>
      <c r="H970">
        <v>0</v>
      </c>
      <c r="J970">
        <v>0</v>
      </c>
      <c r="K970">
        <v>0</v>
      </c>
    </row>
    <row r="971" spans="1:11">
      <c r="A971">
        <v>985</v>
      </c>
      <c r="B971" t="s">
        <v>1295</v>
      </c>
      <c r="C971" t="s">
        <v>105</v>
      </c>
      <c r="D971" t="s">
        <v>1049</v>
      </c>
      <c r="E971" t="s">
        <v>767</v>
      </c>
      <c r="F971" t="s">
        <v>1052</v>
      </c>
      <c r="H971">
        <v>19.2</v>
      </c>
      <c r="J971">
        <v>11.52</v>
      </c>
      <c r="K971">
        <v>30.72</v>
      </c>
    </row>
    <row r="972" spans="1:11">
      <c r="A972">
        <v>986</v>
      </c>
      <c r="B972" t="s">
        <v>1295</v>
      </c>
      <c r="C972" t="s">
        <v>105</v>
      </c>
      <c r="D972" t="s">
        <v>1049</v>
      </c>
      <c r="E972" t="s">
        <v>767</v>
      </c>
      <c r="F972" t="s">
        <v>1053</v>
      </c>
      <c r="H972">
        <v>4</v>
      </c>
      <c r="J972">
        <v>2.4</v>
      </c>
      <c r="K972">
        <v>6.4</v>
      </c>
    </row>
    <row r="973" spans="1:11">
      <c r="A973">
        <v>987</v>
      </c>
      <c r="B973" t="s">
        <v>1295</v>
      </c>
      <c r="C973" t="s">
        <v>105</v>
      </c>
      <c r="D973" t="s">
        <v>1049</v>
      </c>
      <c r="E973" t="s">
        <v>767</v>
      </c>
      <c r="F973" t="s">
        <v>1054</v>
      </c>
      <c r="H973">
        <v>0</v>
      </c>
      <c r="J973">
        <v>0</v>
      </c>
      <c r="K973">
        <v>0</v>
      </c>
    </row>
    <row r="974" spans="1:11">
      <c r="A974">
        <v>988</v>
      </c>
      <c r="B974" t="s">
        <v>1295</v>
      </c>
      <c r="C974" t="s">
        <v>105</v>
      </c>
      <c r="D974" t="s">
        <v>1049</v>
      </c>
      <c r="E974" t="s">
        <v>767</v>
      </c>
      <c r="F974" t="s">
        <v>1055</v>
      </c>
      <c r="H974">
        <v>0</v>
      </c>
      <c r="J974">
        <v>0</v>
      </c>
      <c r="K974">
        <v>0</v>
      </c>
    </row>
    <row r="975" spans="1:11">
      <c r="A975">
        <v>989</v>
      </c>
      <c r="B975" t="s">
        <v>1295</v>
      </c>
      <c r="C975" t="s">
        <v>105</v>
      </c>
      <c r="D975" t="s">
        <v>1049</v>
      </c>
      <c r="E975" t="s">
        <v>767</v>
      </c>
      <c r="F975" t="s">
        <v>1056</v>
      </c>
      <c r="H975">
        <v>8</v>
      </c>
      <c r="J975">
        <v>4.8</v>
      </c>
      <c r="K975">
        <v>12.8</v>
      </c>
    </row>
    <row r="976" spans="1:11">
      <c r="A976">
        <v>990</v>
      </c>
      <c r="B976" t="s">
        <v>1295</v>
      </c>
      <c r="C976" t="s">
        <v>105</v>
      </c>
      <c r="J976">
        <v>0</v>
      </c>
      <c r="K976">
        <v>0</v>
      </c>
    </row>
    <row r="977" spans="1:11">
      <c r="A977">
        <v>991</v>
      </c>
      <c r="B977" t="s">
        <v>1295</v>
      </c>
      <c r="C977" t="s">
        <v>105</v>
      </c>
      <c r="D977" t="s">
        <v>1057</v>
      </c>
      <c r="E977" t="s">
        <v>767</v>
      </c>
      <c r="F977" t="s">
        <v>1234</v>
      </c>
      <c r="J977">
        <v>0</v>
      </c>
      <c r="K977">
        <v>0</v>
      </c>
    </row>
    <row r="978" spans="1:11">
      <c r="A978">
        <v>992</v>
      </c>
      <c r="B978" t="s">
        <v>1295</v>
      </c>
      <c r="C978" t="s">
        <v>105</v>
      </c>
      <c r="D978" t="s">
        <v>1057</v>
      </c>
      <c r="E978" t="s">
        <v>767</v>
      </c>
      <c r="F978" t="s">
        <v>1058</v>
      </c>
      <c r="J978">
        <v>0</v>
      </c>
      <c r="K978">
        <v>0</v>
      </c>
    </row>
    <row r="979" spans="1:11">
      <c r="A979">
        <v>993</v>
      </c>
      <c r="B979" t="s">
        <v>1295</v>
      </c>
      <c r="C979" t="s">
        <v>105</v>
      </c>
      <c r="D979" t="s">
        <v>1057</v>
      </c>
      <c r="E979" t="s">
        <v>767</v>
      </c>
      <c r="F979" t="s">
        <v>1235</v>
      </c>
      <c r="J979">
        <v>0</v>
      </c>
      <c r="K979">
        <v>0</v>
      </c>
    </row>
    <row r="980" spans="1:11">
      <c r="A980">
        <v>994</v>
      </c>
      <c r="B980" t="s">
        <v>1295</v>
      </c>
      <c r="C980" t="s">
        <v>105</v>
      </c>
      <c r="D980" t="s">
        <v>1057</v>
      </c>
      <c r="E980" t="s">
        <v>767</v>
      </c>
      <c r="F980" t="s">
        <v>1059</v>
      </c>
      <c r="J980">
        <v>0</v>
      </c>
      <c r="K980">
        <v>0</v>
      </c>
    </row>
    <row r="981" spans="1:11">
      <c r="A981">
        <v>995</v>
      </c>
      <c r="B981" t="s">
        <v>1295</v>
      </c>
      <c r="C981" t="s">
        <v>105</v>
      </c>
      <c r="D981" t="s">
        <v>1057</v>
      </c>
      <c r="E981" t="s">
        <v>767</v>
      </c>
      <c r="F981" t="s">
        <v>1236</v>
      </c>
      <c r="J981">
        <v>0</v>
      </c>
      <c r="K981">
        <v>0</v>
      </c>
    </row>
    <row r="982" spans="1:11">
      <c r="A982">
        <v>996</v>
      </c>
      <c r="B982" t="s">
        <v>1295</v>
      </c>
      <c r="C982" t="s">
        <v>105</v>
      </c>
      <c r="D982" t="s">
        <v>1057</v>
      </c>
      <c r="E982" t="s">
        <v>767</v>
      </c>
      <c r="F982" t="s">
        <v>1237</v>
      </c>
      <c r="J982">
        <v>0</v>
      </c>
      <c r="K982">
        <v>0</v>
      </c>
    </row>
    <row r="983" spans="1:11">
      <c r="A983">
        <v>997</v>
      </c>
      <c r="B983" t="s">
        <v>1295</v>
      </c>
      <c r="C983" t="s">
        <v>105</v>
      </c>
      <c r="D983" t="s">
        <v>1057</v>
      </c>
      <c r="E983" t="s">
        <v>767</v>
      </c>
      <c r="F983" t="s">
        <v>1238</v>
      </c>
      <c r="J983">
        <v>0</v>
      </c>
      <c r="K983">
        <v>0</v>
      </c>
    </row>
    <row r="984" spans="1:11">
      <c r="A984">
        <v>998</v>
      </c>
      <c r="B984" t="s">
        <v>1295</v>
      </c>
      <c r="C984" t="s">
        <v>105</v>
      </c>
      <c r="D984" t="s">
        <v>1057</v>
      </c>
      <c r="E984" t="s">
        <v>767</v>
      </c>
      <c r="F984" t="s">
        <v>1239</v>
      </c>
      <c r="H984">
        <v>5.8666999999999998</v>
      </c>
      <c r="J984">
        <v>3.52</v>
      </c>
      <c r="K984">
        <v>9.3866999999999994</v>
      </c>
    </row>
    <row r="985" spans="1:11">
      <c r="A985">
        <v>999</v>
      </c>
      <c r="B985" t="s">
        <v>1295</v>
      </c>
      <c r="C985" t="s">
        <v>105</v>
      </c>
      <c r="D985" t="s">
        <v>1057</v>
      </c>
      <c r="E985" t="s">
        <v>767</v>
      </c>
      <c r="F985" t="s">
        <v>1240</v>
      </c>
      <c r="H985">
        <v>4.4000000000000004</v>
      </c>
      <c r="J985">
        <v>2.64</v>
      </c>
      <c r="K985">
        <v>7.04</v>
      </c>
    </row>
    <row r="986" spans="1:11">
      <c r="A986">
        <v>1000</v>
      </c>
      <c r="B986" t="s">
        <v>1295</v>
      </c>
      <c r="C986" t="s">
        <v>105</v>
      </c>
      <c r="D986" t="s">
        <v>1057</v>
      </c>
      <c r="E986" t="s">
        <v>767</v>
      </c>
      <c r="F986" t="s">
        <v>1241</v>
      </c>
      <c r="H986">
        <v>4.4000000000000004</v>
      </c>
      <c r="J986">
        <v>2.64</v>
      </c>
      <c r="K986">
        <v>7.04</v>
      </c>
    </row>
    <row r="987" spans="1:11">
      <c r="A987">
        <v>1001</v>
      </c>
      <c r="B987" t="s">
        <v>1295</v>
      </c>
      <c r="C987" t="s">
        <v>105</v>
      </c>
      <c r="D987" t="s">
        <v>1057</v>
      </c>
      <c r="E987" t="s">
        <v>767</v>
      </c>
      <c r="F987" t="s">
        <v>1060</v>
      </c>
      <c r="H987">
        <v>5.8666999999999998</v>
      </c>
      <c r="J987">
        <v>3.52</v>
      </c>
      <c r="K987">
        <v>9.3866999999999994</v>
      </c>
    </row>
    <row r="988" spans="1:11">
      <c r="A988">
        <v>1002</v>
      </c>
      <c r="B988" t="s">
        <v>1295</v>
      </c>
      <c r="C988" t="s">
        <v>105</v>
      </c>
      <c r="D988" t="s">
        <v>1057</v>
      </c>
      <c r="E988" t="s">
        <v>767</v>
      </c>
      <c r="F988" t="s">
        <v>1061</v>
      </c>
      <c r="H988">
        <v>40</v>
      </c>
      <c r="J988">
        <v>24</v>
      </c>
      <c r="K988">
        <v>64</v>
      </c>
    </row>
    <row r="989" spans="1:11">
      <c r="A989">
        <v>1003</v>
      </c>
      <c r="B989" t="s">
        <v>1295</v>
      </c>
      <c r="C989" t="s">
        <v>105</v>
      </c>
      <c r="D989" t="s">
        <v>1057</v>
      </c>
      <c r="E989" t="s">
        <v>767</v>
      </c>
      <c r="F989" t="s">
        <v>1062</v>
      </c>
      <c r="J989">
        <v>0</v>
      </c>
      <c r="K989">
        <v>0</v>
      </c>
    </row>
    <row r="990" spans="1:11">
      <c r="A990">
        <v>1004</v>
      </c>
      <c r="B990" t="s">
        <v>1295</v>
      </c>
      <c r="C990" t="s">
        <v>105</v>
      </c>
      <c r="D990" t="s">
        <v>1057</v>
      </c>
      <c r="E990" t="s">
        <v>767</v>
      </c>
      <c r="J990">
        <v>0</v>
      </c>
      <c r="K990">
        <v>0</v>
      </c>
    </row>
    <row r="991" spans="1:11">
      <c r="A991">
        <v>1005</v>
      </c>
      <c r="B991" t="s">
        <v>1295</v>
      </c>
      <c r="C991" t="s">
        <v>105</v>
      </c>
      <c r="D991" t="s">
        <v>1063</v>
      </c>
      <c r="E991" t="s">
        <v>767</v>
      </c>
      <c r="F991" t="s">
        <v>1200</v>
      </c>
      <c r="H991">
        <v>630</v>
      </c>
      <c r="J991">
        <v>378</v>
      </c>
      <c r="K991">
        <v>1008</v>
      </c>
    </row>
    <row r="992" spans="1:11">
      <c r="A992">
        <v>1006</v>
      </c>
      <c r="B992" t="s">
        <v>1295</v>
      </c>
      <c r="C992" t="s">
        <v>105</v>
      </c>
      <c r="D992" t="s">
        <v>1063</v>
      </c>
      <c r="E992" t="s">
        <v>767</v>
      </c>
      <c r="F992" t="s">
        <v>1225</v>
      </c>
      <c r="H992">
        <v>750</v>
      </c>
      <c r="J992">
        <v>450</v>
      </c>
      <c r="K992">
        <v>1200</v>
      </c>
    </row>
    <row r="993" spans="1:11">
      <c r="A993">
        <v>1007</v>
      </c>
      <c r="B993" t="s">
        <v>1295</v>
      </c>
      <c r="C993" t="s">
        <v>105</v>
      </c>
      <c r="D993" t="s">
        <v>1063</v>
      </c>
      <c r="E993" t="s">
        <v>767</v>
      </c>
      <c r="F993" t="s">
        <v>1201</v>
      </c>
      <c r="H993">
        <v>870</v>
      </c>
      <c r="J993">
        <v>522</v>
      </c>
      <c r="K993">
        <v>1392</v>
      </c>
    </row>
    <row r="994" spans="1:11">
      <c r="A994">
        <v>1008</v>
      </c>
      <c r="B994" t="s">
        <v>1295</v>
      </c>
      <c r="C994" t="s">
        <v>105</v>
      </c>
      <c r="D994" t="s">
        <v>1063</v>
      </c>
      <c r="E994" t="s">
        <v>767</v>
      </c>
      <c r="F994" t="s">
        <v>1223</v>
      </c>
      <c r="H994">
        <v>150</v>
      </c>
      <c r="J994">
        <v>90</v>
      </c>
      <c r="K994">
        <v>240</v>
      </c>
    </row>
    <row r="995" spans="1:11">
      <c r="A995">
        <v>1009</v>
      </c>
      <c r="B995" t="s">
        <v>1295</v>
      </c>
      <c r="C995" t="s">
        <v>105</v>
      </c>
      <c r="D995" t="s">
        <v>1063</v>
      </c>
      <c r="E995" t="s">
        <v>767</v>
      </c>
      <c r="F995" t="s">
        <v>1224</v>
      </c>
      <c r="H995">
        <v>150</v>
      </c>
      <c r="J995">
        <v>90</v>
      </c>
      <c r="K995">
        <v>240</v>
      </c>
    </row>
    <row r="996" spans="1:11">
      <c r="A996">
        <v>1010</v>
      </c>
      <c r="B996" t="s">
        <v>1295</v>
      </c>
      <c r="C996" t="s">
        <v>105</v>
      </c>
      <c r="D996" t="s">
        <v>1063</v>
      </c>
      <c r="E996" t="s">
        <v>767</v>
      </c>
      <c r="F996" t="s">
        <v>1064</v>
      </c>
      <c r="H996">
        <v>50</v>
      </c>
      <c r="J996">
        <v>30</v>
      </c>
      <c r="K996">
        <v>80</v>
      </c>
    </row>
    <row r="997" spans="1:11">
      <c r="A997">
        <v>1011</v>
      </c>
      <c r="B997" t="s">
        <v>1349</v>
      </c>
      <c r="C997" t="s">
        <v>105</v>
      </c>
      <c r="D997" t="s">
        <v>1226</v>
      </c>
      <c r="E997" t="s">
        <v>767</v>
      </c>
      <c r="F997" t="s">
        <v>1227</v>
      </c>
      <c r="H997">
        <v>120</v>
      </c>
      <c r="J997">
        <v>72</v>
      </c>
      <c r="K997">
        <v>192</v>
      </c>
    </row>
    <row r="998" spans="1:11">
      <c r="A998">
        <v>1012</v>
      </c>
      <c r="B998" t="s">
        <v>1295</v>
      </c>
      <c r="C998" t="s">
        <v>105</v>
      </c>
      <c r="D998" t="s">
        <v>1226</v>
      </c>
      <c r="E998" t="s">
        <v>767</v>
      </c>
      <c r="F998" t="s">
        <v>1228</v>
      </c>
      <c r="H998">
        <v>60</v>
      </c>
      <c r="J998">
        <v>36</v>
      </c>
      <c r="K998">
        <v>96</v>
      </c>
    </row>
    <row r="999" spans="1:11">
      <c r="A999">
        <v>1013</v>
      </c>
      <c r="B999" t="s">
        <v>1295</v>
      </c>
      <c r="C999" t="s">
        <v>105</v>
      </c>
      <c r="D999" t="s">
        <v>1226</v>
      </c>
      <c r="E999" t="s">
        <v>767</v>
      </c>
      <c r="F999" t="s">
        <v>1229</v>
      </c>
      <c r="H999">
        <v>750</v>
      </c>
      <c r="J999">
        <v>450</v>
      </c>
      <c r="K999">
        <v>1200</v>
      </c>
    </row>
    <row r="1000" spans="1:11">
      <c r="A1000">
        <v>1014</v>
      </c>
      <c r="B1000" t="s">
        <v>1295</v>
      </c>
      <c r="C1000" t="s">
        <v>105</v>
      </c>
      <c r="D1000" t="s">
        <v>1226</v>
      </c>
      <c r="E1000" t="s">
        <v>767</v>
      </c>
      <c r="F1000" t="s">
        <v>1230</v>
      </c>
      <c r="H1000">
        <v>25</v>
      </c>
      <c r="J1000">
        <v>15</v>
      </c>
      <c r="K1000">
        <v>40</v>
      </c>
    </row>
    <row r="1001" spans="1:11">
      <c r="A1001">
        <v>1015</v>
      </c>
      <c r="B1001" t="s">
        <v>1349</v>
      </c>
      <c r="C1001" t="s">
        <v>105</v>
      </c>
      <c r="D1001" t="s">
        <v>1355</v>
      </c>
      <c r="E1001" t="s">
        <v>767</v>
      </c>
      <c r="F1001" t="s">
        <v>1231</v>
      </c>
      <c r="H1001">
        <v>465.45</v>
      </c>
      <c r="J1001">
        <v>279.27</v>
      </c>
      <c r="K1001">
        <v>744.72</v>
      </c>
    </row>
    <row r="1002" spans="1:11">
      <c r="A1002">
        <v>1016</v>
      </c>
      <c r="B1002" t="s">
        <v>1295</v>
      </c>
      <c r="C1002" t="s">
        <v>105</v>
      </c>
      <c r="D1002" t="s">
        <v>1226</v>
      </c>
      <c r="E1002" t="s">
        <v>767</v>
      </c>
      <c r="F1002" t="s">
        <v>1232</v>
      </c>
      <c r="H1002">
        <v>80</v>
      </c>
      <c r="J1002">
        <v>48</v>
      </c>
      <c r="K1002">
        <v>128</v>
      </c>
    </row>
    <row r="1003" spans="1:11">
      <c r="A1003">
        <v>1017</v>
      </c>
      <c r="B1003" t="s">
        <v>1295</v>
      </c>
      <c r="C1003" t="s">
        <v>105</v>
      </c>
      <c r="D1003" t="s">
        <v>1226</v>
      </c>
      <c r="E1003" t="s">
        <v>767</v>
      </c>
      <c r="F1003" t="s">
        <v>1065</v>
      </c>
      <c r="J1003">
        <v>0</v>
      </c>
      <c r="K1003">
        <v>0</v>
      </c>
    </row>
    <row r="1004" spans="1:11">
      <c r="A1004">
        <v>1018</v>
      </c>
      <c r="B1004" t="s">
        <v>1295</v>
      </c>
      <c r="C1004" t="s">
        <v>105</v>
      </c>
      <c r="D1004" t="s">
        <v>1226</v>
      </c>
      <c r="E1004" t="s">
        <v>767</v>
      </c>
      <c r="F1004" t="s">
        <v>1233</v>
      </c>
      <c r="H1004">
        <v>240</v>
      </c>
      <c r="J1004">
        <v>144</v>
      </c>
      <c r="K1004">
        <v>384</v>
      </c>
    </row>
    <row r="1005" spans="1:11">
      <c r="A1005">
        <v>1020</v>
      </c>
      <c r="B1005" t="s">
        <v>1349</v>
      </c>
      <c r="C1005" t="s">
        <v>69</v>
      </c>
      <c r="D1005" t="s">
        <v>107</v>
      </c>
      <c r="E1005" t="s">
        <v>7</v>
      </c>
      <c r="F1005" t="s">
        <v>124</v>
      </c>
      <c r="H1005">
        <v>1050</v>
      </c>
      <c r="J1005">
        <v>630</v>
      </c>
      <c r="K1005">
        <v>1680</v>
      </c>
    </row>
    <row r="1006" spans="1:11">
      <c r="A1006">
        <v>1021</v>
      </c>
      <c r="B1006" t="s">
        <v>1349</v>
      </c>
      <c r="C1006" t="s">
        <v>69</v>
      </c>
      <c r="D1006" t="s">
        <v>107</v>
      </c>
      <c r="E1006" t="s">
        <v>7</v>
      </c>
      <c r="F1006" t="s">
        <v>125</v>
      </c>
      <c r="H1006">
        <v>1150</v>
      </c>
      <c r="J1006">
        <v>690</v>
      </c>
      <c r="K1006">
        <v>1840</v>
      </c>
    </row>
    <row r="1007" spans="1:11">
      <c r="A1007">
        <v>1022</v>
      </c>
      <c r="B1007" t="s">
        <v>1349</v>
      </c>
      <c r="C1007" t="s">
        <v>69</v>
      </c>
      <c r="D1007" t="s">
        <v>107</v>
      </c>
      <c r="E1007" t="s">
        <v>7</v>
      </c>
      <c r="F1007" t="s">
        <v>126</v>
      </c>
      <c r="H1007">
        <v>1300</v>
      </c>
      <c r="J1007">
        <v>780</v>
      </c>
      <c r="K1007">
        <v>2080</v>
      </c>
    </row>
    <row r="1008" spans="1:11">
      <c r="A1008">
        <v>1023</v>
      </c>
      <c r="B1008" t="s">
        <v>1349</v>
      </c>
      <c r="C1008" t="s">
        <v>69</v>
      </c>
      <c r="D1008" t="s">
        <v>107</v>
      </c>
      <c r="E1008" t="s">
        <v>7</v>
      </c>
      <c r="F1008" t="s">
        <v>127</v>
      </c>
      <c r="H1008">
        <v>1800</v>
      </c>
      <c r="J1008">
        <v>1080</v>
      </c>
      <c r="K1008">
        <v>2880</v>
      </c>
    </row>
    <row r="1009" spans="1:11">
      <c r="A1009">
        <v>1024</v>
      </c>
      <c r="B1009" t="s">
        <v>1349</v>
      </c>
      <c r="C1009" t="s">
        <v>69</v>
      </c>
      <c r="D1009" t="s">
        <v>107</v>
      </c>
      <c r="E1009" t="s">
        <v>7</v>
      </c>
      <c r="F1009" t="s">
        <v>128</v>
      </c>
      <c r="H1009">
        <v>2000</v>
      </c>
      <c r="J1009">
        <v>1200</v>
      </c>
      <c r="K1009">
        <v>3200</v>
      </c>
    </row>
    <row r="1010" spans="1:11">
      <c r="A1010">
        <v>1025</v>
      </c>
      <c r="B1010" t="s">
        <v>1349</v>
      </c>
      <c r="C1010" t="s">
        <v>69</v>
      </c>
      <c r="D1010" t="s">
        <v>107</v>
      </c>
      <c r="E1010" t="s">
        <v>7</v>
      </c>
      <c r="F1010" t="s">
        <v>129</v>
      </c>
      <c r="H1010">
        <v>2500</v>
      </c>
      <c r="J1010">
        <v>1500</v>
      </c>
      <c r="K1010">
        <v>4000</v>
      </c>
    </row>
    <row r="1011" spans="1:11">
      <c r="A1011">
        <v>1026</v>
      </c>
      <c r="B1011" t="s">
        <v>1349</v>
      </c>
      <c r="C1011" t="s">
        <v>69</v>
      </c>
      <c r="D1011" t="s">
        <v>107</v>
      </c>
      <c r="E1011" t="s">
        <v>7</v>
      </c>
      <c r="F1011" t="s">
        <v>130</v>
      </c>
      <c r="H1011">
        <v>1600</v>
      </c>
      <c r="J1011">
        <v>960</v>
      </c>
    </row>
    <row r="1012" spans="1:11">
      <c r="A1012">
        <v>1027</v>
      </c>
      <c r="B1012" t="s">
        <v>1349</v>
      </c>
      <c r="C1012" t="s">
        <v>69</v>
      </c>
      <c r="D1012" t="s">
        <v>107</v>
      </c>
      <c r="E1012" t="s">
        <v>7</v>
      </c>
      <c r="F1012" t="s">
        <v>131</v>
      </c>
      <c r="H1012">
        <v>1800</v>
      </c>
      <c r="J1012">
        <v>1080</v>
      </c>
      <c r="K1012">
        <v>2880</v>
      </c>
    </row>
    <row r="1013" spans="1:11">
      <c r="A1013">
        <v>1028</v>
      </c>
      <c r="B1013" t="s">
        <v>1349</v>
      </c>
      <c r="C1013" t="s">
        <v>69</v>
      </c>
      <c r="D1013" t="s">
        <v>1066</v>
      </c>
      <c r="E1013" t="s">
        <v>7</v>
      </c>
      <c r="F1013" t="s">
        <v>132</v>
      </c>
      <c r="H1013">
        <v>2100</v>
      </c>
      <c r="J1013">
        <v>1260</v>
      </c>
      <c r="K1013">
        <v>3360</v>
      </c>
    </row>
    <row r="1014" spans="1:11">
      <c r="A1014">
        <v>1029</v>
      </c>
      <c r="B1014" t="s">
        <v>1349</v>
      </c>
      <c r="C1014" t="s">
        <v>69</v>
      </c>
      <c r="D1014" t="s">
        <v>1066</v>
      </c>
      <c r="E1014" t="s">
        <v>7</v>
      </c>
      <c r="F1014" t="s">
        <v>133</v>
      </c>
      <c r="H1014">
        <v>2300</v>
      </c>
      <c r="J1014">
        <v>1380</v>
      </c>
      <c r="K1014">
        <v>3680</v>
      </c>
    </row>
    <row r="1015" spans="1:11">
      <c r="A1015">
        <v>1030</v>
      </c>
      <c r="B1015" t="s">
        <v>1349</v>
      </c>
      <c r="C1015" t="s">
        <v>69</v>
      </c>
      <c r="D1015" t="s">
        <v>1066</v>
      </c>
      <c r="E1015" t="s">
        <v>7</v>
      </c>
      <c r="F1015" t="s">
        <v>134</v>
      </c>
      <c r="H1015">
        <v>2400</v>
      </c>
      <c r="J1015">
        <v>1440</v>
      </c>
      <c r="K1015">
        <v>3840</v>
      </c>
    </row>
    <row r="1016" spans="1:11">
      <c r="A1016">
        <v>1031</v>
      </c>
      <c r="B1016" t="s">
        <v>1349</v>
      </c>
      <c r="C1016" t="s">
        <v>69</v>
      </c>
      <c r="D1016" t="s">
        <v>1066</v>
      </c>
      <c r="E1016" t="s">
        <v>7</v>
      </c>
      <c r="F1016" t="s">
        <v>135</v>
      </c>
      <c r="H1016">
        <v>2700</v>
      </c>
      <c r="J1016">
        <v>1620</v>
      </c>
      <c r="K1016">
        <v>4320</v>
      </c>
    </row>
    <row r="1017" spans="1:11">
      <c r="A1017">
        <v>1032</v>
      </c>
      <c r="B1017" t="s">
        <v>1349</v>
      </c>
      <c r="C1017" t="s">
        <v>69</v>
      </c>
      <c r="D1017" t="s">
        <v>1066</v>
      </c>
      <c r="E1017" t="s">
        <v>7</v>
      </c>
      <c r="F1017" t="s">
        <v>136</v>
      </c>
      <c r="J1017">
        <v>0</v>
      </c>
      <c r="K1017">
        <v>0</v>
      </c>
    </row>
    <row r="1018" spans="1:11">
      <c r="A1018">
        <v>1033</v>
      </c>
      <c r="B1018" t="s">
        <v>1349</v>
      </c>
      <c r="C1018" t="s">
        <v>69</v>
      </c>
      <c r="D1018" t="s">
        <v>1066</v>
      </c>
      <c r="E1018" t="s">
        <v>7</v>
      </c>
      <c r="F1018" t="s">
        <v>137</v>
      </c>
      <c r="J1018">
        <v>0</v>
      </c>
      <c r="K1018">
        <v>0</v>
      </c>
    </row>
    <row r="1019" spans="1:11">
      <c r="A1019">
        <v>1034</v>
      </c>
      <c r="B1019" t="s">
        <v>1349</v>
      </c>
      <c r="C1019" t="s">
        <v>69</v>
      </c>
      <c r="D1019" t="s">
        <v>138</v>
      </c>
      <c r="E1019" t="s">
        <v>7</v>
      </c>
      <c r="F1019" t="s">
        <v>138</v>
      </c>
      <c r="H1019">
        <v>900</v>
      </c>
      <c r="J1019">
        <v>540</v>
      </c>
      <c r="K1019">
        <v>1440</v>
      </c>
    </row>
    <row r="1020" spans="1:11">
      <c r="A1020">
        <v>1035</v>
      </c>
      <c r="B1020" t="s">
        <v>1349</v>
      </c>
      <c r="C1020" t="s">
        <v>69</v>
      </c>
      <c r="D1020" t="s">
        <v>138</v>
      </c>
      <c r="E1020" t="s">
        <v>7</v>
      </c>
      <c r="F1020" t="s">
        <v>139</v>
      </c>
      <c r="H1020">
        <v>40</v>
      </c>
      <c r="J1020">
        <v>24</v>
      </c>
      <c r="K1020">
        <v>64</v>
      </c>
    </row>
    <row r="1021" spans="1:11">
      <c r="A1021">
        <v>1036</v>
      </c>
      <c r="B1021" t="s">
        <v>1349</v>
      </c>
      <c r="C1021" t="s">
        <v>69</v>
      </c>
      <c r="D1021" t="s">
        <v>138</v>
      </c>
      <c r="E1021" t="s">
        <v>7</v>
      </c>
      <c r="F1021" t="s">
        <v>140</v>
      </c>
      <c r="H1021">
        <v>250</v>
      </c>
      <c r="J1021">
        <v>150</v>
      </c>
      <c r="K1021">
        <v>400</v>
      </c>
    </row>
    <row r="1022" spans="1:11">
      <c r="A1022">
        <v>1037</v>
      </c>
      <c r="B1022" t="s">
        <v>1349</v>
      </c>
      <c r="C1022" t="s">
        <v>69</v>
      </c>
      <c r="D1022" t="s">
        <v>141</v>
      </c>
      <c r="E1022" t="s">
        <v>7</v>
      </c>
      <c r="F1022" t="s">
        <v>142</v>
      </c>
      <c r="H1022">
        <v>96.72</v>
      </c>
      <c r="J1022">
        <v>58.031999999999996</v>
      </c>
      <c r="K1022">
        <v>154.75200000000001</v>
      </c>
    </row>
    <row r="1023" spans="1:11">
      <c r="A1023">
        <v>1038</v>
      </c>
      <c r="B1023" t="s">
        <v>1349</v>
      </c>
      <c r="C1023" t="s">
        <v>69</v>
      </c>
      <c r="D1023" t="s">
        <v>141</v>
      </c>
      <c r="E1023" t="s">
        <v>7</v>
      </c>
      <c r="F1023" t="s">
        <v>143</v>
      </c>
      <c r="H1023">
        <v>104.16</v>
      </c>
      <c r="J1023">
        <v>62.496000000000002</v>
      </c>
      <c r="K1023">
        <v>166.65600000000001</v>
      </c>
    </row>
    <row r="1024" spans="1:11">
      <c r="A1024">
        <v>1039</v>
      </c>
      <c r="B1024" t="s">
        <v>1349</v>
      </c>
      <c r="C1024" t="s">
        <v>69</v>
      </c>
      <c r="D1024" t="s">
        <v>141</v>
      </c>
      <c r="E1024" t="s">
        <v>7</v>
      </c>
      <c r="F1024" t="s">
        <v>144</v>
      </c>
      <c r="H1024">
        <v>111.6</v>
      </c>
      <c r="J1024">
        <v>66.959999999999994</v>
      </c>
      <c r="K1024">
        <v>178.56</v>
      </c>
    </row>
    <row r="1025" spans="1:11">
      <c r="A1025">
        <v>1040</v>
      </c>
      <c r="B1025" t="s">
        <v>1349</v>
      </c>
      <c r="C1025" t="s">
        <v>69</v>
      </c>
      <c r="D1025" t="s">
        <v>141</v>
      </c>
      <c r="E1025" t="s">
        <v>7</v>
      </c>
      <c r="F1025" t="s">
        <v>145</v>
      </c>
      <c r="H1025">
        <v>119.04</v>
      </c>
      <c r="J1025">
        <v>71.424000000000007</v>
      </c>
      <c r="K1025">
        <v>190.464</v>
      </c>
    </row>
    <row r="1026" spans="1:11">
      <c r="A1026">
        <v>1041</v>
      </c>
      <c r="B1026" t="s">
        <v>1349</v>
      </c>
      <c r="C1026" t="s">
        <v>69</v>
      </c>
      <c r="D1026" t="s">
        <v>141</v>
      </c>
      <c r="E1026" t="s">
        <v>7</v>
      </c>
      <c r="F1026" t="s">
        <v>146</v>
      </c>
      <c r="H1026">
        <v>126.48</v>
      </c>
      <c r="J1026">
        <v>75.888000000000005</v>
      </c>
      <c r="K1026">
        <v>202.36799999999999</v>
      </c>
    </row>
    <row r="1027" spans="1:11">
      <c r="A1027">
        <v>1042</v>
      </c>
      <c r="B1027" t="s">
        <v>1349</v>
      </c>
      <c r="C1027" t="s">
        <v>69</v>
      </c>
      <c r="D1027" t="s">
        <v>141</v>
      </c>
      <c r="E1027" t="s">
        <v>7</v>
      </c>
      <c r="F1027" t="s">
        <v>147</v>
      </c>
      <c r="H1027">
        <v>133.91999999999999</v>
      </c>
      <c r="J1027">
        <v>80.352000000000004</v>
      </c>
      <c r="K1027">
        <v>214.27199999999999</v>
      </c>
    </row>
    <row r="1028" spans="1:11">
      <c r="A1028">
        <v>1043</v>
      </c>
      <c r="B1028" t="s">
        <v>1349</v>
      </c>
      <c r="C1028" t="s">
        <v>69</v>
      </c>
      <c r="D1028" t="s">
        <v>141</v>
      </c>
      <c r="E1028" t="s">
        <v>7</v>
      </c>
      <c r="F1028" t="s">
        <v>148</v>
      </c>
      <c r="H1028">
        <v>141.36000000000001</v>
      </c>
      <c r="J1028">
        <v>84.816000000000003</v>
      </c>
      <c r="K1028">
        <v>226.17599999999999</v>
      </c>
    </row>
    <row r="1029" spans="1:11">
      <c r="A1029">
        <v>1044</v>
      </c>
      <c r="B1029" t="s">
        <v>1349</v>
      </c>
      <c r="C1029" t="s">
        <v>69</v>
      </c>
      <c r="D1029" t="s">
        <v>141</v>
      </c>
      <c r="E1029" t="s">
        <v>7</v>
      </c>
      <c r="F1029" t="s">
        <v>149</v>
      </c>
      <c r="H1029">
        <v>148.80000000000001</v>
      </c>
      <c r="J1029">
        <v>89.28</v>
      </c>
      <c r="K1029">
        <v>238.08</v>
      </c>
    </row>
    <row r="1030" spans="1:11">
      <c r="A1030">
        <v>1045</v>
      </c>
      <c r="B1030" t="s">
        <v>1295</v>
      </c>
      <c r="C1030" t="s">
        <v>69</v>
      </c>
      <c r="D1030" t="s">
        <v>1067</v>
      </c>
      <c r="E1030" t="s">
        <v>7</v>
      </c>
      <c r="F1030" t="s">
        <v>1068</v>
      </c>
      <c r="H1030">
        <v>3288</v>
      </c>
      <c r="J1030">
        <v>1972.8</v>
      </c>
      <c r="K1030">
        <v>5260.8</v>
      </c>
    </row>
    <row r="1031" spans="1:11">
      <c r="A1031">
        <v>1046</v>
      </c>
      <c r="B1031" t="s">
        <v>1295</v>
      </c>
      <c r="C1031" t="s">
        <v>69</v>
      </c>
      <c r="D1031" t="s">
        <v>1067</v>
      </c>
      <c r="E1031" t="s">
        <v>7</v>
      </c>
      <c r="F1031" t="s">
        <v>1069</v>
      </c>
      <c r="H1031">
        <v>3076</v>
      </c>
      <c r="J1031">
        <v>1845.6</v>
      </c>
      <c r="K1031">
        <v>4921.6000000000004</v>
      </c>
    </row>
    <row r="1032" spans="1:11">
      <c r="A1032">
        <v>1047</v>
      </c>
      <c r="B1032" t="s">
        <v>1295</v>
      </c>
      <c r="C1032" t="s">
        <v>69</v>
      </c>
      <c r="D1032" t="s">
        <v>1067</v>
      </c>
      <c r="E1032" t="s">
        <v>7</v>
      </c>
      <c r="F1032" t="s">
        <v>1070</v>
      </c>
      <c r="H1032">
        <v>2987</v>
      </c>
      <c r="J1032">
        <v>1792.2</v>
      </c>
      <c r="K1032">
        <v>4779.2</v>
      </c>
    </row>
    <row r="1033" spans="1:11">
      <c r="A1033">
        <v>1048</v>
      </c>
      <c r="B1033" t="s">
        <v>1295</v>
      </c>
      <c r="C1033" t="s">
        <v>69</v>
      </c>
      <c r="D1033" t="s">
        <v>1067</v>
      </c>
      <c r="E1033" t="s">
        <v>7</v>
      </c>
      <c r="F1033" t="s">
        <v>1071</v>
      </c>
      <c r="H1033">
        <v>2898</v>
      </c>
      <c r="J1033">
        <v>1738.8</v>
      </c>
      <c r="K1033">
        <v>4636.8</v>
      </c>
    </row>
    <row r="1034" spans="1:11">
      <c r="A1034">
        <v>1049</v>
      </c>
      <c r="B1034" t="s">
        <v>1295</v>
      </c>
      <c r="C1034" t="s">
        <v>69</v>
      </c>
      <c r="D1034" t="s">
        <v>1067</v>
      </c>
      <c r="E1034" t="s">
        <v>7</v>
      </c>
      <c r="F1034" t="s">
        <v>1072</v>
      </c>
      <c r="H1034">
        <v>2044</v>
      </c>
      <c r="J1034">
        <v>1226.4000000000001</v>
      </c>
      <c r="K1034">
        <v>3270.4</v>
      </c>
    </row>
    <row r="1035" spans="1:11">
      <c r="A1035">
        <v>1050</v>
      </c>
      <c r="B1035" t="s">
        <v>1295</v>
      </c>
      <c r="C1035" t="s">
        <v>69</v>
      </c>
      <c r="D1035" t="s">
        <v>1067</v>
      </c>
      <c r="E1035" t="s">
        <v>7</v>
      </c>
      <c r="F1035" t="s">
        <v>1073</v>
      </c>
      <c r="H1035">
        <v>1873</v>
      </c>
      <c r="J1035">
        <v>1123.8</v>
      </c>
      <c r="K1035">
        <v>2996.8</v>
      </c>
    </row>
    <row r="1036" spans="1:11">
      <c r="A1036">
        <v>1051</v>
      </c>
      <c r="B1036" t="s">
        <v>1295</v>
      </c>
      <c r="C1036" t="s">
        <v>69</v>
      </c>
      <c r="D1036" t="s">
        <v>1067</v>
      </c>
      <c r="E1036" t="s">
        <v>7</v>
      </c>
      <c r="F1036" t="s">
        <v>1074</v>
      </c>
      <c r="H1036">
        <v>1735</v>
      </c>
      <c r="J1036">
        <v>1041</v>
      </c>
      <c r="K1036">
        <v>2776</v>
      </c>
    </row>
    <row r="1037" spans="1:11">
      <c r="A1037">
        <v>1052</v>
      </c>
      <c r="B1037" t="s">
        <v>1295</v>
      </c>
      <c r="C1037" t="s">
        <v>69</v>
      </c>
      <c r="D1037" t="s">
        <v>1067</v>
      </c>
      <c r="E1037" t="s">
        <v>7</v>
      </c>
      <c r="F1037" t="s">
        <v>1075</v>
      </c>
      <c r="H1037">
        <v>1642</v>
      </c>
      <c r="J1037">
        <v>985.2</v>
      </c>
      <c r="K1037">
        <v>2627.2</v>
      </c>
    </row>
    <row r="1038" spans="1:11">
      <c r="A1038">
        <v>1053</v>
      </c>
      <c r="B1038" t="s">
        <v>1295</v>
      </c>
      <c r="C1038" t="s">
        <v>69</v>
      </c>
      <c r="D1038" t="s">
        <v>1067</v>
      </c>
      <c r="E1038" t="s">
        <v>7</v>
      </c>
      <c r="J1038">
        <v>0</v>
      </c>
      <c r="K1038">
        <v>0</v>
      </c>
    </row>
    <row r="1039" spans="1:11">
      <c r="A1039">
        <v>1054</v>
      </c>
      <c r="B1039" t="s">
        <v>1295</v>
      </c>
      <c r="C1039" t="s">
        <v>69</v>
      </c>
      <c r="D1039" t="s">
        <v>1076</v>
      </c>
      <c r="E1039" t="s">
        <v>7</v>
      </c>
      <c r="F1039" t="s">
        <v>1077</v>
      </c>
      <c r="H1039">
        <v>1810</v>
      </c>
      <c r="J1039">
        <v>1086</v>
      </c>
      <c r="K1039">
        <v>2896</v>
      </c>
    </row>
    <row r="1040" spans="1:11">
      <c r="A1040">
        <v>1055</v>
      </c>
      <c r="B1040" t="s">
        <v>1295</v>
      </c>
      <c r="C1040" t="s">
        <v>69</v>
      </c>
      <c r="D1040" t="s">
        <v>1076</v>
      </c>
      <c r="E1040" t="s">
        <v>7</v>
      </c>
      <c r="F1040" t="s">
        <v>1078</v>
      </c>
      <c r="H1040">
        <v>1674</v>
      </c>
      <c r="J1040">
        <v>1004.4</v>
      </c>
      <c r="K1040">
        <v>2678.4</v>
      </c>
    </row>
    <row r="1041" spans="1:11">
      <c r="A1041">
        <v>1056</v>
      </c>
      <c r="B1041" t="s">
        <v>1295</v>
      </c>
      <c r="C1041" t="s">
        <v>69</v>
      </c>
      <c r="D1041" t="s">
        <v>1076</v>
      </c>
      <c r="E1041" t="s">
        <v>7</v>
      </c>
      <c r="F1041" t="s">
        <v>1079</v>
      </c>
      <c r="H1041">
        <v>1362</v>
      </c>
      <c r="J1041">
        <v>817.2</v>
      </c>
      <c r="K1041">
        <v>2179.1999999999998</v>
      </c>
    </row>
    <row r="1042" spans="1:11">
      <c r="A1042">
        <v>1057</v>
      </c>
      <c r="B1042" t="s">
        <v>1295</v>
      </c>
      <c r="C1042" t="s">
        <v>69</v>
      </c>
      <c r="D1042" t="s">
        <v>1076</v>
      </c>
      <c r="E1042" t="s">
        <v>7</v>
      </c>
      <c r="F1042" t="s">
        <v>1080</v>
      </c>
      <c r="H1042">
        <v>1266</v>
      </c>
      <c r="J1042">
        <v>759.6</v>
      </c>
      <c r="K1042">
        <v>2025.6</v>
      </c>
    </row>
    <row r="1043" spans="1:11">
      <c r="A1043">
        <v>1058</v>
      </c>
      <c r="B1043" t="s">
        <v>1295</v>
      </c>
      <c r="C1043" t="s">
        <v>69</v>
      </c>
      <c r="D1043" t="s">
        <v>1076</v>
      </c>
      <c r="E1043" t="s">
        <v>7</v>
      </c>
      <c r="F1043" t="s">
        <v>1081</v>
      </c>
      <c r="H1043">
        <v>1166</v>
      </c>
      <c r="J1043">
        <v>699.6</v>
      </c>
      <c r="K1043">
        <v>1865.6</v>
      </c>
    </row>
    <row r="1044" spans="1:11">
      <c r="A1044">
        <v>1059</v>
      </c>
      <c r="B1044" t="s">
        <v>1295</v>
      </c>
      <c r="C1044" t="s">
        <v>69</v>
      </c>
      <c r="D1044" t="s">
        <v>1076</v>
      </c>
      <c r="E1044" t="s">
        <v>7</v>
      </c>
      <c r="F1044" t="s">
        <v>1082</v>
      </c>
      <c r="H1044">
        <v>892</v>
      </c>
      <c r="J1044">
        <v>535.20000000000005</v>
      </c>
      <c r="K1044">
        <v>1427.2</v>
      </c>
    </row>
    <row r="1045" spans="1:11">
      <c r="A1045">
        <v>1060</v>
      </c>
      <c r="B1045" t="s">
        <v>1295</v>
      </c>
      <c r="C1045" t="s">
        <v>69</v>
      </c>
      <c r="D1045" t="s">
        <v>1076</v>
      </c>
      <c r="E1045" t="s">
        <v>7</v>
      </c>
      <c r="F1045" t="s">
        <v>1083</v>
      </c>
      <c r="H1045">
        <v>826</v>
      </c>
      <c r="J1045">
        <v>495.6</v>
      </c>
      <c r="K1045">
        <v>1321.6</v>
      </c>
    </row>
    <row r="1046" spans="1:11">
      <c r="A1046">
        <v>1061</v>
      </c>
      <c r="B1046" t="s">
        <v>1295</v>
      </c>
      <c r="C1046" t="s">
        <v>69</v>
      </c>
      <c r="D1046" t="s">
        <v>1076</v>
      </c>
      <c r="E1046" t="s">
        <v>7</v>
      </c>
      <c r="J1046">
        <v>0</v>
      </c>
      <c r="K1046">
        <v>0</v>
      </c>
    </row>
    <row r="1047" spans="1:11">
      <c r="A1047">
        <v>1062</v>
      </c>
      <c r="B1047" t="s">
        <v>1295</v>
      </c>
      <c r="C1047" t="s">
        <v>69</v>
      </c>
      <c r="D1047" t="s">
        <v>1084</v>
      </c>
      <c r="E1047" t="s">
        <v>7</v>
      </c>
      <c r="F1047" t="s">
        <v>1085</v>
      </c>
      <c r="H1047">
        <v>828</v>
      </c>
      <c r="J1047">
        <v>496.8</v>
      </c>
      <c r="K1047">
        <v>1324.8</v>
      </c>
    </row>
    <row r="1048" spans="1:11">
      <c r="A1048">
        <v>1063</v>
      </c>
      <c r="B1048" t="s">
        <v>1295</v>
      </c>
      <c r="C1048" t="s">
        <v>69</v>
      </c>
      <c r="D1048" t="s">
        <v>1084</v>
      </c>
      <c r="E1048" t="s">
        <v>7</v>
      </c>
      <c r="F1048" t="s">
        <v>1086</v>
      </c>
      <c r="H1048">
        <v>1118</v>
      </c>
      <c r="J1048">
        <v>670.8</v>
      </c>
      <c r="K1048">
        <v>1788.8</v>
      </c>
    </row>
    <row r="1049" spans="1:11">
      <c r="A1049">
        <v>1064</v>
      </c>
      <c r="B1049" t="s">
        <v>1295</v>
      </c>
      <c r="C1049" t="s">
        <v>69</v>
      </c>
      <c r="D1049" t="s">
        <v>1084</v>
      </c>
      <c r="E1049" t="s">
        <v>7</v>
      </c>
      <c r="F1049" t="s">
        <v>1087</v>
      </c>
      <c r="H1049">
        <v>1169</v>
      </c>
      <c r="J1049">
        <v>701.4</v>
      </c>
      <c r="K1049">
        <v>1870.4</v>
      </c>
    </row>
    <row r="1050" spans="1:11">
      <c r="A1050">
        <v>1065</v>
      </c>
      <c r="B1050" t="s">
        <v>1295</v>
      </c>
      <c r="C1050" t="s">
        <v>69</v>
      </c>
      <c r="D1050" t="s">
        <v>1084</v>
      </c>
      <c r="E1050" t="s">
        <v>7</v>
      </c>
      <c r="F1050" t="s">
        <v>1088</v>
      </c>
      <c r="H1050">
        <v>1221</v>
      </c>
      <c r="J1050">
        <v>732.6</v>
      </c>
      <c r="K1050">
        <v>1953.6</v>
      </c>
    </row>
    <row r="1051" spans="1:11">
      <c r="A1051">
        <v>1066</v>
      </c>
      <c r="B1051" t="s">
        <v>1295</v>
      </c>
      <c r="C1051" t="s">
        <v>69</v>
      </c>
      <c r="D1051" t="s">
        <v>1089</v>
      </c>
      <c r="E1051" t="s">
        <v>7</v>
      </c>
      <c r="F1051" t="s">
        <v>1090</v>
      </c>
      <c r="H1051">
        <v>321</v>
      </c>
      <c r="J1051">
        <v>192.6</v>
      </c>
      <c r="K1051">
        <v>513.6</v>
      </c>
    </row>
    <row r="1052" spans="1:11">
      <c r="A1052">
        <v>1067</v>
      </c>
      <c r="B1052" t="s">
        <v>1295</v>
      </c>
      <c r="C1052" t="s">
        <v>69</v>
      </c>
      <c r="D1052" t="s">
        <v>1089</v>
      </c>
      <c r="E1052" t="s">
        <v>7</v>
      </c>
      <c r="F1052" t="s">
        <v>1091</v>
      </c>
      <c r="H1052">
        <v>360</v>
      </c>
      <c r="J1052">
        <v>216</v>
      </c>
      <c r="K1052">
        <v>576</v>
      </c>
    </row>
    <row r="1053" spans="1:11">
      <c r="A1053">
        <v>1068</v>
      </c>
      <c r="B1053" t="s">
        <v>1295</v>
      </c>
      <c r="C1053" t="s">
        <v>69</v>
      </c>
      <c r="D1053" t="s">
        <v>1089</v>
      </c>
      <c r="E1053" t="s">
        <v>7</v>
      </c>
      <c r="F1053" t="s">
        <v>1092</v>
      </c>
      <c r="H1053">
        <v>407</v>
      </c>
      <c r="J1053">
        <v>244.2</v>
      </c>
      <c r="K1053">
        <v>651.20000000000005</v>
      </c>
    </row>
    <row r="1054" spans="1:11">
      <c r="A1054">
        <v>1069</v>
      </c>
      <c r="B1054" t="s">
        <v>1295</v>
      </c>
      <c r="C1054" t="s">
        <v>69</v>
      </c>
      <c r="D1054" t="s">
        <v>1089</v>
      </c>
      <c r="E1054" t="s">
        <v>7</v>
      </c>
      <c r="F1054" t="s">
        <v>1093</v>
      </c>
      <c r="H1054">
        <v>445</v>
      </c>
      <c r="J1054">
        <v>267</v>
      </c>
      <c r="K1054">
        <v>712</v>
      </c>
    </row>
    <row r="1055" spans="1:11">
      <c r="A1055">
        <v>1070</v>
      </c>
      <c r="B1055" t="s">
        <v>1295</v>
      </c>
      <c r="C1055" t="s">
        <v>69</v>
      </c>
      <c r="D1055" t="s">
        <v>1089</v>
      </c>
      <c r="E1055" t="s">
        <v>7</v>
      </c>
      <c r="F1055" t="s">
        <v>1094</v>
      </c>
      <c r="H1055">
        <v>484</v>
      </c>
      <c r="J1055">
        <v>290.39999999999998</v>
      </c>
      <c r="K1055">
        <v>774.4</v>
      </c>
    </row>
    <row r="1056" spans="1:11">
      <c r="A1056">
        <v>1071</v>
      </c>
      <c r="B1056" t="s">
        <v>1295</v>
      </c>
      <c r="C1056" t="s">
        <v>69</v>
      </c>
      <c r="D1056" t="s">
        <v>1089</v>
      </c>
      <c r="E1056" t="s">
        <v>7</v>
      </c>
      <c r="F1056" t="s">
        <v>1095</v>
      </c>
      <c r="H1056">
        <v>523</v>
      </c>
      <c r="J1056">
        <v>313.8</v>
      </c>
      <c r="K1056">
        <v>836.8</v>
      </c>
    </row>
    <row r="1057" spans="1:11">
      <c r="A1057">
        <v>1072</v>
      </c>
      <c r="B1057" t="s">
        <v>1295</v>
      </c>
      <c r="C1057" t="s">
        <v>69</v>
      </c>
      <c r="D1057" t="s">
        <v>1089</v>
      </c>
      <c r="E1057" t="s">
        <v>7</v>
      </c>
      <c r="F1057" t="s">
        <v>1096</v>
      </c>
      <c r="H1057">
        <v>656</v>
      </c>
      <c r="J1057">
        <v>393.6</v>
      </c>
      <c r="K1057">
        <v>1049.5999999999999</v>
      </c>
    </row>
    <row r="1058" spans="1:11">
      <c r="A1058">
        <v>1073</v>
      </c>
      <c r="B1058" t="s">
        <v>1295</v>
      </c>
      <c r="C1058" t="s">
        <v>69</v>
      </c>
      <c r="D1058" t="s">
        <v>1089</v>
      </c>
      <c r="E1058" t="s">
        <v>7</v>
      </c>
      <c r="F1058" t="s">
        <v>1097</v>
      </c>
      <c r="H1058">
        <v>753</v>
      </c>
      <c r="J1058">
        <v>451.8</v>
      </c>
      <c r="K1058">
        <v>1204.8</v>
      </c>
    </row>
    <row r="1059" spans="1:11">
      <c r="A1059">
        <v>1074</v>
      </c>
      <c r="B1059" t="s">
        <v>1295</v>
      </c>
      <c r="C1059" t="s">
        <v>69</v>
      </c>
      <c r="D1059" t="s">
        <v>1089</v>
      </c>
      <c r="E1059" t="s">
        <v>7</v>
      </c>
      <c r="F1059" t="s">
        <v>1098</v>
      </c>
      <c r="J1059">
        <v>0</v>
      </c>
      <c r="K1059">
        <v>0</v>
      </c>
    </row>
    <row r="1060" spans="1:11">
      <c r="A1060">
        <v>1075</v>
      </c>
      <c r="B1060" t="s">
        <v>1295</v>
      </c>
      <c r="C1060" t="s">
        <v>69</v>
      </c>
      <c r="D1060" t="s">
        <v>1089</v>
      </c>
      <c r="E1060" t="s">
        <v>7</v>
      </c>
      <c r="F1060" t="s">
        <v>1091</v>
      </c>
      <c r="J1060">
        <v>0</v>
      </c>
      <c r="K1060">
        <v>0</v>
      </c>
    </row>
    <row r="1061" spans="1:11">
      <c r="A1061">
        <v>1076</v>
      </c>
      <c r="B1061" t="s">
        <v>1295</v>
      </c>
      <c r="C1061" t="s">
        <v>69</v>
      </c>
      <c r="D1061" t="s">
        <v>1089</v>
      </c>
      <c r="E1061" t="s">
        <v>7</v>
      </c>
      <c r="F1061" t="s">
        <v>1092</v>
      </c>
      <c r="J1061">
        <v>0</v>
      </c>
      <c r="K1061">
        <v>0</v>
      </c>
    </row>
    <row r="1062" spans="1:11">
      <c r="A1062">
        <v>1077</v>
      </c>
      <c r="B1062" t="s">
        <v>1295</v>
      </c>
      <c r="C1062" t="s">
        <v>69</v>
      </c>
      <c r="D1062" t="s">
        <v>1089</v>
      </c>
      <c r="E1062" t="s">
        <v>7</v>
      </c>
      <c r="F1062" t="s">
        <v>1093</v>
      </c>
      <c r="J1062">
        <v>0</v>
      </c>
      <c r="K1062">
        <v>0</v>
      </c>
    </row>
    <row r="1063" spans="1:11">
      <c r="A1063">
        <v>1078</v>
      </c>
      <c r="B1063" t="s">
        <v>1295</v>
      </c>
      <c r="C1063" t="s">
        <v>69</v>
      </c>
      <c r="D1063" t="s">
        <v>1089</v>
      </c>
      <c r="E1063" t="s">
        <v>7</v>
      </c>
      <c r="F1063" t="s">
        <v>1094</v>
      </c>
      <c r="J1063">
        <v>0</v>
      </c>
      <c r="K1063">
        <v>0</v>
      </c>
    </row>
    <row r="1064" spans="1:11">
      <c r="A1064">
        <v>1079</v>
      </c>
      <c r="B1064" t="s">
        <v>1295</v>
      </c>
      <c r="C1064" t="s">
        <v>69</v>
      </c>
      <c r="D1064" t="s">
        <v>1089</v>
      </c>
      <c r="E1064" t="s">
        <v>7</v>
      </c>
      <c r="F1064" t="s">
        <v>1095</v>
      </c>
      <c r="J1064">
        <v>0</v>
      </c>
      <c r="K1064">
        <v>0</v>
      </c>
    </row>
    <row r="1065" spans="1:11">
      <c r="A1065">
        <v>1080</v>
      </c>
      <c r="B1065" t="s">
        <v>1295</v>
      </c>
      <c r="C1065" t="s">
        <v>69</v>
      </c>
      <c r="D1065" t="s">
        <v>1089</v>
      </c>
      <c r="E1065" t="s">
        <v>7</v>
      </c>
      <c r="F1065" t="s">
        <v>1096</v>
      </c>
      <c r="J1065">
        <v>0</v>
      </c>
      <c r="K1065">
        <v>0</v>
      </c>
    </row>
    <row r="1066" spans="1:11">
      <c r="A1066">
        <v>1081</v>
      </c>
      <c r="B1066" t="s">
        <v>1295</v>
      </c>
      <c r="C1066" t="s">
        <v>69</v>
      </c>
      <c r="D1066" t="s">
        <v>1089</v>
      </c>
      <c r="E1066" t="s">
        <v>7</v>
      </c>
      <c r="F1066" t="s">
        <v>1097</v>
      </c>
      <c r="J1066">
        <v>0</v>
      </c>
      <c r="K1066">
        <v>0</v>
      </c>
    </row>
    <row r="1067" spans="1:11">
      <c r="A1067">
        <v>1082</v>
      </c>
      <c r="B1067" t="s">
        <v>1295</v>
      </c>
      <c r="C1067" t="s">
        <v>69</v>
      </c>
      <c r="D1067" t="s">
        <v>1089</v>
      </c>
      <c r="E1067" t="s">
        <v>7</v>
      </c>
      <c r="J1067">
        <v>0</v>
      </c>
      <c r="K1067">
        <v>0</v>
      </c>
    </row>
    <row r="1068" spans="1:11">
      <c r="A1068">
        <v>1083</v>
      </c>
      <c r="B1068" t="s">
        <v>1295</v>
      </c>
      <c r="C1068" t="s">
        <v>69</v>
      </c>
      <c r="D1068" t="s">
        <v>1089</v>
      </c>
      <c r="E1068" t="s">
        <v>7</v>
      </c>
      <c r="J1068">
        <v>0</v>
      </c>
      <c r="K1068">
        <v>0</v>
      </c>
    </row>
    <row r="1069" spans="1:11">
      <c r="A1069">
        <v>1084</v>
      </c>
      <c r="B1069" t="s">
        <v>1295</v>
      </c>
      <c r="C1069" t="s">
        <v>69</v>
      </c>
      <c r="D1069" t="s">
        <v>1089</v>
      </c>
      <c r="E1069" t="s">
        <v>7</v>
      </c>
      <c r="J1069">
        <v>0</v>
      </c>
      <c r="K1069">
        <v>0</v>
      </c>
    </row>
    <row r="1070" spans="1:11">
      <c r="A1070">
        <v>1085</v>
      </c>
      <c r="B1070" t="s">
        <v>1295</v>
      </c>
      <c r="C1070" t="s">
        <v>69</v>
      </c>
      <c r="D1070" t="s">
        <v>1089</v>
      </c>
      <c r="E1070" t="s">
        <v>7</v>
      </c>
      <c r="J1070">
        <v>0</v>
      </c>
      <c r="K1070">
        <v>0</v>
      </c>
    </row>
    <row r="1071" spans="1:11">
      <c r="A1071">
        <v>1086</v>
      </c>
      <c r="B1071" t="s">
        <v>1295</v>
      </c>
      <c r="C1071" t="s">
        <v>69</v>
      </c>
      <c r="D1071" t="s">
        <v>1089</v>
      </c>
      <c r="E1071" t="s">
        <v>7</v>
      </c>
      <c r="J1071">
        <v>0</v>
      </c>
      <c r="K1071">
        <v>0</v>
      </c>
    </row>
    <row r="1072" spans="1:11">
      <c r="A1072">
        <v>1087</v>
      </c>
      <c r="B1072" t="s">
        <v>1295</v>
      </c>
      <c r="C1072" t="s">
        <v>69</v>
      </c>
      <c r="D1072" t="s">
        <v>1089</v>
      </c>
      <c r="E1072" t="s">
        <v>7</v>
      </c>
      <c r="J1072">
        <v>0</v>
      </c>
      <c r="K1072">
        <v>0</v>
      </c>
    </row>
    <row r="1073" spans="1:11">
      <c r="A1073">
        <v>1088</v>
      </c>
      <c r="B1073" t="s">
        <v>1295</v>
      </c>
      <c r="C1073" t="s">
        <v>69</v>
      </c>
      <c r="D1073" t="s">
        <v>1089</v>
      </c>
      <c r="E1073" t="s">
        <v>7</v>
      </c>
      <c r="J1073">
        <v>0</v>
      </c>
      <c r="K1073">
        <v>0</v>
      </c>
    </row>
    <row r="1074" spans="1:11">
      <c r="A1074">
        <v>1089</v>
      </c>
      <c r="B1074" t="s">
        <v>1349</v>
      </c>
      <c r="C1074" t="s">
        <v>69</v>
      </c>
      <c r="D1074" t="s">
        <v>80</v>
      </c>
      <c r="E1074" t="s">
        <v>767</v>
      </c>
      <c r="F1074" t="s">
        <v>82</v>
      </c>
      <c r="H1074">
        <v>700</v>
      </c>
      <c r="J1074">
        <v>420</v>
      </c>
      <c r="K1074">
        <v>1120</v>
      </c>
    </row>
    <row r="1075" spans="1:11">
      <c r="A1075">
        <v>1090</v>
      </c>
      <c r="B1075" t="s">
        <v>1295</v>
      </c>
      <c r="C1075" t="s">
        <v>69</v>
      </c>
      <c r="D1075" t="s">
        <v>80</v>
      </c>
      <c r="E1075" t="s">
        <v>767</v>
      </c>
      <c r="F1075" t="s">
        <v>1099</v>
      </c>
      <c r="H1075">
        <v>80</v>
      </c>
      <c r="J1075">
        <v>48</v>
      </c>
      <c r="K1075">
        <v>128</v>
      </c>
    </row>
    <row r="1076" spans="1:11">
      <c r="A1076">
        <v>1091</v>
      </c>
      <c r="B1076" t="s">
        <v>1349</v>
      </c>
      <c r="C1076" t="s">
        <v>69</v>
      </c>
      <c r="D1076" t="s">
        <v>80</v>
      </c>
      <c r="E1076" t="s">
        <v>767</v>
      </c>
      <c r="F1076" t="s">
        <v>1100</v>
      </c>
      <c r="H1076">
        <v>1.7</v>
      </c>
      <c r="J1076">
        <v>1.02</v>
      </c>
      <c r="K1076">
        <v>2.72</v>
      </c>
    </row>
    <row r="1077" spans="1:11">
      <c r="A1077">
        <v>1092</v>
      </c>
      <c r="B1077" t="s">
        <v>1349</v>
      </c>
      <c r="C1077" t="s">
        <v>69</v>
      </c>
      <c r="D1077" t="s">
        <v>80</v>
      </c>
      <c r="E1077" t="s">
        <v>767</v>
      </c>
      <c r="F1077" t="s">
        <v>81</v>
      </c>
      <c r="H1077">
        <v>1.8</v>
      </c>
      <c r="J1077">
        <v>1.08</v>
      </c>
      <c r="K1077">
        <v>2.88</v>
      </c>
    </row>
    <row r="1078" spans="1:11">
      <c r="A1078">
        <v>1093</v>
      </c>
      <c r="B1078" t="s">
        <v>1349</v>
      </c>
      <c r="C1078" t="s">
        <v>69</v>
      </c>
      <c r="D1078" t="s">
        <v>80</v>
      </c>
      <c r="E1078" t="s">
        <v>767</v>
      </c>
      <c r="F1078" t="s">
        <v>1101</v>
      </c>
      <c r="H1078">
        <v>0.3</v>
      </c>
      <c r="J1078">
        <v>0.18</v>
      </c>
      <c r="K1078">
        <v>0.48</v>
      </c>
    </row>
    <row r="1079" spans="1:11">
      <c r="A1079">
        <v>1094</v>
      </c>
      <c r="B1079" t="s">
        <v>1295</v>
      </c>
      <c r="C1079" t="s">
        <v>69</v>
      </c>
      <c r="D1079" t="s">
        <v>80</v>
      </c>
      <c r="E1079" t="s">
        <v>767</v>
      </c>
      <c r="F1079" t="s">
        <v>1102</v>
      </c>
      <c r="H1079">
        <v>45</v>
      </c>
      <c r="J1079">
        <v>27</v>
      </c>
      <c r="K1079">
        <v>72</v>
      </c>
    </row>
    <row r="1080" spans="1:11">
      <c r="A1080">
        <v>1095</v>
      </c>
      <c r="B1080" t="s">
        <v>1295</v>
      </c>
      <c r="C1080" t="s">
        <v>69</v>
      </c>
      <c r="D1080" t="s">
        <v>80</v>
      </c>
      <c r="E1080" t="s">
        <v>767</v>
      </c>
      <c r="F1080" t="s">
        <v>1103</v>
      </c>
      <c r="H1080">
        <v>50</v>
      </c>
      <c r="J1080">
        <v>30</v>
      </c>
      <c r="K1080">
        <v>80</v>
      </c>
    </row>
    <row r="1081" spans="1:11">
      <c r="A1081">
        <v>1096</v>
      </c>
      <c r="B1081" t="s">
        <v>1295</v>
      </c>
      <c r="C1081" t="s">
        <v>69</v>
      </c>
      <c r="D1081" t="s">
        <v>80</v>
      </c>
      <c r="E1081" t="s">
        <v>767</v>
      </c>
      <c r="F1081" t="s">
        <v>1104</v>
      </c>
      <c r="H1081">
        <v>25</v>
      </c>
      <c r="J1081">
        <v>15</v>
      </c>
      <c r="K1081">
        <v>40</v>
      </c>
    </row>
    <row r="1082" spans="1:11">
      <c r="A1082">
        <v>1097</v>
      </c>
      <c r="B1082" t="s">
        <v>1295</v>
      </c>
      <c r="C1082" t="s">
        <v>69</v>
      </c>
      <c r="D1082" t="s">
        <v>80</v>
      </c>
      <c r="E1082" t="s">
        <v>767</v>
      </c>
      <c r="F1082" t="s">
        <v>1105</v>
      </c>
      <c r="H1082">
        <v>80</v>
      </c>
      <c r="J1082">
        <v>48</v>
      </c>
      <c r="K1082">
        <v>128</v>
      </c>
    </row>
    <row r="1083" spans="1:11">
      <c r="A1083">
        <v>1098</v>
      </c>
      <c r="B1083" t="s">
        <v>1295</v>
      </c>
      <c r="C1083" t="s">
        <v>69</v>
      </c>
      <c r="D1083" t="s">
        <v>80</v>
      </c>
      <c r="E1083" t="s">
        <v>767</v>
      </c>
      <c r="F1083" t="s">
        <v>1106</v>
      </c>
      <c r="H1083">
        <v>350</v>
      </c>
      <c r="J1083">
        <v>210</v>
      </c>
      <c r="K1083">
        <v>560</v>
      </c>
    </row>
    <row r="1084" spans="1:11">
      <c r="A1084">
        <v>1099</v>
      </c>
      <c r="B1084" t="s">
        <v>1295</v>
      </c>
      <c r="C1084" t="s">
        <v>69</v>
      </c>
      <c r="D1084" t="s">
        <v>80</v>
      </c>
      <c r="E1084" t="s">
        <v>767</v>
      </c>
      <c r="F1084" t="s">
        <v>83</v>
      </c>
      <c r="H1084">
        <v>80</v>
      </c>
      <c r="J1084">
        <v>48</v>
      </c>
      <c r="K1084">
        <v>128</v>
      </c>
    </row>
    <row r="1085" spans="1:11">
      <c r="A1085">
        <v>1100</v>
      </c>
      <c r="B1085" t="s">
        <v>1295</v>
      </c>
      <c r="C1085" t="s">
        <v>69</v>
      </c>
      <c r="D1085" t="s">
        <v>80</v>
      </c>
      <c r="E1085" t="s">
        <v>767</v>
      </c>
      <c r="F1085" t="s">
        <v>84</v>
      </c>
      <c r="H1085">
        <v>2</v>
      </c>
      <c r="J1085">
        <v>1.2</v>
      </c>
      <c r="K1085">
        <v>3.2</v>
      </c>
    </row>
    <row r="1086" spans="1:11">
      <c r="A1086">
        <v>1101</v>
      </c>
      <c r="B1086" t="s">
        <v>1295</v>
      </c>
      <c r="C1086" t="s">
        <v>69</v>
      </c>
      <c r="D1086" t="s">
        <v>80</v>
      </c>
      <c r="E1086" t="s">
        <v>767</v>
      </c>
      <c r="F1086" t="s">
        <v>85</v>
      </c>
      <c r="H1086">
        <v>250</v>
      </c>
      <c r="J1086">
        <v>150</v>
      </c>
      <c r="K1086">
        <v>400</v>
      </c>
    </row>
    <row r="1087" spans="1:11">
      <c r="A1087">
        <v>1102</v>
      </c>
      <c r="B1087" t="s">
        <v>1349</v>
      </c>
      <c r="C1087" t="s">
        <v>11</v>
      </c>
      <c r="D1087" t="s">
        <v>1303</v>
      </c>
      <c r="E1087" t="s">
        <v>7</v>
      </c>
      <c r="F1087" t="s">
        <v>1206</v>
      </c>
      <c r="G1087" t="s">
        <v>1381</v>
      </c>
      <c r="J1087">
        <v>0</v>
      </c>
      <c r="K1087">
        <v>77.760000000000005</v>
      </c>
    </row>
    <row r="1088" spans="1:11">
      <c r="A1088">
        <v>1103</v>
      </c>
      <c r="B1088" t="s">
        <v>1349</v>
      </c>
      <c r="C1088" t="s">
        <v>11</v>
      </c>
      <c r="D1088" t="s">
        <v>1303</v>
      </c>
      <c r="E1088" t="s">
        <v>7</v>
      </c>
      <c r="F1088" t="s">
        <v>1207</v>
      </c>
      <c r="G1088" t="s">
        <v>1382</v>
      </c>
      <c r="J1088">
        <v>0</v>
      </c>
      <c r="K1088">
        <v>76.319999999999993</v>
      </c>
    </row>
    <row r="1089" spans="1:11">
      <c r="A1089">
        <v>1104</v>
      </c>
      <c r="B1089" t="s">
        <v>1349</v>
      </c>
      <c r="C1089" t="s">
        <v>11</v>
      </c>
      <c r="D1089" t="s">
        <v>1303</v>
      </c>
      <c r="E1089" t="s">
        <v>7</v>
      </c>
      <c r="F1089" t="s">
        <v>1208</v>
      </c>
      <c r="G1089" t="s">
        <v>1383</v>
      </c>
      <c r="J1089">
        <v>0</v>
      </c>
      <c r="K1089">
        <v>91.68</v>
      </c>
    </row>
    <row r="1090" spans="1:11">
      <c r="A1090">
        <v>1105</v>
      </c>
      <c r="B1090" t="s">
        <v>1349</v>
      </c>
      <c r="C1090" t="s">
        <v>11</v>
      </c>
      <c r="D1090" t="s">
        <v>1303</v>
      </c>
      <c r="E1090" t="s">
        <v>7</v>
      </c>
      <c r="F1090" t="s">
        <v>1209</v>
      </c>
      <c r="G1090" t="s">
        <v>1384</v>
      </c>
      <c r="J1090">
        <v>0</v>
      </c>
      <c r="K1090">
        <v>114.24</v>
      </c>
    </row>
    <row r="1091" spans="1:11">
      <c r="A1091">
        <v>1106</v>
      </c>
      <c r="B1091" t="s">
        <v>1349</v>
      </c>
      <c r="C1091" t="s">
        <v>11</v>
      </c>
      <c r="D1091" t="s">
        <v>1303</v>
      </c>
      <c r="E1091" t="s">
        <v>7</v>
      </c>
      <c r="F1091" t="s">
        <v>1217</v>
      </c>
      <c r="G1091" t="s">
        <v>1385</v>
      </c>
      <c r="J1091">
        <v>0</v>
      </c>
      <c r="K1091">
        <v>137.28</v>
      </c>
    </row>
    <row r="1092" spans="1:11">
      <c r="A1092">
        <v>1107</v>
      </c>
      <c r="B1092" t="s">
        <v>1349</v>
      </c>
      <c r="C1092" t="s">
        <v>11</v>
      </c>
      <c r="D1092" t="s">
        <v>1303</v>
      </c>
      <c r="E1092" t="s">
        <v>7</v>
      </c>
      <c r="F1092" t="s">
        <v>1210</v>
      </c>
      <c r="G1092" t="s">
        <v>1386</v>
      </c>
      <c r="J1092">
        <v>0</v>
      </c>
      <c r="K1092">
        <v>152.63999999999999</v>
      </c>
    </row>
    <row r="1093" spans="1:11">
      <c r="A1093">
        <v>1108</v>
      </c>
      <c r="B1093" t="s">
        <v>1349</v>
      </c>
      <c r="C1093" t="s">
        <v>11</v>
      </c>
      <c r="D1093" t="s">
        <v>1303</v>
      </c>
      <c r="E1093" t="s">
        <v>7</v>
      </c>
      <c r="F1093" t="s">
        <v>1220</v>
      </c>
      <c r="G1093" t="s">
        <v>1387</v>
      </c>
      <c r="J1093">
        <v>0</v>
      </c>
      <c r="K1093">
        <v>138.24</v>
      </c>
    </row>
    <row r="1094" spans="1:11">
      <c r="A1094">
        <v>1109</v>
      </c>
      <c r="B1094" t="s">
        <v>1349</v>
      </c>
      <c r="C1094" t="s">
        <v>11</v>
      </c>
      <c r="D1094" t="s">
        <v>1302</v>
      </c>
      <c r="E1094" t="s">
        <v>7</v>
      </c>
      <c r="F1094" t="s">
        <v>1206</v>
      </c>
      <c r="G1094" t="s">
        <v>1388</v>
      </c>
      <c r="J1094">
        <v>0</v>
      </c>
      <c r="K1094">
        <v>41.472000000000001</v>
      </c>
    </row>
    <row r="1095" spans="1:11">
      <c r="A1095">
        <v>1110</v>
      </c>
      <c r="B1095" t="s">
        <v>1349</v>
      </c>
      <c r="C1095" t="s">
        <v>11</v>
      </c>
      <c r="D1095" t="s">
        <v>1302</v>
      </c>
      <c r="E1095" t="s">
        <v>7</v>
      </c>
      <c r="F1095" t="s">
        <v>1207</v>
      </c>
      <c r="G1095" t="s">
        <v>1386</v>
      </c>
      <c r="J1095">
        <v>0</v>
      </c>
      <c r="K1095">
        <v>40.704000000000001</v>
      </c>
    </row>
    <row r="1096" spans="1:11">
      <c r="A1096">
        <v>1111</v>
      </c>
      <c r="B1096" t="s">
        <v>1349</v>
      </c>
      <c r="C1096" t="s">
        <v>11</v>
      </c>
      <c r="D1096" t="s">
        <v>1302</v>
      </c>
      <c r="E1096" t="s">
        <v>7</v>
      </c>
      <c r="F1096" t="s">
        <v>1208</v>
      </c>
      <c r="G1096" t="s">
        <v>1389</v>
      </c>
      <c r="J1096">
        <v>0</v>
      </c>
      <c r="K1096">
        <v>48.896000000000001</v>
      </c>
    </row>
    <row r="1097" spans="1:11">
      <c r="A1097">
        <v>1112</v>
      </c>
      <c r="B1097" t="s">
        <v>1349</v>
      </c>
      <c r="C1097" t="s">
        <v>11</v>
      </c>
      <c r="D1097" t="s">
        <v>1302</v>
      </c>
      <c r="E1097" t="s">
        <v>7</v>
      </c>
      <c r="F1097" t="s">
        <v>1209</v>
      </c>
      <c r="G1097" t="s">
        <v>1390</v>
      </c>
      <c r="J1097">
        <v>0</v>
      </c>
      <c r="K1097">
        <v>60.927999999999997</v>
      </c>
    </row>
    <row r="1098" spans="1:11">
      <c r="A1098">
        <v>1113</v>
      </c>
      <c r="B1098" t="s">
        <v>1349</v>
      </c>
      <c r="C1098" t="s">
        <v>11</v>
      </c>
      <c r="D1098" t="s">
        <v>1302</v>
      </c>
      <c r="E1098" t="s">
        <v>7</v>
      </c>
      <c r="F1098" t="s">
        <v>1217</v>
      </c>
      <c r="G1098" t="s">
        <v>1391</v>
      </c>
      <c r="J1098">
        <v>0</v>
      </c>
      <c r="K1098">
        <v>73.215999999999994</v>
      </c>
    </row>
    <row r="1099" spans="1:11">
      <c r="A1099">
        <v>1114</v>
      </c>
      <c r="B1099" t="s">
        <v>1349</v>
      </c>
      <c r="C1099" t="s">
        <v>11</v>
      </c>
      <c r="D1099" t="s">
        <v>1302</v>
      </c>
      <c r="E1099" t="s">
        <v>7</v>
      </c>
      <c r="F1099" t="s">
        <v>1210</v>
      </c>
      <c r="G1099" t="s">
        <v>1392</v>
      </c>
      <c r="J1099">
        <v>0</v>
      </c>
      <c r="K1099">
        <v>81.408000000000001</v>
      </c>
    </row>
    <row r="1100" spans="1:11">
      <c r="A1100">
        <v>1115</v>
      </c>
      <c r="B1100" t="s">
        <v>1349</v>
      </c>
      <c r="C1100" t="s">
        <v>11</v>
      </c>
      <c r="D1100" t="s">
        <v>1302</v>
      </c>
      <c r="E1100" t="s">
        <v>7</v>
      </c>
      <c r="F1100" t="s">
        <v>1220</v>
      </c>
      <c r="G1100" t="s">
        <v>1393</v>
      </c>
      <c r="J1100">
        <v>0</v>
      </c>
      <c r="K1100">
        <v>73.727999999999994</v>
      </c>
    </row>
    <row r="1101" spans="1:11">
      <c r="A1101">
        <v>1116</v>
      </c>
      <c r="B1101" t="s">
        <v>1295</v>
      </c>
      <c r="C1101" t="s">
        <v>11</v>
      </c>
      <c r="D1101" t="s">
        <v>1222</v>
      </c>
      <c r="E1101" t="s">
        <v>8</v>
      </c>
      <c r="F1101" t="s">
        <v>1207</v>
      </c>
      <c r="G1101" t="s">
        <v>1213</v>
      </c>
      <c r="H1101">
        <v>13.333299999999999</v>
      </c>
      <c r="J1101">
        <v>8</v>
      </c>
      <c r="K1101">
        <v>21.333300000000001</v>
      </c>
    </row>
    <row r="1102" spans="1:11">
      <c r="A1102">
        <v>1117</v>
      </c>
      <c r="B1102" t="s">
        <v>1295</v>
      </c>
      <c r="C1102" t="s">
        <v>11</v>
      </c>
      <c r="D1102" t="s">
        <v>1222</v>
      </c>
      <c r="E1102" t="s">
        <v>8</v>
      </c>
      <c r="F1102" t="s">
        <v>1208</v>
      </c>
      <c r="G1102" t="s">
        <v>1214</v>
      </c>
      <c r="H1102">
        <v>13.333299999999999</v>
      </c>
      <c r="J1102">
        <v>8</v>
      </c>
      <c r="K1102">
        <v>21.333300000000001</v>
      </c>
    </row>
    <row r="1103" spans="1:11">
      <c r="A1103">
        <v>1118</v>
      </c>
      <c r="B1103" t="s">
        <v>1295</v>
      </c>
      <c r="C1103" t="s">
        <v>11</v>
      </c>
      <c r="D1103" t="s">
        <v>1222</v>
      </c>
      <c r="E1103" t="s">
        <v>8</v>
      </c>
      <c r="F1103" t="s">
        <v>1209</v>
      </c>
      <c r="G1103" t="s">
        <v>1215</v>
      </c>
      <c r="H1103">
        <v>13.333299999999999</v>
      </c>
      <c r="J1103">
        <v>8</v>
      </c>
      <c r="K1103">
        <v>21.333300000000001</v>
      </c>
    </row>
    <row r="1104" spans="1:11">
      <c r="A1104">
        <v>1119</v>
      </c>
      <c r="B1104" t="s">
        <v>1295</v>
      </c>
      <c r="C1104" t="s">
        <v>11</v>
      </c>
      <c r="D1104" t="s">
        <v>1222</v>
      </c>
      <c r="E1104" t="s">
        <v>8</v>
      </c>
      <c r="F1104" t="s">
        <v>1217</v>
      </c>
      <c r="G1104" t="s">
        <v>1216</v>
      </c>
      <c r="H1104">
        <v>13.333299999999999</v>
      </c>
      <c r="J1104">
        <v>8</v>
      </c>
      <c r="K1104">
        <v>21.333300000000001</v>
      </c>
    </row>
    <row r="1105" spans="1:11">
      <c r="A1105">
        <v>1120</v>
      </c>
      <c r="B1105" t="s">
        <v>1295</v>
      </c>
      <c r="C1105" t="s">
        <v>11</v>
      </c>
      <c r="D1105" t="s">
        <v>1222</v>
      </c>
      <c r="E1105" t="s">
        <v>8</v>
      </c>
      <c r="F1105" t="s">
        <v>1210</v>
      </c>
      <c r="G1105" t="s">
        <v>1218</v>
      </c>
      <c r="H1105">
        <v>13.333299999999999</v>
      </c>
      <c r="J1105">
        <v>8</v>
      </c>
      <c r="K1105">
        <v>21.333300000000001</v>
      </c>
    </row>
    <row r="1106" spans="1:11">
      <c r="A1106">
        <v>1121</v>
      </c>
      <c r="B1106" t="s">
        <v>1349</v>
      </c>
      <c r="C1106" t="s">
        <v>11</v>
      </c>
      <c r="D1106" t="s">
        <v>1303</v>
      </c>
      <c r="E1106" t="s">
        <v>7</v>
      </c>
      <c r="F1106" t="s">
        <v>1318</v>
      </c>
      <c r="H1106">
        <v>300</v>
      </c>
      <c r="J1106">
        <v>180</v>
      </c>
      <c r="K1106">
        <v>480</v>
      </c>
    </row>
    <row r="1107" spans="1:11">
      <c r="A1107">
        <v>1122</v>
      </c>
      <c r="B1107" t="s">
        <v>1295</v>
      </c>
      <c r="C1107" t="s">
        <v>98</v>
      </c>
      <c r="D1107" t="s">
        <v>1301</v>
      </c>
      <c r="E1107" t="s">
        <v>8</v>
      </c>
      <c r="F1107" t="s">
        <v>1182</v>
      </c>
      <c r="J1107">
        <v>0</v>
      </c>
      <c r="K1107">
        <v>0</v>
      </c>
    </row>
    <row r="1108" spans="1:11">
      <c r="A1108">
        <v>1123</v>
      </c>
      <c r="B1108" t="s">
        <v>1295</v>
      </c>
      <c r="C1108" t="s">
        <v>98</v>
      </c>
      <c r="D1108" t="s">
        <v>1301</v>
      </c>
      <c r="E1108" t="s">
        <v>8</v>
      </c>
      <c r="F1108" t="s">
        <v>1183</v>
      </c>
      <c r="J1108">
        <v>0</v>
      </c>
      <c r="K1108">
        <v>0</v>
      </c>
    </row>
    <row r="1109" spans="1:11">
      <c r="A1109">
        <v>1124</v>
      </c>
      <c r="B1109" t="s">
        <v>1295</v>
      </c>
      <c r="C1109" t="s">
        <v>98</v>
      </c>
      <c r="D1109" t="s">
        <v>1301</v>
      </c>
      <c r="E1109" t="s">
        <v>8</v>
      </c>
      <c r="F1109" t="s">
        <v>1184</v>
      </c>
      <c r="J1109">
        <v>0</v>
      </c>
    </row>
    <row r="1110" spans="1:11">
      <c r="A1110">
        <v>1125</v>
      </c>
      <c r="B1110" t="s">
        <v>1295</v>
      </c>
      <c r="C1110" t="s">
        <v>98</v>
      </c>
      <c r="D1110" t="s">
        <v>1301</v>
      </c>
      <c r="E1110" t="s">
        <v>8</v>
      </c>
      <c r="F1110" t="s">
        <v>1185</v>
      </c>
      <c r="J1110">
        <v>0</v>
      </c>
    </row>
    <row r="1111" spans="1:11">
      <c r="A1111">
        <v>1126</v>
      </c>
      <c r="B1111" t="s">
        <v>1295</v>
      </c>
      <c r="C1111" t="s">
        <v>98</v>
      </c>
      <c r="D1111" t="s">
        <v>1301</v>
      </c>
      <c r="E1111" t="s">
        <v>8</v>
      </c>
      <c r="F1111" t="s">
        <v>1186</v>
      </c>
      <c r="J1111">
        <v>0</v>
      </c>
      <c r="K1111">
        <v>1.4666999999999999</v>
      </c>
    </row>
    <row r="1112" spans="1:11">
      <c r="A1112">
        <v>1127</v>
      </c>
      <c r="B1112" t="s">
        <v>1295</v>
      </c>
      <c r="C1112" t="s">
        <v>98</v>
      </c>
      <c r="D1112" t="s">
        <v>1301</v>
      </c>
      <c r="E1112" t="s">
        <v>8</v>
      </c>
      <c r="F1112" t="s">
        <v>1187</v>
      </c>
      <c r="J1112">
        <v>0</v>
      </c>
      <c r="K1112">
        <v>0</v>
      </c>
    </row>
    <row r="1113" spans="1:11">
      <c r="A1113">
        <v>1128</v>
      </c>
      <c r="B1113" t="s">
        <v>1295</v>
      </c>
      <c r="C1113" t="s">
        <v>98</v>
      </c>
      <c r="D1113" t="s">
        <v>1301</v>
      </c>
      <c r="E1113" t="s">
        <v>8</v>
      </c>
      <c r="F1113" t="s">
        <v>1188</v>
      </c>
      <c r="J1113">
        <v>0</v>
      </c>
      <c r="K1113">
        <v>0</v>
      </c>
    </row>
    <row r="1114" spans="1:11">
      <c r="A1114">
        <v>1129</v>
      </c>
      <c r="B1114" t="s">
        <v>1295</v>
      </c>
      <c r="C1114" t="s">
        <v>98</v>
      </c>
      <c r="D1114" t="s">
        <v>1301</v>
      </c>
      <c r="E1114" t="s">
        <v>8</v>
      </c>
      <c r="F1114" t="s">
        <v>1189</v>
      </c>
      <c r="J1114">
        <v>0</v>
      </c>
    </row>
    <row r="1115" spans="1:11">
      <c r="A1115">
        <v>1130</v>
      </c>
      <c r="B1115" t="s">
        <v>1295</v>
      </c>
      <c r="C1115" t="s">
        <v>98</v>
      </c>
      <c r="D1115" t="s">
        <v>1301</v>
      </c>
      <c r="E1115" t="s">
        <v>8</v>
      </c>
      <c r="F1115" t="s">
        <v>1190</v>
      </c>
      <c r="J1115">
        <v>0</v>
      </c>
      <c r="K1115">
        <v>13.2</v>
      </c>
    </row>
    <row r="1116" spans="1:11">
      <c r="A1116">
        <v>1131</v>
      </c>
      <c r="B1116" t="s">
        <v>1295</v>
      </c>
      <c r="C1116" t="s">
        <v>98</v>
      </c>
      <c r="D1116" t="s">
        <v>1301</v>
      </c>
      <c r="E1116" t="s">
        <v>8</v>
      </c>
      <c r="F1116" t="s">
        <v>1191</v>
      </c>
      <c r="J1116">
        <v>0</v>
      </c>
      <c r="K1116">
        <v>29.333300000000001</v>
      </c>
    </row>
    <row r="1117" spans="1:11">
      <c r="A1117">
        <v>1132</v>
      </c>
      <c r="B1117" t="s">
        <v>1295</v>
      </c>
      <c r="C1117" t="s">
        <v>98</v>
      </c>
      <c r="D1117" t="s">
        <v>1301</v>
      </c>
      <c r="E1117" t="s">
        <v>8</v>
      </c>
      <c r="F1117" t="s">
        <v>1192</v>
      </c>
      <c r="J1117">
        <v>0</v>
      </c>
      <c r="K1117">
        <v>13.2</v>
      </c>
    </row>
    <row r="1118" spans="1:11">
      <c r="A1118">
        <v>1133</v>
      </c>
      <c r="B1118" t="s">
        <v>1295</v>
      </c>
      <c r="C1118" t="s">
        <v>98</v>
      </c>
      <c r="D1118" t="s">
        <v>1301</v>
      </c>
      <c r="E1118" t="s">
        <v>8</v>
      </c>
      <c r="F1118" t="s">
        <v>1193</v>
      </c>
      <c r="J1118">
        <v>0</v>
      </c>
      <c r="K1118">
        <v>176</v>
      </c>
    </row>
    <row r="1119" spans="1:11">
      <c r="A1119">
        <v>1134</v>
      </c>
      <c r="B1119" t="s">
        <v>1295</v>
      </c>
      <c r="C1119" t="s">
        <v>98</v>
      </c>
      <c r="D1119" t="s">
        <v>1301</v>
      </c>
      <c r="E1119" t="s">
        <v>8</v>
      </c>
      <c r="F1119" t="s">
        <v>1194</v>
      </c>
      <c r="J1119">
        <v>0</v>
      </c>
      <c r="K1119">
        <v>176</v>
      </c>
    </row>
    <row r="1120" spans="1:11">
      <c r="A1120">
        <v>1135</v>
      </c>
      <c r="B1120" t="s">
        <v>1295</v>
      </c>
      <c r="C1120" t="s">
        <v>98</v>
      </c>
      <c r="D1120" t="s">
        <v>1301</v>
      </c>
      <c r="E1120" t="s">
        <v>8</v>
      </c>
      <c r="F1120" t="s">
        <v>1195</v>
      </c>
      <c r="J1120">
        <v>0</v>
      </c>
      <c r="K1120">
        <v>176</v>
      </c>
    </row>
    <row r="1121" spans="1:11">
      <c r="A1121">
        <v>1136</v>
      </c>
      <c r="B1121" t="s">
        <v>1295</v>
      </c>
      <c r="C1121" t="s">
        <v>98</v>
      </c>
      <c r="D1121" t="s">
        <v>1301</v>
      </c>
      <c r="E1121" t="s">
        <v>8</v>
      </c>
      <c r="F1121" t="s">
        <v>1196</v>
      </c>
      <c r="J1121">
        <v>0</v>
      </c>
      <c r="K1121">
        <v>39.996000000000002</v>
      </c>
    </row>
    <row r="1122" spans="1:11">
      <c r="A1122">
        <v>1137</v>
      </c>
      <c r="B1122" t="s">
        <v>1295</v>
      </c>
      <c r="C1122" t="s">
        <v>98</v>
      </c>
      <c r="D1122" t="s">
        <v>1301</v>
      </c>
      <c r="E1122" t="s">
        <v>8</v>
      </c>
      <c r="F1122" t="s">
        <v>1197</v>
      </c>
      <c r="J1122">
        <v>0</v>
      </c>
      <c r="K1122">
        <v>34.32</v>
      </c>
    </row>
    <row r="1123" spans="1:11">
      <c r="A1123">
        <v>1138</v>
      </c>
      <c r="B1123" t="s">
        <v>1295</v>
      </c>
      <c r="C1123" t="s">
        <v>98</v>
      </c>
      <c r="D1123" t="s">
        <v>1301</v>
      </c>
      <c r="E1123" t="s">
        <v>8</v>
      </c>
      <c r="F1123" t="s">
        <v>1198</v>
      </c>
      <c r="J1123">
        <v>0</v>
      </c>
      <c r="K1123">
        <v>0</v>
      </c>
    </row>
    <row r="1124" spans="1:11">
      <c r="A1124">
        <v>1139</v>
      </c>
      <c r="B1124" t="s">
        <v>1295</v>
      </c>
      <c r="C1124" t="s">
        <v>98</v>
      </c>
      <c r="D1124" t="s">
        <v>1301</v>
      </c>
      <c r="E1124" t="s">
        <v>8</v>
      </c>
      <c r="F1124" t="s">
        <v>1199</v>
      </c>
      <c r="J1124">
        <v>0</v>
      </c>
      <c r="K1124">
        <v>44</v>
      </c>
    </row>
    <row r="1125" spans="1:11">
      <c r="A1125">
        <v>1140</v>
      </c>
      <c r="B1125" t="s">
        <v>1295</v>
      </c>
      <c r="C1125" t="s">
        <v>98</v>
      </c>
      <c r="D1125" t="s">
        <v>1301</v>
      </c>
      <c r="E1125" t="s">
        <v>8</v>
      </c>
      <c r="F1125" t="s">
        <v>119</v>
      </c>
      <c r="J1125">
        <v>0</v>
      </c>
      <c r="K1125">
        <v>22</v>
      </c>
    </row>
    <row r="1126" spans="1:11">
      <c r="A1126">
        <v>1141</v>
      </c>
      <c r="B1126" t="s">
        <v>1295</v>
      </c>
      <c r="C1126" t="s">
        <v>98</v>
      </c>
      <c r="D1126" t="s">
        <v>1301</v>
      </c>
      <c r="E1126" t="s">
        <v>8</v>
      </c>
      <c r="F1126" t="s">
        <v>120</v>
      </c>
      <c r="J1126">
        <v>0</v>
      </c>
      <c r="K1126">
        <v>4.4000000000000004</v>
      </c>
    </row>
    <row r="1127" spans="1:11">
      <c r="A1127">
        <v>1142</v>
      </c>
      <c r="B1127" t="s">
        <v>1295</v>
      </c>
      <c r="C1127" t="s">
        <v>98</v>
      </c>
      <c r="D1127" t="s">
        <v>1301</v>
      </c>
      <c r="E1127" t="s">
        <v>8</v>
      </c>
      <c r="F1127" t="s">
        <v>121</v>
      </c>
      <c r="J1127">
        <v>0</v>
      </c>
    </row>
    <row r="1128" spans="1:11">
      <c r="A1128">
        <v>1143</v>
      </c>
      <c r="B1128" t="s">
        <v>1295</v>
      </c>
      <c r="C1128" t="s">
        <v>98</v>
      </c>
      <c r="D1128" t="s">
        <v>1301</v>
      </c>
      <c r="E1128" t="s">
        <v>8</v>
      </c>
      <c r="F1128" t="s">
        <v>122</v>
      </c>
      <c r="H1128">
        <v>82.5</v>
      </c>
      <c r="I1128">
        <v>4.25</v>
      </c>
      <c r="J1128">
        <v>52.05</v>
      </c>
      <c r="K1128">
        <v>138.80000000000001</v>
      </c>
    </row>
    <row r="1129" spans="1:11">
      <c r="A1129">
        <v>1144</v>
      </c>
      <c r="B1129" t="s">
        <v>1295</v>
      </c>
      <c r="C1129" t="s">
        <v>98</v>
      </c>
      <c r="D1129" t="s">
        <v>1301</v>
      </c>
      <c r="E1129" t="s">
        <v>8</v>
      </c>
      <c r="F1129" t="s">
        <v>123</v>
      </c>
      <c r="J1129">
        <v>0</v>
      </c>
      <c r="K1129">
        <v>64.533299999999997</v>
      </c>
    </row>
    <row r="1130" spans="1:11">
      <c r="B1130" t="s">
        <v>1363</v>
      </c>
      <c r="C1130" t="s">
        <v>11</v>
      </c>
      <c r="D1130" t="s">
        <v>16</v>
      </c>
      <c r="E1130" t="s">
        <v>767</v>
      </c>
      <c r="F1130" t="s">
        <v>1364</v>
      </c>
      <c r="K1130">
        <v>26.639999999999997</v>
      </c>
    </row>
    <row r="1131" spans="1:11">
      <c r="B1131" t="s">
        <v>1363</v>
      </c>
      <c r="C1131" t="s">
        <v>11</v>
      </c>
      <c r="D1131" t="s">
        <v>16</v>
      </c>
      <c r="E1131" t="s">
        <v>7</v>
      </c>
      <c r="F1131" t="s">
        <v>1364</v>
      </c>
      <c r="K1131">
        <v>2.1088</v>
      </c>
    </row>
    <row r="1132" spans="1:11">
      <c r="B1132" t="s">
        <v>1363</v>
      </c>
      <c r="C1132" t="s">
        <v>11</v>
      </c>
      <c r="D1132" t="s">
        <v>16</v>
      </c>
      <c r="E1132" t="s">
        <v>767</v>
      </c>
      <c r="F1132" t="s">
        <v>1395</v>
      </c>
      <c r="K1132">
        <v>28.639999999999997</v>
      </c>
    </row>
    <row r="1133" spans="1:11">
      <c r="B1133" t="s">
        <v>1363</v>
      </c>
      <c r="C1133" t="s">
        <v>11</v>
      </c>
      <c r="D1133" t="s">
        <v>16</v>
      </c>
      <c r="E1133" t="s">
        <v>7</v>
      </c>
      <c r="F1133" t="s">
        <v>1395</v>
      </c>
      <c r="K1133">
        <v>2.1088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FB5AE-09B0-45DC-AA36-2251C1354D2C}">
  <sheetPr codeName="Sheet18">
    <tabColor theme="4"/>
  </sheetPr>
  <dimension ref="A1:D52"/>
  <sheetViews>
    <sheetView zoomScale="85" zoomScaleNormal="85" workbookViewId="0">
      <selection activeCell="F16" sqref="F16"/>
    </sheetView>
  </sheetViews>
  <sheetFormatPr defaultRowHeight="15"/>
  <cols>
    <col min="1" max="1" width="73.7109375" bestFit="1" customWidth="1"/>
    <col min="3" max="3" width="13.140625" bestFit="1" customWidth="1"/>
    <col min="4" max="4" width="73.7109375" bestFit="1" customWidth="1"/>
  </cols>
  <sheetData>
    <row r="1" spans="1:4">
      <c r="A1" t="s">
        <v>1202</v>
      </c>
      <c r="C1" t="s">
        <v>1211</v>
      </c>
      <c r="D1" t="s">
        <v>1107</v>
      </c>
    </row>
    <row r="2" spans="1:4">
      <c r="A2" t="s">
        <v>11</v>
      </c>
      <c r="C2">
        <v>1</v>
      </c>
      <c r="D2" t="str">
        <f>Table_form_index[[#This Row],[table_prices_header.Category]]</f>
        <v>FOOTINGS</v>
      </c>
    </row>
    <row r="3" spans="1:4">
      <c r="A3" t="s">
        <v>23</v>
      </c>
      <c r="C3">
        <v>2</v>
      </c>
      <c r="D3" t="str">
        <f>Table_form_index[[#This Row],[table_prices_header.Category]]</f>
        <v>POSTS</v>
      </c>
    </row>
    <row r="4" spans="1:4">
      <c r="A4" t="s">
        <v>25</v>
      </c>
      <c r="C4">
        <v>3</v>
      </c>
      <c r="D4" t="str">
        <f>Table_form_index[[#This Row],[table_prices_header.Category]]</f>
        <v>COLUMNS</v>
      </c>
    </row>
    <row r="5" spans="1:4">
      <c r="A5" t="s">
        <v>26</v>
      </c>
      <c r="C5">
        <v>4</v>
      </c>
      <c r="D5" t="str">
        <f>Table_form_index[[#This Row],[table_prices_header.Category]]</f>
        <v>MAIN BEAMS</v>
      </c>
    </row>
    <row r="6" spans="1:4">
      <c r="A6" t="s">
        <v>288</v>
      </c>
      <c r="C6">
        <v>5</v>
      </c>
      <c r="D6" t="str">
        <f>Table_form_index[[#This Row],[table_prices_header.Category]]</f>
        <v>RAFTERS</v>
      </c>
    </row>
    <row r="7" spans="1:4">
      <c r="A7" t="s">
        <v>33</v>
      </c>
      <c r="C7">
        <v>6</v>
      </c>
      <c r="D7" t="str">
        <f>Table_form_index[[#This Row],[table_prices_header.Category]]</f>
        <v>FASCIA BOARD</v>
      </c>
    </row>
    <row r="8" spans="1:4">
      <c r="A8" t="s">
        <v>34</v>
      </c>
      <c r="C8">
        <v>7</v>
      </c>
      <c r="D8" t="str">
        <f>Table_form_index[[#This Row],[table_prices_header.Category]]</f>
        <v>TIE BEAMS</v>
      </c>
    </row>
    <row r="9" spans="1:4">
      <c r="A9" t="s">
        <v>35</v>
      </c>
      <c r="C9">
        <v>8</v>
      </c>
      <c r="D9" t="str">
        <f>Table_form_index[[#This Row],[table_prices_header.Category]]</f>
        <v>RIDGES HIPS &amp; VALLEYS</v>
      </c>
    </row>
    <row r="10" spans="1:4">
      <c r="A10" t="s">
        <v>41</v>
      </c>
      <c r="C10">
        <v>9</v>
      </c>
      <c r="D10" t="str">
        <f>Table_form_index[[#This Row],[table_prices_header.Category]]</f>
        <v>BATTENS &amp; ENDFILLS</v>
      </c>
    </row>
    <row r="11" spans="1:4">
      <c r="A11" t="s">
        <v>42</v>
      </c>
      <c r="C11">
        <v>10</v>
      </c>
      <c r="D11" t="str">
        <f>Table_form_index[[#This Row],[table_prices_header.Category]]</f>
        <v>HERITAGE GABLE END FRET WORK</v>
      </c>
    </row>
    <row r="12" spans="1:4">
      <c r="A12" t="s">
        <v>43</v>
      </c>
      <c r="C12">
        <v>11</v>
      </c>
      <c r="D12" t="str">
        <f>Table_form_index[[#This Row],[table_prices_header.Category]]</f>
        <v>VENTS</v>
      </c>
    </row>
    <row r="13" spans="1:4">
      <c r="A13" t="s">
        <v>44</v>
      </c>
      <c r="C13">
        <v>12</v>
      </c>
      <c r="D13" t="str">
        <f>Table_form_index[[#This Row],[table_prices_header.Category]]</f>
        <v>FINIALS</v>
      </c>
    </row>
    <row r="14" spans="1:4">
      <c r="A14" t="s">
        <v>45</v>
      </c>
      <c r="C14">
        <v>13</v>
      </c>
      <c r="D14" t="str">
        <f>Table_form_index[[#This Row],[table_prices_header.Category]]</f>
        <v>AC / SHEETING HOUSE END</v>
      </c>
    </row>
    <row r="15" spans="1:4">
      <c r="A15" t="s">
        <v>379</v>
      </c>
      <c r="C15">
        <v>14</v>
      </c>
      <c r="D15" t="str">
        <f>Table_form_index[[#This Row],[table_prices_header.Category]]</f>
        <v>AC / SHEETING</v>
      </c>
    </row>
    <row r="16" spans="1:4">
      <c r="A16" t="s">
        <v>559</v>
      </c>
      <c r="C16">
        <v>15</v>
      </c>
      <c r="D16" t="str">
        <f>Table_form_index[[#This Row],[table_prices_header.Category]]</f>
        <v>SPOUTING</v>
      </c>
    </row>
    <row r="17" spans="1:4">
      <c r="A17" t="s">
        <v>50</v>
      </c>
      <c r="C17">
        <v>16</v>
      </c>
      <c r="D17" t="str">
        <f>Table_form_index[[#This Row],[table_prices_header.Category]]</f>
        <v>DOWN PIPES &amp; RAINHEADS</v>
      </c>
    </row>
    <row r="18" spans="1:4">
      <c r="A18" t="s">
        <v>51</v>
      </c>
      <c r="C18">
        <v>17</v>
      </c>
      <c r="D18" t="str">
        <f>Table_form_index[[#This Row],[table_prices_header.Category]]</f>
        <v xml:space="preserve">FLASHINGS </v>
      </c>
    </row>
    <row r="19" spans="1:4">
      <c r="A19" t="s">
        <v>840</v>
      </c>
      <c r="C19">
        <v>18</v>
      </c>
      <c r="D19" t="str">
        <f>Table_form_index[[#This Row],[table_prices_header.Category]]</f>
        <v>FLASHING</v>
      </c>
    </row>
    <row r="20" spans="1:4">
      <c r="A20" t="s">
        <v>57</v>
      </c>
      <c r="C20">
        <v>19</v>
      </c>
      <c r="D20" t="str">
        <f>Table_form_index[[#This Row],[table_prices_header.Category]]</f>
        <v>STORMWATER</v>
      </c>
    </row>
    <row r="21" spans="1:4">
      <c r="A21" t="s">
        <v>58</v>
      </c>
      <c r="C21">
        <v>20</v>
      </c>
      <c r="D21" t="str">
        <f>Table_form_index[[#This Row],[table_prices_header.Category]]</f>
        <v>ROOFING PRODUCTS</v>
      </c>
    </row>
    <row r="22" spans="1:4">
      <c r="A22" t="s">
        <v>922</v>
      </c>
      <c r="C22">
        <v>21</v>
      </c>
      <c r="D22" t="str">
        <f>Table_form_index[[#This Row],[table_prices_header.Category]]</f>
        <v>SHADECLOTH</v>
      </c>
    </row>
    <row r="23" spans="1:4">
      <c r="A23" t="s">
        <v>63</v>
      </c>
      <c r="C23">
        <v>22</v>
      </c>
      <c r="D23" t="str">
        <f>Table_form_index[[#This Row],[table_prices_header.Category]]</f>
        <v>SHADE BATTEN</v>
      </c>
    </row>
    <row r="24" spans="1:4">
      <c r="A24" t="s">
        <v>64</v>
      </c>
      <c r="C24">
        <v>23</v>
      </c>
      <c r="D24" t="str">
        <f>Table_form_index[[#This Row],[table_prices_header.Category]]</f>
        <v>DELIVERY &amp; ROOFING COMPLIANCE</v>
      </c>
    </row>
    <row r="25" spans="1:4">
      <c r="A25" t="s">
        <v>353</v>
      </c>
      <c r="C25">
        <v>24</v>
      </c>
      <c r="D25" t="str">
        <f>Table_form_index[[#This Row],[table_prices_header.Category]]</f>
        <v>WIRE HAND RAIL</v>
      </c>
    </row>
    <row r="26" spans="1:4">
      <c r="A26" t="s">
        <v>66</v>
      </c>
      <c r="C26">
        <v>25</v>
      </c>
      <c r="D26" t="str">
        <f>Table_form_index[[#This Row],[table_prices_header.Category]]</f>
        <v>SCREENS</v>
      </c>
    </row>
    <row r="27" spans="1:4">
      <c r="A27" t="s">
        <v>67</v>
      </c>
      <c r="C27">
        <v>26</v>
      </c>
      <c r="D27" t="str">
        <f>Table_form_index[[#This Row],[table_prices_header.Category]]</f>
        <v>STEEL SCREENS</v>
      </c>
    </row>
    <row r="28" spans="1:4">
      <c r="A28" t="s">
        <v>68</v>
      </c>
      <c r="C28">
        <v>27</v>
      </c>
      <c r="D28" t="str">
        <f>Table_form_index[[#This Row],[table_prices_header.Category]]</f>
        <v>FRET WORK</v>
      </c>
    </row>
    <row r="29" spans="1:4">
      <c r="A29" t="s">
        <v>69</v>
      </c>
      <c r="C29">
        <v>28</v>
      </c>
      <c r="D29" t="str">
        <f>Table_form_index[[#This Row],[table_prices_header.Category]]</f>
        <v>CEILINGS &amp; WALLS</v>
      </c>
    </row>
    <row r="30" spans="1:4">
      <c r="A30" t="s">
        <v>98</v>
      </c>
      <c r="C30">
        <v>29</v>
      </c>
      <c r="D30" t="str">
        <f>Table_form_index[[#This Row],[table_prices_header.Category]]</f>
        <v>PAINTING</v>
      </c>
    </row>
    <row r="31" spans="1:4">
      <c r="A31" t="s">
        <v>99</v>
      </c>
      <c r="C31">
        <v>30</v>
      </c>
      <c r="D31" t="str">
        <f>Table_form_index[[#This Row],[table_prices_header.Category]]</f>
        <v>RENDERING</v>
      </c>
    </row>
    <row r="32" spans="1:4">
      <c r="A32" t="s">
        <v>101</v>
      </c>
      <c r="C32">
        <v>31</v>
      </c>
      <c r="D32" t="str">
        <f>Table_form_index[[#This Row],[table_prices_header.Category]]</f>
        <v>LABOUR CALCULATION FOR CARPORTS, VERANDAHS &amp; PERGOLAS</v>
      </c>
    </row>
    <row r="33" spans="1:4">
      <c r="A33" t="s">
        <v>105</v>
      </c>
      <c r="C33">
        <v>32</v>
      </c>
      <c r="D33" t="str">
        <f>Table_form_index[[#This Row],[table_prices_header.Category]]</f>
        <v>ADDITIONAL LABOUR</v>
      </c>
    </row>
    <row r="34" spans="1:4">
      <c r="A34" t="s">
        <v>108</v>
      </c>
      <c r="C34">
        <v>33</v>
      </c>
      <c r="D34" t="str">
        <f>Table_form_index[[#This Row],[table_prices_header.Category]]</f>
        <v>BUILDING PERMIT &amp; HOME OWNERS WARRANTY</v>
      </c>
    </row>
    <row r="35" spans="1:4">
      <c r="A35" t="s">
        <v>109</v>
      </c>
      <c r="C35">
        <v>34</v>
      </c>
      <c r="D35" t="str">
        <f>Table_form_index[[#This Row],[table_prices_header.Category]]</f>
        <v>SAFETY EQUIPMENT</v>
      </c>
    </row>
    <row r="36" spans="1:4">
      <c r="A36" t="s">
        <v>1109</v>
      </c>
      <c r="C36">
        <v>35</v>
      </c>
      <c r="D36" t="str">
        <f>Table_form_index[[#This Row],[table_prices_header.Category]]</f>
        <v>PROFFESIONAL ADVISORS</v>
      </c>
    </row>
    <row r="37" spans="1:4">
      <c r="A37" t="s">
        <v>650</v>
      </c>
      <c r="D37" t="str">
        <f>Table_form_index[[#This Row],[table_prices_header.Category]]</f>
        <v>NAILS SCREWS BOLTS &amp; HARDWARE</v>
      </c>
    </row>
    <row r="38" spans="1:4">
      <c r="A38" t="s">
        <v>717</v>
      </c>
      <c r="D38" t="str">
        <f>Table_form_index[[#This Row],[table_prices_header.Category]]</f>
        <v>CAPPING &amp; BALLASTRADE</v>
      </c>
    </row>
    <row r="39" spans="1:4">
      <c r="A39" t="s">
        <v>713</v>
      </c>
      <c r="D39" t="str">
        <f>Table_form_index[[#This Row],[table_prices_header.Category]]</f>
        <v>GATES</v>
      </c>
    </row>
    <row r="40" spans="1:4">
      <c r="A40" t="s">
        <v>743</v>
      </c>
      <c r="D40" t="str">
        <f>Table_form_index[[#This Row],[table_prices_header.Category]]</f>
        <v>COMPRESSET SHEET</v>
      </c>
    </row>
    <row r="41" spans="1:4">
      <c r="A41" t="s">
        <v>113</v>
      </c>
      <c r="D41" t="str">
        <f>Table_form_index[[#This Row],[table_prices_header.Category]]</f>
        <v>DECKING</v>
      </c>
    </row>
    <row r="42" spans="1:4">
      <c r="A42" t="s">
        <v>596</v>
      </c>
      <c r="D42" t="str">
        <f>Table_form_index[[#This Row],[table_prices_header.Category]]</f>
        <v>ROOFING</v>
      </c>
    </row>
    <row r="43" spans="1:4">
      <c r="A43" t="s">
        <v>807</v>
      </c>
      <c r="D43" t="str">
        <f>Table_form_index[[#This Row],[table_prices_header.Category]]</f>
        <v>HEBEL PANEL</v>
      </c>
    </row>
    <row r="44" spans="1:4">
      <c r="A44" t="s">
        <v>798</v>
      </c>
      <c r="D44" t="str">
        <f>Table_form_index[[#This Row],[table_prices_header.Category]]</f>
        <v>TILING</v>
      </c>
    </row>
    <row r="45" spans="1:4">
      <c r="D45" t="e">
        <f>Table_form_index[[#This Row],[table_prices_header.Category]]</f>
        <v>#VALUE!</v>
      </c>
    </row>
    <row r="46" spans="1:4">
      <c r="D46" t="e">
        <f>Table_form_index[[#This Row],[table_prices_header.Category]]</f>
        <v>#VALUE!</v>
      </c>
    </row>
    <row r="47" spans="1:4">
      <c r="D47" t="e">
        <f>Table_form_index[[#This Row],[table_prices_header.Category]]</f>
        <v>#VALUE!</v>
      </c>
    </row>
    <row r="48" spans="1:4">
      <c r="D48" t="e">
        <f>Table_form_index[[#This Row],[table_prices_header.Category]]</f>
        <v>#VALUE!</v>
      </c>
    </row>
    <row r="49" spans="4:4">
      <c r="D49" t="e">
        <f>Table_form_index[[#This Row],[table_prices_header.Category]]</f>
        <v>#VALUE!</v>
      </c>
    </row>
    <row r="50" spans="4:4">
      <c r="D50" t="e">
        <f>Table_form_index[[#This Row],[table_prices_header.Category]]</f>
        <v>#VALUE!</v>
      </c>
    </row>
    <row r="51" spans="4:4">
      <c r="D51" t="e">
        <f>Table_form_index[[#This Row],[table_prices_header.Category]]</f>
        <v>#VALUE!</v>
      </c>
    </row>
    <row r="52" spans="4:4">
      <c r="D52" t="e">
        <f>Table_form_index[[#This Row],[table_prices_header.Category]]</f>
        <v>#VALUE!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E35C0-89DC-4743-A2CF-2B4E9B660176}">
  <sheetPr codeName="Sheet1">
    <tabColor theme="1"/>
  </sheetPr>
  <dimension ref="A1:AK56"/>
  <sheetViews>
    <sheetView workbookViewId="0">
      <selection activeCell="B17" sqref="B17"/>
    </sheetView>
  </sheetViews>
  <sheetFormatPr defaultRowHeight="15"/>
  <cols>
    <col min="1" max="1" width="59.7109375" bestFit="1" customWidth="1"/>
    <col min="2" max="2" width="26.5703125" bestFit="1" customWidth="1"/>
    <col min="3" max="3" width="39.85546875" bestFit="1" customWidth="1"/>
    <col min="4" max="4" width="57" bestFit="1" customWidth="1"/>
    <col min="5" max="5" width="36.140625" bestFit="1" customWidth="1"/>
    <col min="6" max="6" width="71.85546875" bestFit="1" customWidth="1"/>
    <col min="7" max="7" width="36.140625" bestFit="1" customWidth="1"/>
    <col min="8" max="8" width="40.28515625" bestFit="1" customWidth="1"/>
    <col min="9" max="9" width="17.28515625" bestFit="1" customWidth="1"/>
    <col min="10" max="10" width="19.42578125" bestFit="1" customWidth="1"/>
    <col min="11" max="11" width="18.5703125" bestFit="1" customWidth="1"/>
    <col min="12" max="12" width="17.28515625" bestFit="1" customWidth="1"/>
    <col min="13" max="13" width="23" bestFit="1" customWidth="1"/>
    <col min="14" max="14" width="28.140625" bestFit="1" customWidth="1"/>
    <col min="15" max="15" width="39.5703125" bestFit="1" customWidth="1"/>
    <col min="16" max="16" width="34" bestFit="1" customWidth="1"/>
    <col min="17" max="17" width="76.28515625" bestFit="1" customWidth="1"/>
    <col min="18" max="18" width="16.85546875" bestFit="1" customWidth="1"/>
    <col min="19" max="19" width="26.28515625" bestFit="1" customWidth="1"/>
    <col min="20" max="20" width="21.42578125" bestFit="1" customWidth="1"/>
    <col min="21" max="21" width="25.28515625" bestFit="1" customWidth="1"/>
    <col min="22" max="24" width="16.85546875" bestFit="1" customWidth="1"/>
    <col min="25" max="25" width="27" bestFit="1" customWidth="1"/>
    <col min="26" max="26" width="22.5703125" bestFit="1" customWidth="1"/>
    <col min="27" max="27" width="18.42578125" bestFit="1" customWidth="1"/>
    <col min="28" max="28" width="19.42578125" bestFit="1" customWidth="1"/>
    <col min="29" max="29" width="28.140625" bestFit="1" customWidth="1"/>
    <col min="30" max="31" width="16.85546875" bestFit="1" customWidth="1"/>
    <col min="32" max="32" width="17.28515625" bestFit="1" customWidth="1"/>
    <col min="33" max="33" width="26.85546875" bestFit="1" customWidth="1"/>
    <col min="34" max="34" width="22.7109375" bestFit="1" customWidth="1"/>
    <col min="35" max="35" width="23.28515625" bestFit="1" customWidth="1"/>
    <col min="36" max="36" width="26.85546875" bestFit="1" customWidth="1"/>
    <col min="37" max="37" width="16.85546875" bestFit="1" customWidth="1"/>
    <col min="38" max="38" width="7.5703125" bestFit="1" customWidth="1"/>
    <col min="39" max="39" width="23.85546875" bestFit="1" customWidth="1"/>
    <col min="40" max="40" width="7.5703125" bestFit="1" customWidth="1"/>
    <col min="41" max="41" width="28" bestFit="1" customWidth="1"/>
    <col min="42" max="42" width="7.5703125" bestFit="1" customWidth="1"/>
    <col min="43" max="43" width="28" bestFit="1" customWidth="1"/>
    <col min="44" max="44" width="7.5703125" bestFit="1" customWidth="1"/>
    <col min="45" max="45" width="28" bestFit="1" customWidth="1"/>
    <col min="46" max="46" width="7.5703125" bestFit="1" customWidth="1"/>
    <col min="47" max="47" width="28" bestFit="1" customWidth="1"/>
    <col min="48" max="48" width="7.5703125" bestFit="1" customWidth="1"/>
    <col min="49" max="49" width="28" bestFit="1" customWidth="1"/>
    <col min="50" max="50" width="7.5703125" bestFit="1" customWidth="1"/>
    <col min="51" max="51" width="28" bestFit="1" customWidth="1"/>
    <col min="52" max="52" width="7.5703125" bestFit="1" customWidth="1"/>
    <col min="53" max="53" width="28" bestFit="1" customWidth="1"/>
    <col min="54" max="54" width="7.5703125" bestFit="1" customWidth="1"/>
    <col min="55" max="55" width="28" bestFit="1" customWidth="1"/>
    <col min="56" max="56" width="7.5703125" bestFit="1" customWidth="1"/>
    <col min="57" max="57" width="28" bestFit="1" customWidth="1"/>
    <col min="58" max="58" width="7.5703125" bestFit="1" customWidth="1"/>
    <col min="59" max="59" width="28" bestFit="1" customWidth="1"/>
    <col min="60" max="60" width="7.5703125" bestFit="1" customWidth="1"/>
    <col min="61" max="61" width="28" bestFit="1" customWidth="1"/>
    <col min="62" max="62" width="7.5703125" bestFit="1" customWidth="1"/>
    <col min="63" max="63" width="52.140625" bestFit="1" customWidth="1"/>
    <col min="64" max="64" width="7.5703125" bestFit="1" customWidth="1"/>
    <col min="65" max="65" width="52.140625" bestFit="1" customWidth="1"/>
    <col min="66" max="66" width="7.5703125" bestFit="1" customWidth="1"/>
    <col min="67" max="67" width="52.140625" bestFit="1" customWidth="1"/>
    <col min="68" max="68" width="7.5703125" bestFit="1" customWidth="1"/>
    <col min="69" max="69" width="52.140625" bestFit="1" customWidth="1"/>
    <col min="70" max="70" width="7.5703125" bestFit="1" customWidth="1"/>
    <col min="71" max="71" width="52.140625" bestFit="1" customWidth="1"/>
    <col min="72" max="72" width="7.5703125" bestFit="1" customWidth="1"/>
    <col min="73" max="73" width="52.140625" bestFit="1" customWidth="1"/>
    <col min="74" max="74" width="7.5703125" bestFit="1" customWidth="1"/>
    <col min="75" max="75" width="52.140625" bestFit="1" customWidth="1"/>
    <col min="76" max="76" width="7.5703125" bestFit="1" customWidth="1"/>
    <col min="77" max="77" width="52.140625" bestFit="1" customWidth="1"/>
    <col min="78" max="78" width="7.5703125" bestFit="1" customWidth="1"/>
    <col min="79" max="79" width="52.140625" bestFit="1" customWidth="1"/>
    <col min="80" max="80" width="7.5703125" bestFit="1" customWidth="1"/>
    <col min="81" max="81" width="52.140625" bestFit="1" customWidth="1"/>
    <col min="82" max="82" width="7.5703125" bestFit="1" customWidth="1"/>
    <col min="83" max="83" width="52.140625" bestFit="1" customWidth="1"/>
    <col min="84" max="84" width="7.5703125" bestFit="1" customWidth="1"/>
    <col min="85" max="85" width="52.140625" bestFit="1" customWidth="1"/>
    <col min="86" max="86" width="7.5703125" bestFit="1" customWidth="1"/>
    <col min="87" max="87" width="52.140625" bestFit="1" customWidth="1"/>
    <col min="88" max="88" width="7.5703125" bestFit="1" customWidth="1"/>
    <col min="89" max="89" width="52.140625" bestFit="1" customWidth="1"/>
    <col min="90" max="90" width="7.5703125" bestFit="1" customWidth="1"/>
    <col min="91" max="91" width="52.140625" bestFit="1" customWidth="1"/>
    <col min="92" max="92" width="7.5703125" bestFit="1" customWidth="1"/>
    <col min="93" max="93" width="24.28515625" bestFit="1" customWidth="1"/>
    <col min="94" max="94" width="7.5703125" bestFit="1" customWidth="1"/>
    <col min="95" max="95" width="24.28515625" bestFit="1" customWidth="1"/>
    <col min="96" max="96" width="7.5703125" bestFit="1" customWidth="1"/>
    <col min="97" max="97" width="24.28515625" bestFit="1" customWidth="1"/>
    <col min="98" max="98" width="7.5703125" bestFit="1" customWidth="1"/>
    <col min="99" max="99" width="24.28515625" bestFit="1" customWidth="1"/>
    <col min="100" max="100" width="7.5703125" bestFit="1" customWidth="1"/>
    <col min="101" max="101" width="24.28515625" bestFit="1" customWidth="1"/>
    <col min="102" max="102" width="7.5703125" bestFit="1" customWidth="1"/>
    <col min="103" max="103" width="24.28515625" bestFit="1" customWidth="1"/>
    <col min="104" max="104" width="7.5703125" bestFit="1" customWidth="1"/>
    <col min="105" max="105" width="24.28515625" bestFit="1" customWidth="1"/>
    <col min="106" max="106" width="7.5703125" bestFit="1" customWidth="1"/>
    <col min="107" max="107" width="24.42578125" bestFit="1" customWidth="1"/>
    <col min="108" max="108" width="7.5703125" bestFit="1" customWidth="1"/>
    <col min="109" max="109" width="24.42578125" bestFit="1" customWidth="1"/>
    <col min="110" max="110" width="7.5703125" bestFit="1" customWidth="1"/>
    <col min="111" max="111" width="24.42578125" bestFit="1" customWidth="1"/>
    <col min="112" max="112" width="7.5703125" bestFit="1" customWidth="1"/>
    <col min="113" max="113" width="24.28515625" bestFit="1" customWidth="1"/>
    <col min="114" max="114" width="7.5703125" bestFit="1" customWidth="1"/>
    <col min="115" max="115" width="22.28515625" bestFit="1" customWidth="1"/>
    <col min="116" max="116" width="7.5703125" bestFit="1" customWidth="1"/>
    <col min="117" max="117" width="22.28515625" bestFit="1" customWidth="1"/>
    <col min="118" max="118" width="7.5703125" bestFit="1" customWidth="1"/>
    <col min="119" max="119" width="22.28515625" bestFit="1" customWidth="1"/>
    <col min="120" max="120" width="8.5703125" bestFit="1" customWidth="1"/>
    <col min="121" max="121" width="20.28515625" bestFit="1" customWidth="1"/>
    <col min="122" max="122" width="8.5703125" bestFit="1" customWidth="1"/>
    <col min="123" max="123" width="20.28515625" bestFit="1" customWidth="1"/>
    <col min="124" max="124" width="8.5703125" bestFit="1" customWidth="1"/>
    <col min="125" max="125" width="20.28515625" bestFit="1" customWidth="1"/>
    <col min="126" max="126" width="8.5703125" bestFit="1" customWidth="1"/>
    <col min="127" max="127" width="20.28515625" bestFit="1" customWidth="1"/>
    <col min="128" max="128" width="8.5703125" bestFit="1" customWidth="1"/>
    <col min="129" max="129" width="20.28515625" bestFit="1" customWidth="1"/>
    <col min="130" max="130" width="8.5703125" bestFit="1" customWidth="1"/>
    <col min="131" max="131" width="20.28515625" bestFit="1" customWidth="1"/>
    <col min="132" max="132" width="8.5703125" bestFit="1" customWidth="1"/>
    <col min="133" max="133" width="20.28515625" bestFit="1" customWidth="1"/>
    <col min="134" max="134" width="8.5703125" bestFit="1" customWidth="1"/>
    <col min="135" max="135" width="20.28515625" bestFit="1" customWidth="1"/>
    <col min="136" max="136" width="8.5703125" bestFit="1" customWidth="1"/>
    <col min="137" max="137" width="20.28515625" bestFit="1" customWidth="1"/>
    <col min="138" max="138" width="8.5703125" bestFit="1" customWidth="1"/>
    <col min="139" max="139" width="20.28515625" bestFit="1" customWidth="1"/>
    <col min="140" max="140" width="8.5703125" bestFit="1" customWidth="1"/>
    <col min="141" max="141" width="20.28515625" bestFit="1" customWidth="1"/>
    <col min="142" max="142" width="8.5703125" bestFit="1" customWidth="1"/>
    <col min="143" max="143" width="35.7109375" bestFit="1" customWidth="1"/>
    <col min="144" max="144" width="8.5703125" bestFit="1" customWidth="1"/>
    <col min="145" max="145" width="35.7109375" bestFit="1" customWidth="1"/>
    <col min="146" max="146" width="8.5703125" bestFit="1" customWidth="1"/>
    <col min="147" max="147" width="35.7109375" bestFit="1" customWidth="1"/>
    <col min="148" max="148" width="8.5703125" bestFit="1" customWidth="1"/>
    <col min="149" max="149" width="35.7109375" bestFit="1" customWidth="1"/>
    <col min="150" max="150" width="8.5703125" bestFit="1" customWidth="1"/>
    <col min="151" max="151" width="35.7109375" bestFit="1" customWidth="1"/>
    <col min="152" max="152" width="8.5703125" bestFit="1" customWidth="1"/>
    <col min="153" max="153" width="35.7109375" bestFit="1" customWidth="1"/>
    <col min="154" max="154" width="8.5703125" bestFit="1" customWidth="1"/>
    <col min="155" max="155" width="35.7109375" bestFit="1" customWidth="1"/>
    <col min="156" max="156" width="8.5703125" bestFit="1" customWidth="1"/>
    <col min="157" max="157" width="35.7109375" bestFit="1" customWidth="1"/>
    <col min="158" max="158" width="8.5703125" bestFit="1" customWidth="1"/>
    <col min="159" max="159" width="35.7109375" bestFit="1" customWidth="1"/>
    <col min="160" max="160" width="8.5703125" bestFit="1" customWidth="1"/>
    <col min="161" max="161" width="35.7109375" bestFit="1" customWidth="1"/>
    <col min="162" max="162" width="8.5703125" bestFit="1" customWidth="1"/>
    <col min="163" max="163" width="35.7109375" bestFit="1" customWidth="1"/>
    <col min="164" max="164" width="8.5703125" bestFit="1" customWidth="1"/>
    <col min="165" max="165" width="35.7109375" bestFit="1" customWidth="1"/>
    <col min="166" max="166" width="8.5703125" bestFit="1" customWidth="1"/>
    <col min="167" max="167" width="35.7109375" bestFit="1" customWidth="1"/>
    <col min="168" max="168" width="8.5703125" bestFit="1" customWidth="1"/>
    <col min="169" max="169" width="35.7109375" bestFit="1" customWidth="1"/>
    <col min="170" max="170" width="8.5703125" bestFit="1" customWidth="1"/>
    <col min="171" max="171" width="35.7109375" bestFit="1" customWidth="1"/>
    <col min="172" max="172" width="8.5703125" bestFit="1" customWidth="1"/>
    <col min="173" max="173" width="35.7109375" bestFit="1" customWidth="1"/>
    <col min="174" max="174" width="8.5703125" bestFit="1" customWidth="1"/>
    <col min="175" max="175" width="35.7109375" bestFit="1" customWidth="1"/>
    <col min="176" max="176" width="8.5703125" bestFit="1" customWidth="1"/>
    <col min="177" max="177" width="35.7109375" bestFit="1" customWidth="1"/>
    <col min="178" max="178" width="8.5703125" bestFit="1" customWidth="1"/>
    <col min="179" max="179" width="35.7109375" bestFit="1" customWidth="1"/>
    <col min="180" max="180" width="8.5703125" bestFit="1" customWidth="1"/>
    <col min="181" max="181" width="35.7109375" bestFit="1" customWidth="1"/>
    <col min="182" max="182" width="8.5703125" bestFit="1" customWidth="1"/>
    <col min="183" max="183" width="35.7109375" bestFit="1" customWidth="1"/>
    <col min="184" max="184" width="8.5703125" bestFit="1" customWidth="1"/>
    <col min="185" max="185" width="35.7109375" bestFit="1" customWidth="1"/>
    <col min="186" max="186" width="8.5703125" bestFit="1" customWidth="1"/>
    <col min="187" max="187" width="35.7109375" bestFit="1" customWidth="1"/>
    <col min="188" max="189" width="8.5703125" bestFit="1" customWidth="1"/>
    <col min="190" max="190" width="35.7109375" bestFit="1" customWidth="1"/>
    <col min="191" max="191" width="8.5703125" bestFit="1" customWidth="1"/>
    <col min="192" max="192" width="35.7109375" bestFit="1" customWidth="1"/>
    <col min="193" max="193" width="8.5703125" bestFit="1" customWidth="1"/>
    <col min="194" max="194" width="35.7109375" bestFit="1" customWidth="1"/>
    <col min="195" max="195" width="8.5703125" bestFit="1" customWidth="1"/>
    <col min="196" max="196" width="35.7109375" bestFit="1" customWidth="1"/>
    <col min="197" max="197" width="8.5703125" bestFit="1" customWidth="1"/>
    <col min="198" max="198" width="35.7109375" bestFit="1" customWidth="1"/>
    <col min="199" max="199" width="8.5703125" bestFit="1" customWidth="1"/>
    <col min="200" max="200" width="35.7109375" bestFit="1" customWidth="1"/>
    <col min="201" max="201" width="8.5703125" bestFit="1" customWidth="1"/>
    <col min="202" max="202" width="35.7109375" bestFit="1" customWidth="1"/>
    <col min="203" max="203" width="8.5703125" bestFit="1" customWidth="1"/>
    <col min="204" max="204" width="35.7109375" bestFit="1" customWidth="1"/>
    <col min="205" max="205" width="8.5703125" bestFit="1" customWidth="1"/>
    <col min="206" max="206" width="35.7109375" bestFit="1" customWidth="1"/>
    <col min="207" max="207" width="8.5703125" bestFit="1" customWidth="1"/>
    <col min="208" max="208" width="35.7109375" bestFit="1" customWidth="1"/>
    <col min="209" max="209" width="8.5703125" bestFit="1" customWidth="1"/>
    <col min="210" max="210" width="35.7109375" bestFit="1" customWidth="1"/>
    <col min="211" max="211" width="8.5703125" bestFit="1" customWidth="1"/>
    <col min="212" max="212" width="35.7109375" bestFit="1" customWidth="1"/>
    <col min="213" max="213" width="8.5703125" bestFit="1" customWidth="1"/>
    <col min="214" max="214" width="35.7109375" bestFit="1" customWidth="1"/>
    <col min="215" max="215" width="8.5703125" bestFit="1" customWidth="1"/>
    <col min="216" max="216" width="35.7109375" bestFit="1" customWidth="1"/>
    <col min="217" max="217" width="8.5703125" bestFit="1" customWidth="1"/>
    <col min="218" max="218" width="35.7109375" bestFit="1" customWidth="1"/>
    <col min="219" max="219" width="8.5703125" bestFit="1" customWidth="1"/>
    <col min="220" max="220" width="35.7109375" bestFit="1" customWidth="1"/>
    <col min="221" max="221" width="8.5703125" bestFit="1" customWidth="1"/>
    <col min="222" max="222" width="35.7109375" bestFit="1" customWidth="1"/>
    <col min="223" max="223" width="8.5703125" bestFit="1" customWidth="1"/>
    <col min="224" max="224" width="35.7109375" bestFit="1" customWidth="1"/>
    <col min="225" max="225" width="8.5703125" bestFit="1" customWidth="1"/>
    <col min="226" max="226" width="35.7109375" bestFit="1" customWidth="1"/>
    <col min="227" max="227" width="8.5703125" bestFit="1" customWidth="1"/>
    <col min="228" max="228" width="35.7109375" bestFit="1" customWidth="1"/>
    <col min="229" max="229" width="8.5703125" bestFit="1" customWidth="1"/>
    <col min="230" max="230" width="35.7109375" bestFit="1" customWidth="1"/>
    <col min="231" max="231" width="8.5703125" bestFit="1" customWidth="1"/>
    <col min="232" max="232" width="35.7109375" bestFit="1" customWidth="1"/>
    <col min="233" max="233" width="8.5703125" bestFit="1" customWidth="1"/>
    <col min="234" max="234" width="35.7109375" bestFit="1" customWidth="1"/>
    <col min="235" max="235" width="8.5703125" bestFit="1" customWidth="1"/>
    <col min="236" max="236" width="35.7109375" bestFit="1" customWidth="1"/>
    <col min="237" max="237" width="8.5703125" bestFit="1" customWidth="1"/>
    <col min="238" max="238" width="35.7109375" bestFit="1" customWidth="1"/>
    <col min="239" max="239" width="8.5703125" bestFit="1" customWidth="1"/>
    <col min="240" max="240" width="35.7109375" bestFit="1" customWidth="1"/>
    <col min="241" max="241" width="8.5703125" bestFit="1" customWidth="1"/>
    <col min="242" max="242" width="35.7109375" bestFit="1" customWidth="1"/>
    <col min="243" max="243" width="8.5703125" bestFit="1" customWidth="1"/>
    <col min="244" max="244" width="35.7109375" bestFit="1" customWidth="1"/>
    <col min="245" max="245" width="8.5703125" bestFit="1" customWidth="1"/>
    <col min="246" max="246" width="35.7109375" bestFit="1" customWidth="1"/>
    <col min="247" max="247" width="8.5703125" bestFit="1" customWidth="1"/>
    <col min="248" max="248" width="35.7109375" bestFit="1" customWidth="1"/>
    <col min="249" max="249" width="8.5703125" bestFit="1" customWidth="1"/>
    <col min="250" max="250" width="35.7109375" bestFit="1" customWidth="1"/>
    <col min="251" max="251" width="8.5703125" bestFit="1" customWidth="1"/>
    <col min="252" max="252" width="20.28515625" bestFit="1" customWidth="1"/>
    <col min="253" max="253" width="8.5703125" bestFit="1" customWidth="1"/>
    <col min="254" max="254" width="20.28515625" bestFit="1" customWidth="1"/>
    <col min="255" max="255" width="8.5703125" bestFit="1" customWidth="1"/>
    <col min="256" max="256" width="20.28515625" bestFit="1" customWidth="1"/>
    <col min="257" max="257" width="8.5703125" bestFit="1" customWidth="1"/>
    <col min="258" max="258" width="20.28515625" bestFit="1" customWidth="1"/>
    <col min="259" max="259" width="8.5703125" bestFit="1" customWidth="1"/>
    <col min="260" max="260" width="20.28515625" bestFit="1" customWidth="1"/>
    <col min="261" max="261" width="8.5703125" bestFit="1" customWidth="1"/>
    <col min="262" max="262" width="20.28515625" bestFit="1" customWidth="1"/>
    <col min="263" max="263" width="8.5703125" bestFit="1" customWidth="1"/>
    <col min="264" max="264" width="20.28515625" bestFit="1" customWidth="1"/>
    <col min="265" max="265" width="8.5703125" bestFit="1" customWidth="1"/>
    <col min="266" max="266" width="20.28515625" bestFit="1" customWidth="1"/>
    <col min="267" max="267" width="8.5703125" bestFit="1" customWidth="1"/>
    <col min="268" max="268" width="17.42578125" bestFit="1" customWidth="1"/>
    <col min="269" max="269" width="8.5703125" bestFit="1" customWidth="1"/>
    <col min="270" max="270" width="17.42578125" bestFit="1" customWidth="1"/>
    <col min="271" max="271" width="8.5703125" bestFit="1" customWidth="1"/>
    <col min="272" max="272" width="17.42578125" bestFit="1" customWidth="1"/>
    <col min="273" max="273" width="8.5703125" bestFit="1" customWidth="1"/>
    <col min="274" max="274" width="17.42578125" bestFit="1" customWidth="1"/>
    <col min="275" max="275" width="8.5703125" bestFit="1" customWidth="1"/>
    <col min="276" max="276" width="17.42578125" bestFit="1" customWidth="1"/>
    <col min="277" max="277" width="8.5703125" bestFit="1" customWidth="1"/>
    <col min="278" max="278" width="17.42578125" bestFit="1" customWidth="1"/>
    <col min="279" max="279" width="8.5703125" bestFit="1" customWidth="1"/>
    <col min="280" max="280" width="17.42578125" bestFit="1" customWidth="1"/>
    <col min="281" max="281" width="8.5703125" bestFit="1" customWidth="1"/>
    <col min="282" max="282" width="17.42578125" bestFit="1" customWidth="1"/>
    <col min="283" max="283" width="8.5703125" bestFit="1" customWidth="1"/>
    <col min="284" max="284" width="17.42578125" bestFit="1" customWidth="1"/>
    <col min="285" max="285" width="8.5703125" bestFit="1" customWidth="1"/>
    <col min="286" max="286" width="17.42578125" bestFit="1" customWidth="1"/>
    <col min="287" max="287" width="8.5703125" bestFit="1" customWidth="1"/>
    <col min="288" max="288" width="17.42578125" bestFit="1" customWidth="1"/>
    <col min="289" max="289" width="8.5703125" bestFit="1" customWidth="1"/>
    <col min="290" max="290" width="17.42578125" bestFit="1" customWidth="1"/>
    <col min="291" max="291" width="8.5703125" bestFit="1" customWidth="1"/>
    <col min="292" max="292" width="17.42578125" bestFit="1" customWidth="1"/>
    <col min="293" max="293" width="8.5703125" bestFit="1" customWidth="1"/>
    <col min="294" max="294" width="17.42578125" bestFit="1" customWidth="1"/>
    <col min="295" max="295" width="8.5703125" bestFit="1" customWidth="1"/>
    <col min="296" max="296" width="17.42578125" bestFit="1" customWidth="1"/>
    <col min="297" max="297" width="8.5703125" bestFit="1" customWidth="1"/>
    <col min="298" max="298" width="17.42578125" bestFit="1" customWidth="1"/>
    <col min="299" max="299" width="8.5703125" bestFit="1" customWidth="1"/>
    <col min="300" max="300" width="17.42578125" bestFit="1" customWidth="1"/>
    <col min="301" max="301" width="8.5703125" bestFit="1" customWidth="1"/>
    <col min="302" max="302" width="17.42578125" bestFit="1" customWidth="1"/>
    <col min="303" max="303" width="8.5703125" bestFit="1" customWidth="1"/>
    <col min="304" max="304" width="33" bestFit="1" customWidth="1"/>
    <col min="305" max="305" width="8.5703125" bestFit="1" customWidth="1"/>
    <col min="306" max="306" width="17.42578125" bestFit="1" customWidth="1"/>
    <col min="307" max="307" width="8.5703125" bestFit="1" customWidth="1"/>
    <col min="308" max="308" width="17.42578125" bestFit="1" customWidth="1"/>
    <col min="309" max="309" width="8.5703125" bestFit="1" customWidth="1"/>
    <col min="310" max="310" width="17.42578125" bestFit="1" customWidth="1"/>
    <col min="311" max="311" width="8.5703125" bestFit="1" customWidth="1"/>
    <col min="312" max="312" width="17.42578125" bestFit="1" customWidth="1"/>
    <col min="313" max="313" width="8.5703125" bestFit="1" customWidth="1"/>
    <col min="314" max="314" width="17.42578125" bestFit="1" customWidth="1"/>
    <col min="315" max="315" width="8.5703125" bestFit="1" customWidth="1"/>
    <col min="316" max="316" width="17.42578125" bestFit="1" customWidth="1"/>
    <col min="317" max="317" width="8.5703125" bestFit="1" customWidth="1"/>
    <col min="318" max="318" width="17.42578125" bestFit="1" customWidth="1"/>
    <col min="319" max="319" width="8.5703125" bestFit="1" customWidth="1"/>
    <col min="320" max="320" width="17.42578125" bestFit="1" customWidth="1"/>
    <col min="321" max="321" width="8.5703125" bestFit="1" customWidth="1"/>
    <col min="322" max="322" width="19.28515625" bestFit="1" customWidth="1"/>
    <col min="323" max="323" width="8.5703125" bestFit="1" customWidth="1"/>
    <col min="324" max="324" width="19.28515625" bestFit="1" customWidth="1"/>
    <col min="325" max="325" width="8.5703125" bestFit="1" customWidth="1"/>
    <col min="326" max="326" width="19.28515625" bestFit="1" customWidth="1"/>
    <col min="327" max="327" width="8.5703125" bestFit="1" customWidth="1"/>
    <col min="328" max="328" width="19.28515625" bestFit="1" customWidth="1"/>
    <col min="329" max="329" width="8.5703125" bestFit="1" customWidth="1"/>
    <col min="330" max="330" width="19.28515625" bestFit="1" customWidth="1"/>
    <col min="331" max="331" width="8.5703125" bestFit="1" customWidth="1"/>
    <col min="332" max="332" width="19.28515625" bestFit="1" customWidth="1"/>
    <col min="333" max="333" width="8.5703125" bestFit="1" customWidth="1"/>
    <col min="334" max="334" width="19.28515625" bestFit="1" customWidth="1"/>
    <col min="335" max="335" width="8.5703125" bestFit="1" customWidth="1"/>
    <col min="336" max="336" width="19.28515625" bestFit="1" customWidth="1"/>
    <col min="337" max="337" width="8.5703125" bestFit="1" customWidth="1"/>
    <col min="338" max="338" width="19.28515625" bestFit="1" customWidth="1"/>
    <col min="339" max="339" width="8.5703125" bestFit="1" customWidth="1"/>
    <col min="340" max="340" width="19.28515625" bestFit="1" customWidth="1"/>
    <col min="341" max="341" width="8.5703125" bestFit="1" customWidth="1"/>
    <col min="342" max="342" width="19.28515625" bestFit="1" customWidth="1"/>
    <col min="343" max="343" width="8.5703125" bestFit="1" customWidth="1"/>
    <col min="344" max="344" width="71.7109375" bestFit="1" customWidth="1"/>
    <col min="345" max="345" width="8.5703125" bestFit="1" customWidth="1"/>
    <col min="346" max="346" width="71.7109375" bestFit="1" customWidth="1"/>
    <col min="347" max="347" width="8.5703125" bestFit="1" customWidth="1"/>
    <col min="348" max="348" width="71.7109375" bestFit="1" customWidth="1"/>
    <col min="349" max="349" width="8.5703125" bestFit="1" customWidth="1"/>
    <col min="350" max="350" width="17.42578125" bestFit="1" customWidth="1"/>
    <col min="351" max="351" width="8.5703125" bestFit="1" customWidth="1"/>
    <col min="352" max="352" width="17.42578125" bestFit="1" customWidth="1"/>
    <col min="353" max="353" width="8.5703125" bestFit="1" customWidth="1"/>
    <col min="354" max="354" width="17.42578125" bestFit="1" customWidth="1"/>
    <col min="355" max="355" width="8.5703125" bestFit="1" customWidth="1"/>
    <col min="356" max="356" width="17.42578125" bestFit="1" customWidth="1"/>
    <col min="357" max="357" width="8.5703125" bestFit="1" customWidth="1"/>
    <col min="358" max="358" width="17.42578125" bestFit="1" customWidth="1"/>
    <col min="359" max="359" width="8.5703125" bestFit="1" customWidth="1"/>
    <col min="360" max="360" width="17.42578125" bestFit="1" customWidth="1"/>
    <col min="361" max="361" width="8.5703125" bestFit="1" customWidth="1"/>
    <col min="362" max="362" width="17.42578125" bestFit="1" customWidth="1"/>
    <col min="363" max="363" width="8.5703125" bestFit="1" customWidth="1"/>
    <col min="364" max="364" width="17.42578125" bestFit="1" customWidth="1"/>
    <col min="365" max="365" width="8.5703125" bestFit="1" customWidth="1"/>
    <col min="366" max="366" width="17.42578125" bestFit="1" customWidth="1"/>
    <col min="367" max="367" width="8.5703125" bestFit="1" customWidth="1"/>
    <col min="368" max="368" width="17.42578125" bestFit="1" customWidth="1"/>
    <col min="369" max="369" width="8.5703125" bestFit="1" customWidth="1"/>
    <col min="370" max="370" width="17.42578125" bestFit="1" customWidth="1"/>
    <col min="371" max="371" width="8.5703125" bestFit="1" customWidth="1"/>
    <col min="372" max="372" width="17.42578125" bestFit="1" customWidth="1"/>
    <col min="373" max="373" width="8.5703125" bestFit="1" customWidth="1"/>
    <col min="374" max="374" width="17.42578125" bestFit="1" customWidth="1"/>
    <col min="375" max="375" width="8.5703125" bestFit="1" customWidth="1"/>
    <col min="376" max="376" width="17.42578125" bestFit="1" customWidth="1"/>
    <col min="377" max="377" width="8.5703125" bestFit="1" customWidth="1"/>
    <col min="378" max="378" width="65.85546875" bestFit="1" customWidth="1"/>
    <col min="379" max="379" width="8.5703125" bestFit="1" customWidth="1"/>
    <col min="380" max="380" width="65.85546875" bestFit="1" customWidth="1"/>
    <col min="381" max="381" width="8.5703125" bestFit="1" customWidth="1"/>
    <col min="382" max="382" width="65.85546875" bestFit="1" customWidth="1"/>
    <col min="383" max="383" width="8.5703125" bestFit="1" customWidth="1"/>
    <col min="384" max="384" width="33.7109375" bestFit="1" customWidth="1"/>
    <col min="385" max="385" width="8.5703125" bestFit="1" customWidth="1"/>
    <col min="386" max="386" width="33.7109375" bestFit="1" customWidth="1"/>
    <col min="387" max="387" width="8.5703125" bestFit="1" customWidth="1"/>
    <col min="388" max="388" width="17.42578125" bestFit="1" customWidth="1"/>
    <col min="389" max="389" width="8.5703125" bestFit="1" customWidth="1"/>
    <col min="390" max="390" width="17.42578125" bestFit="1" customWidth="1"/>
    <col min="391" max="391" width="8.5703125" bestFit="1" customWidth="1"/>
    <col min="392" max="392" width="17.42578125" bestFit="1" customWidth="1"/>
    <col min="393" max="393" width="8.5703125" bestFit="1" customWidth="1"/>
    <col min="394" max="394" width="17.42578125" bestFit="1" customWidth="1"/>
    <col min="395" max="395" width="8.5703125" bestFit="1" customWidth="1"/>
    <col min="396" max="396" width="17.42578125" bestFit="1" customWidth="1"/>
    <col min="397" max="397" width="8.5703125" bestFit="1" customWidth="1"/>
    <col min="398" max="398" width="17.42578125" bestFit="1" customWidth="1"/>
    <col min="399" max="399" width="8.5703125" bestFit="1" customWidth="1"/>
    <col min="400" max="400" width="17.42578125" bestFit="1" customWidth="1"/>
    <col min="401" max="401" width="8.5703125" bestFit="1" customWidth="1"/>
    <col min="402" max="402" width="23.5703125" customWidth="1"/>
    <col min="403" max="403" width="8.5703125" bestFit="1" customWidth="1"/>
    <col min="404" max="404" width="23.5703125" customWidth="1"/>
    <col min="405" max="405" width="8.5703125" bestFit="1" customWidth="1"/>
    <col min="406" max="406" width="20.28515625" bestFit="1" customWidth="1"/>
    <col min="407" max="407" width="8.5703125" bestFit="1" customWidth="1"/>
    <col min="408" max="408" width="20.28515625" bestFit="1" customWidth="1"/>
    <col min="409" max="409" width="8.5703125" bestFit="1" customWidth="1"/>
    <col min="410" max="410" width="20.28515625" bestFit="1" customWidth="1"/>
    <col min="411" max="411" width="8.5703125" bestFit="1" customWidth="1"/>
    <col min="412" max="412" width="17.42578125" bestFit="1" customWidth="1"/>
    <col min="413" max="413" width="8.5703125" bestFit="1" customWidth="1"/>
    <col min="414" max="414" width="17.42578125" bestFit="1" customWidth="1"/>
    <col min="415" max="415" width="8.5703125" bestFit="1" customWidth="1"/>
    <col min="416" max="416" width="17.42578125" bestFit="1" customWidth="1"/>
    <col min="417" max="417" width="8.5703125" bestFit="1" customWidth="1"/>
    <col min="418" max="418" width="17.42578125" bestFit="1" customWidth="1"/>
    <col min="419" max="419" width="8.5703125" bestFit="1" customWidth="1"/>
    <col min="420" max="420" width="17.42578125" bestFit="1" customWidth="1"/>
    <col min="421" max="421" width="8.5703125" bestFit="1" customWidth="1"/>
    <col min="422" max="422" width="17.42578125" bestFit="1" customWidth="1"/>
    <col min="423" max="423" width="8.5703125" bestFit="1" customWidth="1"/>
    <col min="424" max="424" width="17.42578125" bestFit="1" customWidth="1"/>
    <col min="425" max="425" width="8.5703125" bestFit="1" customWidth="1"/>
    <col min="426" max="426" width="17.42578125" bestFit="1" customWidth="1"/>
    <col min="427" max="427" width="8.5703125" bestFit="1" customWidth="1"/>
    <col min="428" max="428" width="17.42578125" bestFit="1" customWidth="1"/>
    <col min="429" max="429" width="8.5703125" bestFit="1" customWidth="1"/>
    <col min="430" max="430" width="17.42578125" bestFit="1" customWidth="1"/>
    <col min="431" max="431" width="8.5703125" bestFit="1" customWidth="1"/>
    <col min="432" max="432" width="17.42578125" bestFit="1" customWidth="1"/>
    <col min="433" max="433" width="8.5703125" bestFit="1" customWidth="1"/>
    <col min="434" max="434" width="23.28515625" bestFit="1" customWidth="1"/>
    <col min="435" max="435" width="8.5703125" bestFit="1" customWidth="1"/>
    <col min="436" max="436" width="23.28515625" bestFit="1" customWidth="1"/>
    <col min="437" max="437" width="8.5703125" bestFit="1" customWidth="1"/>
    <col min="438" max="438" width="23.28515625" bestFit="1" customWidth="1"/>
    <col min="439" max="439" width="8.5703125" bestFit="1" customWidth="1"/>
    <col min="440" max="440" width="23.28515625" bestFit="1" customWidth="1"/>
    <col min="441" max="441" width="8.5703125" bestFit="1" customWidth="1"/>
    <col min="442" max="442" width="23.28515625" bestFit="1" customWidth="1"/>
    <col min="443" max="443" width="8.5703125" bestFit="1" customWidth="1"/>
    <col min="444" max="444" width="23.28515625" bestFit="1" customWidth="1"/>
    <col min="445" max="445" width="8.5703125" bestFit="1" customWidth="1"/>
    <col min="446" max="446" width="23.28515625" bestFit="1" customWidth="1"/>
    <col min="447" max="447" width="8.5703125" bestFit="1" customWidth="1"/>
    <col min="448" max="448" width="23.28515625" bestFit="1" customWidth="1"/>
    <col min="449" max="449" width="8.5703125" bestFit="1" customWidth="1"/>
    <col min="450" max="450" width="24.85546875" bestFit="1" customWidth="1"/>
    <col min="451" max="451" width="8.5703125" bestFit="1" customWidth="1"/>
    <col min="452" max="452" width="24.85546875" bestFit="1" customWidth="1"/>
    <col min="453" max="453" width="8.5703125" bestFit="1" customWidth="1"/>
    <col min="454" max="454" width="24.85546875" bestFit="1" customWidth="1"/>
    <col min="455" max="455" width="8.5703125" bestFit="1" customWidth="1"/>
    <col min="456" max="456" width="24.85546875" bestFit="1" customWidth="1"/>
    <col min="457" max="457" width="8.5703125" bestFit="1" customWidth="1"/>
    <col min="458" max="458" width="19.28515625" bestFit="1" customWidth="1"/>
    <col min="459" max="459" width="8.5703125" bestFit="1" customWidth="1"/>
    <col min="460" max="460" width="19.28515625" bestFit="1" customWidth="1"/>
    <col min="461" max="461" width="8.5703125" bestFit="1" customWidth="1"/>
    <col min="462" max="462" width="19.28515625" bestFit="1" customWidth="1"/>
    <col min="463" max="463" width="8.5703125" bestFit="1" customWidth="1"/>
    <col min="464" max="464" width="19.28515625" bestFit="1" customWidth="1"/>
    <col min="465" max="465" width="8.5703125" bestFit="1" customWidth="1"/>
    <col min="466" max="466" width="19.28515625" bestFit="1" customWidth="1"/>
    <col min="467" max="467" width="8.5703125" bestFit="1" customWidth="1"/>
    <col min="468" max="468" width="19.28515625" bestFit="1" customWidth="1"/>
    <col min="469" max="469" width="8.5703125" bestFit="1" customWidth="1"/>
    <col min="470" max="470" width="19.28515625" bestFit="1" customWidth="1"/>
    <col min="471" max="471" width="8.5703125" bestFit="1" customWidth="1"/>
    <col min="472" max="472" width="19.28515625" bestFit="1" customWidth="1"/>
    <col min="473" max="473" width="8.5703125" bestFit="1" customWidth="1"/>
    <col min="474" max="474" width="19.28515625" bestFit="1" customWidth="1"/>
    <col min="475" max="475" width="8.5703125" bestFit="1" customWidth="1"/>
    <col min="476" max="476" width="19.28515625" bestFit="1" customWidth="1"/>
    <col min="477" max="477" width="8.5703125" bestFit="1" customWidth="1"/>
    <col min="478" max="478" width="19.28515625" bestFit="1" customWidth="1"/>
    <col min="479" max="479" width="8.5703125" bestFit="1" customWidth="1"/>
    <col min="480" max="480" width="19.28515625" bestFit="1" customWidth="1"/>
    <col min="481" max="481" width="8.5703125" bestFit="1" customWidth="1"/>
    <col min="482" max="482" width="19.28515625" bestFit="1" customWidth="1"/>
    <col min="483" max="483" width="8.5703125" bestFit="1" customWidth="1"/>
    <col min="484" max="484" width="19.28515625" bestFit="1" customWidth="1"/>
    <col min="485" max="485" width="8.5703125" bestFit="1" customWidth="1"/>
    <col min="486" max="486" width="19.28515625" bestFit="1" customWidth="1"/>
    <col min="487" max="487" width="8.5703125" bestFit="1" customWidth="1"/>
    <col min="488" max="488" width="19.28515625" bestFit="1" customWidth="1"/>
    <col min="489" max="489" width="8.5703125" bestFit="1" customWidth="1"/>
    <col min="490" max="490" width="19.28515625" bestFit="1" customWidth="1"/>
    <col min="491" max="491" width="8.5703125" bestFit="1" customWidth="1"/>
    <col min="492" max="492" width="17.85546875" bestFit="1" customWidth="1"/>
    <col min="493" max="493" width="8.5703125" bestFit="1" customWidth="1"/>
    <col min="494" max="494" width="17.85546875" bestFit="1" customWidth="1"/>
    <col min="495" max="495" width="8.5703125" bestFit="1" customWidth="1"/>
    <col min="496" max="496" width="17.85546875" bestFit="1" customWidth="1"/>
    <col min="497" max="497" width="8.5703125" bestFit="1" customWidth="1"/>
    <col min="498" max="498" width="17.85546875" bestFit="1" customWidth="1"/>
    <col min="499" max="499" width="8.5703125" bestFit="1" customWidth="1"/>
    <col min="500" max="500" width="26" bestFit="1" customWidth="1"/>
    <col min="501" max="501" width="8.5703125" bestFit="1" customWidth="1"/>
    <col min="502" max="502" width="26" bestFit="1" customWidth="1"/>
    <col min="503" max="503" width="8.5703125" bestFit="1" customWidth="1"/>
    <col min="504" max="504" width="26" bestFit="1" customWidth="1"/>
    <col min="505" max="505" width="8.5703125" bestFit="1" customWidth="1"/>
    <col min="506" max="506" width="26" bestFit="1" customWidth="1"/>
    <col min="507" max="507" width="8.5703125" bestFit="1" customWidth="1"/>
    <col min="508" max="508" width="26" bestFit="1" customWidth="1"/>
    <col min="509" max="509" width="8.5703125" bestFit="1" customWidth="1"/>
    <col min="510" max="510" width="26" bestFit="1" customWidth="1"/>
    <col min="511" max="511" width="8.5703125" bestFit="1" customWidth="1"/>
    <col min="512" max="512" width="26" bestFit="1" customWidth="1"/>
    <col min="513" max="513" width="8.5703125" bestFit="1" customWidth="1"/>
    <col min="514" max="514" width="26" bestFit="1" customWidth="1"/>
    <col min="515" max="515" width="8.5703125" bestFit="1" customWidth="1"/>
    <col min="516" max="516" width="26" bestFit="1" customWidth="1"/>
    <col min="517" max="517" width="8.5703125" bestFit="1" customWidth="1"/>
    <col min="518" max="518" width="26" bestFit="1" customWidth="1"/>
    <col min="519" max="519" width="8.5703125" bestFit="1" customWidth="1"/>
    <col min="520" max="520" width="26" bestFit="1" customWidth="1"/>
    <col min="521" max="521" width="8.5703125" bestFit="1" customWidth="1"/>
    <col min="522" max="522" width="26" bestFit="1" customWidth="1"/>
    <col min="523" max="523" width="8.5703125" bestFit="1" customWidth="1"/>
    <col min="524" max="524" width="26" bestFit="1" customWidth="1"/>
    <col min="525" max="525" width="8.5703125" bestFit="1" customWidth="1"/>
    <col min="526" max="526" width="26" bestFit="1" customWidth="1"/>
    <col min="527" max="527" width="8.5703125" bestFit="1" customWidth="1"/>
    <col min="528" max="528" width="26" bestFit="1" customWidth="1"/>
    <col min="529" max="529" width="8.5703125" bestFit="1" customWidth="1"/>
    <col min="530" max="530" width="26" bestFit="1" customWidth="1"/>
    <col min="531" max="531" width="8.5703125" bestFit="1" customWidth="1"/>
    <col min="532" max="532" width="26" bestFit="1" customWidth="1"/>
    <col min="533" max="533" width="8.5703125" bestFit="1" customWidth="1"/>
    <col min="534" max="534" width="26" bestFit="1" customWidth="1"/>
    <col min="535" max="535" width="8.5703125" bestFit="1" customWidth="1"/>
    <col min="536" max="536" width="26" bestFit="1" customWidth="1"/>
    <col min="537" max="537" width="8.5703125" bestFit="1" customWidth="1"/>
    <col min="538" max="538" width="26" bestFit="1" customWidth="1"/>
    <col min="539" max="539" width="8.5703125" bestFit="1" customWidth="1"/>
    <col min="540" max="540" width="26" bestFit="1" customWidth="1"/>
    <col min="541" max="541" width="8.5703125" bestFit="1" customWidth="1"/>
    <col min="542" max="542" width="26" bestFit="1" customWidth="1"/>
    <col min="543" max="543" width="8.5703125" bestFit="1" customWidth="1"/>
    <col min="544" max="544" width="26" bestFit="1" customWidth="1"/>
    <col min="545" max="545" width="8.5703125" bestFit="1" customWidth="1"/>
    <col min="546" max="546" width="26" bestFit="1" customWidth="1"/>
    <col min="547" max="547" width="8.5703125" bestFit="1" customWidth="1"/>
    <col min="548" max="548" width="26" bestFit="1" customWidth="1"/>
    <col min="549" max="549" width="8.5703125" bestFit="1" customWidth="1"/>
    <col min="550" max="550" width="26" bestFit="1" customWidth="1"/>
    <col min="551" max="551" width="8.5703125" bestFit="1" customWidth="1"/>
    <col min="552" max="552" width="26" bestFit="1" customWidth="1"/>
    <col min="553" max="553" width="8.5703125" bestFit="1" customWidth="1"/>
    <col min="554" max="554" width="26" bestFit="1" customWidth="1"/>
    <col min="555" max="555" width="8.5703125" bestFit="1" customWidth="1"/>
    <col min="556" max="556" width="26" bestFit="1" customWidth="1"/>
    <col min="557" max="557" width="8.5703125" bestFit="1" customWidth="1"/>
    <col min="558" max="558" width="26" bestFit="1" customWidth="1"/>
    <col min="559" max="559" width="8.5703125" bestFit="1" customWidth="1"/>
    <col min="560" max="560" width="26" bestFit="1" customWidth="1"/>
    <col min="561" max="561" width="8.5703125" bestFit="1" customWidth="1"/>
    <col min="562" max="562" width="26" bestFit="1" customWidth="1"/>
    <col min="563" max="563" width="8.5703125" bestFit="1" customWidth="1"/>
    <col min="564" max="564" width="26" bestFit="1" customWidth="1"/>
    <col min="565" max="565" width="8.5703125" bestFit="1" customWidth="1"/>
    <col min="566" max="566" width="26" bestFit="1" customWidth="1"/>
    <col min="567" max="567" width="8.5703125" bestFit="1" customWidth="1"/>
    <col min="568" max="568" width="26" bestFit="1" customWidth="1"/>
    <col min="569" max="569" width="8.5703125" bestFit="1" customWidth="1"/>
    <col min="570" max="570" width="26" bestFit="1" customWidth="1"/>
    <col min="571" max="571" width="8.5703125" bestFit="1" customWidth="1"/>
    <col min="572" max="572" width="26" bestFit="1" customWidth="1"/>
    <col min="573" max="573" width="8.5703125" bestFit="1" customWidth="1"/>
    <col min="574" max="574" width="26" bestFit="1" customWidth="1"/>
    <col min="575" max="575" width="8.5703125" bestFit="1" customWidth="1"/>
    <col min="576" max="576" width="17.42578125" bestFit="1" customWidth="1"/>
    <col min="577" max="577" width="8.5703125" bestFit="1" customWidth="1"/>
    <col min="578" max="578" width="17.42578125" bestFit="1" customWidth="1"/>
    <col min="579" max="579" width="8.5703125" bestFit="1" customWidth="1"/>
    <col min="580" max="580" width="17.42578125" bestFit="1" customWidth="1"/>
    <col min="581" max="581" width="8.5703125" bestFit="1" customWidth="1"/>
    <col min="582" max="582" width="17.42578125" bestFit="1" customWidth="1"/>
    <col min="583" max="583" width="8.5703125" bestFit="1" customWidth="1"/>
    <col min="584" max="584" width="17.42578125" bestFit="1" customWidth="1"/>
    <col min="585" max="585" width="8.5703125" bestFit="1" customWidth="1"/>
    <col min="586" max="586" width="17.42578125" bestFit="1" customWidth="1"/>
    <col min="587" max="587" width="8.5703125" bestFit="1" customWidth="1"/>
    <col min="588" max="588" width="19.85546875" bestFit="1" customWidth="1"/>
    <col min="589" max="589" width="8.5703125" bestFit="1" customWidth="1"/>
    <col min="590" max="590" width="19.85546875" bestFit="1" customWidth="1"/>
    <col min="591" max="591" width="8.5703125" bestFit="1" customWidth="1"/>
    <col min="592" max="592" width="19.85546875" bestFit="1" customWidth="1"/>
    <col min="593" max="593" width="8.5703125" bestFit="1" customWidth="1"/>
    <col min="594" max="594" width="19.85546875" bestFit="1" customWidth="1"/>
    <col min="595" max="595" width="8.5703125" bestFit="1" customWidth="1"/>
    <col min="596" max="596" width="19.85546875" bestFit="1" customWidth="1"/>
    <col min="597" max="597" width="8.5703125" bestFit="1" customWidth="1"/>
    <col min="598" max="598" width="19.85546875" bestFit="1" customWidth="1"/>
    <col min="599" max="599" width="8.5703125" bestFit="1" customWidth="1"/>
    <col min="600" max="600" width="19.85546875" bestFit="1" customWidth="1"/>
    <col min="601" max="601" width="8.5703125" bestFit="1" customWidth="1"/>
    <col min="602" max="602" width="19.85546875" bestFit="1" customWidth="1"/>
    <col min="603" max="603" width="8.5703125" bestFit="1" customWidth="1"/>
    <col min="604" max="604" width="19.85546875" bestFit="1" customWidth="1"/>
    <col min="605" max="605" width="8.5703125" bestFit="1" customWidth="1"/>
    <col min="606" max="606" width="19.85546875" bestFit="1" customWidth="1"/>
    <col min="607" max="607" width="8.5703125" bestFit="1" customWidth="1"/>
    <col min="608" max="608" width="19.85546875" bestFit="1" customWidth="1"/>
    <col min="609" max="609" width="8.5703125" bestFit="1" customWidth="1"/>
    <col min="610" max="610" width="19.85546875" bestFit="1" customWidth="1"/>
    <col min="611" max="611" width="8.5703125" bestFit="1" customWidth="1"/>
    <col min="612" max="612" width="19.85546875" bestFit="1" customWidth="1"/>
    <col min="613" max="613" width="8.5703125" bestFit="1" customWidth="1"/>
    <col min="614" max="614" width="19.85546875" bestFit="1" customWidth="1"/>
    <col min="615" max="615" width="8.5703125" bestFit="1" customWidth="1"/>
    <col min="616" max="616" width="17.42578125" bestFit="1" customWidth="1"/>
    <col min="617" max="617" width="8.5703125" bestFit="1" customWidth="1"/>
    <col min="618" max="618" width="17.42578125" bestFit="1" customWidth="1"/>
    <col min="619" max="619" width="8.5703125" bestFit="1" customWidth="1"/>
    <col min="620" max="620" width="17.42578125" bestFit="1" customWidth="1"/>
    <col min="621" max="621" width="8.5703125" bestFit="1" customWidth="1"/>
    <col min="622" max="622" width="17.42578125" bestFit="1" customWidth="1"/>
    <col min="623" max="623" width="8.5703125" bestFit="1" customWidth="1"/>
    <col min="624" max="624" width="17.42578125" bestFit="1" customWidth="1"/>
    <col min="625" max="625" width="8.5703125" bestFit="1" customWidth="1"/>
    <col min="626" max="626" width="17.42578125" bestFit="1" customWidth="1"/>
    <col min="627" max="627" width="8.5703125" bestFit="1" customWidth="1"/>
    <col min="628" max="628" width="17.42578125" bestFit="1" customWidth="1"/>
    <col min="629" max="629" width="8.5703125" bestFit="1" customWidth="1"/>
    <col min="630" max="630" width="17.42578125" bestFit="1" customWidth="1"/>
    <col min="631" max="631" width="8.5703125" bestFit="1" customWidth="1"/>
    <col min="632" max="632" width="17.42578125" bestFit="1" customWidth="1"/>
    <col min="633" max="633" width="8.5703125" bestFit="1" customWidth="1"/>
    <col min="634" max="634" width="17.42578125" bestFit="1" customWidth="1"/>
    <col min="635" max="635" width="8.5703125" bestFit="1" customWidth="1"/>
    <col min="636" max="636" width="17.42578125" bestFit="1" customWidth="1"/>
    <col min="637" max="637" width="8.5703125" bestFit="1" customWidth="1"/>
    <col min="638" max="638" width="17.42578125" bestFit="1" customWidth="1"/>
    <col min="639" max="639" width="8.5703125" bestFit="1" customWidth="1"/>
    <col min="640" max="640" width="17.42578125" bestFit="1" customWidth="1"/>
    <col min="641" max="641" width="8.5703125" bestFit="1" customWidth="1"/>
    <col min="642" max="642" width="17.42578125" bestFit="1" customWidth="1"/>
    <col min="643" max="643" width="8.5703125" bestFit="1" customWidth="1"/>
    <col min="644" max="644" width="17.42578125" bestFit="1" customWidth="1"/>
    <col min="645" max="645" width="8.5703125" bestFit="1" customWidth="1"/>
    <col min="646" max="646" width="17.42578125" bestFit="1" customWidth="1"/>
    <col min="647" max="647" width="8.5703125" bestFit="1" customWidth="1"/>
    <col min="648" max="648" width="17.42578125" bestFit="1" customWidth="1"/>
    <col min="649" max="649" width="8.5703125" bestFit="1" customWidth="1"/>
    <col min="650" max="650" width="17.42578125" bestFit="1" customWidth="1"/>
    <col min="651" max="651" width="8.5703125" bestFit="1" customWidth="1"/>
    <col min="652" max="652" width="17.42578125" bestFit="1" customWidth="1"/>
    <col min="653" max="653" width="8.5703125" bestFit="1" customWidth="1"/>
    <col min="654" max="654" width="16.42578125" bestFit="1" customWidth="1"/>
    <col min="655" max="655" width="7.5703125" bestFit="1" customWidth="1"/>
    <col min="656" max="656" width="16.42578125" bestFit="1" customWidth="1"/>
    <col min="657" max="657" width="7.5703125" bestFit="1" customWidth="1"/>
    <col min="658" max="658" width="16.42578125" bestFit="1" customWidth="1"/>
    <col min="659" max="659" width="7.5703125" bestFit="1" customWidth="1"/>
    <col min="660" max="660" width="18.5703125" bestFit="1" customWidth="1"/>
    <col min="661" max="661" width="7.5703125" bestFit="1" customWidth="1"/>
    <col min="662" max="662" width="18.5703125" bestFit="1" customWidth="1"/>
    <col min="663" max="663" width="7.5703125" bestFit="1" customWidth="1"/>
    <col min="664" max="664" width="18.5703125" bestFit="1" customWidth="1"/>
    <col min="665" max="665" width="7.5703125" bestFit="1" customWidth="1"/>
    <col min="666" max="666" width="18.5703125" bestFit="1" customWidth="1"/>
    <col min="667" max="667" width="7.5703125" bestFit="1" customWidth="1"/>
    <col min="668" max="668" width="18.5703125" bestFit="1" customWidth="1"/>
    <col min="669" max="669" width="7.5703125" bestFit="1" customWidth="1"/>
    <col min="670" max="670" width="18.5703125" bestFit="1" customWidth="1"/>
    <col min="671" max="671" width="7.5703125" bestFit="1" customWidth="1"/>
    <col min="672" max="672" width="18.5703125" bestFit="1" customWidth="1"/>
    <col min="673" max="673" width="7.5703125" bestFit="1" customWidth="1"/>
    <col min="674" max="674" width="18.5703125" bestFit="1" customWidth="1"/>
    <col min="675" max="675" width="7.5703125" bestFit="1" customWidth="1"/>
    <col min="676" max="676" width="18.5703125" bestFit="1" customWidth="1"/>
    <col min="677" max="677" width="7.5703125" bestFit="1" customWidth="1"/>
    <col min="678" max="678" width="18.5703125" bestFit="1" customWidth="1"/>
    <col min="679" max="679" width="7.5703125" bestFit="1" customWidth="1"/>
    <col min="680" max="680" width="18.5703125" bestFit="1" customWidth="1"/>
    <col min="681" max="681" width="7.5703125" bestFit="1" customWidth="1"/>
    <col min="682" max="682" width="18.5703125" bestFit="1" customWidth="1"/>
    <col min="683" max="683" width="7.5703125" bestFit="1" customWidth="1"/>
    <col min="684" max="684" width="18.5703125" bestFit="1" customWidth="1"/>
    <col min="685" max="685" width="7.5703125" bestFit="1" customWidth="1"/>
    <col min="686" max="686" width="18.5703125" bestFit="1" customWidth="1"/>
    <col min="687" max="687" width="7.5703125" bestFit="1" customWidth="1"/>
    <col min="688" max="688" width="18.5703125" bestFit="1" customWidth="1"/>
    <col min="689" max="689" width="7.5703125" bestFit="1" customWidth="1"/>
    <col min="690" max="690" width="18.5703125" bestFit="1" customWidth="1"/>
    <col min="691" max="691" width="7.5703125" bestFit="1" customWidth="1"/>
    <col min="692" max="692" width="18.5703125" bestFit="1" customWidth="1"/>
    <col min="693" max="693" width="7.5703125" bestFit="1" customWidth="1"/>
    <col min="694" max="694" width="16.42578125" bestFit="1" customWidth="1"/>
    <col min="695" max="695" width="7.5703125" bestFit="1" customWidth="1"/>
    <col min="696" max="696" width="17.42578125" customWidth="1"/>
    <col min="697" max="697" width="8.5703125" bestFit="1" customWidth="1"/>
    <col min="698" max="698" width="17.42578125" customWidth="1"/>
    <col min="699" max="699" width="8.5703125" bestFit="1" customWidth="1"/>
    <col min="700" max="700" width="17.42578125" customWidth="1"/>
    <col min="701" max="701" width="8.5703125" bestFit="1" customWidth="1"/>
    <col min="702" max="702" width="17.42578125" customWidth="1"/>
    <col min="703" max="703" width="8.5703125" bestFit="1" customWidth="1"/>
    <col min="704" max="704" width="37.28515625" bestFit="1" customWidth="1"/>
    <col min="705" max="705" width="8.5703125" bestFit="1" customWidth="1"/>
    <col min="706" max="706" width="37.28515625" bestFit="1" customWidth="1"/>
    <col min="707" max="707" width="8.5703125" bestFit="1" customWidth="1"/>
    <col min="708" max="708" width="37.28515625" bestFit="1" customWidth="1"/>
    <col min="709" max="709" width="8.5703125" bestFit="1" customWidth="1"/>
    <col min="710" max="710" width="37.28515625" bestFit="1" customWidth="1"/>
    <col min="711" max="711" width="8.5703125" bestFit="1" customWidth="1"/>
    <col min="712" max="712" width="37.28515625" bestFit="1" customWidth="1"/>
    <col min="713" max="713" width="8.5703125" bestFit="1" customWidth="1"/>
    <col min="714" max="714" width="17.42578125" customWidth="1"/>
    <col min="715" max="715" width="19.28515625" bestFit="1" customWidth="1"/>
    <col min="716" max="716" width="23.28515625" bestFit="1" customWidth="1"/>
    <col min="717" max="719" width="16.42578125" bestFit="1" customWidth="1"/>
    <col min="720" max="720" width="24.85546875" bestFit="1" customWidth="1"/>
    <col min="721" max="721" width="20.28515625" bestFit="1" customWidth="1"/>
    <col min="722" max="722" width="17" bestFit="1" customWidth="1"/>
    <col min="723" max="723" width="17.85546875" bestFit="1" customWidth="1"/>
    <col min="724" max="724" width="26" bestFit="1" customWidth="1"/>
    <col min="725" max="727" width="16.42578125" bestFit="1" customWidth="1"/>
    <col min="728" max="728" width="24.28515625" bestFit="1" customWidth="1"/>
    <col min="729" max="729" width="20.28515625" bestFit="1" customWidth="1"/>
    <col min="730" max="730" width="21.140625" bestFit="1" customWidth="1"/>
    <col min="731" max="731" width="23.85546875" bestFit="1" customWidth="1"/>
    <col min="732" max="732" width="16.42578125" bestFit="1" customWidth="1"/>
    <col min="733" max="733" width="16.42578125" customWidth="1"/>
  </cols>
  <sheetData>
    <row r="1" spans="1:37">
      <c r="A1" t="s">
        <v>1107</v>
      </c>
      <c r="B1" t="s">
        <v>1331</v>
      </c>
      <c r="C1" t="s">
        <v>1110</v>
      </c>
      <c r="D1" t="s">
        <v>1332</v>
      </c>
      <c r="E1" t="s">
        <v>1111</v>
      </c>
      <c r="F1" t="s">
        <v>1333</v>
      </c>
      <c r="G1" t="s">
        <v>1112</v>
      </c>
      <c r="H1" t="s">
        <v>1334</v>
      </c>
      <c r="I1" t="s">
        <v>1113</v>
      </c>
      <c r="J1" t="s">
        <v>1335</v>
      </c>
      <c r="K1" t="s">
        <v>1114</v>
      </c>
      <c r="L1" t="s">
        <v>1336</v>
      </c>
      <c r="M1" t="s">
        <v>1115</v>
      </c>
      <c r="N1" t="s">
        <v>1337</v>
      </c>
      <c r="O1" t="s">
        <v>1116</v>
      </c>
      <c r="P1" t="s">
        <v>1338</v>
      </c>
      <c r="Q1" t="s">
        <v>1117</v>
      </c>
      <c r="R1" t="s">
        <v>1339</v>
      </c>
      <c r="S1" t="s">
        <v>1118</v>
      </c>
      <c r="T1" t="s">
        <v>1340</v>
      </c>
      <c r="U1" t="s">
        <v>1119</v>
      </c>
      <c r="V1" t="s">
        <v>1341</v>
      </c>
      <c r="W1" t="s">
        <v>1120</v>
      </c>
      <c r="X1" t="s">
        <v>1342</v>
      </c>
      <c r="Y1" t="s">
        <v>1121</v>
      </c>
      <c r="Z1" t="s">
        <v>1343</v>
      </c>
      <c r="AA1" t="s">
        <v>1122</v>
      </c>
      <c r="AB1" t="s">
        <v>1344</v>
      </c>
      <c r="AC1" t="s">
        <v>1123</v>
      </c>
      <c r="AD1" t="s">
        <v>1345</v>
      </c>
      <c r="AE1" t="s">
        <v>1124</v>
      </c>
      <c r="AF1" t="s">
        <v>1346</v>
      </c>
      <c r="AG1" t="s">
        <v>1125</v>
      </c>
      <c r="AH1" t="s">
        <v>1347</v>
      </c>
      <c r="AI1" t="s">
        <v>1126</v>
      </c>
      <c r="AJ1" t="s">
        <v>1348</v>
      </c>
      <c r="AK1" t="s">
        <v>1127</v>
      </c>
    </row>
    <row r="2" spans="1:37">
      <c r="A2" t="s">
        <v>108</v>
      </c>
      <c r="B2" t="s">
        <v>12</v>
      </c>
      <c r="C2" t="s">
        <v>188</v>
      </c>
      <c r="D2" t="s">
        <v>79</v>
      </c>
    </row>
    <row r="3" spans="1:37">
      <c r="A3" t="s">
        <v>1109</v>
      </c>
      <c r="B3" t="s">
        <v>200</v>
      </c>
    </row>
    <row r="4" spans="1:37">
      <c r="A4" t="s">
        <v>11</v>
      </c>
      <c r="B4" t="s">
        <v>13</v>
      </c>
      <c r="C4" t="s">
        <v>16</v>
      </c>
      <c r="D4" t="s">
        <v>207</v>
      </c>
      <c r="E4" t="s">
        <v>225</v>
      </c>
      <c r="F4" t="s">
        <v>233</v>
      </c>
      <c r="G4" t="s">
        <v>235</v>
      </c>
      <c r="H4" t="s">
        <v>241</v>
      </c>
      <c r="I4" t="s">
        <v>1222</v>
      </c>
      <c r="J4" t="s">
        <v>15</v>
      </c>
      <c r="K4" t="s">
        <v>1303</v>
      </c>
      <c r="L4" t="s">
        <v>1302</v>
      </c>
    </row>
    <row r="5" spans="1:37">
      <c r="A5" t="s">
        <v>23</v>
      </c>
      <c r="B5" t="s">
        <v>243</v>
      </c>
      <c r="C5" t="s">
        <v>258</v>
      </c>
      <c r="D5" t="s">
        <v>689</v>
      </c>
      <c r="E5" t="s">
        <v>15</v>
      </c>
      <c r="F5" t="s">
        <v>901</v>
      </c>
      <c r="G5" t="s">
        <v>104</v>
      </c>
      <c r="H5" t="s">
        <v>910</v>
      </c>
    </row>
    <row r="6" spans="1:37">
      <c r="A6" t="s">
        <v>25</v>
      </c>
      <c r="B6" t="s">
        <v>1108</v>
      </c>
    </row>
    <row r="7" spans="1:37">
      <c r="A7" t="s">
        <v>34</v>
      </c>
      <c r="B7" t="s">
        <v>264</v>
      </c>
      <c r="C7" t="s">
        <v>272</v>
      </c>
      <c r="D7" t="s">
        <v>282</v>
      </c>
      <c r="E7" t="s">
        <v>915</v>
      </c>
      <c r="F7" t="s">
        <v>1035</v>
      </c>
    </row>
    <row r="8" spans="1:37">
      <c r="A8" t="s">
        <v>288</v>
      </c>
      <c r="B8" t="s">
        <v>18</v>
      </c>
      <c r="C8" t="s">
        <v>292</v>
      </c>
      <c r="D8" t="s">
        <v>331</v>
      </c>
      <c r="E8" t="s">
        <v>155</v>
      </c>
      <c r="F8" t="s">
        <v>343</v>
      </c>
      <c r="G8" t="s">
        <v>111</v>
      </c>
    </row>
    <row r="9" spans="1:37">
      <c r="A9" t="s">
        <v>26</v>
      </c>
      <c r="B9" t="s">
        <v>294</v>
      </c>
      <c r="C9" t="s">
        <v>319</v>
      </c>
      <c r="D9" t="s">
        <v>930</v>
      </c>
    </row>
    <row r="10" spans="1:37">
      <c r="A10" t="s">
        <v>33</v>
      </c>
      <c r="B10" t="s">
        <v>325</v>
      </c>
      <c r="C10" t="s">
        <v>326</v>
      </c>
      <c r="D10" t="s">
        <v>915</v>
      </c>
    </row>
    <row r="11" spans="1:37">
      <c r="A11" t="s">
        <v>66</v>
      </c>
      <c r="B11" t="s">
        <v>114</v>
      </c>
    </row>
    <row r="12" spans="1:37">
      <c r="A12" t="s">
        <v>353</v>
      </c>
      <c r="B12" t="s">
        <v>354</v>
      </c>
      <c r="C12" t="s">
        <v>358</v>
      </c>
      <c r="D12" t="s">
        <v>726</v>
      </c>
    </row>
    <row r="13" spans="1:37">
      <c r="A13" t="s">
        <v>69</v>
      </c>
      <c r="B13" t="s">
        <v>362</v>
      </c>
      <c r="C13" t="s">
        <v>365</v>
      </c>
      <c r="D13" t="s">
        <v>367</v>
      </c>
      <c r="E13" t="s">
        <v>368</v>
      </c>
      <c r="F13" t="s">
        <v>371</v>
      </c>
      <c r="G13" t="s">
        <v>409</v>
      </c>
      <c r="H13" t="s">
        <v>422</v>
      </c>
      <c r="I13" t="s">
        <v>141</v>
      </c>
      <c r="J13" t="s">
        <v>428</v>
      </c>
      <c r="K13" t="s">
        <v>438</v>
      </c>
      <c r="L13" t="s">
        <v>440</v>
      </c>
      <c r="M13" t="s">
        <v>444</v>
      </c>
      <c r="N13" t="s">
        <v>87</v>
      </c>
      <c r="O13" t="s">
        <v>461</v>
      </c>
      <c r="P13" t="s">
        <v>512</v>
      </c>
      <c r="Q13" t="s">
        <v>514</v>
      </c>
      <c r="R13" t="s">
        <v>723</v>
      </c>
      <c r="S13" t="s">
        <v>915</v>
      </c>
      <c r="T13" t="s">
        <v>948</v>
      </c>
      <c r="U13" t="s">
        <v>963</v>
      </c>
      <c r="V13" t="s">
        <v>971</v>
      </c>
      <c r="W13" t="s">
        <v>976</v>
      </c>
      <c r="X13" t="s">
        <v>980</v>
      </c>
      <c r="Y13" t="s">
        <v>982</v>
      </c>
      <c r="Z13" t="s">
        <v>987</v>
      </c>
      <c r="AA13" t="s">
        <v>990</v>
      </c>
      <c r="AB13" t="s">
        <v>992</v>
      </c>
      <c r="AC13" t="s">
        <v>997</v>
      </c>
      <c r="AD13" t="s">
        <v>107</v>
      </c>
      <c r="AE13" t="s">
        <v>1066</v>
      </c>
      <c r="AF13" t="s">
        <v>138</v>
      </c>
      <c r="AG13" t="s">
        <v>1067</v>
      </c>
      <c r="AH13" t="s">
        <v>1076</v>
      </c>
      <c r="AI13" t="s">
        <v>1084</v>
      </c>
      <c r="AJ13" t="s">
        <v>1089</v>
      </c>
      <c r="AK13" t="s">
        <v>80</v>
      </c>
    </row>
    <row r="14" spans="1:37">
      <c r="A14" t="s">
        <v>98</v>
      </c>
      <c r="B14" t="s">
        <v>375</v>
      </c>
      <c r="C14" t="s">
        <v>398</v>
      </c>
      <c r="D14" t="s">
        <v>629</v>
      </c>
      <c r="E14" t="s">
        <v>757</v>
      </c>
      <c r="F14" t="s">
        <v>777</v>
      </c>
      <c r="G14" t="s">
        <v>10</v>
      </c>
      <c r="H14" t="s">
        <v>1301</v>
      </c>
    </row>
    <row r="15" spans="1:37">
      <c r="A15" t="s">
        <v>379</v>
      </c>
      <c r="B15" t="s">
        <v>380</v>
      </c>
    </row>
    <row r="16" spans="1:37">
      <c r="A16" t="s">
        <v>45</v>
      </c>
      <c r="B16" t="s">
        <v>396</v>
      </c>
      <c r="C16" t="s">
        <v>406</v>
      </c>
    </row>
    <row r="17" spans="1:8">
      <c r="A17" t="s">
        <v>67</v>
      </c>
      <c r="B17" t="s">
        <v>520</v>
      </c>
      <c r="C17" t="s">
        <v>915</v>
      </c>
    </row>
    <row r="18" spans="1:8">
      <c r="A18" t="s">
        <v>51</v>
      </c>
      <c r="B18" t="s">
        <v>522</v>
      </c>
      <c r="C18" t="s">
        <v>552</v>
      </c>
    </row>
    <row r="19" spans="1:8">
      <c r="A19" t="s">
        <v>559</v>
      </c>
      <c r="B19" t="s">
        <v>560</v>
      </c>
      <c r="C19" t="s">
        <v>569</v>
      </c>
      <c r="D19" t="s">
        <v>573</v>
      </c>
      <c r="E19" t="s">
        <v>48</v>
      </c>
      <c r="F19" t="s">
        <v>819</v>
      </c>
      <c r="G19" t="s">
        <v>910</v>
      </c>
    </row>
    <row r="20" spans="1:8">
      <c r="A20" t="s">
        <v>50</v>
      </c>
      <c r="B20" t="s">
        <v>578</v>
      </c>
      <c r="C20" t="s">
        <v>582</v>
      </c>
      <c r="D20" t="s">
        <v>585</v>
      </c>
      <c r="E20" t="s">
        <v>588</v>
      </c>
      <c r="F20" t="s">
        <v>591</v>
      </c>
      <c r="G20" t="s">
        <v>831</v>
      </c>
      <c r="H20" t="s">
        <v>837</v>
      </c>
    </row>
    <row r="21" spans="1:8">
      <c r="A21" t="s">
        <v>58</v>
      </c>
      <c r="B21" t="s">
        <v>60</v>
      </c>
      <c r="C21" t="s">
        <v>596</v>
      </c>
      <c r="D21" t="s">
        <v>597</v>
      </c>
      <c r="E21" t="s">
        <v>607</v>
      </c>
      <c r="F21" t="s">
        <v>616</v>
      </c>
      <c r="G21" t="s">
        <v>617</v>
      </c>
      <c r="H21" t="s">
        <v>622</v>
      </c>
    </row>
    <row r="22" spans="1:8">
      <c r="A22" t="s">
        <v>57</v>
      </c>
      <c r="B22" t="s">
        <v>640</v>
      </c>
      <c r="C22" t="s">
        <v>858</v>
      </c>
    </row>
    <row r="23" spans="1:8">
      <c r="A23" t="s">
        <v>650</v>
      </c>
      <c r="B23" t="s">
        <v>651</v>
      </c>
      <c r="C23" t="s">
        <v>661</v>
      </c>
      <c r="D23" t="s">
        <v>665</v>
      </c>
      <c r="E23" t="s">
        <v>673</v>
      </c>
    </row>
    <row r="24" spans="1:8">
      <c r="A24" t="s">
        <v>43</v>
      </c>
      <c r="B24" t="s">
        <v>695</v>
      </c>
    </row>
    <row r="25" spans="1:8">
      <c r="A25" t="s">
        <v>64</v>
      </c>
      <c r="B25" t="s">
        <v>65</v>
      </c>
    </row>
    <row r="26" spans="1:8">
      <c r="A26" t="s">
        <v>922</v>
      </c>
      <c r="B26" t="s">
        <v>707</v>
      </c>
      <c r="C26" t="s">
        <v>915</v>
      </c>
    </row>
    <row r="27" spans="1:8">
      <c r="A27" t="s">
        <v>109</v>
      </c>
      <c r="B27" t="s">
        <v>709</v>
      </c>
    </row>
    <row r="28" spans="1:8">
      <c r="A28" t="s">
        <v>713</v>
      </c>
      <c r="B28" t="s">
        <v>714</v>
      </c>
    </row>
    <row r="29" spans="1:8">
      <c r="A29" t="s">
        <v>717</v>
      </c>
      <c r="B29" t="s">
        <v>718</v>
      </c>
    </row>
    <row r="30" spans="1:8">
      <c r="A30" t="s">
        <v>113</v>
      </c>
      <c r="B30" t="s">
        <v>740</v>
      </c>
      <c r="C30" t="s">
        <v>749</v>
      </c>
    </row>
    <row r="31" spans="1:8">
      <c r="A31" t="s">
        <v>743</v>
      </c>
      <c r="B31" t="s">
        <v>744</v>
      </c>
    </row>
    <row r="32" spans="1:8">
      <c r="A32" t="s">
        <v>99</v>
      </c>
      <c r="B32" t="s">
        <v>754</v>
      </c>
    </row>
    <row r="33" spans="1:19">
      <c r="A33" t="s">
        <v>798</v>
      </c>
      <c r="B33" t="s">
        <v>799</v>
      </c>
    </row>
    <row r="34" spans="1:19">
      <c r="A34" t="s">
        <v>807</v>
      </c>
      <c r="B34" t="s">
        <v>808</v>
      </c>
    </row>
    <row r="35" spans="1:19">
      <c r="A35" t="s">
        <v>105</v>
      </c>
      <c r="B35" t="s">
        <v>813</v>
      </c>
      <c r="C35" t="s">
        <v>1354</v>
      </c>
      <c r="D35" t="s">
        <v>878</v>
      </c>
      <c r="E35" t="s">
        <v>880</v>
      </c>
      <c r="F35" t="s">
        <v>884</v>
      </c>
      <c r="G35" t="s">
        <v>886</v>
      </c>
      <c r="H35" t="s">
        <v>890</v>
      </c>
      <c r="I35" t="s">
        <v>1353</v>
      </c>
      <c r="J35" t="s">
        <v>1035</v>
      </c>
      <c r="K35" t="s">
        <v>1037</v>
      </c>
      <c r="L35" t="s">
        <v>1041</v>
      </c>
      <c r="M35" t="s">
        <v>1044</v>
      </c>
      <c r="N35" t="s">
        <v>1047</v>
      </c>
      <c r="O35" t="s">
        <v>1049</v>
      </c>
      <c r="P35" t="s">
        <v>1057</v>
      </c>
      <c r="Q35" t="s">
        <v>1063</v>
      </c>
      <c r="R35" t="s">
        <v>1226</v>
      </c>
      <c r="S35" t="s">
        <v>1355</v>
      </c>
    </row>
    <row r="36" spans="1:19">
      <c r="A36" t="s">
        <v>840</v>
      </c>
      <c r="B36" t="s">
        <v>841</v>
      </c>
      <c r="C36" t="s">
        <v>851</v>
      </c>
    </row>
    <row r="37" spans="1:19">
      <c r="A37" t="s">
        <v>35</v>
      </c>
      <c r="B37" t="s">
        <v>854</v>
      </c>
    </row>
    <row r="38" spans="1:19">
      <c r="A38" t="s">
        <v>596</v>
      </c>
      <c r="B38" t="s">
        <v>864</v>
      </c>
      <c r="C38" t="s">
        <v>876</v>
      </c>
    </row>
    <row r="39" spans="1:19">
      <c r="A39" t="s">
        <v>63</v>
      </c>
      <c r="B39" t="s">
        <v>915</v>
      </c>
    </row>
    <row r="40" spans="1:19">
      <c r="A40" t="s">
        <v>41</v>
      </c>
      <c r="B40" t="s">
        <v>915</v>
      </c>
      <c r="C40" t="s">
        <v>944</v>
      </c>
    </row>
    <row r="41" spans="1:19">
      <c r="A41" t="s">
        <v>42</v>
      </c>
      <c r="B41" t="s">
        <v>915</v>
      </c>
    </row>
    <row r="42" spans="1:19">
      <c r="A42" t="s">
        <v>68</v>
      </c>
      <c r="B42" t="s">
        <v>936</v>
      </c>
    </row>
    <row r="43" spans="1:19">
      <c r="A43" t="s">
        <v>44</v>
      </c>
      <c r="B43" t="s">
        <v>936</v>
      </c>
    </row>
    <row r="44" spans="1:19">
      <c r="A44" t="s">
        <v>101</v>
      </c>
      <c r="B44" t="s">
        <v>1015</v>
      </c>
      <c r="C44" t="s">
        <v>1027</v>
      </c>
    </row>
    <row r="56" spans="4:4">
      <c r="D56" s="228"/>
    </row>
  </sheetData>
  <phoneticPr fontId="3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3C489-1FFC-4F57-9066-F9F03277436B}">
  <sheetPr codeName="Sheet15">
    <tabColor theme="1"/>
  </sheetPr>
  <dimension ref="A1:AZ150"/>
  <sheetViews>
    <sheetView workbookViewId="0">
      <selection activeCell="B14" sqref="B14"/>
    </sheetView>
  </sheetViews>
  <sheetFormatPr defaultRowHeight="15"/>
  <cols>
    <col min="1" max="1" width="76.28515625" bestFit="1" customWidth="1"/>
    <col min="2" max="2" width="73.42578125" bestFit="1" customWidth="1"/>
    <col min="3" max="9" width="81.140625" bestFit="1" customWidth="1"/>
    <col min="10" max="10" width="62.85546875" bestFit="1" customWidth="1"/>
    <col min="11" max="11" width="63.140625" bestFit="1" customWidth="1"/>
    <col min="12" max="13" width="63.28515625" bestFit="1" customWidth="1"/>
    <col min="14" max="14" width="71.5703125" bestFit="1" customWidth="1"/>
    <col min="15" max="15" width="63.28515625" bestFit="1" customWidth="1"/>
    <col min="16" max="16" width="69.5703125" bestFit="1" customWidth="1"/>
    <col min="17" max="17" width="64.28515625" bestFit="1" customWidth="1"/>
    <col min="18" max="18" width="59.85546875" bestFit="1" customWidth="1"/>
    <col min="19" max="19" width="63.140625" bestFit="1" customWidth="1"/>
    <col min="20" max="23" width="63.28515625" bestFit="1" customWidth="1"/>
    <col min="24" max="24" width="70.85546875" bestFit="1" customWidth="1"/>
    <col min="25" max="25" width="63.28515625" bestFit="1" customWidth="1"/>
    <col min="26" max="26" width="48.42578125" bestFit="1" customWidth="1"/>
    <col min="27" max="27" width="63.140625" bestFit="1" customWidth="1"/>
    <col min="28" max="28" width="63.28515625" bestFit="1" customWidth="1"/>
    <col min="29" max="29" width="62.85546875" bestFit="1" customWidth="1"/>
    <col min="30" max="33" width="63.28515625" bestFit="1" customWidth="1"/>
    <col min="34" max="34" width="48.42578125" bestFit="1" customWidth="1"/>
    <col min="35" max="35" width="63.140625" bestFit="1" customWidth="1"/>
    <col min="36" max="36" width="63.28515625" bestFit="1" customWidth="1"/>
    <col min="37" max="37" width="62.85546875" bestFit="1" customWidth="1"/>
    <col min="38" max="40" width="63.28515625" bestFit="1" customWidth="1"/>
    <col min="41" max="41" width="62.5703125" bestFit="1" customWidth="1"/>
    <col min="42" max="42" width="63.140625" bestFit="1" customWidth="1"/>
    <col min="43" max="52" width="63.28515625" bestFit="1" customWidth="1"/>
    <col min="53" max="53" width="25" bestFit="1" customWidth="1"/>
    <col min="54" max="54" width="7.5703125" bestFit="1" customWidth="1"/>
    <col min="55" max="55" width="19.7109375" bestFit="1" customWidth="1"/>
    <col min="56" max="56" width="7.5703125" bestFit="1" customWidth="1"/>
    <col min="57" max="57" width="19.7109375" bestFit="1" customWidth="1"/>
    <col min="58" max="58" width="7.5703125" bestFit="1" customWidth="1"/>
    <col min="59" max="59" width="21" bestFit="1" customWidth="1"/>
    <col min="60" max="60" width="59.7109375" bestFit="1" customWidth="1"/>
    <col min="61" max="61" width="7.5703125" bestFit="1" customWidth="1"/>
    <col min="62" max="62" width="59.7109375" bestFit="1" customWidth="1"/>
    <col min="63" max="63" width="7.5703125" bestFit="1" customWidth="1"/>
    <col min="64" max="64" width="59.28515625" customWidth="1"/>
    <col min="65" max="65" width="7.5703125" bestFit="1" customWidth="1"/>
    <col min="66" max="66" width="59.7109375" bestFit="1" customWidth="1"/>
    <col min="67" max="67" width="7.5703125" bestFit="1" customWidth="1"/>
    <col min="68" max="68" width="59.7109375" bestFit="1" customWidth="1"/>
    <col min="69" max="69" width="7.5703125" bestFit="1" customWidth="1"/>
    <col min="70" max="70" width="59.7109375" bestFit="1" customWidth="1"/>
    <col min="71" max="71" width="7.5703125" bestFit="1" customWidth="1"/>
    <col min="72" max="72" width="59.7109375" bestFit="1" customWidth="1"/>
    <col min="73" max="73" width="7.5703125" bestFit="1" customWidth="1"/>
    <col min="74" max="74" width="45.42578125" bestFit="1" customWidth="1"/>
    <col min="75" max="75" width="7.5703125" bestFit="1" customWidth="1"/>
    <col min="76" max="76" width="59.7109375" bestFit="1" customWidth="1"/>
    <col min="77" max="77" width="7.5703125" bestFit="1" customWidth="1"/>
    <col min="78" max="78" width="59.7109375" bestFit="1" customWidth="1"/>
    <col min="79" max="79" width="7.5703125" bestFit="1" customWidth="1"/>
    <col min="80" max="80" width="59.28515625" customWidth="1"/>
    <col min="81" max="81" width="7.5703125" bestFit="1" customWidth="1"/>
    <col min="82" max="82" width="59.7109375" bestFit="1" customWidth="1"/>
    <col min="83" max="83" width="7.5703125" bestFit="1" customWidth="1"/>
    <col min="84" max="84" width="59.7109375" bestFit="1" customWidth="1"/>
    <col min="85" max="88" width="7.5703125" bestFit="1" customWidth="1"/>
    <col min="89" max="89" width="59.7109375" bestFit="1" customWidth="1"/>
    <col min="90" max="90" width="7.5703125" bestFit="1" customWidth="1"/>
    <col min="91" max="91" width="45.42578125" bestFit="1" customWidth="1"/>
    <col min="92" max="92" width="7.5703125" bestFit="1" customWidth="1"/>
    <col min="93" max="93" width="59.7109375" bestFit="1" customWidth="1"/>
    <col min="94" max="94" width="7.5703125" bestFit="1" customWidth="1"/>
    <col min="95" max="95" width="59.7109375" bestFit="1" customWidth="1"/>
    <col min="96" max="96" width="7.5703125" bestFit="1" customWidth="1"/>
    <col min="97" max="97" width="59.7109375" bestFit="1" customWidth="1"/>
    <col min="98" max="98" width="7.5703125" bestFit="1" customWidth="1"/>
    <col min="99" max="99" width="59.7109375" bestFit="1" customWidth="1"/>
    <col min="100" max="100" width="7.5703125" bestFit="1" customWidth="1"/>
    <col min="101" max="101" width="59.7109375" bestFit="1" customWidth="1"/>
    <col min="102" max="102" width="7.5703125" bestFit="1" customWidth="1"/>
    <col min="103" max="103" width="59.7109375" bestFit="1" customWidth="1"/>
    <col min="104" max="104" width="7.5703125" bestFit="1" customWidth="1"/>
    <col min="105" max="105" width="59.28515625" customWidth="1"/>
    <col min="106" max="106" width="7.5703125" bestFit="1" customWidth="1"/>
    <col min="107" max="107" width="59.28515625" customWidth="1"/>
    <col min="108" max="108" width="7.5703125" bestFit="1" customWidth="1"/>
    <col min="109" max="109" width="59.7109375" bestFit="1" customWidth="1"/>
    <col min="110" max="110" width="7.5703125" bestFit="1" customWidth="1"/>
    <col min="111" max="111" width="59.7109375" bestFit="1" customWidth="1"/>
    <col min="112" max="112" width="7.5703125" bestFit="1" customWidth="1"/>
    <col min="113" max="113" width="59.7109375" bestFit="1" customWidth="1"/>
    <col min="114" max="114" width="7.5703125" bestFit="1" customWidth="1"/>
    <col min="115" max="115" width="59.7109375" bestFit="1" customWidth="1"/>
    <col min="116" max="116" width="7.5703125" bestFit="1" customWidth="1"/>
    <col min="117" max="117" width="59.7109375" bestFit="1" customWidth="1"/>
    <col min="118" max="118" width="7.5703125" bestFit="1" customWidth="1"/>
    <col min="119" max="119" width="59.7109375" bestFit="1" customWidth="1"/>
    <col min="120" max="120" width="7.5703125" bestFit="1" customWidth="1"/>
    <col min="121" max="121" width="58.7109375" bestFit="1" customWidth="1"/>
    <col min="122" max="122" width="7.5703125" bestFit="1" customWidth="1"/>
    <col min="123" max="123" width="58.7109375" bestFit="1" customWidth="1"/>
    <col min="124" max="124" width="7.5703125" bestFit="1" customWidth="1"/>
    <col min="125" max="125" width="58.7109375" bestFit="1" customWidth="1"/>
    <col min="126" max="126" width="7.5703125" bestFit="1" customWidth="1"/>
    <col min="127" max="127" width="58.7109375" bestFit="1" customWidth="1"/>
    <col min="128" max="128" width="7.5703125" bestFit="1" customWidth="1"/>
    <col min="129" max="129" width="58.7109375" bestFit="1" customWidth="1"/>
    <col min="130" max="130" width="7.5703125" bestFit="1" customWidth="1"/>
    <col min="131" max="131" width="58.7109375" bestFit="1" customWidth="1"/>
    <col min="132" max="132" width="8.5703125" bestFit="1" customWidth="1"/>
    <col min="133" max="133" width="44.42578125" bestFit="1" customWidth="1"/>
    <col min="134" max="134" width="8.5703125" bestFit="1" customWidth="1"/>
    <col min="135" max="135" width="58.7109375" bestFit="1" customWidth="1"/>
    <col min="136" max="137" width="8.5703125" bestFit="1" customWidth="1"/>
    <col min="138" max="147" width="7.5703125" bestFit="1" customWidth="1"/>
    <col min="148" max="148" width="24.85546875" bestFit="1" customWidth="1"/>
    <col min="149" max="149" width="7.5703125" bestFit="1" customWidth="1"/>
    <col min="150" max="150" width="62.7109375" bestFit="1" customWidth="1"/>
    <col min="151" max="151" width="50.7109375" bestFit="1" customWidth="1"/>
    <col min="152" max="152" width="7.5703125" bestFit="1" customWidth="1"/>
    <col min="153" max="153" width="30.85546875" bestFit="1" customWidth="1"/>
    <col min="154" max="154" width="40.140625" bestFit="1" customWidth="1"/>
    <col min="155" max="155" width="6.5703125" bestFit="1" customWidth="1"/>
    <col min="156" max="156" width="36.7109375" bestFit="1" customWidth="1"/>
    <col min="157" max="158" width="19.7109375" bestFit="1" customWidth="1"/>
    <col min="159" max="159" width="35.5703125" bestFit="1" customWidth="1"/>
    <col min="160" max="170" width="59.7109375" bestFit="1" customWidth="1"/>
    <col min="171" max="171" width="56" bestFit="1" customWidth="1"/>
    <col min="172" max="173" width="18.85546875" bestFit="1" customWidth="1"/>
    <col min="174" max="174" width="12.28515625" bestFit="1" customWidth="1"/>
    <col min="175" max="175" width="13.5703125" bestFit="1" customWidth="1"/>
    <col min="176" max="176" width="18.5703125" bestFit="1" customWidth="1"/>
    <col min="177" max="177" width="16.42578125" bestFit="1" customWidth="1"/>
    <col min="178" max="178" width="29.7109375" bestFit="1" customWidth="1"/>
    <col min="179" max="179" width="69.28515625" bestFit="1" customWidth="1"/>
    <col min="180" max="180" width="61.28515625" bestFit="1" customWidth="1"/>
    <col min="181" max="185" width="77.140625" bestFit="1" customWidth="1"/>
    <col min="186" max="186" width="77.28515625" bestFit="1" customWidth="1"/>
    <col min="187" max="190" width="59.7109375" bestFit="1" customWidth="1"/>
    <col min="191" max="191" width="65.7109375" bestFit="1" customWidth="1"/>
    <col min="192" max="192" width="59.7109375" bestFit="1" customWidth="1"/>
    <col min="193" max="193" width="64.85546875" bestFit="1" customWidth="1"/>
    <col min="194" max="194" width="60.42578125" bestFit="1" customWidth="1"/>
    <col min="195" max="195" width="57.28515625" bestFit="1" customWidth="1"/>
    <col min="196" max="200" width="59.7109375" bestFit="1" customWidth="1"/>
    <col min="201" max="201" width="65.7109375" bestFit="1" customWidth="1"/>
    <col min="202" max="202" width="59.7109375" bestFit="1" customWidth="1"/>
    <col min="203" max="203" width="45.42578125" bestFit="1" customWidth="1"/>
    <col min="204" max="205" width="59.7109375" bestFit="1" customWidth="1"/>
    <col min="206" max="206" width="59.28515625" bestFit="1" customWidth="1"/>
    <col min="207" max="210" width="59.7109375" bestFit="1" customWidth="1"/>
    <col min="211" max="211" width="45.42578125" bestFit="1" customWidth="1"/>
    <col min="212" max="213" width="59.7109375" bestFit="1" customWidth="1"/>
    <col min="214" max="214" width="59.28515625" bestFit="1" customWidth="1"/>
    <col min="215" max="217" width="59.7109375" bestFit="1" customWidth="1"/>
    <col min="218" max="218" width="59.28515625" bestFit="1" customWidth="1"/>
    <col min="219" max="229" width="59.7109375" bestFit="1" customWidth="1"/>
  </cols>
  <sheetData>
    <row r="1" spans="1:52">
      <c r="A1" t="s">
        <v>4</v>
      </c>
      <c r="B1" t="s">
        <v>1248</v>
      </c>
      <c r="C1" t="s">
        <v>1249</v>
      </c>
      <c r="D1" t="s">
        <v>1250</v>
      </c>
      <c r="E1" t="s">
        <v>1251</v>
      </c>
      <c r="F1" t="s">
        <v>1252</v>
      </c>
      <c r="G1" t="s">
        <v>1253</v>
      </c>
      <c r="H1" t="s">
        <v>1254</v>
      </c>
      <c r="I1" t="s">
        <v>1255</v>
      </c>
      <c r="J1" t="s">
        <v>1256</v>
      </c>
      <c r="K1" t="s">
        <v>1257</v>
      </c>
      <c r="L1" t="s">
        <v>1258</v>
      </c>
      <c r="M1" t="s">
        <v>1259</v>
      </c>
      <c r="N1" t="s">
        <v>1260</v>
      </c>
      <c r="O1" t="s">
        <v>1261</v>
      </c>
      <c r="P1" t="s">
        <v>1262</v>
      </c>
      <c r="Q1" t="s">
        <v>1263</v>
      </c>
      <c r="R1" t="s">
        <v>1264</v>
      </c>
      <c r="S1" t="s">
        <v>1265</v>
      </c>
      <c r="T1" t="s">
        <v>1266</v>
      </c>
      <c r="U1" t="s">
        <v>1267</v>
      </c>
      <c r="V1" t="s">
        <v>1268</v>
      </c>
      <c r="W1" t="s">
        <v>1269</v>
      </c>
      <c r="X1" t="s">
        <v>1270</v>
      </c>
      <c r="Y1" t="s">
        <v>1271</v>
      </c>
      <c r="Z1" t="s">
        <v>1272</v>
      </c>
      <c r="AA1" t="s">
        <v>1273</v>
      </c>
      <c r="AB1" t="s">
        <v>1274</v>
      </c>
      <c r="AC1" t="s">
        <v>1275</v>
      </c>
      <c r="AD1" t="s">
        <v>1276</v>
      </c>
      <c r="AE1" t="s">
        <v>1277</v>
      </c>
      <c r="AF1" t="s">
        <v>1320</v>
      </c>
      <c r="AG1" t="s">
        <v>1278</v>
      </c>
      <c r="AH1" t="s">
        <v>1321</v>
      </c>
      <c r="AI1" t="s">
        <v>1279</v>
      </c>
      <c r="AJ1" t="s">
        <v>1322</v>
      </c>
      <c r="AK1" t="s">
        <v>1280</v>
      </c>
      <c r="AL1" t="s">
        <v>1323</v>
      </c>
      <c r="AM1" t="s">
        <v>1281</v>
      </c>
      <c r="AN1" t="s">
        <v>1324</v>
      </c>
      <c r="AO1" t="s">
        <v>1282</v>
      </c>
      <c r="AP1" t="s">
        <v>1325</v>
      </c>
      <c r="AQ1" t="s">
        <v>1283</v>
      </c>
      <c r="AR1" t="s">
        <v>1326</v>
      </c>
      <c r="AS1" t="s">
        <v>1284</v>
      </c>
      <c r="AT1" t="s">
        <v>1327</v>
      </c>
      <c r="AU1" t="s">
        <v>1285</v>
      </c>
      <c r="AV1" t="s">
        <v>1328</v>
      </c>
      <c r="AW1" t="s">
        <v>1286</v>
      </c>
      <c r="AX1" t="s">
        <v>1329</v>
      </c>
      <c r="AY1" t="s">
        <v>1287</v>
      </c>
      <c r="AZ1" t="s">
        <v>1330</v>
      </c>
    </row>
    <row r="2" spans="1:52">
      <c r="A2" t="s">
        <v>12</v>
      </c>
      <c r="B2" t="s">
        <v>160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I2" t="s">
        <v>167</v>
      </c>
      <c r="J2" t="s">
        <v>168</v>
      </c>
      <c r="K2" t="s">
        <v>169</v>
      </c>
      <c r="L2" t="s">
        <v>170</v>
      </c>
      <c r="M2" t="s">
        <v>171</v>
      </c>
      <c r="N2" t="s">
        <v>172</v>
      </c>
      <c r="O2" t="s">
        <v>173</v>
      </c>
      <c r="P2" t="s">
        <v>174</v>
      </c>
      <c r="Q2" t="s">
        <v>175</v>
      </c>
      <c r="R2" t="s">
        <v>176</v>
      </c>
      <c r="S2" t="s">
        <v>177</v>
      </c>
      <c r="T2" t="s">
        <v>178</v>
      </c>
      <c r="U2" t="s">
        <v>179</v>
      </c>
      <c r="V2" t="s">
        <v>180</v>
      </c>
      <c r="W2" t="s">
        <v>181</v>
      </c>
      <c r="X2" t="s">
        <v>182</v>
      </c>
      <c r="Y2" t="s">
        <v>183</v>
      </c>
      <c r="Z2" t="s">
        <v>184</v>
      </c>
      <c r="AA2" t="s">
        <v>185</v>
      </c>
      <c r="AB2" t="s">
        <v>186</v>
      </c>
      <c r="AC2" t="s">
        <v>187</v>
      </c>
    </row>
    <row r="3" spans="1:52">
      <c r="A3" t="s">
        <v>188</v>
      </c>
      <c r="B3" t="s">
        <v>189</v>
      </c>
      <c r="C3" t="s">
        <v>190</v>
      </c>
      <c r="D3" t="s">
        <v>191</v>
      </c>
      <c r="E3" t="s">
        <v>192</v>
      </c>
      <c r="F3" t="s">
        <v>193</v>
      </c>
      <c r="G3" t="s">
        <v>194</v>
      </c>
      <c r="H3" t="s">
        <v>195</v>
      </c>
    </row>
    <row r="4" spans="1:52">
      <c r="A4" t="s">
        <v>79</v>
      </c>
      <c r="B4" t="s">
        <v>196</v>
      </c>
      <c r="C4" t="s">
        <v>197</v>
      </c>
      <c r="D4" t="s">
        <v>198</v>
      </c>
      <c r="E4" t="s">
        <v>199</v>
      </c>
    </row>
    <row r="5" spans="1:52">
      <c r="A5" t="s">
        <v>200</v>
      </c>
      <c r="B5" t="s">
        <v>201</v>
      </c>
      <c r="C5" t="s">
        <v>1294</v>
      </c>
    </row>
    <row r="6" spans="1:52">
      <c r="A6" t="s">
        <v>13</v>
      </c>
      <c r="B6" t="s">
        <v>202</v>
      </c>
      <c r="C6" t="s">
        <v>204</v>
      </c>
      <c r="D6" t="s">
        <v>1319</v>
      </c>
    </row>
    <row r="7" spans="1:52">
      <c r="A7" t="s">
        <v>16</v>
      </c>
      <c r="B7" t="s">
        <v>205</v>
      </c>
      <c r="C7" t="s">
        <v>20</v>
      </c>
      <c r="D7" t="s">
        <v>206</v>
      </c>
      <c r="E7" t="s">
        <v>19</v>
      </c>
      <c r="F7" t="s">
        <v>21</v>
      </c>
      <c r="G7" t="s">
        <v>1364</v>
      </c>
      <c r="H7" t="s">
        <v>1395</v>
      </c>
    </row>
    <row r="8" spans="1:52">
      <c r="A8" t="s">
        <v>207</v>
      </c>
      <c r="B8" t="s">
        <v>208</v>
      </c>
      <c r="C8" t="s">
        <v>209</v>
      </c>
      <c r="D8" t="s">
        <v>210</v>
      </c>
      <c r="E8" t="s">
        <v>211</v>
      </c>
      <c r="F8" t="s">
        <v>212</v>
      </c>
      <c r="G8" t="s">
        <v>213</v>
      </c>
      <c r="H8" t="s">
        <v>214</v>
      </c>
      <c r="I8" t="s">
        <v>215</v>
      </c>
      <c r="J8" t="s">
        <v>216</v>
      </c>
      <c r="K8" t="s">
        <v>217</v>
      </c>
      <c r="L8" t="s">
        <v>218</v>
      </c>
      <c r="M8" t="s">
        <v>219</v>
      </c>
      <c r="N8" t="s">
        <v>220</v>
      </c>
      <c r="O8" t="s">
        <v>221</v>
      </c>
      <c r="P8" t="s">
        <v>222</v>
      </c>
      <c r="Q8" t="s">
        <v>223</v>
      </c>
      <c r="R8" t="s">
        <v>224</v>
      </c>
    </row>
    <row r="9" spans="1:52">
      <c r="A9" t="s">
        <v>225</v>
      </c>
      <c r="B9" t="s">
        <v>226</v>
      </c>
      <c r="C9" t="s">
        <v>227</v>
      </c>
      <c r="D9" t="s">
        <v>228</v>
      </c>
      <c r="E9" t="s">
        <v>229</v>
      </c>
      <c r="F9" t="s">
        <v>230</v>
      </c>
      <c r="G9" t="s">
        <v>231</v>
      </c>
      <c r="H9" t="s">
        <v>232</v>
      </c>
    </row>
    <row r="10" spans="1:52">
      <c r="A10" t="s">
        <v>233</v>
      </c>
      <c r="B10" t="s">
        <v>234</v>
      </c>
      <c r="C10" t="s">
        <v>14</v>
      </c>
    </row>
    <row r="11" spans="1:52">
      <c r="A11" t="s">
        <v>235</v>
      </c>
      <c r="B11" t="s">
        <v>236</v>
      </c>
      <c r="C11" t="s">
        <v>237</v>
      </c>
      <c r="D11" t="s">
        <v>238</v>
      </c>
      <c r="E11" t="s">
        <v>239</v>
      </c>
      <c r="F11" t="s">
        <v>240</v>
      </c>
    </row>
    <row r="12" spans="1:52">
      <c r="A12" t="s">
        <v>241</v>
      </c>
      <c r="B12" t="s">
        <v>150</v>
      </c>
      <c r="C12" t="s">
        <v>242</v>
      </c>
      <c r="D12" t="s">
        <v>151</v>
      </c>
      <c r="E12" t="s">
        <v>1314</v>
      </c>
    </row>
    <row r="13" spans="1:52">
      <c r="A13" t="s">
        <v>243</v>
      </c>
      <c r="B13" t="s">
        <v>244</v>
      </c>
      <c r="C13" t="s">
        <v>245</v>
      </c>
      <c r="D13" t="s">
        <v>246</v>
      </c>
      <c r="E13" t="s">
        <v>247</v>
      </c>
      <c r="F13" t="s">
        <v>248</v>
      </c>
      <c r="G13" t="s">
        <v>249</v>
      </c>
      <c r="H13" t="s">
        <v>250</v>
      </c>
      <c r="I13" t="s">
        <v>251</v>
      </c>
      <c r="J13" t="s">
        <v>252</v>
      </c>
      <c r="K13" t="s">
        <v>253</v>
      </c>
      <c r="L13" t="s">
        <v>254</v>
      </c>
    </row>
    <row r="14" spans="1:52">
      <c r="A14" t="s">
        <v>1108</v>
      </c>
      <c r="B14" t="s">
        <v>255</v>
      </c>
      <c r="C14" t="s">
        <v>256</v>
      </c>
      <c r="D14" t="s">
        <v>257</v>
      </c>
    </row>
    <row r="15" spans="1:52">
      <c r="A15" t="s">
        <v>258</v>
      </c>
      <c r="B15" t="s">
        <v>259</v>
      </c>
      <c r="C15" t="s">
        <v>260</v>
      </c>
      <c r="D15" t="s">
        <v>261</v>
      </c>
      <c r="E15" t="s">
        <v>262</v>
      </c>
      <c r="F15" t="s">
        <v>223</v>
      </c>
      <c r="G15" t="s">
        <v>85</v>
      </c>
      <c r="H15" t="s">
        <v>224</v>
      </c>
      <c r="I15" t="s">
        <v>263</v>
      </c>
    </row>
    <row r="16" spans="1:52">
      <c r="A16" t="s">
        <v>264</v>
      </c>
      <c r="B16" t="s">
        <v>264</v>
      </c>
      <c r="C16" t="s">
        <v>1181</v>
      </c>
      <c r="D16" t="s">
        <v>1298</v>
      </c>
      <c r="E16" t="s">
        <v>1297</v>
      </c>
      <c r="F16" t="s">
        <v>1296</v>
      </c>
      <c r="G16" t="s">
        <v>1299</v>
      </c>
      <c r="H16" t="s">
        <v>271</v>
      </c>
    </row>
    <row r="17" spans="1:25">
      <c r="A17" t="s">
        <v>272</v>
      </c>
      <c r="B17" t="s">
        <v>156</v>
      </c>
      <c r="C17" t="s">
        <v>273</v>
      </c>
      <c r="D17" t="s">
        <v>274</v>
      </c>
      <c r="E17" t="s">
        <v>275</v>
      </c>
      <c r="F17" t="s">
        <v>276</v>
      </c>
      <c r="G17" t="s">
        <v>277</v>
      </c>
      <c r="H17" t="s">
        <v>278</v>
      </c>
      <c r="I17" t="s">
        <v>279</v>
      </c>
      <c r="J17" t="s">
        <v>280</v>
      </c>
      <c r="K17" t="s">
        <v>281</v>
      </c>
    </row>
    <row r="18" spans="1:25">
      <c r="A18" t="s">
        <v>282</v>
      </c>
      <c r="B18" t="s">
        <v>273</v>
      </c>
      <c r="C18" t="s">
        <v>283</v>
      </c>
      <c r="D18" t="s">
        <v>274</v>
      </c>
      <c r="E18" t="s">
        <v>275</v>
      </c>
      <c r="F18" t="s">
        <v>280</v>
      </c>
      <c r="G18" t="s">
        <v>284</v>
      </c>
      <c r="H18" t="s">
        <v>276</v>
      </c>
      <c r="I18" t="s">
        <v>285</v>
      </c>
      <c r="J18" t="s">
        <v>277</v>
      </c>
      <c r="K18" t="s">
        <v>286</v>
      </c>
      <c r="L18" t="s">
        <v>287</v>
      </c>
      <c r="M18" t="s">
        <v>281</v>
      </c>
    </row>
    <row r="19" spans="1:25">
      <c r="A19" t="s">
        <v>18</v>
      </c>
      <c r="B19" t="s">
        <v>31</v>
      </c>
      <c r="C19" t="s">
        <v>30</v>
      </c>
      <c r="D19" t="s">
        <v>289</v>
      </c>
      <c r="E19" t="s">
        <v>290</v>
      </c>
      <c r="F19" t="s">
        <v>291</v>
      </c>
    </row>
    <row r="20" spans="1:25">
      <c r="A20" t="s">
        <v>292</v>
      </c>
      <c r="B20" t="s">
        <v>293</v>
      </c>
      <c r="C20" t="s">
        <v>62</v>
      </c>
      <c r="D20" t="s">
        <v>24</v>
      </c>
    </row>
    <row r="21" spans="1:25">
      <c r="A21" t="s">
        <v>294</v>
      </c>
      <c r="B21" t="s">
        <v>27</v>
      </c>
      <c r="C21" t="s">
        <v>296</v>
      </c>
      <c r="D21" t="s">
        <v>297</v>
      </c>
      <c r="E21" t="s">
        <v>298</v>
      </c>
      <c r="F21" t="s">
        <v>299</v>
      </c>
      <c r="G21" t="s">
        <v>300</v>
      </c>
      <c r="H21" t="s">
        <v>301</v>
      </c>
      <c r="I21" t="s">
        <v>302</v>
      </c>
      <c r="J21" t="s">
        <v>303</v>
      </c>
      <c r="K21" t="s">
        <v>304</v>
      </c>
      <c r="L21" t="s">
        <v>305</v>
      </c>
      <c r="M21" t="s">
        <v>306</v>
      </c>
      <c r="N21" t="s">
        <v>307</v>
      </c>
      <c r="O21" t="s">
        <v>308</v>
      </c>
      <c r="P21" t="s">
        <v>309</v>
      </c>
      <c r="Q21" t="s">
        <v>310</v>
      </c>
      <c r="R21" t="s">
        <v>311</v>
      </c>
      <c r="S21" t="s">
        <v>312</v>
      </c>
      <c r="T21" t="s">
        <v>313</v>
      </c>
      <c r="U21" t="s">
        <v>314</v>
      </c>
      <c r="V21" t="s">
        <v>315</v>
      </c>
      <c r="W21" t="s">
        <v>316</v>
      </c>
      <c r="X21" t="s">
        <v>317</v>
      </c>
      <c r="Y21" t="s">
        <v>318</v>
      </c>
    </row>
    <row r="22" spans="1:25">
      <c r="A22" t="s">
        <v>319</v>
      </c>
      <c r="B22" t="s">
        <v>1128</v>
      </c>
      <c r="C22" t="s">
        <v>1129</v>
      </c>
      <c r="D22" t="s">
        <v>1130</v>
      </c>
      <c r="E22" t="s">
        <v>1131</v>
      </c>
      <c r="F22" t="s">
        <v>1132</v>
      </c>
    </row>
    <row r="23" spans="1:25">
      <c r="A23" t="s">
        <v>326</v>
      </c>
      <c r="B23" t="s">
        <v>327</v>
      </c>
      <c r="C23" t="s">
        <v>328</v>
      </c>
      <c r="D23" t="s">
        <v>329</v>
      </c>
      <c r="E23" t="s">
        <v>330</v>
      </c>
    </row>
    <row r="24" spans="1:25">
      <c r="A24" t="s">
        <v>331</v>
      </c>
      <c r="B24" t="s">
        <v>32</v>
      </c>
      <c r="C24" t="s">
        <v>332</v>
      </c>
      <c r="D24" t="s">
        <v>333</v>
      </c>
      <c r="E24" t="s">
        <v>334</v>
      </c>
      <c r="F24" t="s">
        <v>335</v>
      </c>
      <c r="G24" t="s">
        <v>336</v>
      </c>
      <c r="H24" t="s">
        <v>337</v>
      </c>
      <c r="I24" t="s">
        <v>338</v>
      </c>
    </row>
    <row r="25" spans="1:25">
      <c r="A25" t="s">
        <v>155</v>
      </c>
      <c r="B25" t="s">
        <v>339</v>
      </c>
      <c r="C25" t="s">
        <v>340</v>
      </c>
      <c r="D25" t="s">
        <v>341</v>
      </c>
      <c r="E25" t="s">
        <v>342</v>
      </c>
    </row>
    <row r="26" spans="1:25">
      <c r="A26" t="s">
        <v>343</v>
      </c>
      <c r="B26" t="s">
        <v>344</v>
      </c>
      <c r="C26" t="s">
        <v>345</v>
      </c>
      <c r="D26" t="s">
        <v>346</v>
      </c>
      <c r="E26" t="s">
        <v>347</v>
      </c>
    </row>
    <row r="27" spans="1:25">
      <c r="A27" t="s">
        <v>111</v>
      </c>
      <c r="B27" t="s">
        <v>348</v>
      </c>
      <c r="C27" t="s">
        <v>349</v>
      </c>
    </row>
    <row r="28" spans="1:25">
      <c r="A28" t="s">
        <v>114</v>
      </c>
      <c r="B28" t="s">
        <v>350</v>
      </c>
      <c r="C28" t="s">
        <v>351</v>
      </c>
      <c r="D28" t="s">
        <v>352</v>
      </c>
    </row>
    <row r="29" spans="1:25">
      <c r="A29" t="s">
        <v>354</v>
      </c>
      <c r="B29" t="s">
        <v>355</v>
      </c>
      <c r="C29" t="s">
        <v>356</v>
      </c>
      <c r="D29" t="s">
        <v>357</v>
      </c>
    </row>
    <row r="30" spans="1:25">
      <c r="A30" t="s">
        <v>358</v>
      </c>
      <c r="B30" t="s">
        <v>359</v>
      </c>
      <c r="C30" t="s">
        <v>360</v>
      </c>
      <c r="D30" t="s">
        <v>361</v>
      </c>
    </row>
    <row r="31" spans="1:25">
      <c r="A31" t="s">
        <v>362</v>
      </c>
      <c r="B31" t="s">
        <v>363</v>
      </c>
      <c r="C31" t="s">
        <v>364</v>
      </c>
    </row>
    <row r="32" spans="1:25">
      <c r="A32" t="s">
        <v>365</v>
      </c>
      <c r="B32" t="s">
        <v>366</v>
      </c>
    </row>
    <row r="33" spans="1:16">
      <c r="A33" t="s">
        <v>367</v>
      </c>
      <c r="B33" t="s">
        <v>70</v>
      </c>
      <c r="C33" t="s">
        <v>71</v>
      </c>
      <c r="D33" t="s">
        <v>72</v>
      </c>
      <c r="E33" t="s">
        <v>74</v>
      </c>
      <c r="F33" t="s">
        <v>73</v>
      </c>
      <c r="G33" t="s">
        <v>77</v>
      </c>
      <c r="H33" t="s">
        <v>75</v>
      </c>
      <c r="I33" t="s">
        <v>76</v>
      </c>
      <c r="J33" t="s">
        <v>1313</v>
      </c>
      <c r="K33" t="s">
        <v>104</v>
      </c>
    </row>
    <row r="34" spans="1:16">
      <c r="A34" t="s">
        <v>368</v>
      </c>
      <c r="B34" t="s">
        <v>369</v>
      </c>
    </row>
    <row r="35" spans="1:16">
      <c r="A35" t="s">
        <v>371</v>
      </c>
      <c r="B35" t="s">
        <v>372</v>
      </c>
      <c r="C35" t="s">
        <v>373</v>
      </c>
      <c r="D35" t="s">
        <v>374</v>
      </c>
    </row>
    <row r="36" spans="1:16">
      <c r="A36" t="s">
        <v>375</v>
      </c>
      <c r="B36" t="s">
        <v>376</v>
      </c>
      <c r="C36" t="s">
        <v>377</v>
      </c>
      <c r="D36" t="s">
        <v>378</v>
      </c>
    </row>
    <row r="37" spans="1:16">
      <c r="A37" t="s">
        <v>380</v>
      </c>
      <c r="B37" t="s">
        <v>381</v>
      </c>
      <c r="C37" t="s">
        <v>382</v>
      </c>
      <c r="D37" t="s">
        <v>383</v>
      </c>
      <c r="E37" t="s">
        <v>384</v>
      </c>
      <c r="F37" t="s">
        <v>385</v>
      </c>
      <c r="G37" t="s">
        <v>386</v>
      </c>
      <c r="H37" t="s">
        <v>387</v>
      </c>
      <c r="I37" t="s">
        <v>388</v>
      </c>
      <c r="J37" t="s">
        <v>389</v>
      </c>
      <c r="K37" t="s">
        <v>390</v>
      </c>
      <c r="L37" t="s">
        <v>391</v>
      </c>
      <c r="M37" t="s">
        <v>392</v>
      </c>
      <c r="N37" t="s">
        <v>393</v>
      </c>
      <c r="O37" t="s">
        <v>394</v>
      </c>
      <c r="P37" t="s">
        <v>395</v>
      </c>
    </row>
    <row r="38" spans="1:16">
      <c r="A38" t="s">
        <v>396</v>
      </c>
      <c r="B38" t="s">
        <v>397</v>
      </c>
    </row>
    <row r="39" spans="1:16">
      <c r="A39" t="s">
        <v>398</v>
      </c>
      <c r="B39" t="s">
        <v>399</v>
      </c>
      <c r="C39" t="s">
        <v>400</v>
      </c>
      <c r="D39" t="s">
        <v>401</v>
      </c>
      <c r="E39" t="s">
        <v>402</v>
      </c>
      <c r="F39" t="s">
        <v>403</v>
      </c>
      <c r="G39" t="s">
        <v>404</v>
      </c>
      <c r="H39" t="s">
        <v>405</v>
      </c>
    </row>
    <row r="40" spans="1:16">
      <c r="A40" t="s">
        <v>406</v>
      </c>
      <c r="B40" t="s">
        <v>407</v>
      </c>
      <c r="C40" t="s">
        <v>408</v>
      </c>
      <c r="D40" t="s">
        <v>96</v>
      </c>
      <c r="E40" t="s">
        <v>97</v>
      </c>
    </row>
    <row r="41" spans="1:16">
      <c r="A41" t="s">
        <v>409</v>
      </c>
      <c r="B41" t="s">
        <v>410</v>
      </c>
      <c r="C41" t="s">
        <v>411</v>
      </c>
      <c r="D41" t="s">
        <v>413</v>
      </c>
      <c r="E41" t="s">
        <v>414</v>
      </c>
      <c r="F41" t="s">
        <v>415</v>
      </c>
      <c r="G41" t="s">
        <v>416</v>
      </c>
      <c r="H41" t="s">
        <v>417</v>
      </c>
      <c r="I41" t="s">
        <v>419</v>
      </c>
      <c r="J41" t="s">
        <v>420</v>
      </c>
      <c r="K41" t="s">
        <v>421</v>
      </c>
    </row>
    <row r="42" spans="1:16">
      <c r="A42" t="s">
        <v>422</v>
      </c>
      <c r="B42" t="s">
        <v>423</v>
      </c>
      <c r="C42" t="s">
        <v>424</v>
      </c>
      <c r="D42" t="s">
        <v>425</v>
      </c>
    </row>
    <row r="43" spans="1:16">
      <c r="A43" t="s">
        <v>141</v>
      </c>
      <c r="B43" t="s">
        <v>1133</v>
      </c>
      <c r="C43" t="s">
        <v>86</v>
      </c>
      <c r="D43" t="s">
        <v>1134</v>
      </c>
      <c r="E43" t="s">
        <v>142</v>
      </c>
      <c r="F43" t="s">
        <v>143</v>
      </c>
      <c r="G43" t="s">
        <v>144</v>
      </c>
      <c r="H43" t="s">
        <v>145</v>
      </c>
      <c r="I43" t="s">
        <v>146</v>
      </c>
      <c r="J43" t="s">
        <v>147</v>
      </c>
      <c r="K43" t="s">
        <v>148</v>
      </c>
      <c r="L43" t="s">
        <v>149</v>
      </c>
    </row>
    <row r="44" spans="1:16">
      <c r="A44" t="s">
        <v>428</v>
      </c>
      <c r="B44" t="s">
        <v>93</v>
      </c>
      <c r="C44" t="s">
        <v>91</v>
      </c>
      <c r="D44" t="s">
        <v>92</v>
      </c>
      <c r="E44" t="s">
        <v>1135</v>
      </c>
      <c r="F44" t="s">
        <v>1136</v>
      </c>
      <c r="G44" t="s">
        <v>1137</v>
      </c>
      <c r="H44" t="s">
        <v>1138</v>
      </c>
      <c r="I44" t="s">
        <v>1139</v>
      </c>
      <c r="J44" t="s">
        <v>1140</v>
      </c>
      <c r="K44" t="s">
        <v>1141</v>
      </c>
      <c r="L44" t="s">
        <v>1142</v>
      </c>
      <c r="M44" t="s">
        <v>437</v>
      </c>
    </row>
    <row r="45" spans="1:16">
      <c r="A45" t="s">
        <v>438</v>
      </c>
      <c r="B45" t="s">
        <v>439</v>
      </c>
    </row>
    <row r="46" spans="1:16">
      <c r="A46" t="s">
        <v>440</v>
      </c>
      <c r="B46" t="s">
        <v>441</v>
      </c>
      <c r="C46" t="s">
        <v>442</v>
      </c>
      <c r="D46" t="s">
        <v>443</v>
      </c>
    </row>
    <row r="47" spans="1:16">
      <c r="A47" t="s">
        <v>444</v>
      </c>
      <c r="B47" t="s">
        <v>445</v>
      </c>
      <c r="C47" t="s">
        <v>446</v>
      </c>
      <c r="D47" t="s">
        <v>447</v>
      </c>
      <c r="E47" t="s">
        <v>448</v>
      </c>
      <c r="F47" t="s">
        <v>449</v>
      </c>
      <c r="G47" t="s">
        <v>450</v>
      </c>
      <c r="H47" t="s">
        <v>451</v>
      </c>
      <c r="I47" t="s">
        <v>452</v>
      </c>
      <c r="J47" t="s">
        <v>453</v>
      </c>
      <c r="K47" t="s">
        <v>454</v>
      </c>
      <c r="L47" t="s">
        <v>455</v>
      </c>
    </row>
    <row r="48" spans="1:16">
      <c r="A48" t="s">
        <v>87</v>
      </c>
      <c r="B48" t="s">
        <v>88</v>
      </c>
      <c r="C48" t="s">
        <v>456</v>
      </c>
      <c r="D48" t="s">
        <v>89</v>
      </c>
      <c r="E48" t="s">
        <v>90</v>
      </c>
      <c r="F48" t="s">
        <v>457</v>
      </c>
      <c r="G48" t="s">
        <v>458</v>
      </c>
      <c r="H48" t="s">
        <v>459</v>
      </c>
      <c r="I48" t="s">
        <v>460</v>
      </c>
    </row>
    <row r="49" spans="1:52">
      <c r="A49" t="s">
        <v>461</v>
      </c>
      <c r="B49" t="s">
        <v>94</v>
      </c>
      <c r="C49" t="s">
        <v>462</v>
      </c>
      <c r="D49" t="s">
        <v>463</v>
      </c>
      <c r="E49" t="s">
        <v>464</v>
      </c>
      <c r="F49" t="s">
        <v>465</v>
      </c>
      <c r="G49" t="s">
        <v>466</v>
      </c>
      <c r="H49" t="s">
        <v>467</v>
      </c>
      <c r="I49" t="s">
        <v>468</v>
      </c>
      <c r="J49" t="s">
        <v>469</v>
      </c>
      <c r="K49" t="s">
        <v>470</v>
      </c>
      <c r="L49" t="s">
        <v>471</v>
      </c>
      <c r="M49" t="s">
        <v>472</v>
      </c>
      <c r="N49" t="s">
        <v>473</v>
      </c>
      <c r="O49" t="s">
        <v>474</v>
      </c>
      <c r="P49" t="s">
        <v>475</v>
      </c>
      <c r="Q49" t="s">
        <v>476</v>
      </c>
      <c r="R49" t="s">
        <v>477</v>
      </c>
      <c r="S49" t="s">
        <v>478</v>
      </c>
      <c r="T49" t="s">
        <v>479</v>
      </c>
      <c r="U49" t="s">
        <v>480</v>
      </c>
      <c r="V49" t="s">
        <v>481</v>
      </c>
      <c r="W49" t="s">
        <v>482</v>
      </c>
      <c r="X49" t="s">
        <v>483</v>
      </c>
      <c r="Y49" t="s">
        <v>484</v>
      </c>
      <c r="Z49" t="s">
        <v>485</v>
      </c>
      <c r="AA49" t="s">
        <v>486</v>
      </c>
      <c r="AB49" t="s">
        <v>487</v>
      </c>
      <c r="AC49" t="s">
        <v>488</v>
      </c>
      <c r="AD49" t="s">
        <v>489</v>
      </c>
      <c r="AE49" t="s">
        <v>490</v>
      </c>
      <c r="AF49" t="s">
        <v>491</v>
      </c>
      <c r="AG49" t="s">
        <v>492</v>
      </c>
      <c r="AH49" t="s">
        <v>493</v>
      </c>
      <c r="AI49" t="s">
        <v>494</v>
      </c>
      <c r="AJ49" t="s">
        <v>495</v>
      </c>
      <c r="AK49" t="s">
        <v>496</v>
      </c>
      <c r="AL49" t="s">
        <v>497</v>
      </c>
      <c r="AM49" t="s">
        <v>498</v>
      </c>
      <c r="AN49" t="s">
        <v>499</v>
      </c>
      <c r="AO49" t="s">
        <v>500</v>
      </c>
      <c r="AP49" t="s">
        <v>501</v>
      </c>
      <c r="AQ49" t="s">
        <v>502</v>
      </c>
      <c r="AR49" t="s">
        <v>503</v>
      </c>
      <c r="AS49" t="s">
        <v>504</v>
      </c>
      <c r="AT49" t="s">
        <v>505</v>
      </c>
      <c r="AU49" t="s">
        <v>506</v>
      </c>
      <c r="AV49" t="s">
        <v>507</v>
      </c>
      <c r="AW49" t="s">
        <v>508</v>
      </c>
      <c r="AX49" t="s">
        <v>509</v>
      </c>
      <c r="AY49" t="s">
        <v>510</v>
      </c>
      <c r="AZ49" t="s">
        <v>511</v>
      </c>
    </row>
    <row r="50" spans="1:52">
      <c r="A50" t="s">
        <v>512</v>
      </c>
      <c r="B50" t="s">
        <v>513</v>
      </c>
    </row>
    <row r="51" spans="1:52">
      <c r="A51" t="s">
        <v>514</v>
      </c>
      <c r="B51" t="s">
        <v>24</v>
      </c>
      <c r="C51" t="s">
        <v>516</v>
      </c>
      <c r="D51" t="s">
        <v>518</v>
      </c>
    </row>
    <row r="52" spans="1:52">
      <c r="A52" t="s">
        <v>520</v>
      </c>
      <c r="B52" t="s">
        <v>521</v>
      </c>
    </row>
    <row r="53" spans="1:52">
      <c r="A53" t="s">
        <v>522</v>
      </c>
      <c r="B53" t="s">
        <v>1143</v>
      </c>
      <c r="C53" t="s">
        <v>1144</v>
      </c>
      <c r="D53" t="s">
        <v>52</v>
      </c>
      <c r="E53" t="s">
        <v>529</v>
      </c>
      <c r="F53" t="s">
        <v>1145</v>
      </c>
      <c r="G53" t="s">
        <v>1146</v>
      </c>
      <c r="H53" t="s">
        <v>1147</v>
      </c>
      <c r="I53" t="s">
        <v>536</v>
      </c>
      <c r="J53" t="s">
        <v>1148</v>
      </c>
      <c r="K53" t="s">
        <v>1149</v>
      </c>
      <c r="L53" t="s">
        <v>542</v>
      </c>
      <c r="M53" t="s">
        <v>1150</v>
      </c>
      <c r="N53" t="s">
        <v>29</v>
      </c>
      <c r="O53" t="s">
        <v>546</v>
      </c>
      <c r="P53" t="s">
        <v>548</v>
      </c>
      <c r="Q53" t="s">
        <v>549</v>
      </c>
      <c r="R53" t="s">
        <v>551</v>
      </c>
    </row>
    <row r="54" spans="1:52">
      <c r="A54" t="s">
        <v>552</v>
      </c>
      <c r="B54" t="s">
        <v>54</v>
      </c>
      <c r="C54" t="s">
        <v>55</v>
      </c>
      <c r="D54" t="s">
        <v>56</v>
      </c>
      <c r="E54" t="s">
        <v>554</v>
      </c>
      <c r="F54" t="s">
        <v>556</v>
      </c>
      <c r="G54" t="s">
        <v>95</v>
      </c>
    </row>
    <row r="55" spans="1:52">
      <c r="A55" t="s">
        <v>560</v>
      </c>
      <c r="B55" t="s">
        <v>561</v>
      </c>
      <c r="C55" t="s">
        <v>562</v>
      </c>
      <c r="D55" t="s">
        <v>563</v>
      </c>
      <c r="E55" t="s">
        <v>564</v>
      </c>
      <c r="F55" t="s">
        <v>565</v>
      </c>
      <c r="G55" t="s">
        <v>566</v>
      </c>
      <c r="H55" t="s">
        <v>567</v>
      </c>
      <c r="I55" t="s">
        <v>568</v>
      </c>
    </row>
    <row r="56" spans="1:52">
      <c r="A56" t="s">
        <v>569</v>
      </c>
      <c r="B56" t="s">
        <v>570</v>
      </c>
      <c r="C56" t="s">
        <v>571</v>
      </c>
      <c r="D56" t="s">
        <v>572</v>
      </c>
    </row>
    <row r="57" spans="1:52">
      <c r="A57" t="s">
        <v>573</v>
      </c>
      <c r="B57" t="s">
        <v>574</v>
      </c>
      <c r="C57" t="s">
        <v>575</v>
      </c>
      <c r="D57" t="s">
        <v>567</v>
      </c>
    </row>
    <row r="58" spans="1:52">
      <c r="A58" t="s">
        <v>48</v>
      </c>
      <c r="B58" t="s">
        <v>576</v>
      </c>
      <c r="C58" t="s">
        <v>577</v>
      </c>
    </row>
    <row r="59" spans="1:52">
      <c r="A59" t="s">
        <v>578</v>
      </c>
      <c r="B59" t="s">
        <v>579</v>
      </c>
      <c r="C59" t="s">
        <v>580</v>
      </c>
      <c r="D59" t="s">
        <v>581</v>
      </c>
    </row>
    <row r="60" spans="1:52">
      <c r="A60" t="s">
        <v>582</v>
      </c>
      <c r="B60" t="s">
        <v>583</v>
      </c>
      <c r="C60" t="s">
        <v>584</v>
      </c>
    </row>
    <row r="61" spans="1:52">
      <c r="A61" t="s">
        <v>585</v>
      </c>
      <c r="B61" t="s">
        <v>586</v>
      </c>
      <c r="C61" t="s">
        <v>587</v>
      </c>
    </row>
    <row r="62" spans="1:52">
      <c r="A62" t="s">
        <v>588</v>
      </c>
      <c r="B62" t="s">
        <v>589</v>
      </c>
      <c r="C62" t="s">
        <v>590</v>
      </c>
    </row>
    <row r="63" spans="1:52">
      <c r="A63" t="s">
        <v>591</v>
      </c>
      <c r="B63" t="s">
        <v>1151</v>
      </c>
      <c r="C63" t="s">
        <v>1152</v>
      </c>
    </row>
    <row r="64" spans="1:52">
      <c r="A64" t="s">
        <v>60</v>
      </c>
      <c r="B64" t="s">
        <v>61</v>
      </c>
      <c r="C64" t="s">
        <v>594</v>
      </c>
      <c r="D64" t="s">
        <v>595</v>
      </c>
      <c r="E64" t="s">
        <v>569</v>
      </c>
    </row>
    <row r="65" spans="1:16">
      <c r="A65" t="s">
        <v>597</v>
      </c>
      <c r="B65" t="s">
        <v>598</v>
      </c>
      <c r="C65" t="s">
        <v>599</v>
      </c>
      <c r="D65" t="s">
        <v>600</v>
      </c>
      <c r="E65" t="s">
        <v>601</v>
      </c>
      <c r="F65" t="s">
        <v>602</v>
      </c>
      <c r="G65" t="s">
        <v>603</v>
      </c>
      <c r="H65" t="s">
        <v>604</v>
      </c>
      <c r="I65" t="s">
        <v>606</v>
      </c>
    </row>
    <row r="66" spans="1:16">
      <c r="A66" t="s">
        <v>607</v>
      </c>
      <c r="B66" t="s">
        <v>608</v>
      </c>
      <c r="C66" t="s">
        <v>610</v>
      </c>
      <c r="D66" t="s">
        <v>59</v>
      </c>
      <c r="E66" t="s">
        <v>611</v>
      </c>
      <c r="F66" t="s">
        <v>612</v>
      </c>
      <c r="G66" t="s">
        <v>613</v>
      </c>
      <c r="H66" t="s">
        <v>614</v>
      </c>
    </row>
    <row r="67" spans="1:16">
      <c r="A67" t="s">
        <v>617</v>
      </c>
      <c r="B67" t="s">
        <v>618</v>
      </c>
      <c r="C67" t="s">
        <v>619</v>
      </c>
      <c r="D67" t="s">
        <v>620</v>
      </c>
      <c r="E67" t="s">
        <v>621</v>
      </c>
    </row>
    <row r="68" spans="1:16">
      <c r="A68" t="s">
        <v>622</v>
      </c>
      <c r="B68" t="s">
        <v>623</v>
      </c>
      <c r="C68" t="s">
        <v>624</v>
      </c>
      <c r="D68" t="s">
        <v>625</v>
      </c>
      <c r="E68" t="s">
        <v>626</v>
      </c>
      <c r="F68" t="s">
        <v>627</v>
      </c>
      <c r="G68" t="s">
        <v>628</v>
      </c>
      <c r="H68" t="s">
        <v>1317</v>
      </c>
    </row>
    <row r="69" spans="1:16">
      <c r="A69" t="s">
        <v>629</v>
      </c>
      <c r="B69" t="s">
        <v>630</v>
      </c>
      <c r="C69" t="s">
        <v>631</v>
      </c>
      <c r="D69" t="s">
        <v>632</v>
      </c>
      <c r="E69" t="s">
        <v>633</v>
      </c>
      <c r="F69" t="s">
        <v>634</v>
      </c>
      <c r="G69" t="s">
        <v>635</v>
      </c>
      <c r="H69" t="s">
        <v>636</v>
      </c>
      <c r="I69" t="s">
        <v>637</v>
      </c>
      <c r="J69" t="s">
        <v>638</v>
      </c>
      <c r="K69" t="s">
        <v>639</v>
      </c>
    </row>
    <row r="70" spans="1:16">
      <c r="A70" t="s">
        <v>640</v>
      </c>
      <c r="B70" t="s">
        <v>641</v>
      </c>
      <c r="C70" t="s">
        <v>642</v>
      </c>
      <c r="D70" t="s">
        <v>643</v>
      </c>
      <c r="E70" t="s">
        <v>644</v>
      </c>
      <c r="F70" t="s">
        <v>645</v>
      </c>
      <c r="G70" t="s">
        <v>646</v>
      </c>
      <c r="H70" t="s">
        <v>647</v>
      </c>
    </row>
    <row r="71" spans="1:16">
      <c r="A71" t="s">
        <v>651</v>
      </c>
      <c r="B71" t="s">
        <v>652</v>
      </c>
      <c r="C71" t="s">
        <v>653</v>
      </c>
      <c r="D71" t="s">
        <v>654</v>
      </c>
      <c r="E71" t="s">
        <v>655</v>
      </c>
      <c r="F71" t="s">
        <v>656</v>
      </c>
      <c r="G71" t="s">
        <v>657</v>
      </c>
      <c r="H71" t="s">
        <v>658</v>
      </c>
      <c r="I71" t="s">
        <v>660</v>
      </c>
    </row>
    <row r="72" spans="1:16">
      <c r="A72" t="s">
        <v>661</v>
      </c>
      <c r="B72" t="s">
        <v>662</v>
      </c>
      <c r="C72" t="s">
        <v>663</v>
      </c>
      <c r="D72" t="s">
        <v>664</v>
      </c>
    </row>
    <row r="73" spans="1:16">
      <c r="A73" t="s">
        <v>665</v>
      </c>
      <c r="B73" t="s">
        <v>666</v>
      </c>
      <c r="C73" t="s">
        <v>667</v>
      </c>
      <c r="D73" t="s">
        <v>668</v>
      </c>
      <c r="E73" t="s">
        <v>669</v>
      </c>
      <c r="F73" t="s">
        <v>671</v>
      </c>
      <c r="G73" t="s">
        <v>672</v>
      </c>
    </row>
    <row r="74" spans="1:16">
      <c r="A74" t="s">
        <v>673</v>
      </c>
      <c r="B74" t="s">
        <v>674</v>
      </c>
      <c r="C74" t="s">
        <v>675</v>
      </c>
      <c r="D74" t="s">
        <v>676</v>
      </c>
      <c r="E74" t="s">
        <v>677</v>
      </c>
      <c r="F74" t="s">
        <v>678</v>
      </c>
      <c r="G74" t="s">
        <v>679</v>
      </c>
      <c r="H74" t="s">
        <v>1367</v>
      </c>
      <c r="I74" t="s">
        <v>680</v>
      </c>
      <c r="J74" t="s">
        <v>682</v>
      </c>
      <c r="K74" t="s">
        <v>683</v>
      </c>
      <c r="L74" t="s">
        <v>684</v>
      </c>
      <c r="M74" t="s">
        <v>685</v>
      </c>
      <c r="N74" t="s">
        <v>686</v>
      </c>
      <c r="O74" t="s">
        <v>687</v>
      </c>
      <c r="P74" t="s">
        <v>1288</v>
      </c>
    </row>
    <row r="75" spans="1:16">
      <c r="A75" t="s">
        <v>689</v>
      </c>
      <c r="B75" t="s">
        <v>690</v>
      </c>
      <c r="C75" t="s">
        <v>691</v>
      </c>
      <c r="D75" t="s">
        <v>692</v>
      </c>
      <c r="E75" t="s">
        <v>693</v>
      </c>
      <c r="F75" t="s">
        <v>694</v>
      </c>
    </row>
    <row r="76" spans="1:16">
      <c r="A76" t="s">
        <v>695</v>
      </c>
      <c r="B76" t="s">
        <v>1153</v>
      </c>
      <c r="C76" t="s">
        <v>1154</v>
      </c>
      <c r="D76" t="s">
        <v>1155</v>
      </c>
      <c r="E76" t="s">
        <v>699</v>
      </c>
      <c r="F76" t="s">
        <v>700</v>
      </c>
    </row>
    <row r="77" spans="1:16">
      <c r="A77" t="s">
        <v>65</v>
      </c>
      <c r="B77" t="s">
        <v>701</v>
      </c>
      <c r="C77" t="s">
        <v>702</v>
      </c>
      <c r="D77" t="s">
        <v>703</v>
      </c>
      <c r="E77" t="s">
        <v>704</v>
      </c>
      <c r="F77" t="s">
        <v>705</v>
      </c>
      <c r="G77" t="s">
        <v>706</v>
      </c>
    </row>
    <row r="78" spans="1:16">
      <c r="A78" t="s">
        <v>707</v>
      </c>
      <c r="B78" t="s">
        <v>708</v>
      </c>
    </row>
    <row r="79" spans="1:16">
      <c r="A79" t="s">
        <v>709</v>
      </c>
      <c r="B79" t="s">
        <v>710</v>
      </c>
      <c r="C79" t="s">
        <v>711</v>
      </c>
      <c r="D79" t="s">
        <v>712</v>
      </c>
    </row>
    <row r="80" spans="1:16">
      <c r="A80" t="s">
        <v>714</v>
      </c>
      <c r="B80" t="s">
        <v>112</v>
      </c>
      <c r="C80" t="s">
        <v>715</v>
      </c>
      <c r="D80" t="s">
        <v>716</v>
      </c>
    </row>
    <row r="81" spans="1:22">
      <c r="A81" t="s">
        <v>718</v>
      </c>
      <c r="B81" t="s">
        <v>719</v>
      </c>
      <c r="C81" t="s">
        <v>720</v>
      </c>
      <c r="D81" t="s">
        <v>721</v>
      </c>
      <c r="E81" t="s">
        <v>722</v>
      </c>
    </row>
    <row r="82" spans="1:22">
      <c r="A82" t="s">
        <v>723</v>
      </c>
      <c r="B82" t="s">
        <v>724</v>
      </c>
      <c r="C82" t="s">
        <v>725</v>
      </c>
    </row>
    <row r="83" spans="1:22">
      <c r="A83" t="s">
        <v>726</v>
      </c>
      <c r="B83" t="s">
        <v>727</v>
      </c>
      <c r="C83" t="s">
        <v>728</v>
      </c>
      <c r="D83" t="s">
        <v>729</v>
      </c>
      <c r="E83" t="s">
        <v>730</v>
      </c>
      <c r="F83" t="s">
        <v>731</v>
      </c>
      <c r="G83" t="s">
        <v>732</v>
      </c>
      <c r="H83" t="s">
        <v>733</v>
      </c>
      <c r="I83" t="s">
        <v>734</v>
      </c>
      <c r="J83" t="s">
        <v>735</v>
      </c>
      <c r="K83" t="s">
        <v>736</v>
      </c>
      <c r="L83" t="s">
        <v>737</v>
      </c>
      <c r="M83" t="s">
        <v>738</v>
      </c>
      <c r="N83" t="s">
        <v>739</v>
      </c>
    </row>
    <row r="84" spans="1:22">
      <c r="A84" t="s">
        <v>740</v>
      </c>
      <c r="B84" t="s">
        <v>741</v>
      </c>
      <c r="C84" t="s">
        <v>742</v>
      </c>
    </row>
    <row r="85" spans="1:22">
      <c r="A85" t="s">
        <v>744</v>
      </c>
      <c r="B85" t="s">
        <v>745</v>
      </c>
      <c r="C85" t="s">
        <v>746</v>
      </c>
      <c r="D85" t="s">
        <v>747</v>
      </c>
      <c r="E85" t="s">
        <v>748</v>
      </c>
    </row>
    <row r="86" spans="1:22">
      <c r="A86" t="s">
        <v>749</v>
      </c>
      <c r="B86" t="s">
        <v>115</v>
      </c>
      <c r="C86" t="s">
        <v>751</v>
      </c>
      <c r="D86" t="s">
        <v>752</v>
      </c>
      <c r="E86" t="s">
        <v>753</v>
      </c>
    </row>
    <row r="87" spans="1:22">
      <c r="A87" t="s">
        <v>754</v>
      </c>
      <c r="B87" t="s">
        <v>100</v>
      </c>
      <c r="C87" t="s">
        <v>755</v>
      </c>
      <c r="D87" t="s">
        <v>756</v>
      </c>
      <c r="E87" t="s">
        <v>1316</v>
      </c>
    </row>
    <row r="88" spans="1:22">
      <c r="A88" t="s">
        <v>757</v>
      </c>
      <c r="B88" t="s">
        <v>757</v>
      </c>
      <c r="C88" t="s">
        <v>762</v>
      </c>
      <c r="D88" t="s">
        <v>765</v>
      </c>
      <c r="E88" t="s">
        <v>766</v>
      </c>
      <c r="F88" t="s">
        <v>768</v>
      </c>
      <c r="G88" t="s">
        <v>769</v>
      </c>
      <c r="H88" t="s">
        <v>770</v>
      </c>
      <c r="I88" t="s">
        <v>771</v>
      </c>
      <c r="J88" t="s">
        <v>772</v>
      </c>
      <c r="K88" t="s">
        <v>773</v>
      </c>
      <c r="L88" t="s">
        <v>774</v>
      </c>
      <c r="M88" t="s">
        <v>775</v>
      </c>
      <c r="N88" t="s">
        <v>776</v>
      </c>
    </row>
    <row r="89" spans="1:22">
      <c r="A89" t="s">
        <v>777</v>
      </c>
      <c r="B89" t="s">
        <v>778</v>
      </c>
      <c r="C89" t="s">
        <v>779</v>
      </c>
      <c r="D89" t="s">
        <v>116</v>
      </c>
      <c r="E89" t="s">
        <v>780</v>
      </c>
      <c r="F89" t="s">
        <v>781</v>
      </c>
      <c r="G89" t="s">
        <v>782</v>
      </c>
      <c r="H89" t="s">
        <v>783</v>
      </c>
      <c r="I89" t="s">
        <v>784</v>
      </c>
      <c r="J89" t="s">
        <v>785</v>
      </c>
      <c r="K89" t="s">
        <v>786</v>
      </c>
      <c r="L89" t="s">
        <v>787</v>
      </c>
      <c r="M89" t="s">
        <v>788</v>
      </c>
      <c r="N89" t="s">
        <v>789</v>
      </c>
      <c r="O89" t="s">
        <v>790</v>
      </c>
      <c r="P89" t="s">
        <v>791</v>
      </c>
      <c r="Q89" t="s">
        <v>792</v>
      </c>
      <c r="R89" t="s">
        <v>793</v>
      </c>
      <c r="S89" t="s">
        <v>794</v>
      </c>
      <c r="T89" t="s">
        <v>795</v>
      </c>
      <c r="U89" t="s">
        <v>796</v>
      </c>
      <c r="V89" t="s">
        <v>797</v>
      </c>
    </row>
    <row r="90" spans="1:22">
      <c r="A90" t="s">
        <v>10</v>
      </c>
      <c r="B90" t="s">
        <v>1315</v>
      </c>
    </row>
    <row r="91" spans="1:22">
      <c r="A91" t="s">
        <v>799</v>
      </c>
      <c r="B91" t="s">
        <v>800</v>
      </c>
      <c r="C91" t="s">
        <v>104</v>
      </c>
      <c r="D91" t="s">
        <v>801</v>
      </c>
      <c r="E91" t="s">
        <v>802</v>
      </c>
      <c r="F91" t="s">
        <v>803</v>
      </c>
      <c r="G91" t="s">
        <v>804</v>
      </c>
      <c r="H91" t="s">
        <v>805</v>
      </c>
      <c r="I91" t="s">
        <v>806</v>
      </c>
    </row>
    <row r="92" spans="1:22">
      <c r="A92" t="s">
        <v>808</v>
      </c>
      <c r="B92" t="s">
        <v>809</v>
      </c>
      <c r="C92" t="s">
        <v>810</v>
      </c>
      <c r="D92" t="s">
        <v>811</v>
      </c>
      <c r="E92" t="s">
        <v>812</v>
      </c>
    </row>
    <row r="93" spans="1:22">
      <c r="A93" t="s">
        <v>813</v>
      </c>
      <c r="B93" t="s">
        <v>814</v>
      </c>
      <c r="C93" t="s">
        <v>815</v>
      </c>
      <c r="D93" t="s">
        <v>816</v>
      </c>
      <c r="E93" t="s">
        <v>817</v>
      </c>
    </row>
    <row r="94" spans="1:22">
      <c r="A94" t="s">
        <v>1354</v>
      </c>
      <c r="B94" t="s">
        <v>818</v>
      </c>
    </row>
    <row r="95" spans="1:22">
      <c r="A95" t="s">
        <v>819</v>
      </c>
      <c r="B95" t="s">
        <v>820</v>
      </c>
      <c r="C95" t="s">
        <v>821</v>
      </c>
      <c r="D95" t="s">
        <v>822</v>
      </c>
      <c r="E95" t="s">
        <v>29</v>
      </c>
      <c r="F95" t="s">
        <v>823</v>
      </c>
      <c r="G95" t="s">
        <v>824</v>
      </c>
      <c r="H95" t="s">
        <v>28</v>
      </c>
      <c r="I95" t="s">
        <v>825</v>
      </c>
      <c r="J95" t="s">
        <v>826</v>
      </c>
      <c r="K95" t="s">
        <v>827</v>
      </c>
      <c r="L95" t="s">
        <v>828</v>
      </c>
      <c r="M95" t="s">
        <v>829</v>
      </c>
      <c r="N95" t="s">
        <v>49</v>
      </c>
      <c r="O95" t="s">
        <v>830</v>
      </c>
    </row>
    <row r="96" spans="1:22">
      <c r="A96" t="s">
        <v>831</v>
      </c>
      <c r="B96" t="s">
        <v>1156</v>
      </c>
      <c r="C96" t="s">
        <v>1157</v>
      </c>
      <c r="D96" t="s">
        <v>1158</v>
      </c>
      <c r="E96" t="s">
        <v>1159</v>
      </c>
      <c r="F96" t="s">
        <v>1160</v>
      </c>
    </row>
    <row r="97" spans="1:12">
      <c r="A97" t="s">
        <v>837</v>
      </c>
      <c r="B97" t="s">
        <v>838</v>
      </c>
      <c r="C97" t="s">
        <v>839</v>
      </c>
    </row>
    <row r="98" spans="1:12">
      <c r="A98" t="s">
        <v>841</v>
      </c>
      <c r="B98" t="s">
        <v>842</v>
      </c>
      <c r="C98" t="s">
        <v>843</v>
      </c>
      <c r="D98" t="s">
        <v>1161</v>
      </c>
      <c r="E98" t="s">
        <v>1162</v>
      </c>
      <c r="F98" t="s">
        <v>846</v>
      </c>
      <c r="G98" t="s">
        <v>53</v>
      </c>
      <c r="H98" t="s">
        <v>847</v>
      </c>
      <c r="I98" t="s">
        <v>848</v>
      </c>
      <c r="J98" t="s">
        <v>849</v>
      </c>
      <c r="K98" t="s">
        <v>850</v>
      </c>
    </row>
    <row r="99" spans="1:12">
      <c r="A99" t="s">
        <v>851</v>
      </c>
      <c r="B99" t="s">
        <v>852</v>
      </c>
      <c r="C99" t="s">
        <v>54</v>
      </c>
      <c r="D99" t="s">
        <v>853</v>
      </c>
    </row>
    <row r="100" spans="1:12">
      <c r="A100" t="s">
        <v>854</v>
      </c>
      <c r="B100" t="s">
        <v>855</v>
      </c>
      <c r="C100" t="s">
        <v>856</v>
      </c>
      <c r="D100" t="s">
        <v>857</v>
      </c>
    </row>
    <row r="101" spans="1:12">
      <c r="A101" t="s">
        <v>858</v>
      </c>
      <c r="B101" t="s">
        <v>859</v>
      </c>
      <c r="C101" t="s">
        <v>860</v>
      </c>
      <c r="D101" t="s">
        <v>861</v>
      </c>
      <c r="E101" t="s">
        <v>1163</v>
      </c>
      <c r="F101" t="s">
        <v>863</v>
      </c>
    </row>
    <row r="102" spans="1:12">
      <c r="A102" t="s">
        <v>864</v>
      </c>
      <c r="B102" t="s">
        <v>1289</v>
      </c>
      <c r="C102" t="s">
        <v>1290</v>
      </c>
      <c r="D102" t="s">
        <v>1291</v>
      </c>
      <c r="E102" t="s">
        <v>1292</v>
      </c>
      <c r="F102" t="s">
        <v>869</v>
      </c>
      <c r="G102" t="s">
        <v>870</v>
      </c>
      <c r="H102" t="s">
        <v>871</v>
      </c>
      <c r="I102" t="s">
        <v>872</v>
      </c>
      <c r="J102" t="s">
        <v>873</v>
      </c>
      <c r="K102" t="s">
        <v>874</v>
      </c>
      <c r="L102" t="s">
        <v>875</v>
      </c>
    </row>
    <row r="103" spans="1:12">
      <c r="A103" t="s">
        <v>876</v>
      </c>
      <c r="B103" t="s">
        <v>877</v>
      </c>
      <c r="C103" t="s">
        <v>104</v>
      </c>
    </row>
    <row r="104" spans="1:12">
      <c r="A104" t="s">
        <v>878</v>
      </c>
      <c r="B104" t="s">
        <v>879</v>
      </c>
    </row>
    <row r="105" spans="1:12">
      <c r="A105" t="s">
        <v>880</v>
      </c>
      <c r="B105" t="s">
        <v>881</v>
      </c>
      <c r="C105" t="s">
        <v>882</v>
      </c>
      <c r="D105" t="s">
        <v>883</v>
      </c>
    </row>
    <row r="106" spans="1:12">
      <c r="A106" t="s">
        <v>884</v>
      </c>
      <c r="B106" t="s">
        <v>885</v>
      </c>
    </row>
    <row r="107" spans="1:12">
      <c r="A107" t="s">
        <v>886</v>
      </c>
      <c r="B107" t="s">
        <v>887</v>
      </c>
      <c r="C107" t="s">
        <v>888</v>
      </c>
      <c r="D107" t="s">
        <v>889</v>
      </c>
    </row>
    <row r="108" spans="1:12">
      <c r="A108" t="s">
        <v>890</v>
      </c>
      <c r="B108" t="s">
        <v>891</v>
      </c>
      <c r="C108" t="s">
        <v>892</v>
      </c>
      <c r="D108" t="s">
        <v>893</v>
      </c>
      <c r="E108" t="s">
        <v>894</v>
      </c>
      <c r="F108" t="s">
        <v>895</v>
      </c>
      <c r="G108" t="s">
        <v>897</v>
      </c>
      <c r="H108" t="s">
        <v>898</v>
      </c>
      <c r="I108" t="s">
        <v>899</v>
      </c>
      <c r="J108" t="s">
        <v>900</v>
      </c>
      <c r="K108" t="s">
        <v>106</v>
      </c>
    </row>
    <row r="109" spans="1:12">
      <c r="A109" t="s">
        <v>1353</v>
      </c>
      <c r="B109" t="s">
        <v>896</v>
      </c>
    </row>
    <row r="110" spans="1:12">
      <c r="A110" t="s">
        <v>1222</v>
      </c>
      <c r="B110" t="s">
        <v>1206</v>
      </c>
      <c r="C110" t="s">
        <v>1220</v>
      </c>
      <c r="D110" t="s">
        <v>1207</v>
      </c>
      <c r="E110" t="s">
        <v>1208</v>
      </c>
      <c r="F110" t="s">
        <v>1209</v>
      </c>
      <c r="G110" t="s">
        <v>1217</v>
      </c>
      <c r="H110" t="s">
        <v>1210</v>
      </c>
    </row>
    <row r="111" spans="1:12">
      <c r="A111" t="s">
        <v>15</v>
      </c>
      <c r="B111" t="s">
        <v>17</v>
      </c>
      <c r="C111" t="s">
        <v>205</v>
      </c>
      <c r="D111" t="s">
        <v>20</v>
      </c>
      <c r="E111" t="s">
        <v>206</v>
      </c>
      <c r="F111" t="s">
        <v>19</v>
      </c>
      <c r="G111" t="s">
        <v>21</v>
      </c>
    </row>
    <row r="112" spans="1:12">
      <c r="A112" t="s">
        <v>901</v>
      </c>
      <c r="B112" t="s">
        <v>22</v>
      </c>
      <c r="C112" t="s">
        <v>902</v>
      </c>
      <c r="D112" t="s">
        <v>903</v>
      </c>
      <c r="E112" t="s">
        <v>904</v>
      </c>
      <c r="F112" t="s">
        <v>905</v>
      </c>
      <c r="G112" t="s">
        <v>906</v>
      </c>
      <c r="H112" t="s">
        <v>907</v>
      </c>
      <c r="I112" t="s">
        <v>908</v>
      </c>
      <c r="J112" t="s">
        <v>909</v>
      </c>
    </row>
    <row r="113" spans="1:18">
      <c r="A113" t="s">
        <v>910</v>
      </c>
      <c r="B113" t="s">
        <v>911</v>
      </c>
      <c r="C113" t="s">
        <v>912</v>
      </c>
      <c r="D113" t="s">
        <v>913</v>
      </c>
      <c r="E113" t="s">
        <v>914</v>
      </c>
    </row>
    <row r="114" spans="1:18">
      <c r="A114" t="s">
        <v>915</v>
      </c>
      <c r="B114" t="s">
        <v>916</v>
      </c>
      <c r="C114" t="s">
        <v>917</v>
      </c>
      <c r="D114" t="s">
        <v>918</v>
      </c>
      <c r="E114" t="s">
        <v>919</v>
      </c>
      <c r="F114" t="s">
        <v>920</v>
      </c>
      <c r="G114" t="s">
        <v>921</v>
      </c>
      <c r="H114" t="s">
        <v>923</v>
      </c>
      <c r="I114" t="s">
        <v>924</v>
      </c>
      <c r="J114" t="s">
        <v>925</v>
      </c>
      <c r="K114" t="s">
        <v>926</v>
      </c>
      <c r="L114" t="s">
        <v>927</v>
      </c>
      <c r="M114" t="s">
        <v>928</v>
      </c>
      <c r="N114" t="s">
        <v>929</v>
      </c>
    </row>
    <row r="115" spans="1:18">
      <c r="A115" t="s">
        <v>930</v>
      </c>
      <c r="B115" t="s">
        <v>930</v>
      </c>
      <c r="C115" t="s">
        <v>931</v>
      </c>
      <c r="D115" t="s">
        <v>932</v>
      </c>
      <c r="E115" t="s">
        <v>933</v>
      </c>
      <c r="F115" t="s">
        <v>934</v>
      </c>
      <c r="G115" t="s">
        <v>935</v>
      </c>
    </row>
    <row r="116" spans="1:18">
      <c r="A116" t="s">
        <v>936</v>
      </c>
      <c r="B116" t="s">
        <v>937</v>
      </c>
      <c r="C116" t="s">
        <v>938</v>
      </c>
      <c r="D116" t="s">
        <v>939</v>
      </c>
      <c r="E116" t="s">
        <v>940</v>
      </c>
      <c r="F116" t="s">
        <v>941</v>
      </c>
      <c r="G116" t="s">
        <v>942</v>
      </c>
      <c r="H116" t="s">
        <v>943</v>
      </c>
    </row>
    <row r="117" spans="1:18">
      <c r="A117" t="s">
        <v>944</v>
      </c>
      <c r="B117" t="s">
        <v>945</v>
      </c>
      <c r="C117" t="s">
        <v>946</v>
      </c>
      <c r="D117" t="s">
        <v>947</v>
      </c>
    </row>
    <row r="118" spans="1:18">
      <c r="A118" t="s">
        <v>948</v>
      </c>
      <c r="B118" t="s">
        <v>949</v>
      </c>
      <c r="C118" t="s">
        <v>950</v>
      </c>
      <c r="D118" t="s">
        <v>951</v>
      </c>
      <c r="E118" t="s">
        <v>1164</v>
      </c>
      <c r="F118" t="s">
        <v>953</v>
      </c>
      <c r="G118" t="s">
        <v>954</v>
      </c>
      <c r="H118" t="s">
        <v>955</v>
      </c>
      <c r="I118" t="s">
        <v>1165</v>
      </c>
      <c r="J118" t="s">
        <v>957</v>
      </c>
      <c r="K118" t="s">
        <v>46</v>
      </c>
      <c r="L118" t="s">
        <v>47</v>
      </c>
      <c r="M118" t="s">
        <v>958</v>
      </c>
      <c r="N118" t="s">
        <v>959</v>
      </c>
      <c r="O118" t="s">
        <v>960</v>
      </c>
      <c r="P118" t="s">
        <v>1166</v>
      </c>
      <c r="Q118" t="s">
        <v>1167</v>
      </c>
    </row>
    <row r="119" spans="1:18">
      <c r="A119" t="s">
        <v>963</v>
      </c>
      <c r="B119" t="s">
        <v>964</v>
      </c>
      <c r="C119" t="s">
        <v>965</v>
      </c>
      <c r="D119" t="s">
        <v>966</v>
      </c>
      <c r="E119" t="s">
        <v>967</v>
      </c>
      <c r="F119" t="s">
        <v>968</v>
      </c>
      <c r="G119" t="s">
        <v>969</v>
      </c>
      <c r="H119" t="s">
        <v>970</v>
      </c>
    </row>
    <row r="120" spans="1:18">
      <c r="A120" t="s">
        <v>971</v>
      </c>
      <c r="B120" t="s">
        <v>972</v>
      </c>
      <c r="C120" t="s">
        <v>973</v>
      </c>
      <c r="D120" t="s">
        <v>974</v>
      </c>
      <c r="E120" t="s">
        <v>975</v>
      </c>
    </row>
    <row r="121" spans="1:18">
      <c r="A121" t="s">
        <v>976</v>
      </c>
      <c r="B121" t="s">
        <v>977</v>
      </c>
      <c r="C121" t="s">
        <v>978</v>
      </c>
      <c r="D121" t="s">
        <v>979</v>
      </c>
    </row>
    <row r="122" spans="1:18">
      <c r="A122" t="s">
        <v>980</v>
      </c>
      <c r="B122" t="s">
        <v>1168</v>
      </c>
    </row>
    <row r="123" spans="1:18">
      <c r="A123" t="s">
        <v>982</v>
      </c>
      <c r="B123" t="s">
        <v>983</v>
      </c>
      <c r="C123" t="s">
        <v>984</v>
      </c>
      <c r="D123" t="s">
        <v>985</v>
      </c>
      <c r="E123" t="s">
        <v>986</v>
      </c>
    </row>
    <row r="124" spans="1:18">
      <c r="A124" t="s">
        <v>987</v>
      </c>
      <c r="B124" t="s">
        <v>988</v>
      </c>
      <c r="C124" t="s">
        <v>989</v>
      </c>
    </row>
    <row r="125" spans="1:18">
      <c r="A125" t="s">
        <v>990</v>
      </c>
      <c r="B125" t="s">
        <v>991</v>
      </c>
    </row>
    <row r="126" spans="1:18">
      <c r="A126" t="s">
        <v>992</v>
      </c>
      <c r="B126" t="s">
        <v>1169</v>
      </c>
      <c r="C126" t="s">
        <v>1170</v>
      </c>
      <c r="D126" t="s">
        <v>1171</v>
      </c>
      <c r="E126" t="s">
        <v>1172</v>
      </c>
    </row>
    <row r="127" spans="1:18">
      <c r="A127" t="s">
        <v>997</v>
      </c>
      <c r="B127" t="s">
        <v>1173</v>
      </c>
      <c r="C127" t="s">
        <v>1174</v>
      </c>
      <c r="D127" t="s">
        <v>444</v>
      </c>
      <c r="E127" t="s">
        <v>1000</v>
      </c>
      <c r="F127" t="s">
        <v>1001</v>
      </c>
      <c r="G127" t="s">
        <v>1002</v>
      </c>
      <c r="H127" t="s">
        <v>1003</v>
      </c>
      <c r="I127" t="s">
        <v>1005</v>
      </c>
      <c r="J127" t="s">
        <v>1006</v>
      </c>
      <c r="K127" t="s">
        <v>1007</v>
      </c>
      <c r="L127" t="s">
        <v>1008</v>
      </c>
      <c r="M127" t="s">
        <v>1009</v>
      </c>
      <c r="N127" t="s">
        <v>1010</v>
      </c>
      <c r="O127" t="s">
        <v>1011</v>
      </c>
      <c r="P127" t="s">
        <v>1012</v>
      </c>
      <c r="Q127" t="s">
        <v>1013</v>
      </c>
      <c r="R127" t="s">
        <v>1014</v>
      </c>
    </row>
    <row r="128" spans="1:18">
      <c r="A128" t="s">
        <v>1015</v>
      </c>
      <c r="B128" t="s">
        <v>1016</v>
      </c>
      <c r="C128" t="s">
        <v>1017</v>
      </c>
      <c r="D128" t="s">
        <v>1018</v>
      </c>
      <c r="E128" t="s">
        <v>1020</v>
      </c>
      <c r="F128" t="s">
        <v>1021</v>
      </c>
      <c r="G128" t="s">
        <v>1022</v>
      </c>
      <c r="H128" t="s">
        <v>1023</v>
      </c>
      <c r="I128" t="s">
        <v>1024</v>
      </c>
      <c r="J128" t="s">
        <v>102</v>
      </c>
      <c r="K128" t="s">
        <v>103</v>
      </c>
      <c r="L128" t="s">
        <v>36</v>
      </c>
      <c r="M128" t="s">
        <v>1025</v>
      </c>
      <c r="N128" t="s">
        <v>1026</v>
      </c>
    </row>
    <row r="129" spans="1:14">
      <c r="A129" t="s">
        <v>1027</v>
      </c>
      <c r="B129" t="s">
        <v>1028</v>
      </c>
      <c r="C129" t="s">
        <v>1175</v>
      </c>
      <c r="D129" t="s">
        <v>1176</v>
      </c>
      <c r="E129" t="s">
        <v>1177</v>
      </c>
      <c r="F129" t="s">
        <v>1178</v>
      </c>
      <c r="G129" t="s">
        <v>1179</v>
      </c>
      <c r="H129" t="s">
        <v>1180</v>
      </c>
    </row>
    <row r="130" spans="1:14">
      <c r="A130" t="s">
        <v>1035</v>
      </c>
      <c r="B130" t="s">
        <v>1036</v>
      </c>
    </row>
    <row r="131" spans="1:14">
      <c r="A131" t="s">
        <v>1037</v>
      </c>
      <c r="B131" t="s">
        <v>1038</v>
      </c>
      <c r="C131" t="s">
        <v>1039</v>
      </c>
      <c r="D131" t="s">
        <v>1040</v>
      </c>
    </row>
    <row r="132" spans="1:14">
      <c r="A132" t="s">
        <v>1041</v>
      </c>
      <c r="B132" t="s">
        <v>1042</v>
      </c>
      <c r="C132" t="s">
        <v>1043</v>
      </c>
    </row>
    <row r="133" spans="1:14">
      <c r="A133" t="s">
        <v>1044</v>
      </c>
      <c r="B133" t="s">
        <v>1045</v>
      </c>
      <c r="C133" t="s">
        <v>1046</v>
      </c>
    </row>
    <row r="134" spans="1:14">
      <c r="A134" t="s">
        <v>1047</v>
      </c>
      <c r="B134" t="s">
        <v>1048</v>
      </c>
    </row>
    <row r="135" spans="1:14">
      <c r="A135" t="s">
        <v>1049</v>
      </c>
      <c r="B135" t="s">
        <v>1050</v>
      </c>
      <c r="C135" t="s">
        <v>1051</v>
      </c>
      <c r="D135" t="s">
        <v>1052</v>
      </c>
      <c r="E135" t="s">
        <v>1053</v>
      </c>
      <c r="F135" t="s">
        <v>1054</v>
      </c>
      <c r="G135" t="s">
        <v>1055</v>
      </c>
      <c r="H135" t="s">
        <v>1056</v>
      </c>
    </row>
    <row r="136" spans="1:14">
      <c r="A136" t="s">
        <v>1057</v>
      </c>
      <c r="B136" t="s">
        <v>1234</v>
      </c>
      <c r="C136" t="s">
        <v>1058</v>
      </c>
      <c r="D136" t="s">
        <v>1235</v>
      </c>
      <c r="E136" t="s">
        <v>1059</v>
      </c>
      <c r="F136" t="s">
        <v>1236</v>
      </c>
      <c r="G136" t="s">
        <v>1237</v>
      </c>
      <c r="H136" t="s">
        <v>1238</v>
      </c>
      <c r="I136" t="s">
        <v>1239</v>
      </c>
      <c r="J136" t="s">
        <v>1240</v>
      </c>
      <c r="K136" t="s">
        <v>1241</v>
      </c>
      <c r="L136" t="s">
        <v>1060</v>
      </c>
      <c r="M136" t="s">
        <v>1061</v>
      </c>
      <c r="N136" t="s">
        <v>1062</v>
      </c>
    </row>
    <row r="137" spans="1:14">
      <c r="A137" t="s">
        <v>1063</v>
      </c>
      <c r="B137" t="s">
        <v>1200</v>
      </c>
      <c r="C137" t="s">
        <v>1225</v>
      </c>
      <c r="D137" t="s">
        <v>1201</v>
      </c>
      <c r="E137" t="s">
        <v>1223</v>
      </c>
      <c r="F137" t="s">
        <v>1224</v>
      </c>
      <c r="G137" t="s">
        <v>1064</v>
      </c>
    </row>
    <row r="138" spans="1:14">
      <c r="A138" t="s">
        <v>1226</v>
      </c>
      <c r="B138" t="s">
        <v>1227</v>
      </c>
      <c r="C138" t="s">
        <v>1228</v>
      </c>
      <c r="D138" t="s">
        <v>1229</v>
      </c>
      <c r="E138" t="s">
        <v>1230</v>
      </c>
      <c r="F138" t="s">
        <v>1232</v>
      </c>
      <c r="G138" t="s">
        <v>1065</v>
      </c>
      <c r="H138" t="s">
        <v>1233</v>
      </c>
    </row>
    <row r="139" spans="1:14">
      <c r="A139" t="s">
        <v>1355</v>
      </c>
      <c r="B139" t="s">
        <v>1231</v>
      </c>
    </row>
    <row r="140" spans="1:14">
      <c r="A140" t="s">
        <v>107</v>
      </c>
      <c r="B140" t="s">
        <v>124</v>
      </c>
      <c r="C140" t="s">
        <v>125</v>
      </c>
      <c r="D140" t="s">
        <v>126</v>
      </c>
      <c r="E140" t="s">
        <v>127</v>
      </c>
      <c r="F140" t="s">
        <v>128</v>
      </c>
      <c r="G140" t="s">
        <v>129</v>
      </c>
      <c r="H140" t="s">
        <v>130</v>
      </c>
      <c r="I140" t="s">
        <v>131</v>
      </c>
    </row>
    <row r="141" spans="1:14">
      <c r="A141" t="s">
        <v>1066</v>
      </c>
      <c r="B141" t="s">
        <v>132</v>
      </c>
      <c r="C141" t="s">
        <v>133</v>
      </c>
      <c r="D141" t="s">
        <v>134</v>
      </c>
      <c r="E141" t="s">
        <v>135</v>
      </c>
      <c r="F141" t="s">
        <v>136</v>
      </c>
      <c r="G141" t="s">
        <v>137</v>
      </c>
    </row>
    <row r="142" spans="1:14">
      <c r="A142" t="s">
        <v>138</v>
      </c>
      <c r="B142" t="s">
        <v>138</v>
      </c>
      <c r="C142" t="s">
        <v>139</v>
      </c>
      <c r="D142" t="s">
        <v>140</v>
      </c>
    </row>
    <row r="143" spans="1:14">
      <c r="A143" t="s">
        <v>1067</v>
      </c>
      <c r="B143" t="s">
        <v>1068</v>
      </c>
      <c r="C143" t="s">
        <v>1069</v>
      </c>
      <c r="D143" t="s">
        <v>1070</v>
      </c>
      <c r="E143" t="s">
        <v>1071</v>
      </c>
      <c r="F143" t="s">
        <v>1072</v>
      </c>
      <c r="G143" t="s">
        <v>1073</v>
      </c>
      <c r="H143" t="s">
        <v>1074</v>
      </c>
      <c r="I143" t="s">
        <v>1075</v>
      </c>
    </row>
    <row r="144" spans="1:14">
      <c r="A144" t="s">
        <v>1076</v>
      </c>
      <c r="B144" t="s">
        <v>1077</v>
      </c>
      <c r="C144" t="s">
        <v>1078</v>
      </c>
      <c r="D144" t="s">
        <v>1079</v>
      </c>
      <c r="E144" t="s">
        <v>1080</v>
      </c>
      <c r="F144" t="s">
        <v>1081</v>
      </c>
      <c r="G144" t="s">
        <v>1082</v>
      </c>
      <c r="H144" t="s">
        <v>1083</v>
      </c>
    </row>
    <row r="145" spans="1:24">
      <c r="A145" t="s">
        <v>1084</v>
      </c>
      <c r="B145" t="s">
        <v>1085</v>
      </c>
      <c r="C145" t="s">
        <v>1086</v>
      </c>
      <c r="D145" t="s">
        <v>1087</v>
      </c>
      <c r="E145" t="s">
        <v>1088</v>
      </c>
    </row>
    <row r="146" spans="1:24">
      <c r="A146" t="s">
        <v>1089</v>
      </c>
      <c r="B146" t="s">
        <v>1090</v>
      </c>
      <c r="C146" t="s">
        <v>1091</v>
      </c>
      <c r="D146" t="s">
        <v>1092</v>
      </c>
      <c r="E146" t="s">
        <v>1093</v>
      </c>
      <c r="F146" t="s">
        <v>1094</v>
      </c>
      <c r="G146" t="s">
        <v>1095</v>
      </c>
      <c r="H146" t="s">
        <v>1096</v>
      </c>
      <c r="I146" t="s">
        <v>1097</v>
      </c>
      <c r="J146" t="s">
        <v>1098</v>
      </c>
    </row>
    <row r="147" spans="1:24">
      <c r="A147" t="s">
        <v>80</v>
      </c>
      <c r="B147" t="s">
        <v>82</v>
      </c>
      <c r="C147" t="s">
        <v>1099</v>
      </c>
      <c r="D147" t="s">
        <v>1100</v>
      </c>
      <c r="E147" t="s">
        <v>81</v>
      </c>
      <c r="F147" t="s">
        <v>1101</v>
      </c>
      <c r="G147" t="s">
        <v>1102</v>
      </c>
      <c r="H147" t="s">
        <v>1103</v>
      </c>
      <c r="I147" t="s">
        <v>1104</v>
      </c>
      <c r="J147" t="s">
        <v>1105</v>
      </c>
      <c r="K147" t="s">
        <v>1106</v>
      </c>
      <c r="L147" t="s">
        <v>83</v>
      </c>
      <c r="M147" t="s">
        <v>84</v>
      </c>
      <c r="N147" t="s">
        <v>85</v>
      </c>
    </row>
    <row r="148" spans="1:24">
      <c r="A148" t="s">
        <v>1303</v>
      </c>
      <c r="B148" t="s">
        <v>1206</v>
      </c>
      <c r="C148" t="s">
        <v>1207</v>
      </c>
      <c r="D148" t="s">
        <v>1208</v>
      </c>
      <c r="E148" t="s">
        <v>1209</v>
      </c>
      <c r="F148" t="s">
        <v>1217</v>
      </c>
      <c r="G148" t="s">
        <v>1210</v>
      </c>
      <c r="H148" t="s">
        <v>1220</v>
      </c>
      <c r="I148" t="s">
        <v>1318</v>
      </c>
    </row>
    <row r="149" spans="1:24">
      <c r="A149" t="s">
        <v>1302</v>
      </c>
      <c r="B149" t="s">
        <v>1206</v>
      </c>
      <c r="C149" t="s">
        <v>1207</v>
      </c>
      <c r="D149" t="s">
        <v>1208</v>
      </c>
      <c r="E149" t="s">
        <v>1209</v>
      </c>
      <c r="F149" t="s">
        <v>1217</v>
      </c>
      <c r="G149" t="s">
        <v>1210</v>
      </c>
      <c r="H149" t="s">
        <v>1220</v>
      </c>
    </row>
    <row r="150" spans="1:24">
      <c r="A150" t="s">
        <v>1301</v>
      </c>
      <c r="B150" t="s">
        <v>1182</v>
      </c>
      <c r="C150" t="s">
        <v>1183</v>
      </c>
      <c r="D150" t="s">
        <v>1184</v>
      </c>
      <c r="E150" t="s">
        <v>1185</v>
      </c>
      <c r="F150" t="s">
        <v>1186</v>
      </c>
      <c r="G150" t="s">
        <v>1187</v>
      </c>
      <c r="H150" t="s">
        <v>1188</v>
      </c>
      <c r="I150" t="s">
        <v>1189</v>
      </c>
      <c r="J150" t="s">
        <v>1190</v>
      </c>
      <c r="K150" t="s">
        <v>1191</v>
      </c>
      <c r="L150" t="s">
        <v>1192</v>
      </c>
      <c r="M150" t="s">
        <v>1193</v>
      </c>
      <c r="N150" t="s">
        <v>1194</v>
      </c>
      <c r="O150" t="s">
        <v>1195</v>
      </c>
      <c r="P150" t="s">
        <v>1196</v>
      </c>
      <c r="Q150" t="s">
        <v>1197</v>
      </c>
      <c r="R150" t="s">
        <v>1198</v>
      </c>
      <c r="S150" t="s">
        <v>1199</v>
      </c>
      <c r="T150" t="s">
        <v>119</v>
      </c>
      <c r="U150" t="s">
        <v>120</v>
      </c>
      <c r="V150" t="s">
        <v>121</v>
      </c>
      <c r="W150" t="s">
        <v>122</v>
      </c>
      <c r="X150" t="s">
        <v>123</v>
      </c>
    </row>
  </sheetData>
  <phoneticPr fontId="3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B382-DAD4-4B56-AD02-D2C2730A63BF}">
  <sheetPr codeName="Sheet22">
    <tabColor theme="1"/>
  </sheetPr>
  <dimension ref="A1:E1095"/>
  <sheetViews>
    <sheetView zoomScale="70" zoomScaleNormal="70" workbookViewId="0">
      <selection activeCell="C15" sqref="C15"/>
    </sheetView>
  </sheetViews>
  <sheetFormatPr defaultRowHeight="15"/>
  <cols>
    <col min="1" max="1" width="70.7109375" bestFit="1" customWidth="1"/>
    <col min="2" max="2" width="8.85546875" bestFit="1" customWidth="1"/>
    <col min="3" max="5" width="81.140625" bestFit="1" customWidth="1"/>
    <col min="6" max="6" width="57.140625" bestFit="1" customWidth="1"/>
    <col min="7" max="7" width="12" bestFit="1" customWidth="1"/>
    <col min="8" max="8" width="77.42578125" bestFit="1" customWidth="1"/>
    <col min="9" max="9" width="80.85546875" bestFit="1" customWidth="1"/>
    <col min="10" max="10" width="12" bestFit="1" customWidth="1"/>
    <col min="11" max="11" width="57.140625" bestFit="1" customWidth="1"/>
    <col min="12" max="12" width="7.42578125" bestFit="1" customWidth="1"/>
    <col min="13" max="13" width="77.42578125" bestFit="1" customWidth="1"/>
    <col min="14" max="14" width="80.85546875" bestFit="1" customWidth="1"/>
    <col min="15" max="15" width="77.42578125" bestFit="1" customWidth="1"/>
    <col min="16" max="16" width="80.85546875" customWidth="1"/>
  </cols>
  <sheetData>
    <row r="1" spans="1:5">
      <c r="A1" t="s">
        <v>1203</v>
      </c>
      <c r="B1" t="s">
        <v>3</v>
      </c>
      <c r="C1" t="s">
        <v>1204</v>
      </c>
      <c r="D1" t="s">
        <v>1205</v>
      </c>
      <c r="E1" t="s">
        <v>1305</v>
      </c>
    </row>
    <row r="2" spans="1:5">
      <c r="A2" t="s">
        <v>11</v>
      </c>
    </row>
    <row r="3" spans="1:5">
      <c r="C3" t="s">
        <v>225</v>
      </c>
      <c r="D3" t="s">
        <v>228</v>
      </c>
    </row>
    <row r="4" spans="1:5">
      <c r="C4" t="s">
        <v>225</v>
      </c>
      <c r="D4" t="s">
        <v>232</v>
      </c>
    </row>
    <row r="5" spans="1:5">
      <c r="C5" t="s">
        <v>225</v>
      </c>
      <c r="D5" t="s">
        <v>226</v>
      </c>
    </row>
    <row r="6" spans="1:5">
      <c r="C6" t="s">
        <v>225</v>
      </c>
      <c r="D6" t="s">
        <v>227</v>
      </c>
    </row>
    <row r="7" spans="1:5">
      <c r="C7" t="s">
        <v>225</v>
      </c>
      <c r="D7" t="s">
        <v>229</v>
      </c>
    </row>
    <row r="8" spans="1:5">
      <c r="C8" t="s">
        <v>225</v>
      </c>
      <c r="D8" t="s">
        <v>230</v>
      </c>
    </row>
    <row r="9" spans="1:5">
      <c r="C9" t="s">
        <v>225</v>
      </c>
      <c r="D9" t="s">
        <v>231</v>
      </c>
    </row>
    <row r="10" spans="1:5">
      <c r="C10" t="s">
        <v>225</v>
      </c>
    </row>
    <row r="11" spans="1:5">
      <c r="C11" t="s">
        <v>225</v>
      </c>
    </row>
    <row r="12" spans="1:5">
      <c r="C12" t="s">
        <v>235</v>
      </c>
      <c r="D12" t="s">
        <v>237</v>
      </c>
    </row>
    <row r="13" spans="1:5">
      <c r="C13" t="s">
        <v>235</v>
      </c>
      <c r="D13" t="s">
        <v>238</v>
      </c>
    </row>
    <row r="14" spans="1:5">
      <c r="C14" t="s">
        <v>235</v>
      </c>
      <c r="D14" t="s">
        <v>239</v>
      </c>
    </row>
    <row r="15" spans="1:5">
      <c r="C15" t="s">
        <v>235</v>
      </c>
      <c r="D15" t="s">
        <v>240</v>
      </c>
    </row>
    <row r="16" spans="1:5">
      <c r="C16" t="s">
        <v>235</v>
      </c>
    </row>
    <row r="17" spans="2:5">
      <c r="C17" t="s">
        <v>235</v>
      </c>
    </row>
    <row r="18" spans="2:5">
      <c r="C18" t="s">
        <v>233</v>
      </c>
      <c r="D18" t="s">
        <v>234</v>
      </c>
    </row>
    <row r="19" spans="2:5">
      <c r="C19" t="s">
        <v>233</v>
      </c>
    </row>
    <row r="20" spans="2:5">
      <c r="C20" t="s">
        <v>233</v>
      </c>
    </row>
    <row r="21" spans="2:5">
      <c r="B21">
        <v>1</v>
      </c>
      <c r="C21" t="s">
        <v>1222</v>
      </c>
      <c r="D21" t="s">
        <v>1206</v>
      </c>
      <c r="E21" t="s">
        <v>1219</v>
      </c>
    </row>
    <row r="22" spans="2:5">
      <c r="B22">
        <v>1</v>
      </c>
      <c r="C22" t="s">
        <v>1222</v>
      </c>
      <c r="D22" t="s">
        <v>1220</v>
      </c>
      <c r="E22" t="s">
        <v>1221</v>
      </c>
    </row>
    <row r="23" spans="2:5">
      <c r="B23">
        <v>3</v>
      </c>
      <c r="C23" t="s">
        <v>1222</v>
      </c>
      <c r="D23" t="s">
        <v>1207</v>
      </c>
      <c r="E23" t="s">
        <v>1213</v>
      </c>
    </row>
    <row r="24" spans="2:5">
      <c r="B24">
        <v>1</v>
      </c>
      <c r="C24" t="s">
        <v>1222</v>
      </c>
      <c r="D24" t="s">
        <v>1208</v>
      </c>
      <c r="E24" t="s">
        <v>1214</v>
      </c>
    </row>
    <row r="25" spans="2:5">
      <c r="B25">
        <v>1</v>
      </c>
      <c r="C25" t="s">
        <v>1222</v>
      </c>
      <c r="D25" t="s">
        <v>1209</v>
      </c>
      <c r="E25" t="s">
        <v>1215</v>
      </c>
    </row>
    <row r="26" spans="2:5">
      <c r="B26">
        <v>2</v>
      </c>
      <c r="C26" t="s">
        <v>1222</v>
      </c>
      <c r="D26" t="s">
        <v>1217</v>
      </c>
      <c r="E26" t="s">
        <v>1216</v>
      </c>
    </row>
    <row r="27" spans="2:5">
      <c r="B27">
        <v>1</v>
      </c>
      <c r="C27" t="s">
        <v>1222</v>
      </c>
      <c r="D27" t="s">
        <v>1210</v>
      </c>
      <c r="E27" t="s">
        <v>1218</v>
      </c>
    </row>
    <row r="28" spans="2:5">
      <c r="C28" t="s">
        <v>1222</v>
      </c>
    </row>
    <row r="29" spans="2:5">
      <c r="C29" t="s">
        <v>1222</v>
      </c>
    </row>
    <row r="30" spans="2:5">
      <c r="C30" t="s">
        <v>15</v>
      </c>
      <c r="D30" t="s">
        <v>21</v>
      </c>
    </row>
    <row r="31" spans="2:5">
      <c r="C31" t="s">
        <v>15</v>
      </c>
      <c r="D31" t="s">
        <v>17</v>
      </c>
    </row>
    <row r="32" spans="2:5">
      <c r="C32" t="s">
        <v>15</v>
      </c>
      <c r="D32" t="s">
        <v>206</v>
      </c>
    </row>
    <row r="33" spans="3:4">
      <c r="C33" t="s">
        <v>15</v>
      </c>
      <c r="D33" t="s">
        <v>19</v>
      </c>
    </row>
    <row r="34" spans="3:4">
      <c r="C34" t="s">
        <v>15</v>
      </c>
      <c r="D34" t="s">
        <v>205</v>
      </c>
    </row>
    <row r="35" spans="3:4">
      <c r="C35" t="s">
        <v>15</v>
      </c>
      <c r="D35" t="s">
        <v>20</v>
      </c>
    </row>
    <row r="36" spans="3:4">
      <c r="C36" t="s">
        <v>15</v>
      </c>
    </row>
    <row r="37" spans="3:4">
      <c r="C37" t="s">
        <v>15</v>
      </c>
    </row>
    <row r="38" spans="3:4">
      <c r="C38" t="s">
        <v>13</v>
      </c>
      <c r="D38" t="s">
        <v>202</v>
      </c>
    </row>
    <row r="39" spans="3:4">
      <c r="C39" t="s">
        <v>13</v>
      </c>
      <c r="D39" t="s">
        <v>1319</v>
      </c>
    </row>
    <row r="40" spans="3:4">
      <c r="C40" t="s">
        <v>13</v>
      </c>
      <c r="D40" t="s">
        <v>204</v>
      </c>
    </row>
    <row r="41" spans="3:4">
      <c r="C41" t="s">
        <v>13</v>
      </c>
    </row>
    <row r="42" spans="3:4">
      <c r="C42" t="s">
        <v>13</v>
      </c>
    </row>
    <row r="43" spans="3:4">
      <c r="C43" t="s">
        <v>207</v>
      </c>
      <c r="D43" t="s">
        <v>212</v>
      </c>
    </row>
    <row r="44" spans="3:4">
      <c r="C44" t="s">
        <v>207</v>
      </c>
      <c r="D44" t="s">
        <v>214</v>
      </c>
    </row>
    <row r="45" spans="3:4">
      <c r="C45" t="s">
        <v>207</v>
      </c>
      <c r="D45" t="s">
        <v>215</v>
      </c>
    </row>
    <row r="46" spans="3:4">
      <c r="C46" t="s">
        <v>207</v>
      </c>
      <c r="D46" t="s">
        <v>213</v>
      </c>
    </row>
    <row r="47" spans="3:4">
      <c r="C47" t="s">
        <v>207</v>
      </c>
      <c r="D47" t="s">
        <v>216</v>
      </c>
    </row>
    <row r="48" spans="3:4">
      <c r="C48" t="s">
        <v>207</v>
      </c>
      <c r="D48" t="s">
        <v>208</v>
      </c>
    </row>
    <row r="49" spans="2:4">
      <c r="C49" t="s">
        <v>207</v>
      </c>
      <c r="D49" t="s">
        <v>209</v>
      </c>
    </row>
    <row r="50" spans="2:4">
      <c r="C50" t="s">
        <v>207</v>
      </c>
      <c r="D50" t="s">
        <v>221</v>
      </c>
    </row>
    <row r="51" spans="2:4">
      <c r="C51" t="s">
        <v>207</v>
      </c>
      <c r="D51" t="s">
        <v>222</v>
      </c>
    </row>
    <row r="52" spans="2:4">
      <c r="C52" t="s">
        <v>207</v>
      </c>
      <c r="D52" t="s">
        <v>211</v>
      </c>
    </row>
    <row r="53" spans="2:4">
      <c r="C53" t="s">
        <v>207</v>
      </c>
      <c r="D53" t="s">
        <v>210</v>
      </c>
    </row>
    <row r="54" spans="2:4">
      <c r="C54" t="s">
        <v>207</v>
      </c>
      <c r="D54" t="s">
        <v>220</v>
      </c>
    </row>
    <row r="55" spans="2:4">
      <c r="C55" t="s">
        <v>207</v>
      </c>
      <c r="D55" t="s">
        <v>217</v>
      </c>
    </row>
    <row r="56" spans="2:4">
      <c r="C56" t="s">
        <v>207</v>
      </c>
      <c r="D56" t="s">
        <v>218</v>
      </c>
    </row>
    <row r="57" spans="2:4">
      <c r="C57" t="s">
        <v>207</v>
      </c>
      <c r="D57" t="s">
        <v>219</v>
      </c>
    </row>
    <row r="58" spans="2:4">
      <c r="C58" t="s">
        <v>207</v>
      </c>
      <c r="D58" t="s">
        <v>223</v>
      </c>
    </row>
    <row r="59" spans="2:4">
      <c r="C59" t="s">
        <v>207</v>
      </c>
      <c r="D59" t="s">
        <v>224</v>
      </c>
    </row>
    <row r="60" spans="2:4">
      <c r="C60" t="s">
        <v>207</v>
      </c>
    </row>
    <row r="61" spans="2:4">
      <c r="C61" t="s">
        <v>207</v>
      </c>
    </row>
    <row r="62" spans="2:4">
      <c r="B62">
        <v>1</v>
      </c>
      <c r="C62" t="s">
        <v>16</v>
      </c>
      <c r="D62" t="s">
        <v>1395</v>
      </c>
    </row>
    <row r="63" spans="2:4">
      <c r="C63" t="s">
        <v>16</v>
      </c>
      <c r="D63" t="s">
        <v>21</v>
      </c>
    </row>
    <row r="64" spans="2:4">
      <c r="C64" t="s">
        <v>16</v>
      </c>
      <c r="D64" t="s">
        <v>206</v>
      </c>
    </row>
    <row r="65" spans="1:4">
      <c r="C65" t="s">
        <v>16</v>
      </c>
      <c r="D65" t="s">
        <v>19</v>
      </c>
    </row>
    <row r="66" spans="1:4">
      <c r="C66" t="s">
        <v>16</v>
      </c>
      <c r="D66" t="s">
        <v>205</v>
      </c>
    </row>
    <row r="67" spans="1:4">
      <c r="C67" t="s">
        <v>16</v>
      </c>
      <c r="D67" t="s">
        <v>20</v>
      </c>
    </row>
    <row r="68" spans="1:4">
      <c r="B68">
        <v>4</v>
      </c>
      <c r="C68" t="s">
        <v>16</v>
      </c>
      <c r="D68" t="s">
        <v>1364</v>
      </c>
    </row>
    <row r="69" spans="1:4">
      <c r="C69" t="s">
        <v>16</v>
      </c>
    </row>
    <row r="70" spans="1:4">
      <c r="C70" t="s">
        <v>16</v>
      </c>
    </row>
    <row r="71" spans="1:4">
      <c r="C71" t="s">
        <v>241</v>
      </c>
    </row>
    <row r="72" spans="1:4">
      <c r="C72" t="s">
        <v>241</v>
      </c>
    </row>
    <row r="73" spans="1:4">
      <c r="A73" t="s">
        <v>23</v>
      </c>
    </row>
    <row r="74" spans="1:4">
      <c r="C74" t="s">
        <v>910</v>
      </c>
      <c r="D74" t="s">
        <v>911</v>
      </c>
    </row>
    <row r="75" spans="1:4">
      <c r="C75" t="s">
        <v>910</v>
      </c>
    </row>
    <row r="76" spans="1:4">
      <c r="C76" t="s">
        <v>910</v>
      </c>
    </row>
    <row r="77" spans="1:4">
      <c r="C77" t="s">
        <v>258</v>
      </c>
      <c r="D77" t="s">
        <v>263</v>
      </c>
    </row>
    <row r="78" spans="1:4">
      <c r="C78" t="s">
        <v>258</v>
      </c>
      <c r="D78" t="s">
        <v>85</v>
      </c>
    </row>
    <row r="79" spans="1:4">
      <c r="C79" t="s">
        <v>258</v>
      </c>
      <c r="D79" t="s">
        <v>261</v>
      </c>
    </row>
    <row r="80" spans="1:4">
      <c r="C80" t="s">
        <v>258</v>
      </c>
      <c r="D80" t="s">
        <v>260</v>
      </c>
    </row>
    <row r="81" spans="3:4">
      <c r="C81" t="s">
        <v>258</v>
      </c>
      <c r="D81" t="s">
        <v>262</v>
      </c>
    </row>
    <row r="82" spans="3:4">
      <c r="C82" t="s">
        <v>258</v>
      </c>
      <c r="D82" t="s">
        <v>223</v>
      </c>
    </row>
    <row r="83" spans="3:4">
      <c r="C83" t="s">
        <v>258</v>
      </c>
      <c r="D83" t="s">
        <v>224</v>
      </c>
    </row>
    <row r="84" spans="3:4">
      <c r="C84" t="s">
        <v>258</v>
      </c>
    </row>
    <row r="85" spans="3:4">
      <c r="C85" t="s">
        <v>258</v>
      </c>
    </row>
    <row r="86" spans="3:4">
      <c r="C86" t="s">
        <v>15</v>
      </c>
    </row>
    <row r="87" spans="3:4">
      <c r="C87" t="s">
        <v>15</v>
      </c>
    </row>
    <row r="88" spans="3:4">
      <c r="C88" t="s">
        <v>901</v>
      </c>
      <c r="D88" t="s">
        <v>907</v>
      </c>
    </row>
    <row r="89" spans="3:4">
      <c r="C89" t="s">
        <v>901</v>
      </c>
      <c r="D89" t="s">
        <v>908</v>
      </c>
    </row>
    <row r="90" spans="3:4">
      <c r="C90" t="s">
        <v>901</v>
      </c>
      <c r="D90" t="s">
        <v>906</v>
      </c>
    </row>
    <row r="91" spans="3:4">
      <c r="C91" t="s">
        <v>901</v>
      </c>
      <c r="D91" t="s">
        <v>905</v>
      </c>
    </row>
    <row r="92" spans="3:4">
      <c r="C92" t="s">
        <v>901</v>
      </c>
      <c r="D92" t="s">
        <v>903</v>
      </c>
    </row>
    <row r="93" spans="3:4">
      <c r="C93" t="s">
        <v>901</v>
      </c>
      <c r="D93" t="s">
        <v>904</v>
      </c>
    </row>
    <row r="94" spans="3:4">
      <c r="C94" t="s">
        <v>901</v>
      </c>
      <c r="D94" t="s">
        <v>902</v>
      </c>
    </row>
    <row r="95" spans="3:4">
      <c r="C95" t="s">
        <v>901</v>
      </c>
      <c r="D95" t="s">
        <v>909</v>
      </c>
    </row>
    <row r="96" spans="3:4">
      <c r="C96" t="s">
        <v>901</v>
      </c>
      <c r="D96" t="s">
        <v>22</v>
      </c>
    </row>
    <row r="97" spans="3:4">
      <c r="C97" t="s">
        <v>901</v>
      </c>
    </row>
    <row r="98" spans="3:4">
      <c r="C98" t="s">
        <v>901</v>
      </c>
    </row>
    <row r="99" spans="3:4">
      <c r="C99" t="s">
        <v>243</v>
      </c>
      <c r="D99" t="s">
        <v>253</v>
      </c>
    </row>
    <row r="100" spans="3:4">
      <c r="C100" t="s">
        <v>243</v>
      </c>
      <c r="D100" t="s">
        <v>252</v>
      </c>
    </row>
    <row r="101" spans="3:4">
      <c r="C101" t="s">
        <v>243</v>
      </c>
      <c r="D101" t="s">
        <v>250</v>
      </c>
    </row>
    <row r="102" spans="3:4">
      <c r="C102" t="s">
        <v>243</v>
      </c>
      <c r="D102" t="s">
        <v>249</v>
      </c>
    </row>
    <row r="103" spans="3:4">
      <c r="C103" t="s">
        <v>243</v>
      </c>
      <c r="D103" t="s">
        <v>248</v>
      </c>
    </row>
    <row r="104" spans="3:4">
      <c r="C104" t="s">
        <v>243</v>
      </c>
      <c r="D104" t="s">
        <v>246</v>
      </c>
    </row>
    <row r="105" spans="3:4">
      <c r="C105" t="s">
        <v>243</v>
      </c>
      <c r="D105" t="s">
        <v>247</v>
      </c>
    </row>
    <row r="106" spans="3:4">
      <c r="C106" t="s">
        <v>243</v>
      </c>
      <c r="D106" t="s">
        <v>244</v>
      </c>
    </row>
    <row r="107" spans="3:4">
      <c r="C107" t="s">
        <v>243</v>
      </c>
      <c r="D107" t="s">
        <v>245</v>
      </c>
    </row>
    <row r="108" spans="3:4">
      <c r="C108" t="s">
        <v>243</v>
      </c>
      <c r="D108" t="s">
        <v>251</v>
      </c>
    </row>
    <row r="109" spans="3:4">
      <c r="C109" t="s">
        <v>243</v>
      </c>
      <c r="D109" t="s">
        <v>254</v>
      </c>
    </row>
    <row r="110" spans="3:4">
      <c r="C110" t="s">
        <v>243</v>
      </c>
    </row>
    <row r="111" spans="3:4">
      <c r="C111" t="s">
        <v>243</v>
      </c>
    </row>
    <row r="112" spans="3:4">
      <c r="C112" t="s">
        <v>104</v>
      </c>
    </row>
    <row r="113" spans="1:4">
      <c r="C113" t="s">
        <v>104</v>
      </c>
    </row>
    <row r="114" spans="1:4">
      <c r="C114" t="s">
        <v>689</v>
      </c>
      <c r="D114" t="s">
        <v>690</v>
      </c>
    </row>
    <row r="115" spans="1:4">
      <c r="C115" t="s">
        <v>689</v>
      </c>
      <c r="D115" t="s">
        <v>692</v>
      </c>
    </row>
    <row r="116" spans="1:4">
      <c r="C116" t="s">
        <v>689</v>
      </c>
      <c r="D116" t="s">
        <v>691</v>
      </c>
    </row>
    <row r="117" spans="1:4">
      <c r="C117" t="s">
        <v>689</v>
      </c>
      <c r="D117" t="s">
        <v>694</v>
      </c>
    </row>
    <row r="118" spans="1:4">
      <c r="C118" t="s">
        <v>689</v>
      </c>
    </row>
    <row r="119" spans="1:4">
      <c r="C119" t="s">
        <v>689</v>
      </c>
    </row>
    <row r="120" spans="1:4">
      <c r="A120" t="s">
        <v>25</v>
      </c>
    </row>
    <row r="121" spans="1:4">
      <c r="C121" t="s">
        <v>1108</v>
      </c>
      <c r="D121" t="s">
        <v>257</v>
      </c>
    </row>
    <row r="122" spans="1:4">
      <c r="C122" t="s">
        <v>1108</v>
      </c>
      <c r="D122" t="s">
        <v>255</v>
      </c>
    </row>
    <row r="123" spans="1:4">
      <c r="C123" t="s">
        <v>1108</v>
      </c>
      <c r="D123" t="s">
        <v>256</v>
      </c>
    </row>
    <row r="124" spans="1:4">
      <c r="C124" t="s">
        <v>1108</v>
      </c>
    </row>
    <row r="125" spans="1:4">
      <c r="C125" t="s">
        <v>1108</v>
      </c>
    </row>
    <row r="126" spans="1:4">
      <c r="A126" t="s">
        <v>26</v>
      </c>
    </row>
    <row r="127" spans="1:4">
      <c r="C127" t="s">
        <v>930</v>
      </c>
      <c r="D127" t="s">
        <v>935</v>
      </c>
    </row>
    <row r="128" spans="1:4">
      <c r="C128" t="s">
        <v>930</v>
      </c>
      <c r="D128" t="s">
        <v>934</v>
      </c>
    </row>
    <row r="129" spans="3:5">
      <c r="C129" t="s">
        <v>930</v>
      </c>
      <c r="D129" t="s">
        <v>932</v>
      </c>
    </row>
    <row r="130" spans="3:5">
      <c r="C130" t="s">
        <v>930</v>
      </c>
      <c r="D130" t="s">
        <v>931</v>
      </c>
    </row>
    <row r="131" spans="3:5">
      <c r="C131" t="s">
        <v>930</v>
      </c>
      <c r="D131" t="s">
        <v>933</v>
      </c>
    </row>
    <row r="132" spans="3:5">
      <c r="C132" t="s">
        <v>930</v>
      </c>
      <c r="D132" t="s">
        <v>930</v>
      </c>
    </row>
    <row r="133" spans="3:5">
      <c r="C133" t="s">
        <v>930</v>
      </c>
    </row>
    <row r="134" spans="3:5">
      <c r="C134" t="s">
        <v>930</v>
      </c>
    </row>
    <row r="135" spans="3:5">
      <c r="C135" t="s">
        <v>294</v>
      </c>
      <c r="D135" t="s">
        <v>27</v>
      </c>
      <c r="E135" t="s">
        <v>295</v>
      </c>
    </row>
    <row r="136" spans="3:5">
      <c r="C136" t="s">
        <v>294</v>
      </c>
      <c r="D136" t="s">
        <v>307</v>
      </c>
      <c r="E136" t="s">
        <v>295</v>
      </c>
    </row>
    <row r="137" spans="3:5">
      <c r="C137" t="s">
        <v>294</v>
      </c>
      <c r="D137" t="s">
        <v>296</v>
      </c>
      <c r="E137" t="s">
        <v>295</v>
      </c>
    </row>
    <row r="138" spans="3:5">
      <c r="C138" t="s">
        <v>294</v>
      </c>
      <c r="D138" t="s">
        <v>308</v>
      </c>
      <c r="E138" t="s">
        <v>295</v>
      </c>
    </row>
    <row r="139" spans="3:5">
      <c r="C139" t="s">
        <v>294</v>
      </c>
      <c r="D139" t="s">
        <v>297</v>
      </c>
      <c r="E139" t="s">
        <v>295</v>
      </c>
    </row>
    <row r="140" spans="3:5">
      <c r="C140" t="s">
        <v>294</v>
      </c>
      <c r="D140" t="s">
        <v>309</v>
      </c>
      <c r="E140" t="s">
        <v>295</v>
      </c>
    </row>
    <row r="141" spans="3:5">
      <c r="C141" t="s">
        <v>294</v>
      </c>
      <c r="D141" t="s">
        <v>298</v>
      </c>
      <c r="E141" t="s">
        <v>295</v>
      </c>
    </row>
    <row r="142" spans="3:5">
      <c r="C142" t="s">
        <v>294</v>
      </c>
      <c r="D142" t="s">
        <v>310</v>
      </c>
      <c r="E142" t="s">
        <v>295</v>
      </c>
    </row>
    <row r="143" spans="3:5">
      <c r="C143" t="s">
        <v>294</v>
      </c>
      <c r="D143" t="s">
        <v>299</v>
      </c>
      <c r="E143" t="s">
        <v>295</v>
      </c>
    </row>
    <row r="144" spans="3:5">
      <c r="C144" t="s">
        <v>294</v>
      </c>
      <c r="D144" t="s">
        <v>311</v>
      </c>
      <c r="E144" t="s">
        <v>295</v>
      </c>
    </row>
    <row r="145" spans="3:5">
      <c r="C145" t="s">
        <v>294</v>
      </c>
      <c r="D145" t="s">
        <v>300</v>
      </c>
      <c r="E145" t="s">
        <v>295</v>
      </c>
    </row>
    <row r="146" spans="3:5">
      <c r="C146" t="s">
        <v>294</v>
      </c>
      <c r="D146" t="s">
        <v>312</v>
      </c>
      <c r="E146" t="s">
        <v>295</v>
      </c>
    </row>
    <row r="147" spans="3:5">
      <c r="C147" t="s">
        <v>294</v>
      </c>
      <c r="D147" t="s">
        <v>301</v>
      </c>
      <c r="E147" t="s">
        <v>295</v>
      </c>
    </row>
    <row r="148" spans="3:5">
      <c r="C148" t="s">
        <v>294</v>
      </c>
      <c r="D148" t="s">
        <v>313</v>
      </c>
      <c r="E148" t="s">
        <v>295</v>
      </c>
    </row>
    <row r="149" spans="3:5">
      <c r="C149" t="s">
        <v>294</v>
      </c>
      <c r="D149" t="s">
        <v>302</v>
      </c>
      <c r="E149" t="s">
        <v>295</v>
      </c>
    </row>
    <row r="150" spans="3:5">
      <c r="C150" t="s">
        <v>294</v>
      </c>
      <c r="D150" t="s">
        <v>314</v>
      </c>
      <c r="E150" t="s">
        <v>295</v>
      </c>
    </row>
    <row r="151" spans="3:5">
      <c r="C151" t="s">
        <v>294</v>
      </c>
      <c r="D151" t="s">
        <v>303</v>
      </c>
      <c r="E151" t="s">
        <v>295</v>
      </c>
    </row>
    <row r="152" spans="3:5">
      <c r="C152" t="s">
        <v>294</v>
      </c>
      <c r="D152" t="s">
        <v>315</v>
      </c>
      <c r="E152" t="s">
        <v>295</v>
      </c>
    </row>
    <row r="153" spans="3:5">
      <c r="C153" t="s">
        <v>294</v>
      </c>
      <c r="D153" t="s">
        <v>304</v>
      </c>
      <c r="E153" t="s">
        <v>295</v>
      </c>
    </row>
    <row r="154" spans="3:5">
      <c r="C154" t="s">
        <v>294</v>
      </c>
      <c r="D154" t="s">
        <v>316</v>
      </c>
      <c r="E154" t="s">
        <v>295</v>
      </c>
    </row>
    <row r="155" spans="3:5">
      <c r="C155" t="s">
        <v>294</v>
      </c>
      <c r="D155" t="s">
        <v>305</v>
      </c>
      <c r="E155" t="s">
        <v>295</v>
      </c>
    </row>
    <row r="156" spans="3:5">
      <c r="C156" t="s">
        <v>294</v>
      </c>
      <c r="D156" t="s">
        <v>317</v>
      </c>
      <c r="E156" t="s">
        <v>295</v>
      </c>
    </row>
    <row r="157" spans="3:5">
      <c r="C157" t="s">
        <v>294</v>
      </c>
      <c r="D157" t="s">
        <v>306</v>
      </c>
      <c r="E157" t="s">
        <v>295</v>
      </c>
    </row>
    <row r="158" spans="3:5">
      <c r="C158" t="s">
        <v>294</v>
      </c>
      <c r="D158" t="s">
        <v>318</v>
      </c>
      <c r="E158" t="s">
        <v>295</v>
      </c>
    </row>
    <row r="159" spans="3:5">
      <c r="C159" t="s">
        <v>294</v>
      </c>
    </row>
    <row r="160" spans="3:5">
      <c r="C160" t="s">
        <v>294</v>
      </c>
    </row>
    <row r="161" spans="1:4">
      <c r="C161" t="s">
        <v>319</v>
      </c>
      <c r="D161" t="s">
        <v>1128</v>
      </c>
    </row>
    <row r="162" spans="1:4">
      <c r="C162" t="s">
        <v>319</v>
      </c>
      <c r="D162" t="s">
        <v>1129</v>
      </c>
    </row>
    <row r="163" spans="1:4">
      <c r="C163" t="s">
        <v>319</v>
      </c>
      <c r="D163" t="s">
        <v>1130</v>
      </c>
    </row>
    <row r="164" spans="1:4">
      <c r="C164" t="s">
        <v>319</v>
      </c>
      <c r="D164" t="s">
        <v>1131</v>
      </c>
    </row>
    <row r="165" spans="1:4">
      <c r="C165" t="s">
        <v>319</v>
      </c>
      <c r="D165" t="s">
        <v>1132</v>
      </c>
    </row>
    <row r="166" spans="1:4">
      <c r="C166" t="s">
        <v>319</v>
      </c>
    </row>
    <row r="167" spans="1:4">
      <c r="C167" t="s">
        <v>319</v>
      </c>
    </row>
    <row r="168" spans="1:4">
      <c r="A168" t="s">
        <v>288</v>
      </c>
    </row>
    <row r="169" spans="1:4">
      <c r="C169" t="s">
        <v>331</v>
      </c>
      <c r="D169" t="s">
        <v>32</v>
      </c>
    </row>
    <row r="170" spans="1:4">
      <c r="C170" t="s">
        <v>331</v>
      </c>
      <c r="D170" t="s">
        <v>334</v>
      </c>
    </row>
    <row r="171" spans="1:4">
      <c r="C171" t="s">
        <v>331</v>
      </c>
      <c r="D171" t="s">
        <v>333</v>
      </c>
    </row>
    <row r="172" spans="1:4">
      <c r="C172" t="s">
        <v>331</v>
      </c>
      <c r="D172" t="s">
        <v>332</v>
      </c>
    </row>
    <row r="173" spans="1:4">
      <c r="C173" t="s">
        <v>331</v>
      </c>
      <c r="D173" t="s">
        <v>338</v>
      </c>
    </row>
    <row r="174" spans="1:4">
      <c r="C174" t="s">
        <v>331</v>
      </c>
      <c r="D174" t="s">
        <v>336</v>
      </c>
    </row>
    <row r="175" spans="1:4">
      <c r="C175" t="s">
        <v>331</v>
      </c>
      <c r="D175" t="s">
        <v>337</v>
      </c>
    </row>
    <row r="176" spans="1:4">
      <c r="C176" t="s">
        <v>331</v>
      </c>
      <c r="D176" t="s">
        <v>335</v>
      </c>
    </row>
    <row r="177" spans="3:4">
      <c r="C177" t="s">
        <v>331</v>
      </c>
    </row>
    <row r="178" spans="3:4">
      <c r="C178" t="s">
        <v>331</v>
      </c>
    </row>
    <row r="179" spans="3:4">
      <c r="C179" t="s">
        <v>155</v>
      </c>
      <c r="D179" t="s">
        <v>339</v>
      </c>
    </row>
    <row r="180" spans="3:4">
      <c r="C180" t="s">
        <v>155</v>
      </c>
      <c r="D180" t="s">
        <v>340</v>
      </c>
    </row>
    <row r="181" spans="3:4">
      <c r="C181" t="s">
        <v>155</v>
      </c>
      <c r="D181" t="s">
        <v>341</v>
      </c>
    </row>
    <row r="182" spans="3:4">
      <c r="C182" t="s">
        <v>155</v>
      </c>
      <c r="D182" t="s">
        <v>342</v>
      </c>
    </row>
    <row r="183" spans="3:4">
      <c r="C183" t="s">
        <v>155</v>
      </c>
    </row>
    <row r="184" spans="3:4">
      <c r="C184" t="s">
        <v>155</v>
      </c>
    </row>
    <row r="185" spans="3:4">
      <c r="C185" t="s">
        <v>343</v>
      </c>
      <c r="D185" t="s">
        <v>344</v>
      </c>
    </row>
    <row r="186" spans="3:4">
      <c r="C186" t="s">
        <v>343</v>
      </c>
      <c r="D186" t="s">
        <v>346</v>
      </c>
    </row>
    <row r="187" spans="3:4">
      <c r="C187" t="s">
        <v>343</v>
      </c>
      <c r="D187" t="s">
        <v>347</v>
      </c>
    </row>
    <row r="188" spans="3:4">
      <c r="C188" t="s">
        <v>343</v>
      </c>
      <c r="D188" t="s">
        <v>345</v>
      </c>
    </row>
    <row r="189" spans="3:4">
      <c r="C189" t="s">
        <v>343</v>
      </c>
    </row>
    <row r="190" spans="3:4">
      <c r="C190" t="s">
        <v>343</v>
      </c>
    </row>
    <row r="191" spans="3:4">
      <c r="C191" t="s">
        <v>18</v>
      </c>
      <c r="D191" t="s">
        <v>291</v>
      </c>
    </row>
    <row r="192" spans="3:4">
      <c r="C192" t="s">
        <v>18</v>
      </c>
      <c r="D192" t="s">
        <v>30</v>
      </c>
    </row>
    <row r="193" spans="1:4">
      <c r="C193" t="s">
        <v>18</v>
      </c>
      <c r="D193" t="s">
        <v>31</v>
      </c>
    </row>
    <row r="194" spans="1:4">
      <c r="C194" t="s">
        <v>18</v>
      </c>
      <c r="D194" t="s">
        <v>290</v>
      </c>
    </row>
    <row r="195" spans="1:4">
      <c r="C195" t="s">
        <v>18</v>
      </c>
      <c r="D195" t="s">
        <v>289</v>
      </c>
    </row>
    <row r="196" spans="1:4">
      <c r="C196" t="s">
        <v>18</v>
      </c>
    </row>
    <row r="197" spans="1:4">
      <c r="C197" t="s">
        <v>18</v>
      </c>
    </row>
    <row r="198" spans="1:4">
      <c r="C198" t="s">
        <v>111</v>
      </c>
      <c r="D198" t="s">
        <v>348</v>
      </c>
    </row>
    <row r="199" spans="1:4">
      <c r="C199" t="s">
        <v>111</v>
      </c>
      <c r="D199" t="s">
        <v>349</v>
      </c>
    </row>
    <row r="200" spans="1:4">
      <c r="C200" t="s">
        <v>111</v>
      </c>
    </row>
    <row r="201" spans="1:4">
      <c r="C201" t="s">
        <v>111</v>
      </c>
    </row>
    <row r="202" spans="1:4">
      <c r="C202" t="s">
        <v>292</v>
      </c>
      <c r="D202" t="s">
        <v>24</v>
      </c>
    </row>
    <row r="203" spans="1:4">
      <c r="C203" t="s">
        <v>292</v>
      </c>
      <c r="D203" t="s">
        <v>62</v>
      </c>
    </row>
    <row r="204" spans="1:4">
      <c r="C204" t="s">
        <v>292</v>
      </c>
      <c r="D204" t="s">
        <v>293</v>
      </c>
    </row>
    <row r="205" spans="1:4">
      <c r="C205" t="s">
        <v>292</v>
      </c>
    </row>
    <row r="206" spans="1:4">
      <c r="C206" t="s">
        <v>292</v>
      </c>
    </row>
    <row r="207" spans="1:4">
      <c r="A207" t="s">
        <v>33</v>
      </c>
    </row>
    <row r="208" spans="1:4">
      <c r="C208" t="s">
        <v>326</v>
      </c>
      <c r="D208" t="s">
        <v>327</v>
      </c>
    </row>
    <row r="209" spans="1:4">
      <c r="C209" t="s">
        <v>326</v>
      </c>
      <c r="D209" t="s">
        <v>328</v>
      </c>
    </row>
    <row r="210" spans="1:4">
      <c r="C210" t="s">
        <v>326</v>
      </c>
      <c r="D210" t="s">
        <v>329</v>
      </c>
    </row>
    <row r="211" spans="1:4">
      <c r="C211" t="s">
        <v>326</v>
      </c>
      <c r="D211" t="s">
        <v>330</v>
      </c>
    </row>
    <row r="212" spans="1:4">
      <c r="C212" t="s">
        <v>326</v>
      </c>
    </row>
    <row r="213" spans="1:4">
      <c r="C213" t="s">
        <v>326</v>
      </c>
    </row>
    <row r="214" spans="1:4">
      <c r="C214" t="s">
        <v>325</v>
      </c>
    </row>
    <row r="215" spans="1:4">
      <c r="C215" t="s">
        <v>325</v>
      </c>
    </row>
    <row r="216" spans="1:4">
      <c r="C216" t="s">
        <v>915</v>
      </c>
      <c r="D216" t="s">
        <v>916</v>
      </c>
    </row>
    <row r="217" spans="1:4">
      <c r="C217" t="s">
        <v>915</v>
      </c>
      <c r="D217" t="s">
        <v>921</v>
      </c>
    </row>
    <row r="218" spans="1:4">
      <c r="C218" t="s">
        <v>915</v>
      </c>
      <c r="D218" t="s">
        <v>917</v>
      </c>
    </row>
    <row r="219" spans="1:4">
      <c r="C219" t="s">
        <v>915</v>
      </c>
      <c r="D219" t="s">
        <v>918</v>
      </c>
    </row>
    <row r="220" spans="1:4">
      <c r="C220" t="s">
        <v>915</v>
      </c>
    </row>
    <row r="221" spans="1:4">
      <c r="C221" t="s">
        <v>915</v>
      </c>
    </row>
    <row r="222" spans="1:4">
      <c r="A222" t="s">
        <v>34</v>
      </c>
    </row>
    <row r="223" spans="1:4">
      <c r="C223" t="s">
        <v>915</v>
      </c>
      <c r="D223" t="s">
        <v>919</v>
      </c>
    </row>
    <row r="224" spans="1:4">
      <c r="C224" t="s">
        <v>915</v>
      </c>
    </row>
    <row r="225" spans="2:5">
      <c r="C225" t="s">
        <v>915</v>
      </c>
    </row>
    <row r="226" spans="2:5">
      <c r="C226" t="s">
        <v>264</v>
      </c>
      <c r="D226" t="s">
        <v>1181</v>
      </c>
      <c r="E226" t="s">
        <v>1181</v>
      </c>
    </row>
    <row r="227" spans="2:5">
      <c r="C227" t="s">
        <v>264</v>
      </c>
      <c r="D227" t="s">
        <v>1298</v>
      </c>
      <c r="E227" t="s">
        <v>1298</v>
      </c>
    </row>
    <row r="228" spans="2:5">
      <c r="C228" t="s">
        <v>264</v>
      </c>
      <c r="D228" t="s">
        <v>1297</v>
      </c>
      <c r="E228" t="s">
        <v>1297</v>
      </c>
    </row>
    <row r="229" spans="2:5">
      <c r="C229" t="s">
        <v>264</v>
      </c>
      <c r="D229" t="s">
        <v>1296</v>
      </c>
      <c r="E229" t="s">
        <v>1296</v>
      </c>
    </row>
    <row r="230" spans="2:5">
      <c r="C230" t="s">
        <v>264</v>
      </c>
      <c r="D230" t="s">
        <v>1299</v>
      </c>
      <c r="E230" t="s">
        <v>1299</v>
      </c>
    </row>
    <row r="231" spans="2:5">
      <c r="C231" t="s">
        <v>264</v>
      </c>
      <c r="D231" t="s">
        <v>264</v>
      </c>
      <c r="E231" t="s">
        <v>265</v>
      </c>
    </row>
    <row r="232" spans="2:5">
      <c r="C232" t="s">
        <v>264</v>
      </c>
      <c r="D232" t="s">
        <v>271</v>
      </c>
      <c r="E232" t="s">
        <v>271</v>
      </c>
    </row>
    <row r="233" spans="2:5">
      <c r="C233" t="s">
        <v>264</v>
      </c>
    </row>
    <row r="234" spans="2:5">
      <c r="C234" t="s">
        <v>264</v>
      </c>
    </row>
    <row r="235" spans="2:5">
      <c r="C235" t="s">
        <v>1035</v>
      </c>
      <c r="D235" t="s">
        <v>1036</v>
      </c>
    </row>
    <row r="236" spans="2:5">
      <c r="C236" t="s">
        <v>1035</v>
      </c>
      <c r="D236" t="s">
        <v>1036</v>
      </c>
    </row>
    <row r="237" spans="2:5">
      <c r="C237" t="s">
        <v>1035</v>
      </c>
    </row>
    <row r="238" spans="2:5">
      <c r="C238" t="s">
        <v>1035</v>
      </c>
    </row>
    <row r="239" spans="2:5">
      <c r="B239">
        <v>1</v>
      </c>
      <c r="C239" t="s">
        <v>272</v>
      </c>
      <c r="D239" t="s">
        <v>156</v>
      </c>
      <c r="E239" t="s">
        <v>156</v>
      </c>
    </row>
    <row r="240" spans="2:5">
      <c r="C240" t="s">
        <v>272</v>
      </c>
      <c r="D240" t="s">
        <v>275</v>
      </c>
      <c r="E240" t="s">
        <v>275</v>
      </c>
    </row>
    <row r="241" spans="3:5">
      <c r="C241" t="s">
        <v>272</v>
      </c>
      <c r="D241" t="s">
        <v>281</v>
      </c>
      <c r="E241" t="s">
        <v>281</v>
      </c>
    </row>
    <row r="242" spans="3:5">
      <c r="C242" t="s">
        <v>272</v>
      </c>
      <c r="D242" t="s">
        <v>274</v>
      </c>
      <c r="E242" t="s">
        <v>274</v>
      </c>
    </row>
    <row r="243" spans="3:5">
      <c r="C243" t="s">
        <v>272</v>
      </c>
      <c r="D243" t="s">
        <v>273</v>
      </c>
      <c r="E243" t="s">
        <v>273</v>
      </c>
    </row>
    <row r="244" spans="3:5">
      <c r="C244" t="s">
        <v>272</v>
      </c>
      <c r="D244" t="s">
        <v>279</v>
      </c>
      <c r="E244" t="s">
        <v>279</v>
      </c>
    </row>
    <row r="245" spans="3:5">
      <c r="C245" t="s">
        <v>272</v>
      </c>
      <c r="D245" t="s">
        <v>278</v>
      </c>
      <c r="E245" t="s">
        <v>278</v>
      </c>
    </row>
    <row r="246" spans="3:5">
      <c r="C246" t="s">
        <v>272</v>
      </c>
      <c r="D246" t="s">
        <v>277</v>
      </c>
      <c r="E246" t="s">
        <v>277</v>
      </c>
    </row>
    <row r="247" spans="3:5">
      <c r="C247" t="s">
        <v>272</v>
      </c>
      <c r="D247" t="s">
        <v>276</v>
      </c>
      <c r="E247" t="s">
        <v>276</v>
      </c>
    </row>
    <row r="248" spans="3:5">
      <c r="C248" t="s">
        <v>272</v>
      </c>
      <c r="D248" t="s">
        <v>280</v>
      </c>
      <c r="E248" t="s">
        <v>280</v>
      </c>
    </row>
    <row r="249" spans="3:5">
      <c r="C249" t="s">
        <v>272</v>
      </c>
    </row>
    <row r="250" spans="3:5">
      <c r="C250" t="s">
        <v>272</v>
      </c>
    </row>
    <row r="251" spans="3:5">
      <c r="C251" t="s">
        <v>282</v>
      </c>
      <c r="D251" t="s">
        <v>275</v>
      </c>
      <c r="E251" t="s">
        <v>275</v>
      </c>
    </row>
    <row r="252" spans="3:5">
      <c r="C252" t="s">
        <v>282</v>
      </c>
      <c r="D252" t="s">
        <v>281</v>
      </c>
      <c r="E252" t="s">
        <v>281</v>
      </c>
    </row>
    <row r="253" spans="3:5">
      <c r="C253" t="s">
        <v>282</v>
      </c>
      <c r="D253" t="s">
        <v>274</v>
      </c>
      <c r="E253" t="s">
        <v>274</v>
      </c>
    </row>
    <row r="254" spans="3:5">
      <c r="C254" t="s">
        <v>282</v>
      </c>
      <c r="D254" t="s">
        <v>283</v>
      </c>
      <c r="E254" t="s">
        <v>283</v>
      </c>
    </row>
    <row r="255" spans="3:5">
      <c r="C255" t="s">
        <v>282</v>
      </c>
      <c r="D255" t="s">
        <v>273</v>
      </c>
      <c r="E255" t="s">
        <v>273</v>
      </c>
    </row>
    <row r="256" spans="3:5">
      <c r="C256" t="s">
        <v>282</v>
      </c>
      <c r="D256" t="s">
        <v>287</v>
      </c>
      <c r="E256" t="s">
        <v>287</v>
      </c>
    </row>
    <row r="257" spans="1:5">
      <c r="C257" t="s">
        <v>282</v>
      </c>
      <c r="D257" t="s">
        <v>286</v>
      </c>
      <c r="E257" t="s">
        <v>286</v>
      </c>
    </row>
    <row r="258" spans="1:5">
      <c r="C258" t="s">
        <v>282</v>
      </c>
      <c r="D258" t="s">
        <v>285</v>
      </c>
      <c r="E258" t="s">
        <v>285</v>
      </c>
    </row>
    <row r="259" spans="1:5">
      <c r="C259" t="s">
        <v>282</v>
      </c>
      <c r="D259" t="s">
        <v>284</v>
      </c>
      <c r="E259" t="s">
        <v>284</v>
      </c>
    </row>
    <row r="260" spans="1:5">
      <c r="C260" t="s">
        <v>282</v>
      </c>
      <c r="D260" t="s">
        <v>277</v>
      </c>
      <c r="E260" t="s">
        <v>277</v>
      </c>
    </row>
    <row r="261" spans="1:5">
      <c r="C261" t="s">
        <v>282</v>
      </c>
      <c r="D261" t="s">
        <v>276</v>
      </c>
      <c r="E261" t="s">
        <v>276</v>
      </c>
    </row>
    <row r="262" spans="1:5">
      <c r="C262" t="s">
        <v>282</v>
      </c>
      <c r="D262" t="s">
        <v>280</v>
      </c>
      <c r="E262" t="s">
        <v>280</v>
      </c>
    </row>
    <row r="263" spans="1:5">
      <c r="C263" t="s">
        <v>282</v>
      </c>
    </row>
    <row r="264" spans="1:5">
      <c r="C264" t="s">
        <v>282</v>
      </c>
    </row>
    <row r="265" spans="1:5">
      <c r="A265" t="s">
        <v>35</v>
      </c>
    </row>
    <row r="266" spans="1:5">
      <c r="C266" t="s">
        <v>854</v>
      </c>
      <c r="D266" t="s">
        <v>856</v>
      </c>
    </row>
    <row r="267" spans="1:5">
      <c r="C267" t="s">
        <v>854</v>
      </c>
      <c r="D267" t="s">
        <v>857</v>
      </c>
    </row>
    <row r="268" spans="1:5">
      <c r="C268" t="s">
        <v>854</v>
      </c>
      <c r="D268" t="s">
        <v>855</v>
      </c>
    </row>
    <row r="269" spans="1:5">
      <c r="C269" t="s">
        <v>854</v>
      </c>
    </row>
    <row r="270" spans="1:5">
      <c r="C270" t="s">
        <v>854</v>
      </c>
    </row>
    <row r="271" spans="1:5">
      <c r="A271" t="s">
        <v>41</v>
      </c>
    </row>
    <row r="272" spans="1:5">
      <c r="C272" t="s">
        <v>915</v>
      </c>
      <c r="D272" t="s">
        <v>925</v>
      </c>
    </row>
    <row r="273" spans="1:4">
      <c r="C273" t="s">
        <v>915</v>
      </c>
    </row>
    <row r="274" spans="1:4">
      <c r="C274" t="s">
        <v>915</v>
      </c>
    </row>
    <row r="275" spans="1:4">
      <c r="C275" t="s">
        <v>944</v>
      </c>
      <c r="D275" t="s">
        <v>947</v>
      </c>
    </row>
    <row r="276" spans="1:4">
      <c r="C276" t="s">
        <v>944</v>
      </c>
      <c r="D276" t="s">
        <v>945</v>
      </c>
    </row>
    <row r="277" spans="1:4">
      <c r="C277" t="s">
        <v>944</v>
      </c>
      <c r="D277" t="s">
        <v>946</v>
      </c>
    </row>
    <row r="278" spans="1:4">
      <c r="C278" t="s">
        <v>944</v>
      </c>
    </row>
    <row r="279" spans="1:4">
      <c r="C279" t="s">
        <v>944</v>
      </c>
    </row>
    <row r="280" spans="1:4">
      <c r="A280" t="s">
        <v>42</v>
      </c>
    </row>
    <row r="281" spans="1:4">
      <c r="C281" t="s">
        <v>915</v>
      </c>
      <c r="D281" t="s">
        <v>928</v>
      </c>
    </row>
    <row r="282" spans="1:4">
      <c r="C282" t="s">
        <v>915</v>
      </c>
      <c r="D282" t="s">
        <v>929</v>
      </c>
    </row>
    <row r="283" spans="1:4">
      <c r="C283" t="s">
        <v>915</v>
      </c>
    </row>
    <row r="284" spans="1:4">
      <c r="C284" t="s">
        <v>915</v>
      </c>
    </row>
    <row r="285" spans="1:4">
      <c r="A285" t="s">
        <v>43</v>
      </c>
    </row>
    <row r="286" spans="1:4">
      <c r="C286" t="s">
        <v>695</v>
      </c>
      <c r="D286" t="s">
        <v>1153</v>
      </c>
    </row>
    <row r="287" spans="1:4">
      <c r="C287" t="s">
        <v>695</v>
      </c>
      <c r="D287" t="s">
        <v>1155</v>
      </c>
    </row>
    <row r="288" spans="1:4">
      <c r="C288" t="s">
        <v>695</v>
      </c>
      <c r="D288" t="s">
        <v>1154</v>
      </c>
    </row>
    <row r="289" spans="1:4">
      <c r="C289" t="s">
        <v>695</v>
      </c>
      <c r="D289" t="s">
        <v>700</v>
      </c>
    </row>
    <row r="290" spans="1:4">
      <c r="C290" t="s">
        <v>695</v>
      </c>
      <c r="D290" t="s">
        <v>699</v>
      </c>
    </row>
    <row r="291" spans="1:4">
      <c r="C291" t="s">
        <v>695</v>
      </c>
    </row>
    <row r="292" spans="1:4">
      <c r="C292" t="s">
        <v>695</v>
      </c>
    </row>
    <row r="293" spans="1:4">
      <c r="A293" t="s">
        <v>44</v>
      </c>
    </row>
    <row r="294" spans="1:4">
      <c r="C294" t="s">
        <v>936</v>
      </c>
      <c r="D294" t="s">
        <v>939</v>
      </c>
    </row>
    <row r="295" spans="1:4">
      <c r="C295" t="s">
        <v>936</v>
      </c>
      <c r="D295" t="s">
        <v>939</v>
      </c>
    </row>
    <row r="296" spans="1:4">
      <c r="C296" t="s">
        <v>936</v>
      </c>
      <c r="D296" t="s">
        <v>943</v>
      </c>
    </row>
    <row r="297" spans="1:4">
      <c r="C297" t="s">
        <v>936</v>
      </c>
      <c r="D297" t="s">
        <v>943</v>
      </c>
    </row>
    <row r="298" spans="1:4">
      <c r="C298" t="s">
        <v>936</v>
      </c>
      <c r="D298" t="s">
        <v>942</v>
      </c>
    </row>
    <row r="299" spans="1:4">
      <c r="C299" t="s">
        <v>936</v>
      </c>
      <c r="D299" t="s">
        <v>942</v>
      </c>
    </row>
    <row r="300" spans="1:4">
      <c r="C300" t="s">
        <v>936</v>
      </c>
      <c r="D300" t="s">
        <v>941</v>
      </c>
    </row>
    <row r="301" spans="1:4">
      <c r="C301" t="s">
        <v>936</v>
      </c>
      <c r="D301" t="s">
        <v>941</v>
      </c>
    </row>
    <row r="302" spans="1:4">
      <c r="C302" t="s">
        <v>936</v>
      </c>
      <c r="D302" t="s">
        <v>938</v>
      </c>
    </row>
    <row r="303" spans="1:4">
      <c r="C303" t="s">
        <v>936</v>
      </c>
      <c r="D303" t="s">
        <v>938</v>
      </c>
    </row>
    <row r="304" spans="1:4">
      <c r="C304" t="s">
        <v>936</v>
      </c>
      <c r="D304" t="s">
        <v>937</v>
      </c>
    </row>
    <row r="305" spans="1:5">
      <c r="C305" t="s">
        <v>936</v>
      </c>
      <c r="D305" t="s">
        <v>937</v>
      </c>
    </row>
    <row r="306" spans="1:5">
      <c r="C306" t="s">
        <v>936</v>
      </c>
      <c r="D306" t="s">
        <v>940</v>
      </c>
    </row>
    <row r="307" spans="1:5">
      <c r="C307" t="s">
        <v>936</v>
      </c>
      <c r="D307" t="s">
        <v>940</v>
      </c>
    </row>
    <row r="308" spans="1:5">
      <c r="C308" t="s">
        <v>936</v>
      </c>
    </row>
    <row r="309" spans="1:5">
      <c r="C309" t="s">
        <v>936</v>
      </c>
    </row>
    <row r="310" spans="1:5">
      <c r="A310" t="s">
        <v>45</v>
      </c>
    </row>
    <row r="311" spans="1:5">
      <c r="C311" t="s">
        <v>396</v>
      </c>
      <c r="D311" t="s">
        <v>397</v>
      </c>
    </row>
    <row r="312" spans="1:5">
      <c r="C312" t="s">
        <v>396</v>
      </c>
    </row>
    <row r="313" spans="1:5">
      <c r="C313" t="s">
        <v>396</v>
      </c>
    </row>
    <row r="314" spans="1:5">
      <c r="C314" t="s">
        <v>406</v>
      </c>
      <c r="D314" t="s">
        <v>407</v>
      </c>
      <c r="E314" t="s">
        <v>1306</v>
      </c>
    </row>
    <row r="315" spans="1:5">
      <c r="C315" t="s">
        <v>406</v>
      </c>
      <c r="D315" t="s">
        <v>408</v>
      </c>
      <c r="E315" t="s">
        <v>1306</v>
      </c>
    </row>
    <row r="316" spans="1:5">
      <c r="C316" t="s">
        <v>406</v>
      </c>
      <c r="D316" t="s">
        <v>96</v>
      </c>
      <c r="E316" t="s">
        <v>1306</v>
      </c>
    </row>
    <row r="317" spans="1:5">
      <c r="C317" t="s">
        <v>406</v>
      </c>
      <c r="D317" t="s">
        <v>97</v>
      </c>
      <c r="E317" t="s">
        <v>1306</v>
      </c>
    </row>
    <row r="318" spans="1:5">
      <c r="C318" t="s">
        <v>406</v>
      </c>
    </row>
    <row r="319" spans="1:5">
      <c r="C319" t="s">
        <v>406</v>
      </c>
    </row>
    <row r="320" spans="1:5">
      <c r="A320" t="s">
        <v>379</v>
      </c>
    </row>
    <row r="321" spans="3:4">
      <c r="C321" t="s">
        <v>380</v>
      </c>
      <c r="D321" t="s">
        <v>395</v>
      </c>
    </row>
    <row r="322" spans="3:4">
      <c r="C322" t="s">
        <v>380</v>
      </c>
      <c r="D322" t="s">
        <v>394</v>
      </c>
    </row>
    <row r="323" spans="3:4">
      <c r="C323" t="s">
        <v>380</v>
      </c>
      <c r="D323" t="s">
        <v>393</v>
      </c>
    </row>
    <row r="324" spans="3:4">
      <c r="C324" t="s">
        <v>380</v>
      </c>
      <c r="D324" t="s">
        <v>382</v>
      </c>
    </row>
    <row r="325" spans="3:4">
      <c r="C325" t="s">
        <v>380</v>
      </c>
      <c r="D325" t="s">
        <v>381</v>
      </c>
    </row>
    <row r="326" spans="3:4">
      <c r="C326" t="s">
        <v>380</v>
      </c>
      <c r="D326" t="s">
        <v>383</v>
      </c>
    </row>
    <row r="327" spans="3:4">
      <c r="C327" t="s">
        <v>380</v>
      </c>
      <c r="D327" t="s">
        <v>387</v>
      </c>
    </row>
    <row r="328" spans="3:4">
      <c r="C328" t="s">
        <v>380</v>
      </c>
      <c r="D328" t="s">
        <v>384</v>
      </c>
    </row>
    <row r="329" spans="3:4">
      <c r="C329" t="s">
        <v>380</v>
      </c>
      <c r="D329" t="s">
        <v>385</v>
      </c>
    </row>
    <row r="330" spans="3:4">
      <c r="C330" t="s">
        <v>380</v>
      </c>
      <c r="D330" t="s">
        <v>386</v>
      </c>
    </row>
    <row r="331" spans="3:4">
      <c r="C331" t="s">
        <v>380</v>
      </c>
      <c r="D331" t="s">
        <v>389</v>
      </c>
    </row>
    <row r="332" spans="3:4">
      <c r="C332" t="s">
        <v>380</v>
      </c>
      <c r="D332" t="s">
        <v>388</v>
      </c>
    </row>
    <row r="333" spans="3:4">
      <c r="C333" t="s">
        <v>380</v>
      </c>
      <c r="D333" t="s">
        <v>391</v>
      </c>
    </row>
    <row r="334" spans="3:4">
      <c r="C334" t="s">
        <v>380</v>
      </c>
      <c r="D334" t="s">
        <v>390</v>
      </c>
    </row>
    <row r="335" spans="3:4">
      <c r="C335" t="s">
        <v>380</v>
      </c>
      <c r="D335" t="s">
        <v>392</v>
      </c>
    </row>
    <row r="336" spans="3:4">
      <c r="C336" t="s">
        <v>380</v>
      </c>
    </row>
    <row r="337" spans="1:4">
      <c r="C337" t="s">
        <v>380</v>
      </c>
    </row>
    <row r="338" spans="1:4">
      <c r="A338" t="s">
        <v>559</v>
      </c>
    </row>
    <row r="339" spans="1:4">
      <c r="C339" t="s">
        <v>910</v>
      </c>
      <c r="D339" t="s">
        <v>912</v>
      </c>
    </row>
    <row r="340" spans="1:4">
      <c r="C340" t="s">
        <v>910</v>
      </c>
      <c r="D340" t="s">
        <v>913</v>
      </c>
    </row>
    <row r="341" spans="1:4">
      <c r="C341" t="s">
        <v>910</v>
      </c>
      <c r="D341" t="s">
        <v>914</v>
      </c>
    </row>
    <row r="342" spans="1:4">
      <c r="C342" t="s">
        <v>910</v>
      </c>
    </row>
    <row r="343" spans="1:4">
      <c r="C343" t="s">
        <v>910</v>
      </c>
    </row>
    <row r="344" spans="1:4">
      <c r="C344" t="s">
        <v>569</v>
      </c>
      <c r="D344" t="s">
        <v>572</v>
      </c>
    </row>
    <row r="345" spans="1:4">
      <c r="C345" t="s">
        <v>569</v>
      </c>
      <c r="D345" t="s">
        <v>570</v>
      </c>
    </row>
    <row r="346" spans="1:4">
      <c r="C346" t="s">
        <v>569</v>
      </c>
      <c r="D346" t="s">
        <v>571</v>
      </c>
    </row>
    <row r="347" spans="1:4">
      <c r="C347" t="s">
        <v>569</v>
      </c>
    </row>
    <row r="348" spans="1:4">
      <c r="C348" t="s">
        <v>569</v>
      </c>
    </row>
    <row r="349" spans="1:4">
      <c r="C349" t="s">
        <v>573</v>
      </c>
      <c r="D349" t="s">
        <v>567</v>
      </c>
    </row>
    <row r="350" spans="1:4">
      <c r="C350" t="s">
        <v>573</v>
      </c>
      <c r="D350" t="s">
        <v>575</v>
      </c>
    </row>
    <row r="351" spans="1:4">
      <c r="C351" t="s">
        <v>573</v>
      </c>
      <c r="D351" t="s">
        <v>574</v>
      </c>
    </row>
    <row r="352" spans="1:4">
      <c r="C352" t="s">
        <v>573</v>
      </c>
    </row>
    <row r="353" spans="3:4">
      <c r="C353" t="s">
        <v>573</v>
      </c>
    </row>
    <row r="354" spans="3:4">
      <c r="C354" t="s">
        <v>48</v>
      </c>
      <c r="D354" t="s">
        <v>576</v>
      </c>
    </row>
    <row r="355" spans="3:4">
      <c r="C355" t="s">
        <v>48</v>
      </c>
      <c r="D355" t="s">
        <v>577</v>
      </c>
    </row>
    <row r="356" spans="3:4">
      <c r="C356" t="s">
        <v>48</v>
      </c>
    </row>
    <row r="357" spans="3:4">
      <c r="C357" t="s">
        <v>48</v>
      </c>
    </row>
    <row r="358" spans="3:4">
      <c r="C358" t="s">
        <v>560</v>
      </c>
      <c r="D358" t="s">
        <v>564</v>
      </c>
    </row>
    <row r="359" spans="3:4">
      <c r="C359" t="s">
        <v>560</v>
      </c>
      <c r="D359" t="s">
        <v>565</v>
      </c>
    </row>
    <row r="360" spans="3:4">
      <c r="C360" t="s">
        <v>560</v>
      </c>
      <c r="D360" t="s">
        <v>567</v>
      </c>
    </row>
    <row r="361" spans="3:4">
      <c r="C361" t="s">
        <v>560</v>
      </c>
      <c r="D361" t="s">
        <v>568</v>
      </c>
    </row>
    <row r="362" spans="3:4">
      <c r="C362" t="s">
        <v>560</v>
      </c>
      <c r="D362" t="s">
        <v>562</v>
      </c>
    </row>
    <row r="363" spans="3:4">
      <c r="C363" t="s">
        <v>560</v>
      </c>
      <c r="D363" t="s">
        <v>566</v>
      </c>
    </row>
    <row r="364" spans="3:4">
      <c r="C364" t="s">
        <v>560</v>
      </c>
      <c r="D364" t="s">
        <v>563</v>
      </c>
    </row>
    <row r="365" spans="3:4">
      <c r="C365" t="s">
        <v>560</v>
      </c>
      <c r="D365" t="s">
        <v>561</v>
      </c>
    </row>
    <row r="366" spans="3:4">
      <c r="C366" t="s">
        <v>560</v>
      </c>
    </row>
    <row r="367" spans="3:4">
      <c r="C367" t="s">
        <v>560</v>
      </c>
    </row>
    <row r="368" spans="3:4">
      <c r="C368" t="s">
        <v>819</v>
      </c>
      <c r="D368" t="s">
        <v>823</v>
      </c>
    </row>
    <row r="369" spans="1:4">
      <c r="C369" t="s">
        <v>819</v>
      </c>
      <c r="D369" t="s">
        <v>28</v>
      </c>
    </row>
    <row r="370" spans="1:4">
      <c r="C370" t="s">
        <v>819</v>
      </c>
      <c r="D370" t="s">
        <v>824</v>
      </c>
    </row>
    <row r="371" spans="1:4">
      <c r="C371" t="s">
        <v>819</v>
      </c>
      <c r="D371" t="s">
        <v>29</v>
      </c>
    </row>
    <row r="372" spans="1:4">
      <c r="C372" t="s">
        <v>819</v>
      </c>
      <c r="D372" t="s">
        <v>821</v>
      </c>
    </row>
    <row r="373" spans="1:4">
      <c r="C373" t="s">
        <v>819</v>
      </c>
      <c r="D373" t="s">
        <v>822</v>
      </c>
    </row>
    <row r="374" spans="1:4">
      <c r="C374" t="s">
        <v>819</v>
      </c>
      <c r="D374" t="s">
        <v>830</v>
      </c>
    </row>
    <row r="375" spans="1:4">
      <c r="C375" t="s">
        <v>819</v>
      </c>
      <c r="D375" t="s">
        <v>49</v>
      </c>
    </row>
    <row r="376" spans="1:4">
      <c r="C376" t="s">
        <v>819</v>
      </c>
      <c r="D376" t="s">
        <v>829</v>
      </c>
    </row>
    <row r="377" spans="1:4">
      <c r="C377" t="s">
        <v>819</v>
      </c>
      <c r="D377" t="s">
        <v>827</v>
      </c>
    </row>
    <row r="378" spans="1:4">
      <c r="C378" t="s">
        <v>819</v>
      </c>
      <c r="D378" t="s">
        <v>826</v>
      </c>
    </row>
    <row r="379" spans="1:4">
      <c r="C379" t="s">
        <v>819</v>
      </c>
      <c r="D379" t="s">
        <v>825</v>
      </c>
    </row>
    <row r="380" spans="1:4">
      <c r="C380" t="s">
        <v>819</v>
      </c>
      <c r="D380" t="s">
        <v>828</v>
      </c>
    </row>
    <row r="381" spans="1:4">
      <c r="C381" t="s">
        <v>819</v>
      </c>
      <c r="D381" t="s">
        <v>820</v>
      </c>
    </row>
    <row r="382" spans="1:4">
      <c r="C382" t="s">
        <v>819</v>
      </c>
    </row>
    <row r="383" spans="1:4">
      <c r="C383" t="s">
        <v>819</v>
      </c>
    </row>
    <row r="384" spans="1:4">
      <c r="A384" t="s">
        <v>50</v>
      </c>
    </row>
    <row r="385" spans="3:4">
      <c r="C385" t="s">
        <v>831</v>
      </c>
      <c r="D385" t="s">
        <v>1156</v>
      </c>
    </row>
    <row r="386" spans="3:4">
      <c r="C386" t="s">
        <v>831</v>
      </c>
      <c r="D386" t="s">
        <v>1157</v>
      </c>
    </row>
    <row r="387" spans="3:4">
      <c r="C387" t="s">
        <v>831</v>
      </c>
      <c r="D387" t="s">
        <v>1158</v>
      </c>
    </row>
    <row r="388" spans="3:4">
      <c r="C388" t="s">
        <v>831</v>
      </c>
      <c r="D388" t="s">
        <v>1159</v>
      </c>
    </row>
    <row r="389" spans="3:4">
      <c r="C389" t="s">
        <v>831</v>
      </c>
      <c r="D389" t="s">
        <v>1160</v>
      </c>
    </row>
    <row r="390" spans="3:4">
      <c r="C390" t="s">
        <v>831</v>
      </c>
    </row>
    <row r="391" spans="3:4">
      <c r="C391" t="s">
        <v>831</v>
      </c>
    </row>
    <row r="392" spans="3:4">
      <c r="C392" t="s">
        <v>588</v>
      </c>
      <c r="D392" t="s">
        <v>589</v>
      </c>
    </row>
    <row r="393" spans="3:4">
      <c r="C393" t="s">
        <v>588</v>
      </c>
      <c r="D393" t="s">
        <v>590</v>
      </c>
    </row>
    <row r="394" spans="3:4">
      <c r="C394" t="s">
        <v>588</v>
      </c>
    </row>
    <row r="395" spans="3:4">
      <c r="C395" t="s">
        <v>588</v>
      </c>
    </row>
    <row r="396" spans="3:4">
      <c r="C396" t="s">
        <v>578</v>
      </c>
      <c r="D396" t="s">
        <v>580</v>
      </c>
    </row>
    <row r="397" spans="3:4">
      <c r="C397" t="s">
        <v>578</v>
      </c>
      <c r="D397" t="s">
        <v>579</v>
      </c>
    </row>
    <row r="398" spans="3:4">
      <c r="C398" t="s">
        <v>578</v>
      </c>
      <c r="D398" t="s">
        <v>581</v>
      </c>
    </row>
    <row r="399" spans="3:4">
      <c r="C399" t="s">
        <v>578</v>
      </c>
    </row>
    <row r="400" spans="3:4">
      <c r="C400" t="s">
        <v>578</v>
      </c>
    </row>
    <row r="401" spans="3:4">
      <c r="C401" t="s">
        <v>582</v>
      </c>
      <c r="D401" t="s">
        <v>583</v>
      </c>
    </row>
    <row r="402" spans="3:4">
      <c r="C402" t="s">
        <v>582</v>
      </c>
      <c r="D402" t="s">
        <v>584</v>
      </c>
    </row>
    <row r="403" spans="3:4">
      <c r="C403" t="s">
        <v>582</v>
      </c>
    </row>
    <row r="404" spans="3:4">
      <c r="C404" t="s">
        <v>582</v>
      </c>
    </row>
    <row r="405" spans="3:4">
      <c r="C405" t="s">
        <v>585</v>
      </c>
      <c r="D405" t="s">
        <v>586</v>
      </c>
    </row>
    <row r="406" spans="3:4">
      <c r="C406" t="s">
        <v>585</v>
      </c>
      <c r="D406" t="s">
        <v>587</v>
      </c>
    </row>
    <row r="407" spans="3:4">
      <c r="C407" t="s">
        <v>585</v>
      </c>
    </row>
    <row r="408" spans="3:4">
      <c r="C408" t="s">
        <v>585</v>
      </c>
    </row>
    <row r="409" spans="3:4">
      <c r="C409" t="s">
        <v>591</v>
      </c>
      <c r="D409" t="s">
        <v>1152</v>
      </c>
    </row>
    <row r="410" spans="3:4">
      <c r="C410" t="s">
        <v>591</v>
      </c>
      <c r="D410" t="s">
        <v>1151</v>
      </c>
    </row>
    <row r="411" spans="3:4">
      <c r="C411" t="s">
        <v>591</v>
      </c>
    </row>
    <row r="412" spans="3:4">
      <c r="C412" t="s">
        <v>591</v>
      </c>
    </row>
    <row r="413" spans="3:4">
      <c r="C413" t="s">
        <v>837</v>
      </c>
      <c r="D413" t="s">
        <v>838</v>
      </c>
    </row>
    <row r="414" spans="3:4">
      <c r="C414" t="s">
        <v>837</v>
      </c>
      <c r="D414" t="s">
        <v>839</v>
      </c>
    </row>
    <row r="415" spans="3:4">
      <c r="C415" t="s">
        <v>837</v>
      </c>
    </row>
    <row r="416" spans="3:4">
      <c r="C416" t="s">
        <v>837</v>
      </c>
    </row>
    <row r="417" spans="1:5">
      <c r="A417" t="s">
        <v>51</v>
      </c>
    </row>
    <row r="418" spans="1:5">
      <c r="C418" t="s">
        <v>552</v>
      </c>
      <c r="D418" t="s">
        <v>554</v>
      </c>
      <c r="E418" t="s">
        <v>555</v>
      </c>
    </row>
    <row r="419" spans="1:5">
      <c r="C419" t="s">
        <v>552</v>
      </c>
      <c r="D419" t="s">
        <v>54</v>
      </c>
      <c r="E419" t="s">
        <v>539</v>
      </c>
    </row>
    <row r="420" spans="1:5">
      <c r="C420" t="s">
        <v>552</v>
      </c>
      <c r="D420" t="s">
        <v>56</v>
      </c>
      <c r="E420" t="s">
        <v>553</v>
      </c>
    </row>
    <row r="421" spans="1:5">
      <c r="C421" t="s">
        <v>552</v>
      </c>
      <c r="D421" t="s">
        <v>55</v>
      </c>
      <c r="E421" t="s">
        <v>525</v>
      </c>
    </row>
    <row r="422" spans="1:5">
      <c r="C422" t="s">
        <v>552</v>
      </c>
      <c r="D422" t="s">
        <v>556</v>
      </c>
      <c r="E422" t="s">
        <v>557</v>
      </c>
    </row>
    <row r="423" spans="1:5">
      <c r="C423" t="s">
        <v>552</v>
      </c>
    </row>
    <row r="424" spans="1:5">
      <c r="C424" t="s">
        <v>552</v>
      </c>
    </row>
    <row r="425" spans="1:5">
      <c r="C425" t="s">
        <v>522</v>
      </c>
      <c r="D425" t="s">
        <v>1145</v>
      </c>
      <c r="E425" t="s">
        <v>531</v>
      </c>
    </row>
    <row r="426" spans="1:5">
      <c r="C426" t="s">
        <v>522</v>
      </c>
      <c r="D426" t="s">
        <v>1147</v>
      </c>
      <c r="E426" t="s">
        <v>535</v>
      </c>
    </row>
    <row r="427" spans="1:5">
      <c r="C427" t="s">
        <v>522</v>
      </c>
      <c r="D427" t="s">
        <v>536</v>
      </c>
      <c r="E427" t="s">
        <v>537</v>
      </c>
    </row>
    <row r="428" spans="1:5">
      <c r="C428" t="s">
        <v>522</v>
      </c>
      <c r="D428" t="s">
        <v>1143</v>
      </c>
      <c r="E428" t="s">
        <v>525</v>
      </c>
    </row>
    <row r="429" spans="1:5">
      <c r="C429" t="s">
        <v>522</v>
      </c>
      <c r="D429" t="s">
        <v>1144</v>
      </c>
      <c r="E429" t="s">
        <v>527</v>
      </c>
    </row>
    <row r="430" spans="1:5">
      <c r="C430" t="s">
        <v>522</v>
      </c>
      <c r="D430" t="s">
        <v>549</v>
      </c>
      <c r="E430" t="s">
        <v>550</v>
      </c>
    </row>
    <row r="431" spans="1:5">
      <c r="C431" t="s">
        <v>522</v>
      </c>
      <c r="D431" t="s">
        <v>29</v>
      </c>
      <c r="E431" t="s">
        <v>545</v>
      </c>
    </row>
    <row r="432" spans="1:5">
      <c r="C432" t="s">
        <v>522</v>
      </c>
      <c r="D432" t="s">
        <v>548</v>
      </c>
      <c r="E432" t="s">
        <v>545</v>
      </c>
    </row>
    <row r="433" spans="1:5">
      <c r="C433" t="s">
        <v>522</v>
      </c>
      <c r="D433" t="s">
        <v>546</v>
      </c>
      <c r="E433" t="s">
        <v>547</v>
      </c>
    </row>
    <row r="434" spans="1:5">
      <c r="C434" t="s">
        <v>522</v>
      </c>
      <c r="D434" t="s">
        <v>551</v>
      </c>
      <c r="E434" t="s">
        <v>1</v>
      </c>
    </row>
    <row r="435" spans="1:5">
      <c r="C435" t="s">
        <v>522</v>
      </c>
      <c r="D435" t="s">
        <v>1149</v>
      </c>
      <c r="E435" t="s">
        <v>541</v>
      </c>
    </row>
    <row r="436" spans="1:5">
      <c r="C436" t="s">
        <v>522</v>
      </c>
      <c r="D436" t="s">
        <v>529</v>
      </c>
      <c r="E436" t="s">
        <v>1</v>
      </c>
    </row>
    <row r="437" spans="1:5">
      <c r="C437" t="s">
        <v>522</v>
      </c>
      <c r="D437" t="s">
        <v>1146</v>
      </c>
      <c r="E437" t="s">
        <v>533</v>
      </c>
    </row>
    <row r="438" spans="1:5">
      <c r="C438" t="s">
        <v>522</v>
      </c>
      <c r="D438" t="s">
        <v>1148</v>
      </c>
      <c r="E438" t="s">
        <v>539</v>
      </c>
    </row>
    <row r="439" spans="1:5">
      <c r="C439" t="s">
        <v>522</v>
      </c>
      <c r="D439" t="s">
        <v>1150</v>
      </c>
      <c r="E439" t="s">
        <v>544</v>
      </c>
    </row>
    <row r="440" spans="1:5">
      <c r="C440" t="s">
        <v>522</v>
      </c>
      <c r="D440" t="s">
        <v>52</v>
      </c>
      <c r="E440" t="s">
        <v>528</v>
      </c>
    </row>
    <row r="441" spans="1:5">
      <c r="C441" t="s">
        <v>522</v>
      </c>
      <c r="D441" t="s">
        <v>542</v>
      </c>
      <c r="E441" t="s">
        <v>537</v>
      </c>
    </row>
    <row r="442" spans="1:5">
      <c r="C442" t="s">
        <v>522</v>
      </c>
    </row>
    <row r="443" spans="1:5">
      <c r="C443" t="s">
        <v>522</v>
      </c>
    </row>
    <row r="444" spans="1:5">
      <c r="A444" t="s">
        <v>840</v>
      </c>
    </row>
    <row r="445" spans="1:5">
      <c r="C445" t="s">
        <v>851</v>
      </c>
      <c r="D445" t="s">
        <v>853</v>
      </c>
    </row>
    <row r="446" spans="1:5">
      <c r="C446" t="s">
        <v>851</v>
      </c>
      <c r="D446" t="s">
        <v>852</v>
      </c>
    </row>
    <row r="447" spans="1:5">
      <c r="C447" t="s">
        <v>851</v>
      </c>
      <c r="D447" t="s">
        <v>54</v>
      </c>
    </row>
    <row r="448" spans="1:5">
      <c r="C448" t="s">
        <v>851</v>
      </c>
    </row>
    <row r="449" spans="1:4">
      <c r="C449" t="s">
        <v>851</v>
      </c>
    </row>
    <row r="450" spans="1:4">
      <c r="C450" t="s">
        <v>841</v>
      </c>
      <c r="D450" t="s">
        <v>53</v>
      </c>
    </row>
    <row r="451" spans="1:4">
      <c r="C451" t="s">
        <v>841</v>
      </c>
      <c r="D451" t="s">
        <v>848</v>
      </c>
    </row>
    <row r="452" spans="1:4">
      <c r="C452" t="s">
        <v>841</v>
      </c>
      <c r="D452" t="s">
        <v>847</v>
      </c>
    </row>
    <row r="453" spans="1:4">
      <c r="C453" t="s">
        <v>841</v>
      </c>
      <c r="D453" t="s">
        <v>850</v>
      </c>
    </row>
    <row r="454" spans="1:4">
      <c r="C454" t="s">
        <v>841</v>
      </c>
      <c r="D454" t="s">
        <v>843</v>
      </c>
    </row>
    <row r="455" spans="1:4">
      <c r="C455" t="s">
        <v>841</v>
      </c>
      <c r="D455" t="s">
        <v>842</v>
      </c>
    </row>
    <row r="456" spans="1:4">
      <c r="C456" t="s">
        <v>841</v>
      </c>
      <c r="D456" t="s">
        <v>849</v>
      </c>
    </row>
    <row r="457" spans="1:4">
      <c r="C457" t="s">
        <v>841</v>
      </c>
      <c r="D457" t="s">
        <v>1161</v>
      </c>
    </row>
    <row r="458" spans="1:4">
      <c r="C458" t="s">
        <v>841</v>
      </c>
      <c r="D458" t="s">
        <v>1162</v>
      </c>
    </row>
    <row r="459" spans="1:4">
      <c r="C459" t="s">
        <v>841</v>
      </c>
      <c r="D459" t="s">
        <v>846</v>
      </c>
    </row>
    <row r="460" spans="1:4">
      <c r="C460" t="s">
        <v>841</v>
      </c>
    </row>
    <row r="461" spans="1:4">
      <c r="C461" t="s">
        <v>841</v>
      </c>
    </row>
    <row r="462" spans="1:4">
      <c r="A462" t="s">
        <v>57</v>
      </c>
    </row>
    <row r="463" spans="1:4">
      <c r="C463" t="s">
        <v>640</v>
      </c>
      <c r="D463" t="s">
        <v>645</v>
      </c>
    </row>
    <row r="464" spans="1:4">
      <c r="C464" t="s">
        <v>640</v>
      </c>
      <c r="D464" t="s">
        <v>646</v>
      </c>
    </row>
    <row r="465" spans="1:4">
      <c r="C465" t="s">
        <v>640</v>
      </c>
      <c r="D465" t="s">
        <v>642</v>
      </c>
    </row>
    <row r="466" spans="1:4">
      <c r="C466" t="s">
        <v>640</v>
      </c>
      <c r="D466" t="s">
        <v>644</v>
      </c>
    </row>
    <row r="467" spans="1:4">
      <c r="C467" t="s">
        <v>640</v>
      </c>
      <c r="D467" t="s">
        <v>643</v>
      </c>
    </row>
    <row r="468" spans="1:4">
      <c r="C468" t="s">
        <v>640</v>
      </c>
      <c r="D468" t="s">
        <v>641</v>
      </c>
    </row>
    <row r="469" spans="1:4">
      <c r="C469" t="s">
        <v>640</v>
      </c>
      <c r="D469" t="s">
        <v>647</v>
      </c>
    </row>
    <row r="470" spans="1:4">
      <c r="C470" t="s">
        <v>640</v>
      </c>
    </row>
    <row r="471" spans="1:4">
      <c r="C471" t="s">
        <v>640</v>
      </c>
    </row>
    <row r="472" spans="1:4">
      <c r="C472" t="s">
        <v>858</v>
      </c>
      <c r="D472" t="s">
        <v>860</v>
      </c>
    </row>
    <row r="473" spans="1:4">
      <c r="C473" t="s">
        <v>858</v>
      </c>
      <c r="D473" t="s">
        <v>859</v>
      </c>
    </row>
    <row r="474" spans="1:4">
      <c r="C474" t="s">
        <v>858</v>
      </c>
      <c r="D474" t="s">
        <v>863</v>
      </c>
    </row>
    <row r="475" spans="1:4">
      <c r="C475" t="s">
        <v>858</v>
      </c>
      <c r="D475" t="s">
        <v>861</v>
      </c>
    </row>
    <row r="476" spans="1:4">
      <c r="C476" t="s">
        <v>858</v>
      </c>
      <c r="D476" t="s">
        <v>1163</v>
      </c>
    </row>
    <row r="477" spans="1:4">
      <c r="C477" t="s">
        <v>858</v>
      </c>
    </row>
    <row r="478" spans="1:4">
      <c r="C478" t="s">
        <v>858</v>
      </c>
    </row>
    <row r="479" spans="1:4">
      <c r="A479" t="s">
        <v>58</v>
      </c>
    </row>
    <row r="480" spans="1:4">
      <c r="C480" t="s">
        <v>607</v>
      </c>
      <c r="D480" t="s">
        <v>612</v>
      </c>
    </row>
    <row r="481" spans="3:4">
      <c r="C481" t="s">
        <v>607</v>
      </c>
      <c r="D481" t="s">
        <v>611</v>
      </c>
    </row>
    <row r="482" spans="3:4">
      <c r="C482" t="s">
        <v>607</v>
      </c>
      <c r="D482" t="s">
        <v>610</v>
      </c>
    </row>
    <row r="483" spans="3:4">
      <c r="C483" t="s">
        <v>607</v>
      </c>
      <c r="D483" t="s">
        <v>59</v>
      </c>
    </row>
    <row r="484" spans="3:4">
      <c r="C484" t="s">
        <v>607</v>
      </c>
      <c r="D484" t="s">
        <v>608</v>
      </c>
    </row>
    <row r="485" spans="3:4">
      <c r="C485" t="s">
        <v>607</v>
      </c>
      <c r="D485" t="s">
        <v>614</v>
      </c>
    </row>
    <row r="486" spans="3:4">
      <c r="C486" t="s">
        <v>607</v>
      </c>
      <c r="D486" t="s">
        <v>613</v>
      </c>
    </row>
    <row r="487" spans="3:4">
      <c r="C487" t="s">
        <v>607</v>
      </c>
    </row>
    <row r="488" spans="3:4">
      <c r="C488" t="s">
        <v>607</v>
      </c>
    </row>
    <row r="489" spans="3:4">
      <c r="C489" t="s">
        <v>60</v>
      </c>
      <c r="D489" t="s">
        <v>61</v>
      </c>
    </row>
    <row r="490" spans="3:4">
      <c r="C490" t="s">
        <v>60</v>
      </c>
      <c r="D490" t="s">
        <v>569</v>
      </c>
    </row>
    <row r="491" spans="3:4">
      <c r="C491" t="s">
        <v>60</v>
      </c>
      <c r="D491" t="s">
        <v>594</v>
      </c>
    </row>
    <row r="492" spans="3:4">
      <c r="C492" t="s">
        <v>60</v>
      </c>
      <c r="D492" t="s">
        <v>595</v>
      </c>
    </row>
    <row r="493" spans="3:4">
      <c r="C493" t="s">
        <v>60</v>
      </c>
    </row>
    <row r="494" spans="3:4">
      <c r="C494" t="s">
        <v>60</v>
      </c>
    </row>
    <row r="495" spans="3:4">
      <c r="C495" t="s">
        <v>597</v>
      </c>
      <c r="D495" t="s">
        <v>602</v>
      </c>
    </row>
    <row r="496" spans="3:4">
      <c r="C496" t="s">
        <v>597</v>
      </c>
      <c r="D496" t="s">
        <v>600</v>
      </c>
    </row>
    <row r="497" spans="3:4">
      <c r="C497" t="s">
        <v>597</v>
      </c>
      <c r="D497" t="s">
        <v>601</v>
      </c>
    </row>
    <row r="498" spans="3:4">
      <c r="C498" t="s">
        <v>597</v>
      </c>
      <c r="D498" t="s">
        <v>598</v>
      </c>
    </row>
    <row r="499" spans="3:4">
      <c r="C499" t="s">
        <v>597</v>
      </c>
      <c r="D499" t="s">
        <v>603</v>
      </c>
    </row>
    <row r="500" spans="3:4">
      <c r="C500" t="s">
        <v>597</v>
      </c>
      <c r="D500" t="s">
        <v>604</v>
      </c>
    </row>
    <row r="501" spans="3:4">
      <c r="C501" t="s">
        <v>597</v>
      </c>
      <c r="D501" t="s">
        <v>606</v>
      </c>
    </row>
    <row r="502" spans="3:4">
      <c r="C502" t="s">
        <v>597</v>
      </c>
      <c r="D502" t="s">
        <v>599</v>
      </c>
    </row>
    <row r="503" spans="3:4">
      <c r="C503" t="s">
        <v>597</v>
      </c>
    </row>
    <row r="504" spans="3:4">
      <c r="C504" t="s">
        <v>597</v>
      </c>
    </row>
    <row r="505" spans="3:4">
      <c r="C505" t="s">
        <v>596</v>
      </c>
    </row>
    <row r="506" spans="3:4">
      <c r="C506" t="s">
        <v>596</v>
      </c>
    </row>
    <row r="507" spans="3:4">
      <c r="C507" t="s">
        <v>622</v>
      </c>
      <c r="D507" t="s">
        <v>628</v>
      </c>
    </row>
    <row r="508" spans="3:4">
      <c r="C508" t="s">
        <v>622</v>
      </c>
      <c r="D508" t="s">
        <v>627</v>
      </c>
    </row>
    <row r="509" spans="3:4">
      <c r="C509" t="s">
        <v>622</v>
      </c>
      <c r="D509" t="s">
        <v>626</v>
      </c>
    </row>
    <row r="510" spans="3:4">
      <c r="C510" t="s">
        <v>622</v>
      </c>
      <c r="D510" t="s">
        <v>624</v>
      </c>
    </row>
    <row r="511" spans="3:4">
      <c r="C511" t="s">
        <v>622</v>
      </c>
      <c r="D511" t="s">
        <v>623</v>
      </c>
    </row>
    <row r="512" spans="3:4">
      <c r="C512" t="s">
        <v>622</v>
      </c>
      <c r="D512" t="s">
        <v>625</v>
      </c>
    </row>
    <row r="513" spans="1:4">
      <c r="C513" t="s">
        <v>622</v>
      </c>
    </row>
    <row r="514" spans="1:4">
      <c r="C514" t="s">
        <v>622</v>
      </c>
    </row>
    <row r="515" spans="1:4">
      <c r="C515" t="s">
        <v>616</v>
      </c>
    </row>
    <row r="516" spans="1:4">
      <c r="C516" t="s">
        <v>616</v>
      </c>
    </row>
    <row r="517" spans="1:4">
      <c r="C517" t="s">
        <v>617</v>
      </c>
      <c r="D517" t="s">
        <v>618</v>
      </c>
    </row>
    <row r="518" spans="1:4">
      <c r="C518" t="s">
        <v>617</v>
      </c>
      <c r="D518" t="s">
        <v>619</v>
      </c>
    </row>
    <row r="519" spans="1:4">
      <c r="C519" t="s">
        <v>617</v>
      </c>
      <c r="D519" t="s">
        <v>621</v>
      </c>
    </row>
    <row r="520" spans="1:4">
      <c r="C520" t="s">
        <v>617</v>
      </c>
      <c r="D520" t="s">
        <v>620</v>
      </c>
    </row>
    <row r="521" spans="1:4">
      <c r="C521" t="s">
        <v>617</v>
      </c>
    </row>
    <row r="522" spans="1:4">
      <c r="C522" t="s">
        <v>617</v>
      </c>
    </row>
    <row r="523" spans="1:4">
      <c r="A523" t="s">
        <v>922</v>
      </c>
    </row>
    <row r="524" spans="1:4">
      <c r="C524" t="s">
        <v>915</v>
      </c>
      <c r="D524" t="s">
        <v>923</v>
      </c>
    </row>
    <row r="525" spans="1:4">
      <c r="C525" t="s">
        <v>915</v>
      </c>
    </row>
    <row r="526" spans="1:4">
      <c r="C526" t="s">
        <v>915</v>
      </c>
    </row>
    <row r="527" spans="1:4">
      <c r="C527" t="s">
        <v>707</v>
      </c>
      <c r="D527" t="s">
        <v>708</v>
      </c>
    </row>
    <row r="528" spans="1:4">
      <c r="C528" t="s">
        <v>707</v>
      </c>
    </row>
    <row r="529" spans="1:4">
      <c r="C529" t="s">
        <v>707</v>
      </c>
    </row>
    <row r="530" spans="1:4">
      <c r="A530" t="s">
        <v>63</v>
      </c>
    </row>
    <row r="531" spans="1:4">
      <c r="C531" t="s">
        <v>915</v>
      </c>
      <c r="D531" t="s">
        <v>924</v>
      </c>
    </row>
    <row r="532" spans="1:4">
      <c r="C532" t="s">
        <v>915</v>
      </c>
    </row>
    <row r="533" spans="1:4">
      <c r="C533" t="s">
        <v>915</v>
      </c>
    </row>
    <row r="534" spans="1:4">
      <c r="A534" t="s">
        <v>64</v>
      </c>
    </row>
    <row r="535" spans="1:4">
      <c r="C535" t="s">
        <v>65</v>
      </c>
      <c r="D535" t="s">
        <v>703</v>
      </c>
    </row>
    <row r="536" spans="1:4">
      <c r="C536" t="s">
        <v>65</v>
      </c>
      <c r="D536" t="s">
        <v>701</v>
      </c>
    </row>
    <row r="537" spans="1:4">
      <c r="C537" t="s">
        <v>65</v>
      </c>
      <c r="D537" t="s">
        <v>704</v>
      </c>
    </row>
    <row r="538" spans="1:4">
      <c r="C538" t="s">
        <v>65</v>
      </c>
      <c r="D538" t="s">
        <v>705</v>
      </c>
    </row>
    <row r="539" spans="1:4">
      <c r="C539" t="s">
        <v>65</v>
      </c>
      <c r="D539" t="s">
        <v>706</v>
      </c>
    </row>
    <row r="540" spans="1:4">
      <c r="C540" t="s">
        <v>65</v>
      </c>
      <c r="D540" t="s">
        <v>702</v>
      </c>
    </row>
    <row r="541" spans="1:4">
      <c r="C541" t="s">
        <v>65</v>
      </c>
    </row>
    <row r="542" spans="1:4">
      <c r="C542" t="s">
        <v>65</v>
      </c>
    </row>
    <row r="543" spans="1:4">
      <c r="A543" t="s">
        <v>353</v>
      </c>
    </row>
    <row r="544" spans="1:4">
      <c r="C544" t="s">
        <v>354</v>
      </c>
      <c r="D544" t="s">
        <v>355</v>
      </c>
    </row>
    <row r="545" spans="3:4">
      <c r="C545" t="s">
        <v>354</v>
      </c>
      <c r="D545" t="s">
        <v>357</v>
      </c>
    </row>
    <row r="546" spans="3:4">
      <c r="C546" t="s">
        <v>354</v>
      </c>
      <c r="D546" t="s">
        <v>356</v>
      </c>
    </row>
    <row r="547" spans="3:4">
      <c r="C547" t="s">
        <v>354</v>
      </c>
    </row>
    <row r="548" spans="3:4">
      <c r="C548" t="s">
        <v>354</v>
      </c>
    </row>
    <row r="549" spans="3:4">
      <c r="C549" t="s">
        <v>358</v>
      </c>
      <c r="D549" t="s">
        <v>359</v>
      </c>
    </row>
    <row r="550" spans="3:4">
      <c r="C550" t="s">
        <v>358</v>
      </c>
      <c r="D550" t="s">
        <v>360</v>
      </c>
    </row>
    <row r="551" spans="3:4">
      <c r="C551" t="s">
        <v>358</v>
      </c>
      <c r="D551" t="s">
        <v>361</v>
      </c>
    </row>
    <row r="552" spans="3:4">
      <c r="C552" t="s">
        <v>358</v>
      </c>
    </row>
    <row r="553" spans="3:4">
      <c r="C553" t="s">
        <v>358</v>
      </c>
    </row>
    <row r="554" spans="3:4">
      <c r="C554" t="s">
        <v>726</v>
      </c>
      <c r="D554" t="s">
        <v>733</v>
      </c>
    </row>
    <row r="555" spans="3:4">
      <c r="C555" t="s">
        <v>726</v>
      </c>
      <c r="D555" t="s">
        <v>735</v>
      </c>
    </row>
    <row r="556" spans="3:4">
      <c r="C556" t="s">
        <v>726</v>
      </c>
      <c r="D556" t="s">
        <v>738</v>
      </c>
    </row>
    <row r="557" spans="3:4">
      <c r="C557" t="s">
        <v>726</v>
      </c>
      <c r="D557" t="s">
        <v>734</v>
      </c>
    </row>
    <row r="558" spans="3:4">
      <c r="C558" t="s">
        <v>726</v>
      </c>
      <c r="D558" t="s">
        <v>739</v>
      </c>
    </row>
    <row r="559" spans="3:4">
      <c r="C559" t="s">
        <v>726</v>
      </c>
      <c r="D559" t="s">
        <v>736</v>
      </c>
    </row>
    <row r="560" spans="3:4">
      <c r="C560" t="s">
        <v>726</v>
      </c>
      <c r="D560" t="s">
        <v>737</v>
      </c>
    </row>
    <row r="561" spans="1:4">
      <c r="C561" t="s">
        <v>726</v>
      </c>
      <c r="D561" t="s">
        <v>728</v>
      </c>
    </row>
    <row r="562" spans="1:4">
      <c r="C562" t="s">
        <v>726</v>
      </c>
      <c r="D562" t="s">
        <v>727</v>
      </c>
    </row>
    <row r="563" spans="1:4">
      <c r="C563" t="s">
        <v>726</v>
      </c>
      <c r="D563" t="s">
        <v>732</v>
      </c>
    </row>
    <row r="564" spans="1:4">
      <c r="C564" t="s">
        <v>726</v>
      </c>
      <c r="D564" t="s">
        <v>730</v>
      </c>
    </row>
    <row r="565" spans="1:4">
      <c r="C565" t="s">
        <v>726</v>
      </c>
      <c r="D565" t="s">
        <v>731</v>
      </c>
    </row>
    <row r="566" spans="1:4">
      <c r="C566" t="s">
        <v>726</v>
      </c>
      <c r="D566" t="s">
        <v>729</v>
      </c>
    </row>
    <row r="567" spans="1:4">
      <c r="C567" t="s">
        <v>726</v>
      </c>
    </row>
    <row r="568" spans="1:4">
      <c r="C568" t="s">
        <v>726</v>
      </c>
    </row>
    <row r="569" spans="1:4">
      <c r="A569" t="s">
        <v>66</v>
      </c>
    </row>
    <row r="570" spans="1:4">
      <c r="C570" t="s">
        <v>114</v>
      </c>
      <c r="D570" t="s">
        <v>350</v>
      </c>
    </row>
    <row r="571" spans="1:4">
      <c r="C571" t="s">
        <v>114</v>
      </c>
      <c r="D571" t="s">
        <v>351</v>
      </c>
    </row>
    <row r="572" spans="1:4">
      <c r="C572" t="s">
        <v>114</v>
      </c>
      <c r="D572" t="s">
        <v>352</v>
      </c>
    </row>
    <row r="573" spans="1:4">
      <c r="C573" t="s">
        <v>114</v>
      </c>
    </row>
    <row r="574" spans="1:4">
      <c r="C574" t="s">
        <v>114</v>
      </c>
    </row>
    <row r="575" spans="1:4">
      <c r="A575" t="s">
        <v>67</v>
      </c>
    </row>
    <row r="576" spans="1:4">
      <c r="C576" t="s">
        <v>915</v>
      </c>
      <c r="D576" t="s">
        <v>920</v>
      </c>
    </row>
    <row r="577" spans="1:4">
      <c r="C577" t="s">
        <v>915</v>
      </c>
    </row>
    <row r="578" spans="1:4">
      <c r="C578" t="s">
        <v>915</v>
      </c>
    </row>
    <row r="579" spans="1:4">
      <c r="C579" t="s">
        <v>520</v>
      </c>
      <c r="D579" t="s">
        <v>521</v>
      </c>
    </row>
    <row r="580" spans="1:4">
      <c r="C580" t="s">
        <v>520</v>
      </c>
    </row>
    <row r="581" spans="1:4">
      <c r="C581" t="s">
        <v>520</v>
      </c>
    </row>
    <row r="582" spans="1:4">
      <c r="A582" t="s">
        <v>68</v>
      </c>
    </row>
    <row r="583" spans="1:4">
      <c r="C583" t="s">
        <v>936</v>
      </c>
      <c r="D583" t="s">
        <v>939</v>
      </c>
    </row>
    <row r="584" spans="1:4">
      <c r="C584" t="s">
        <v>936</v>
      </c>
      <c r="D584" t="s">
        <v>939</v>
      </c>
    </row>
    <row r="585" spans="1:4">
      <c r="C585" t="s">
        <v>936</v>
      </c>
      <c r="D585" t="s">
        <v>943</v>
      </c>
    </row>
    <row r="586" spans="1:4">
      <c r="C586" t="s">
        <v>936</v>
      </c>
      <c r="D586" t="s">
        <v>943</v>
      </c>
    </row>
    <row r="587" spans="1:4">
      <c r="C587" t="s">
        <v>936</v>
      </c>
      <c r="D587" t="s">
        <v>942</v>
      </c>
    </row>
    <row r="588" spans="1:4">
      <c r="C588" t="s">
        <v>936</v>
      </c>
      <c r="D588" t="s">
        <v>942</v>
      </c>
    </row>
    <row r="589" spans="1:4">
      <c r="C589" t="s">
        <v>936</v>
      </c>
      <c r="D589" t="s">
        <v>941</v>
      </c>
    </row>
    <row r="590" spans="1:4">
      <c r="C590" t="s">
        <v>936</v>
      </c>
      <c r="D590" t="s">
        <v>941</v>
      </c>
    </row>
    <row r="591" spans="1:4">
      <c r="C591" t="s">
        <v>936</v>
      </c>
      <c r="D591" t="s">
        <v>938</v>
      </c>
    </row>
    <row r="592" spans="1:4">
      <c r="C592" t="s">
        <v>936</v>
      </c>
      <c r="D592" t="s">
        <v>938</v>
      </c>
    </row>
    <row r="593" spans="1:4">
      <c r="C593" t="s">
        <v>936</v>
      </c>
      <c r="D593" t="s">
        <v>937</v>
      </c>
    </row>
    <row r="594" spans="1:4">
      <c r="C594" t="s">
        <v>936</v>
      </c>
      <c r="D594" t="s">
        <v>937</v>
      </c>
    </row>
    <row r="595" spans="1:4">
      <c r="C595" t="s">
        <v>936</v>
      </c>
      <c r="D595" t="s">
        <v>940</v>
      </c>
    </row>
    <row r="596" spans="1:4">
      <c r="C596" t="s">
        <v>936</v>
      </c>
      <c r="D596" t="s">
        <v>940</v>
      </c>
    </row>
    <row r="597" spans="1:4">
      <c r="C597" t="s">
        <v>936</v>
      </c>
    </row>
    <row r="598" spans="1:4">
      <c r="C598" t="s">
        <v>936</v>
      </c>
    </row>
    <row r="599" spans="1:4">
      <c r="A599" t="s">
        <v>69</v>
      </c>
    </row>
    <row r="600" spans="1:4">
      <c r="C600" t="s">
        <v>1084</v>
      </c>
      <c r="D600" t="s">
        <v>1085</v>
      </c>
    </row>
    <row r="601" spans="1:4">
      <c r="C601" t="s">
        <v>1084</v>
      </c>
      <c r="D601" t="s">
        <v>1086</v>
      </c>
    </row>
    <row r="602" spans="1:4">
      <c r="C602" t="s">
        <v>1084</v>
      </c>
      <c r="D602" t="s">
        <v>1087</v>
      </c>
    </row>
    <row r="603" spans="1:4">
      <c r="C603" t="s">
        <v>1084</v>
      </c>
      <c r="D603" t="s">
        <v>1088</v>
      </c>
    </row>
    <row r="604" spans="1:4">
      <c r="C604" t="s">
        <v>1084</v>
      </c>
    </row>
    <row r="605" spans="1:4">
      <c r="C605" t="s">
        <v>1084</v>
      </c>
    </row>
    <row r="606" spans="1:4">
      <c r="C606" t="s">
        <v>1089</v>
      </c>
      <c r="D606" t="s">
        <v>1090</v>
      </c>
    </row>
    <row r="607" spans="1:4">
      <c r="C607" t="s">
        <v>1089</v>
      </c>
      <c r="D607" t="s">
        <v>1091</v>
      </c>
    </row>
    <row r="608" spans="1:4">
      <c r="C608" t="s">
        <v>1089</v>
      </c>
      <c r="D608" t="s">
        <v>1092</v>
      </c>
    </row>
    <row r="609" spans="3:4">
      <c r="C609" t="s">
        <v>1089</v>
      </c>
      <c r="D609" t="s">
        <v>1093</v>
      </c>
    </row>
    <row r="610" spans="3:4">
      <c r="C610" t="s">
        <v>1089</v>
      </c>
      <c r="D610" t="s">
        <v>1094</v>
      </c>
    </row>
    <row r="611" spans="3:4">
      <c r="C611" t="s">
        <v>1089</v>
      </c>
      <c r="D611" t="s">
        <v>1095</v>
      </c>
    </row>
    <row r="612" spans="3:4">
      <c r="C612" t="s">
        <v>1089</v>
      </c>
      <c r="D612" t="s">
        <v>1096</v>
      </c>
    </row>
    <row r="613" spans="3:4">
      <c r="C613" t="s">
        <v>1089</v>
      </c>
      <c r="D613" t="s">
        <v>1097</v>
      </c>
    </row>
    <row r="614" spans="3:4">
      <c r="C614" t="s">
        <v>1089</v>
      </c>
      <c r="D614" t="s">
        <v>1098</v>
      </c>
    </row>
    <row r="615" spans="3:4">
      <c r="C615" t="s">
        <v>1089</v>
      </c>
    </row>
    <row r="616" spans="3:4">
      <c r="C616" t="s">
        <v>1089</v>
      </c>
    </row>
    <row r="617" spans="3:4">
      <c r="C617" t="s">
        <v>87</v>
      </c>
      <c r="D617" t="s">
        <v>456</v>
      </c>
    </row>
    <row r="618" spans="3:4">
      <c r="C618" t="s">
        <v>87</v>
      </c>
      <c r="D618" t="s">
        <v>88</v>
      </c>
    </row>
    <row r="619" spans="3:4">
      <c r="C619" t="s">
        <v>87</v>
      </c>
      <c r="D619" t="s">
        <v>89</v>
      </c>
    </row>
    <row r="620" spans="3:4">
      <c r="C620" t="s">
        <v>87</v>
      </c>
      <c r="D620" t="s">
        <v>90</v>
      </c>
    </row>
    <row r="621" spans="3:4">
      <c r="C621" t="s">
        <v>87</v>
      </c>
      <c r="D621" t="s">
        <v>457</v>
      </c>
    </row>
    <row r="622" spans="3:4">
      <c r="C622" t="s">
        <v>87</v>
      </c>
      <c r="D622" t="s">
        <v>458</v>
      </c>
    </row>
    <row r="623" spans="3:4">
      <c r="C623" t="s">
        <v>87</v>
      </c>
      <c r="D623" t="s">
        <v>459</v>
      </c>
    </row>
    <row r="624" spans="3:4">
      <c r="C624" t="s">
        <v>87</v>
      </c>
      <c r="D624" t="s">
        <v>460</v>
      </c>
    </row>
    <row r="625" spans="3:4">
      <c r="C625" t="s">
        <v>87</v>
      </c>
    </row>
    <row r="626" spans="3:4">
      <c r="C626" t="s">
        <v>87</v>
      </c>
    </row>
    <row r="627" spans="3:4">
      <c r="C627" t="s">
        <v>1067</v>
      </c>
      <c r="D627" t="s">
        <v>1075</v>
      </c>
    </row>
    <row r="628" spans="3:4">
      <c r="C628" t="s">
        <v>1067</v>
      </c>
      <c r="D628" t="s">
        <v>1074</v>
      </c>
    </row>
    <row r="629" spans="3:4">
      <c r="C629" t="s">
        <v>1067</v>
      </c>
      <c r="D629" t="s">
        <v>1073</v>
      </c>
    </row>
    <row r="630" spans="3:4">
      <c r="C630" t="s">
        <v>1067</v>
      </c>
      <c r="D630" t="s">
        <v>1072</v>
      </c>
    </row>
    <row r="631" spans="3:4">
      <c r="C631" t="s">
        <v>1067</v>
      </c>
      <c r="D631" t="s">
        <v>1071</v>
      </c>
    </row>
    <row r="632" spans="3:4">
      <c r="C632" t="s">
        <v>1067</v>
      </c>
      <c r="D632" t="s">
        <v>1070</v>
      </c>
    </row>
    <row r="633" spans="3:4">
      <c r="C633" t="s">
        <v>1067</v>
      </c>
      <c r="D633" t="s">
        <v>1069</v>
      </c>
    </row>
    <row r="634" spans="3:4">
      <c r="C634" t="s">
        <v>1067</v>
      </c>
      <c r="D634" t="s">
        <v>1068</v>
      </c>
    </row>
    <row r="635" spans="3:4">
      <c r="C635" t="s">
        <v>1067</v>
      </c>
    </row>
    <row r="636" spans="3:4">
      <c r="C636" t="s">
        <v>1067</v>
      </c>
    </row>
    <row r="637" spans="3:4">
      <c r="C637" t="s">
        <v>461</v>
      </c>
      <c r="D637" t="s">
        <v>483</v>
      </c>
    </row>
    <row r="638" spans="3:4">
      <c r="C638" t="s">
        <v>461</v>
      </c>
      <c r="D638" t="s">
        <v>471</v>
      </c>
    </row>
    <row r="639" spans="3:4">
      <c r="C639" t="s">
        <v>461</v>
      </c>
      <c r="D639" t="s">
        <v>472</v>
      </c>
    </row>
    <row r="640" spans="3:4">
      <c r="C640" t="s">
        <v>461</v>
      </c>
      <c r="D640" t="s">
        <v>473</v>
      </c>
    </row>
    <row r="641" spans="3:4">
      <c r="C641" t="s">
        <v>461</v>
      </c>
      <c r="D641" t="s">
        <v>474</v>
      </c>
    </row>
    <row r="642" spans="3:4">
      <c r="C642" t="s">
        <v>461</v>
      </c>
      <c r="D642" t="s">
        <v>475</v>
      </c>
    </row>
    <row r="643" spans="3:4">
      <c r="C643" t="s">
        <v>461</v>
      </c>
      <c r="D643" t="s">
        <v>476</v>
      </c>
    </row>
    <row r="644" spans="3:4">
      <c r="C644" t="s">
        <v>461</v>
      </c>
      <c r="D644" t="s">
        <v>469</v>
      </c>
    </row>
    <row r="645" spans="3:4">
      <c r="C645" t="s">
        <v>461</v>
      </c>
      <c r="D645" t="s">
        <v>470</v>
      </c>
    </row>
    <row r="646" spans="3:4">
      <c r="C646" t="s">
        <v>461</v>
      </c>
      <c r="D646" t="s">
        <v>479</v>
      </c>
    </row>
    <row r="647" spans="3:4">
      <c r="C647" t="s">
        <v>461</v>
      </c>
      <c r="D647" t="s">
        <v>481</v>
      </c>
    </row>
    <row r="648" spans="3:4">
      <c r="C648" t="s">
        <v>461</v>
      </c>
      <c r="D648" t="s">
        <v>482</v>
      </c>
    </row>
    <row r="649" spans="3:4">
      <c r="C649" t="s">
        <v>461</v>
      </c>
      <c r="D649" t="s">
        <v>484</v>
      </c>
    </row>
    <row r="650" spans="3:4">
      <c r="C650" t="s">
        <v>461</v>
      </c>
      <c r="D650" t="s">
        <v>477</v>
      </c>
    </row>
    <row r="651" spans="3:4">
      <c r="C651" t="s">
        <v>461</v>
      </c>
      <c r="D651" t="s">
        <v>478</v>
      </c>
    </row>
    <row r="652" spans="3:4">
      <c r="C652" t="s">
        <v>461</v>
      </c>
      <c r="D652" t="s">
        <v>480</v>
      </c>
    </row>
    <row r="653" spans="3:4">
      <c r="C653" t="s">
        <v>461</v>
      </c>
      <c r="D653" t="s">
        <v>487</v>
      </c>
    </row>
    <row r="654" spans="3:4">
      <c r="C654" t="s">
        <v>461</v>
      </c>
      <c r="D654" t="s">
        <v>488</v>
      </c>
    </row>
    <row r="655" spans="3:4">
      <c r="C655" t="s">
        <v>461</v>
      </c>
      <c r="D655" t="s">
        <v>489</v>
      </c>
    </row>
    <row r="656" spans="3:4">
      <c r="C656" t="s">
        <v>461</v>
      </c>
      <c r="D656" t="s">
        <v>490</v>
      </c>
    </row>
    <row r="657" spans="3:4">
      <c r="C657" t="s">
        <v>461</v>
      </c>
      <c r="D657" t="s">
        <v>491</v>
      </c>
    </row>
    <row r="658" spans="3:4">
      <c r="C658" t="s">
        <v>461</v>
      </c>
      <c r="D658" t="s">
        <v>492</v>
      </c>
    </row>
    <row r="659" spans="3:4">
      <c r="C659" t="s">
        <v>461</v>
      </c>
      <c r="D659" t="s">
        <v>485</v>
      </c>
    </row>
    <row r="660" spans="3:4">
      <c r="C660" t="s">
        <v>461</v>
      </c>
      <c r="D660" t="s">
        <v>486</v>
      </c>
    </row>
    <row r="661" spans="3:4">
      <c r="C661" t="s">
        <v>461</v>
      </c>
      <c r="D661" t="s">
        <v>495</v>
      </c>
    </row>
    <row r="662" spans="3:4">
      <c r="C662" t="s">
        <v>461</v>
      </c>
      <c r="D662" t="s">
        <v>496</v>
      </c>
    </row>
    <row r="663" spans="3:4">
      <c r="C663" t="s">
        <v>461</v>
      </c>
      <c r="D663" t="s">
        <v>497</v>
      </c>
    </row>
    <row r="664" spans="3:4">
      <c r="C664" t="s">
        <v>461</v>
      </c>
      <c r="D664" t="s">
        <v>498</v>
      </c>
    </row>
    <row r="665" spans="3:4">
      <c r="C665" t="s">
        <v>461</v>
      </c>
      <c r="D665" t="s">
        <v>499</v>
      </c>
    </row>
    <row r="666" spans="3:4">
      <c r="C666" t="s">
        <v>461</v>
      </c>
      <c r="D666" t="s">
        <v>493</v>
      </c>
    </row>
    <row r="667" spans="3:4">
      <c r="C667" t="s">
        <v>461</v>
      </c>
      <c r="D667" t="s">
        <v>494</v>
      </c>
    </row>
    <row r="668" spans="3:4">
      <c r="C668" t="s">
        <v>461</v>
      </c>
      <c r="D668" t="s">
        <v>502</v>
      </c>
    </row>
    <row r="669" spans="3:4">
      <c r="C669" t="s">
        <v>461</v>
      </c>
      <c r="D669" t="s">
        <v>503</v>
      </c>
    </row>
    <row r="670" spans="3:4">
      <c r="C670" t="s">
        <v>461</v>
      </c>
      <c r="D670" t="s">
        <v>504</v>
      </c>
    </row>
    <row r="671" spans="3:4">
      <c r="C671" t="s">
        <v>461</v>
      </c>
      <c r="D671" t="s">
        <v>505</v>
      </c>
    </row>
    <row r="672" spans="3:4">
      <c r="C672" t="s">
        <v>461</v>
      </c>
      <c r="D672" t="s">
        <v>506</v>
      </c>
    </row>
    <row r="673" spans="3:4">
      <c r="C673" t="s">
        <v>461</v>
      </c>
      <c r="D673" t="s">
        <v>500</v>
      </c>
    </row>
    <row r="674" spans="3:4">
      <c r="C674" t="s">
        <v>461</v>
      </c>
      <c r="D674" t="s">
        <v>501</v>
      </c>
    </row>
    <row r="675" spans="3:4">
      <c r="C675" t="s">
        <v>461</v>
      </c>
      <c r="D675" t="s">
        <v>507</v>
      </c>
    </row>
    <row r="676" spans="3:4">
      <c r="C676" t="s">
        <v>461</v>
      </c>
      <c r="D676" t="s">
        <v>508</v>
      </c>
    </row>
    <row r="677" spans="3:4">
      <c r="C677" t="s">
        <v>461</v>
      </c>
      <c r="D677" t="s">
        <v>509</v>
      </c>
    </row>
    <row r="678" spans="3:4">
      <c r="C678" t="s">
        <v>461</v>
      </c>
      <c r="D678" t="s">
        <v>510</v>
      </c>
    </row>
    <row r="679" spans="3:4">
      <c r="C679" t="s">
        <v>461</v>
      </c>
      <c r="D679" t="s">
        <v>511</v>
      </c>
    </row>
    <row r="680" spans="3:4">
      <c r="C680" t="s">
        <v>461</v>
      </c>
      <c r="D680" t="s">
        <v>463</v>
      </c>
    </row>
    <row r="681" spans="3:4">
      <c r="C681" t="s">
        <v>461</v>
      </c>
      <c r="D681" t="s">
        <v>464</v>
      </c>
    </row>
    <row r="682" spans="3:4">
      <c r="C682" t="s">
        <v>461</v>
      </c>
      <c r="D682" t="s">
        <v>465</v>
      </c>
    </row>
    <row r="683" spans="3:4">
      <c r="C683" t="s">
        <v>461</v>
      </c>
      <c r="D683" t="s">
        <v>466</v>
      </c>
    </row>
    <row r="684" spans="3:4">
      <c r="C684" t="s">
        <v>461</v>
      </c>
      <c r="D684" t="s">
        <v>467</v>
      </c>
    </row>
    <row r="685" spans="3:4">
      <c r="C685" t="s">
        <v>461</v>
      </c>
      <c r="D685" t="s">
        <v>468</v>
      </c>
    </row>
    <row r="686" spans="3:4">
      <c r="C686" t="s">
        <v>461</v>
      </c>
      <c r="D686" t="s">
        <v>94</v>
      </c>
    </row>
    <row r="687" spans="3:4">
      <c r="C687" t="s">
        <v>461</v>
      </c>
      <c r="D687" t="s">
        <v>462</v>
      </c>
    </row>
    <row r="688" spans="3:4">
      <c r="C688" t="s">
        <v>461</v>
      </c>
    </row>
    <row r="689" spans="3:4">
      <c r="C689" t="s">
        <v>461</v>
      </c>
    </row>
    <row r="690" spans="3:4">
      <c r="C690" t="s">
        <v>444</v>
      </c>
      <c r="D690" t="s">
        <v>445</v>
      </c>
    </row>
    <row r="691" spans="3:4">
      <c r="C691" t="s">
        <v>444</v>
      </c>
      <c r="D691" t="s">
        <v>446</v>
      </c>
    </row>
    <row r="692" spans="3:4">
      <c r="C692" t="s">
        <v>444</v>
      </c>
      <c r="D692" t="s">
        <v>450</v>
      </c>
    </row>
    <row r="693" spans="3:4">
      <c r="C693" t="s">
        <v>444</v>
      </c>
      <c r="D693" t="s">
        <v>454</v>
      </c>
    </row>
    <row r="694" spans="3:4">
      <c r="C694" t="s">
        <v>444</v>
      </c>
      <c r="D694" t="s">
        <v>447</v>
      </c>
    </row>
    <row r="695" spans="3:4">
      <c r="C695" t="s">
        <v>444</v>
      </c>
      <c r="D695" t="s">
        <v>448</v>
      </c>
    </row>
    <row r="696" spans="3:4">
      <c r="C696" t="s">
        <v>444</v>
      </c>
      <c r="D696" t="s">
        <v>449</v>
      </c>
    </row>
    <row r="697" spans="3:4">
      <c r="C697" t="s">
        <v>444</v>
      </c>
      <c r="D697" t="s">
        <v>451</v>
      </c>
    </row>
    <row r="698" spans="3:4">
      <c r="C698" t="s">
        <v>444</v>
      </c>
      <c r="D698" t="s">
        <v>452</v>
      </c>
    </row>
    <row r="699" spans="3:4">
      <c r="C699" t="s">
        <v>444</v>
      </c>
      <c r="D699" t="s">
        <v>453</v>
      </c>
    </row>
    <row r="700" spans="3:4">
      <c r="C700" t="s">
        <v>444</v>
      </c>
      <c r="D700" t="s">
        <v>455</v>
      </c>
    </row>
    <row r="701" spans="3:4">
      <c r="C701" t="s">
        <v>444</v>
      </c>
    </row>
    <row r="702" spans="3:4">
      <c r="C702" t="s">
        <v>444</v>
      </c>
    </row>
    <row r="703" spans="3:4">
      <c r="C703" t="s">
        <v>1076</v>
      </c>
      <c r="D703" t="s">
        <v>1083</v>
      </c>
    </row>
    <row r="704" spans="3:4">
      <c r="C704" t="s">
        <v>1076</v>
      </c>
      <c r="D704" t="s">
        <v>1082</v>
      </c>
    </row>
    <row r="705" spans="3:4">
      <c r="C705" t="s">
        <v>1076</v>
      </c>
      <c r="D705" t="s">
        <v>1081</v>
      </c>
    </row>
    <row r="706" spans="3:4">
      <c r="C706" t="s">
        <v>1076</v>
      </c>
      <c r="D706" t="s">
        <v>1080</v>
      </c>
    </row>
    <row r="707" spans="3:4">
      <c r="C707" t="s">
        <v>1076</v>
      </c>
      <c r="D707" t="s">
        <v>1078</v>
      </c>
    </row>
    <row r="708" spans="3:4">
      <c r="C708" t="s">
        <v>1076</v>
      </c>
      <c r="D708" t="s">
        <v>1079</v>
      </c>
    </row>
    <row r="709" spans="3:4">
      <c r="C709" t="s">
        <v>1076</v>
      </c>
      <c r="D709" t="s">
        <v>1077</v>
      </c>
    </row>
    <row r="710" spans="3:4">
      <c r="C710" t="s">
        <v>1076</v>
      </c>
    </row>
    <row r="711" spans="3:4">
      <c r="C711" t="s">
        <v>1076</v>
      </c>
    </row>
    <row r="712" spans="3:4">
      <c r="C712" t="s">
        <v>723</v>
      </c>
      <c r="D712" t="s">
        <v>725</v>
      </c>
    </row>
    <row r="713" spans="3:4">
      <c r="C713" t="s">
        <v>723</v>
      </c>
      <c r="D713" t="s">
        <v>724</v>
      </c>
    </row>
    <row r="714" spans="3:4">
      <c r="C714" t="s">
        <v>723</v>
      </c>
    </row>
    <row r="715" spans="3:4">
      <c r="C715" t="s">
        <v>723</v>
      </c>
    </row>
    <row r="716" spans="3:4">
      <c r="C716" t="s">
        <v>80</v>
      </c>
      <c r="D716" t="s">
        <v>84</v>
      </c>
    </row>
    <row r="717" spans="3:4">
      <c r="C717" t="s">
        <v>80</v>
      </c>
      <c r="D717" t="s">
        <v>85</v>
      </c>
    </row>
    <row r="718" spans="3:4">
      <c r="C718" t="s">
        <v>80</v>
      </c>
      <c r="D718" t="s">
        <v>83</v>
      </c>
    </row>
    <row r="719" spans="3:4">
      <c r="C719" t="s">
        <v>80</v>
      </c>
      <c r="D719" t="s">
        <v>1099</v>
      </c>
    </row>
    <row r="720" spans="3:4">
      <c r="C720" t="s">
        <v>80</v>
      </c>
      <c r="D720" t="s">
        <v>1105</v>
      </c>
    </row>
    <row r="721" spans="3:5">
      <c r="C721" t="s">
        <v>80</v>
      </c>
      <c r="D721" t="s">
        <v>1106</v>
      </c>
    </row>
    <row r="722" spans="3:5">
      <c r="C722" t="s">
        <v>80</v>
      </c>
      <c r="D722" t="s">
        <v>1103</v>
      </c>
    </row>
    <row r="723" spans="3:5">
      <c r="C723" t="s">
        <v>80</v>
      </c>
      <c r="D723" t="s">
        <v>1102</v>
      </c>
    </row>
    <row r="724" spans="3:5">
      <c r="C724" t="s">
        <v>80</v>
      </c>
      <c r="D724" t="s">
        <v>1104</v>
      </c>
    </row>
    <row r="725" spans="3:5">
      <c r="C725" t="s">
        <v>80</v>
      </c>
    </row>
    <row r="726" spans="3:5">
      <c r="C726" t="s">
        <v>80</v>
      </c>
    </row>
    <row r="727" spans="3:5">
      <c r="C727" t="s">
        <v>512</v>
      </c>
      <c r="D727" t="s">
        <v>513</v>
      </c>
      <c r="E727" t="s">
        <v>512</v>
      </c>
    </row>
    <row r="728" spans="3:5">
      <c r="C728" t="s">
        <v>512</v>
      </c>
    </row>
    <row r="729" spans="3:5">
      <c r="C729" t="s">
        <v>512</v>
      </c>
    </row>
    <row r="730" spans="3:5">
      <c r="C730" t="s">
        <v>141</v>
      </c>
      <c r="D730" t="s">
        <v>1133</v>
      </c>
    </row>
    <row r="731" spans="3:5">
      <c r="C731" t="s">
        <v>141</v>
      </c>
      <c r="D731" t="s">
        <v>86</v>
      </c>
    </row>
    <row r="732" spans="3:5">
      <c r="C732" t="s">
        <v>141</v>
      </c>
      <c r="D732" t="s">
        <v>1134</v>
      </c>
    </row>
    <row r="733" spans="3:5">
      <c r="C733" t="s">
        <v>141</v>
      </c>
    </row>
    <row r="734" spans="3:5">
      <c r="C734" t="s">
        <v>141</v>
      </c>
    </row>
    <row r="735" spans="3:5">
      <c r="C735" t="s">
        <v>409</v>
      </c>
      <c r="D735" t="s">
        <v>410</v>
      </c>
      <c r="E735" t="s">
        <v>1307</v>
      </c>
    </row>
    <row r="736" spans="3:5">
      <c r="C736" t="s">
        <v>409</v>
      </c>
      <c r="D736" t="s">
        <v>411</v>
      </c>
      <c r="E736" t="s">
        <v>1308</v>
      </c>
    </row>
    <row r="737" spans="3:5">
      <c r="C737" t="s">
        <v>409</v>
      </c>
      <c r="D737" t="s">
        <v>414</v>
      </c>
      <c r="E737" t="s">
        <v>1309</v>
      </c>
    </row>
    <row r="738" spans="3:5">
      <c r="C738" t="s">
        <v>409</v>
      </c>
      <c r="D738" t="s">
        <v>413</v>
      </c>
      <c r="E738" t="s">
        <v>1310</v>
      </c>
    </row>
    <row r="739" spans="3:5">
      <c r="C739" t="s">
        <v>409</v>
      </c>
      <c r="D739" t="s">
        <v>416</v>
      </c>
      <c r="E739" t="s">
        <v>1309</v>
      </c>
    </row>
    <row r="740" spans="3:5">
      <c r="C740" t="s">
        <v>409</v>
      </c>
      <c r="D740" t="s">
        <v>415</v>
      </c>
      <c r="E740" t="s">
        <v>1309</v>
      </c>
    </row>
    <row r="741" spans="3:5">
      <c r="C741" t="s">
        <v>409</v>
      </c>
      <c r="D741" t="s">
        <v>419</v>
      </c>
      <c r="E741" t="s">
        <v>1309</v>
      </c>
    </row>
    <row r="742" spans="3:5">
      <c r="C742" t="s">
        <v>409</v>
      </c>
      <c r="D742" t="s">
        <v>417</v>
      </c>
      <c r="E742" t="s">
        <v>1309</v>
      </c>
    </row>
    <row r="743" spans="3:5">
      <c r="C743" t="s">
        <v>409</v>
      </c>
      <c r="D743" t="s">
        <v>421</v>
      </c>
      <c r="E743" t="s">
        <v>1309</v>
      </c>
    </row>
    <row r="744" spans="3:5">
      <c r="C744" t="s">
        <v>409</v>
      </c>
      <c r="D744" t="s">
        <v>420</v>
      </c>
      <c r="E744" t="s">
        <v>1309</v>
      </c>
    </row>
    <row r="745" spans="3:5">
      <c r="C745" t="s">
        <v>409</v>
      </c>
    </row>
    <row r="746" spans="3:5">
      <c r="C746" t="s">
        <v>409</v>
      </c>
    </row>
    <row r="747" spans="3:5">
      <c r="C747" t="s">
        <v>514</v>
      </c>
      <c r="D747" t="s">
        <v>24</v>
      </c>
      <c r="E747" t="s">
        <v>515</v>
      </c>
    </row>
    <row r="748" spans="3:5">
      <c r="C748" t="s">
        <v>514</v>
      </c>
      <c r="D748" t="s">
        <v>518</v>
      </c>
      <c r="E748" t="s">
        <v>519</v>
      </c>
    </row>
    <row r="749" spans="3:5">
      <c r="C749" t="s">
        <v>514</v>
      </c>
      <c r="D749" t="s">
        <v>516</v>
      </c>
      <c r="E749" t="s">
        <v>517</v>
      </c>
    </row>
    <row r="750" spans="3:5">
      <c r="C750" t="s">
        <v>514</v>
      </c>
    </row>
    <row r="751" spans="3:5">
      <c r="C751" t="s">
        <v>514</v>
      </c>
    </row>
    <row r="752" spans="3:5">
      <c r="C752" t="s">
        <v>428</v>
      </c>
      <c r="D752" t="s">
        <v>92</v>
      </c>
    </row>
    <row r="753" spans="3:4">
      <c r="C753" t="s">
        <v>428</v>
      </c>
      <c r="D753" t="s">
        <v>93</v>
      </c>
    </row>
    <row r="754" spans="3:4">
      <c r="C754" t="s">
        <v>428</v>
      </c>
      <c r="D754" t="s">
        <v>1138</v>
      </c>
    </row>
    <row r="755" spans="3:4">
      <c r="C755" t="s">
        <v>428</v>
      </c>
      <c r="D755" t="s">
        <v>1139</v>
      </c>
    </row>
    <row r="756" spans="3:4">
      <c r="C756" t="s">
        <v>428</v>
      </c>
      <c r="D756" t="s">
        <v>1140</v>
      </c>
    </row>
    <row r="757" spans="3:4">
      <c r="C757" t="s">
        <v>428</v>
      </c>
      <c r="D757" t="s">
        <v>1141</v>
      </c>
    </row>
    <row r="758" spans="3:4">
      <c r="C758" t="s">
        <v>428</v>
      </c>
      <c r="D758" t="s">
        <v>1142</v>
      </c>
    </row>
    <row r="759" spans="3:4">
      <c r="C759" t="s">
        <v>428</v>
      </c>
      <c r="D759" t="s">
        <v>437</v>
      </c>
    </row>
    <row r="760" spans="3:4">
      <c r="C760" t="s">
        <v>428</v>
      </c>
      <c r="D760" t="s">
        <v>91</v>
      </c>
    </row>
    <row r="761" spans="3:4">
      <c r="C761" t="s">
        <v>428</v>
      </c>
      <c r="D761" t="s">
        <v>1135</v>
      </c>
    </row>
    <row r="762" spans="3:4">
      <c r="C762" t="s">
        <v>428</v>
      </c>
      <c r="D762" t="s">
        <v>1136</v>
      </c>
    </row>
    <row r="763" spans="3:4">
      <c r="C763" t="s">
        <v>428</v>
      </c>
      <c r="D763" t="s">
        <v>1137</v>
      </c>
    </row>
    <row r="764" spans="3:4">
      <c r="C764" t="s">
        <v>428</v>
      </c>
    </row>
    <row r="765" spans="3:4">
      <c r="C765" t="s">
        <v>428</v>
      </c>
    </row>
    <row r="766" spans="3:4">
      <c r="C766" t="s">
        <v>371</v>
      </c>
      <c r="D766" t="s">
        <v>372</v>
      </c>
    </row>
    <row r="767" spans="3:4">
      <c r="C767" t="s">
        <v>371</v>
      </c>
      <c r="D767" t="s">
        <v>373</v>
      </c>
    </row>
    <row r="768" spans="3:4">
      <c r="C768" t="s">
        <v>371</v>
      </c>
      <c r="D768" t="s">
        <v>374</v>
      </c>
    </row>
    <row r="769" spans="3:4">
      <c r="C769" t="s">
        <v>371</v>
      </c>
    </row>
    <row r="770" spans="3:4">
      <c r="C770" t="s">
        <v>371</v>
      </c>
    </row>
    <row r="771" spans="3:4">
      <c r="C771" t="s">
        <v>368</v>
      </c>
      <c r="D771" t="s">
        <v>369</v>
      </c>
    </row>
    <row r="772" spans="3:4">
      <c r="C772" t="s">
        <v>368</v>
      </c>
    </row>
    <row r="773" spans="3:4">
      <c r="C773" t="s">
        <v>368</v>
      </c>
    </row>
    <row r="774" spans="3:4">
      <c r="C774" t="s">
        <v>440</v>
      </c>
      <c r="D774" t="s">
        <v>443</v>
      </c>
    </row>
    <row r="775" spans="3:4">
      <c r="C775" t="s">
        <v>440</v>
      </c>
      <c r="D775" t="s">
        <v>441</v>
      </c>
    </row>
    <row r="776" spans="3:4">
      <c r="C776" t="s">
        <v>440</v>
      </c>
      <c r="D776" t="s">
        <v>442</v>
      </c>
    </row>
    <row r="777" spans="3:4">
      <c r="C777" t="s">
        <v>440</v>
      </c>
    </row>
    <row r="778" spans="3:4">
      <c r="C778" t="s">
        <v>440</v>
      </c>
    </row>
    <row r="779" spans="3:4">
      <c r="C779" t="s">
        <v>438</v>
      </c>
      <c r="D779" t="s">
        <v>439</v>
      </c>
    </row>
    <row r="780" spans="3:4">
      <c r="C780" t="s">
        <v>438</v>
      </c>
    </row>
    <row r="781" spans="3:4">
      <c r="C781" t="s">
        <v>438</v>
      </c>
    </row>
    <row r="782" spans="3:4">
      <c r="C782" t="s">
        <v>915</v>
      </c>
      <c r="D782" t="s">
        <v>927</v>
      </c>
    </row>
    <row r="783" spans="3:4">
      <c r="C783" t="s">
        <v>915</v>
      </c>
      <c r="D783" t="s">
        <v>926</v>
      </c>
    </row>
    <row r="784" spans="3:4">
      <c r="C784" t="s">
        <v>915</v>
      </c>
    </row>
    <row r="785" spans="3:4">
      <c r="C785" t="s">
        <v>915</v>
      </c>
    </row>
    <row r="786" spans="3:4">
      <c r="C786" t="s">
        <v>987</v>
      </c>
      <c r="D786" t="s">
        <v>988</v>
      </c>
    </row>
    <row r="787" spans="3:4">
      <c r="C787" t="s">
        <v>987</v>
      </c>
      <c r="D787" t="s">
        <v>989</v>
      </c>
    </row>
    <row r="788" spans="3:4">
      <c r="C788" t="s">
        <v>987</v>
      </c>
    </row>
    <row r="789" spans="3:4">
      <c r="C789" t="s">
        <v>987</v>
      </c>
    </row>
    <row r="790" spans="3:4">
      <c r="C790" t="s">
        <v>990</v>
      </c>
      <c r="D790" t="s">
        <v>991</v>
      </c>
    </row>
    <row r="791" spans="3:4">
      <c r="C791" t="s">
        <v>990</v>
      </c>
    </row>
    <row r="792" spans="3:4">
      <c r="C792" t="s">
        <v>990</v>
      </c>
    </row>
    <row r="793" spans="3:4">
      <c r="C793" t="s">
        <v>980</v>
      </c>
      <c r="D793" t="s">
        <v>1168</v>
      </c>
    </row>
    <row r="794" spans="3:4">
      <c r="C794" t="s">
        <v>980</v>
      </c>
    </row>
    <row r="795" spans="3:4">
      <c r="C795" t="s">
        <v>980</v>
      </c>
    </row>
    <row r="796" spans="3:4">
      <c r="C796" t="s">
        <v>976</v>
      </c>
      <c r="D796" t="s">
        <v>979</v>
      </c>
    </row>
    <row r="797" spans="3:4">
      <c r="C797" t="s">
        <v>976</v>
      </c>
      <c r="D797" t="s">
        <v>977</v>
      </c>
    </row>
    <row r="798" spans="3:4">
      <c r="C798" t="s">
        <v>976</v>
      </c>
      <c r="D798" t="s">
        <v>978</v>
      </c>
    </row>
    <row r="799" spans="3:4">
      <c r="C799" t="s">
        <v>976</v>
      </c>
    </row>
    <row r="800" spans="3:4">
      <c r="C800" t="s">
        <v>976</v>
      </c>
    </row>
    <row r="801" spans="3:4">
      <c r="C801" t="s">
        <v>963</v>
      </c>
      <c r="D801" t="s">
        <v>966</v>
      </c>
    </row>
    <row r="802" spans="3:4">
      <c r="C802" t="s">
        <v>963</v>
      </c>
      <c r="D802" t="s">
        <v>965</v>
      </c>
    </row>
    <row r="803" spans="3:4">
      <c r="C803" t="s">
        <v>963</v>
      </c>
      <c r="D803" t="s">
        <v>964</v>
      </c>
    </row>
    <row r="804" spans="3:4">
      <c r="C804" t="s">
        <v>963</v>
      </c>
      <c r="D804" t="s">
        <v>968</v>
      </c>
    </row>
    <row r="805" spans="3:4">
      <c r="C805" t="s">
        <v>963</v>
      </c>
      <c r="D805" t="s">
        <v>969</v>
      </c>
    </row>
    <row r="806" spans="3:4">
      <c r="C806" t="s">
        <v>963</v>
      </c>
      <c r="D806" t="s">
        <v>967</v>
      </c>
    </row>
    <row r="807" spans="3:4">
      <c r="C807" t="s">
        <v>963</v>
      </c>
      <c r="D807" t="s">
        <v>970</v>
      </c>
    </row>
    <row r="808" spans="3:4">
      <c r="C808" t="s">
        <v>963</v>
      </c>
    </row>
    <row r="809" spans="3:4">
      <c r="C809" t="s">
        <v>963</v>
      </c>
    </row>
    <row r="810" spans="3:4">
      <c r="C810" t="s">
        <v>982</v>
      </c>
      <c r="D810" t="s">
        <v>986</v>
      </c>
    </row>
    <row r="811" spans="3:4">
      <c r="C811" t="s">
        <v>982</v>
      </c>
      <c r="D811" t="s">
        <v>983</v>
      </c>
    </row>
    <row r="812" spans="3:4">
      <c r="C812" t="s">
        <v>982</v>
      </c>
      <c r="D812" t="s">
        <v>984</v>
      </c>
    </row>
    <row r="813" spans="3:4">
      <c r="C813" t="s">
        <v>982</v>
      </c>
      <c r="D813" t="s">
        <v>985</v>
      </c>
    </row>
    <row r="814" spans="3:4">
      <c r="C814" t="s">
        <v>982</v>
      </c>
    </row>
    <row r="815" spans="3:4">
      <c r="C815" t="s">
        <v>982</v>
      </c>
    </row>
    <row r="816" spans="3:4">
      <c r="C816" t="s">
        <v>948</v>
      </c>
      <c r="D816" t="s">
        <v>959</v>
      </c>
    </row>
    <row r="817" spans="3:4">
      <c r="C817" t="s">
        <v>948</v>
      </c>
      <c r="D817" t="s">
        <v>957</v>
      </c>
    </row>
    <row r="818" spans="3:4">
      <c r="C818" t="s">
        <v>948</v>
      </c>
      <c r="D818" t="s">
        <v>1165</v>
      </c>
    </row>
    <row r="819" spans="3:4">
      <c r="C819" t="s">
        <v>948</v>
      </c>
      <c r="D819" t="s">
        <v>960</v>
      </c>
    </row>
    <row r="820" spans="3:4">
      <c r="C820" t="s">
        <v>948</v>
      </c>
      <c r="D820" t="s">
        <v>958</v>
      </c>
    </row>
    <row r="821" spans="3:4">
      <c r="C821" t="s">
        <v>948</v>
      </c>
      <c r="D821" t="s">
        <v>1164</v>
      </c>
    </row>
    <row r="822" spans="3:4">
      <c r="C822" t="s">
        <v>948</v>
      </c>
      <c r="D822" t="s">
        <v>953</v>
      </c>
    </row>
    <row r="823" spans="3:4">
      <c r="C823" t="s">
        <v>948</v>
      </c>
      <c r="D823" t="s">
        <v>1166</v>
      </c>
    </row>
    <row r="824" spans="3:4">
      <c r="C824" t="s">
        <v>948</v>
      </c>
      <c r="D824" t="s">
        <v>1167</v>
      </c>
    </row>
    <row r="825" spans="3:4">
      <c r="C825" t="s">
        <v>948</v>
      </c>
      <c r="D825" t="s">
        <v>954</v>
      </c>
    </row>
    <row r="826" spans="3:4">
      <c r="C826" t="s">
        <v>948</v>
      </c>
      <c r="D826" t="s">
        <v>949</v>
      </c>
    </row>
    <row r="827" spans="3:4">
      <c r="C827" t="s">
        <v>948</v>
      </c>
      <c r="D827" t="s">
        <v>951</v>
      </c>
    </row>
    <row r="828" spans="3:4">
      <c r="C828" t="s">
        <v>948</v>
      </c>
      <c r="D828" t="s">
        <v>950</v>
      </c>
    </row>
    <row r="829" spans="3:4">
      <c r="C829" t="s">
        <v>948</v>
      </c>
      <c r="D829" t="s">
        <v>46</v>
      </c>
    </row>
    <row r="830" spans="3:4">
      <c r="C830" t="s">
        <v>948</v>
      </c>
      <c r="D830" t="s">
        <v>47</v>
      </c>
    </row>
    <row r="831" spans="3:4">
      <c r="C831" t="s">
        <v>948</v>
      </c>
      <c r="D831" t="s">
        <v>955</v>
      </c>
    </row>
    <row r="832" spans="3:4">
      <c r="C832" t="s">
        <v>948</v>
      </c>
    </row>
    <row r="833" spans="3:4">
      <c r="C833" t="s">
        <v>948</v>
      </c>
    </row>
    <row r="834" spans="3:4">
      <c r="C834" t="s">
        <v>992</v>
      </c>
      <c r="D834" t="s">
        <v>1172</v>
      </c>
    </row>
    <row r="835" spans="3:4">
      <c r="C835" t="s">
        <v>992</v>
      </c>
      <c r="D835" t="s">
        <v>1171</v>
      </c>
    </row>
    <row r="836" spans="3:4">
      <c r="C836" t="s">
        <v>992</v>
      </c>
      <c r="D836" t="s">
        <v>1170</v>
      </c>
    </row>
    <row r="837" spans="3:4">
      <c r="C837" t="s">
        <v>992</v>
      </c>
      <c r="D837" t="s">
        <v>1169</v>
      </c>
    </row>
    <row r="838" spans="3:4">
      <c r="C838" t="s">
        <v>992</v>
      </c>
    </row>
    <row r="839" spans="3:4">
      <c r="C839" t="s">
        <v>992</v>
      </c>
    </row>
    <row r="840" spans="3:4">
      <c r="C840" t="s">
        <v>997</v>
      </c>
      <c r="D840" t="s">
        <v>444</v>
      </c>
    </row>
    <row r="841" spans="3:4">
      <c r="C841" t="s">
        <v>997</v>
      </c>
      <c r="D841" t="s">
        <v>1002</v>
      </c>
    </row>
    <row r="842" spans="3:4">
      <c r="C842" t="s">
        <v>997</v>
      </c>
      <c r="D842" t="s">
        <v>1003</v>
      </c>
    </row>
    <row r="843" spans="3:4">
      <c r="C843" t="s">
        <v>997</v>
      </c>
      <c r="D843" t="s">
        <v>1006</v>
      </c>
    </row>
    <row r="844" spans="3:4">
      <c r="C844" t="s">
        <v>997</v>
      </c>
      <c r="D844" t="s">
        <v>1007</v>
      </c>
    </row>
    <row r="845" spans="3:4">
      <c r="C845" t="s">
        <v>997</v>
      </c>
      <c r="D845" t="s">
        <v>1009</v>
      </c>
    </row>
    <row r="846" spans="3:4">
      <c r="C846" t="s">
        <v>997</v>
      </c>
      <c r="D846" t="s">
        <v>1011</v>
      </c>
    </row>
    <row r="847" spans="3:4">
      <c r="C847" t="s">
        <v>997</v>
      </c>
      <c r="D847" t="s">
        <v>1012</v>
      </c>
    </row>
    <row r="848" spans="3:4">
      <c r="C848" t="s">
        <v>997</v>
      </c>
      <c r="D848" t="s">
        <v>1014</v>
      </c>
    </row>
    <row r="849" spans="3:4">
      <c r="C849" t="s">
        <v>997</v>
      </c>
      <c r="D849" t="s">
        <v>1008</v>
      </c>
    </row>
    <row r="850" spans="3:4">
      <c r="C850" t="s">
        <v>997</v>
      </c>
      <c r="D850" t="s">
        <v>1013</v>
      </c>
    </row>
    <row r="851" spans="3:4">
      <c r="C851" t="s">
        <v>997</v>
      </c>
      <c r="D851" t="s">
        <v>1010</v>
      </c>
    </row>
    <row r="852" spans="3:4">
      <c r="C852" t="s">
        <v>997</v>
      </c>
      <c r="D852" t="s">
        <v>1174</v>
      </c>
    </row>
    <row r="853" spans="3:4">
      <c r="C853" t="s">
        <v>997</v>
      </c>
      <c r="D853" t="s">
        <v>1173</v>
      </c>
    </row>
    <row r="854" spans="3:4">
      <c r="C854" t="s">
        <v>997</v>
      </c>
      <c r="D854" t="s">
        <v>1001</v>
      </c>
    </row>
    <row r="855" spans="3:4">
      <c r="C855" t="s">
        <v>997</v>
      </c>
      <c r="D855" t="s">
        <v>1000</v>
      </c>
    </row>
    <row r="856" spans="3:4">
      <c r="C856" t="s">
        <v>997</v>
      </c>
      <c r="D856" t="s">
        <v>1005</v>
      </c>
    </row>
    <row r="857" spans="3:4">
      <c r="C857" t="s">
        <v>997</v>
      </c>
    </row>
    <row r="858" spans="3:4">
      <c r="C858" t="s">
        <v>997</v>
      </c>
    </row>
    <row r="859" spans="3:4">
      <c r="C859" t="s">
        <v>971</v>
      </c>
      <c r="D859" t="s">
        <v>973</v>
      </c>
    </row>
    <row r="860" spans="3:4">
      <c r="C860" t="s">
        <v>971</v>
      </c>
      <c r="D860" t="s">
        <v>974</v>
      </c>
    </row>
    <row r="861" spans="3:4">
      <c r="C861" t="s">
        <v>971</v>
      </c>
      <c r="D861" t="s">
        <v>972</v>
      </c>
    </row>
    <row r="862" spans="3:4">
      <c r="C862" t="s">
        <v>971</v>
      </c>
      <c r="D862" t="s">
        <v>975</v>
      </c>
    </row>
    <row r="863" spans="3:4">
      <c r="C863" t="s">
        <v>971</v>
      </c>
    </row>
    <row r="864" spans="3:4">
      <c r="C864" t="s">
        <v>971</v>
      </c>
    </row>
    <row r="865" spans="3:4">
      <c r="C865" t="s">
        <v>365</v>
      </c>
      <c r="D865" t="s">
        <v>366</v>
      </c>
    </row>
    <row r="866" spans="3:4">
      <c r="C866" t="s">
        <v>365</v>
      </c>
    </row>
    <row r="867" spans="3:4">
      <c r="C867" t="s">
        <v>365</v>
      </c>
    </row>
    <row r="868" spans="3:4">
      <c r="C868" t="s">
        <v>362</v>
      </c>
      <c r="D868" t="s">
        <v>364</v>
      </c>
    </row>
    <row r="869" spans="3:4">
      <c r="C869" t="s">
        <v>362</v>
      </c>
      <c r="D869" t="s">
        <v>363</v>
      </c>
    </row>
    <row r="870" spans="3:4">
      <c r="C870" t="s">
        <v>362</v>
      </c>
    </row>
    <row r="871" spans="3:4">
      <c r="C871" t="s">
        <v>362</v>
      </c>
    </row>
    <row r="872" spans="3:4">
      <c r="C872" t="s">
        <v>367</v>
      </c>
      <c r="D872" t="s">
        <v>75</v>
      </c>
    </row>
    <row r="873" spans="3:4">
      <c r="C873" t="s">
        <v>367</v>
      </c>
      <c r="D873" t="s">
        <v>71</v>
      </c>
    </row>
    <row r="874" spans="3:4">
      <c r="C874" t="s">
        <v>367</v>
      </c>
      <c r="D874" t="s">
        <v>72</v>
      </c>
    </row>
    <row r="875" spans="3:4">
      <c r="C875" t="s">
        <v>367</v>
      </c>
      <c r="D875" t="s">
        <v>70</v>
      </c>
    </row>
    <row r="876" spans="3:4">
      <c r="C876" t="s">
        <v>367</v>
      </c>
      <c r="D876" t="s">
        <v>76</v>
      </c>
    </row>
    <row r="877" spans="3:4">
      <c r="C877" t="s">
        <v>367</v>
      </c>
      <c r="D877" t="s">
        <v>104</v>
      </c>
    </row>
    <row r="878" spans="3:4">
      <c r="C878" t="s">
        <v>367</v>
      </c>
      <c r="D878" t="s">
        <v>74</v>
      </c>
    </row>
    <row r="879" spans="3:4">
      <c r="C879" t="s">
        <v>367</v>
      </c>
      <c r="D879" t="s">
        <v>73</v>
      </c>
    </row>
    <row r="880" spans="3:4">
      <c r="C880" t="s">
        <v>367</v>
      </c>
      <c r="D880" t="s">
        <v>77</v>
      </c>
    </row>
    <row r="881" spans="1:4">
      <c r="C881" t="s">
        <v>367</v>
      </c>
    </row>
    <row r="882" spans="1:4">
      <c r="C882" t="s">
        <v>367</v>
      </c>
    </row>
    <row r="883" spans="1:4">
      <c r="C883" t="s">
        <v>422</v>
      </c>
      <c r="D883" t="s">
        <v>424</v>
      </c>
    </row>
    <row r="884" spans="1:4">
      <c r="C884" t="s">
        <v>422</v>
      </c>
      <c r="D884" t="s">
        <v>423</v>
      </c>
    </row>
    <row r="885" spans="1:4">
      <c r="C885" t="s">
        <v>422</v>
      </c>
      <c r="D885" t="s">
        <v>425</v>
      </c>
    </row>
    <row r="886" spans="1:4">
      <c r="C886" t="s">
        <v>422</v>
      </c>
    </row>
    <row r="887" spans="1:4">
      <c r="C887" t="s">
        <v>422</v>
      </c>
    </row>
    <row r="888" spans="1:4">
      <c r="A888" t="s">
        <v>98</v>
      </c>
    </row>
    <row r="889" spans="1:4">
      <c r="C889" t="s">
        <v>398</v>
      </c>
      <c r="D889" t="s">
        <v>399</v>
      </c>
    </row>
    <row r="890" spans="1:4">
      <c r="C890" t="s">
        <v>398</v>
      </c>
      <c r="D890" t="s">
        <v>403</v>
      </c>
    </row>
    <row r="891" spans="1:4">
      <c r="C891" t="s">
        <v>398</v>
      </c>
      <c r="D891" t="s">
        <v>404</v>
      </c>
    </row>
    <row r="892" spans="1:4">
      <c r="C892" t="s">
        <v>398</v>
      </c>
      <c r="D892" t="s">
        <v>401</v>
      </c>
    </row>
    <row r="893" spans="1:4">
      <c r="C893" t="s">
        <v>398</v>
      </c>
      <c r="D893" t="s">
        <v>402</v>
      </c>
    </row>
    <row r="894" spans="1:4">
      <c r="C894" t="s">
        <v>398</v>
      </c>
      <c r="D894" t="s">
        <v>400</v>
      </c>
    </row>
    <row r="895" spans="1:4">
      <c r="C895" t="s">
        <v>398</v>
      </c>
      <c r="D895" t="s">
        <v>405</v>
      </c>
    </row>
    <row r="896" spans="1:4">
      <c r="C896" t="s">
        <v>398</v>
      </c>
    </row>
    <row r="897" spans="3:4">
      <c r="C897" t="s">
        <v>398</v>
      </c>
    </row>
    <row r="898" spans="3:4">
      <c r="C898" t="s">
        <v>777</v>
      </c>
      <c r="D898" t="s">
        <v>779</v>
      </c>
    </row>
    <row r="899" spans="3:4">
      <c r="C899" t="s">
        <v>777</v>
      </c>
      <c r="D899" t="s">
        <v>789</v>
      </c>
    </row>
    <row r="900" spans="3:4">
      <c r="C900" t="s">
        <v>777</v>
      </c>
      <c r="D900" t="s">
        <v>797</v>
      </c>
    </row>
    <row r="901" spans="3:4">
      <c r="C901" t="s">
        <v>777</v>
      </c>
      <c r="D901" t="s">
        <v>790</v>
      </c>
    </row>
    <row r="902" spans="3:4">
      <c r="C902" t="s">
        <v>777</v>
      </c>
      <c r="D902" t="s">
        <v>787</v>
      </c>
    </row>
    <row r="903" spans="3:4">
      <c r="C903" t="s">
        <v>777</v>
      </c>
      <c r="D903" t="s">
        <v>778</v>
      </c>
    </row>
    <row r="904" spans="3:4">
      <c r="C904" t="s">
        <v>777</v>
      </c>
      <c r="D904" t="s">
        <v>781</v>
      </c>
    </row>
    <row r="905" spans="3:4">
      <c r="C905" t="s">
        <v>777</v>
      </c>
      <c r="D905" t="s">
        <v>791</v>
      </c>
    </row>
    <row r="906" spans="3:4">
      <c r="C906" t="s">
        <v>777</v>
      </c>
      <c r="D906" t="s">
        <v>796</v>
      </c>
    </row>
    <row r="907" spans="3:4">
      <c r="C907" t="s">
        <v>777</v>
      </c>
      <c r="D907" t="s">
        <v>785</v>
      </c>
    </row>
    <row r="908" spans="3:4">
      <c r="C908" t="s">
        <v>777</v>
      </c>
      <c r="D908" t="s">
        <v>794</v>
      </c>
    </row>
    <row r="909" spans="3:4">
      <c r="C909" t="s">
        <v>777</v>
      </c>
      <c r="D909" t="s">
        <v>786</v>
      </c>
    </row>
    <row r="910" spans="3:4">
      <c r="C910" t="s">
        <v>777</v>
      </c>
      <c r="D910" t="s">
        <v>793</v>
      </c>
    </row>
    <row r="911" spans="3:4">
      <c r="C911" t="s">
        <v>777</v>
      </c>
      <c r="D911" t="s">
        <v>792</v>
      </c>
    </row>
    <row r="912" spans="3:4">
      <c r="C912" t="s">
        <v>777</v>
      </c>
      <c r="D912" t="s">
        <v>116</v>
      </c>
    </row>
    <row r="913" spans="2:4">
      <c r="C913" t="s">
        <v>777</v>
      </c>
      <c r="D913" t="s">
        <v>780</v>
      </c>
    </row>
    <row r="914" spans="2:4">
      <c r="C914" t="s">
        <v>777</v>
      </c>
      <c r="D914" t="s">
        <v>795</v>
      </c>
    </row>
    <row r="915" spans="2:4">
      <c r="C915" t="s">
        <v>777</v>
      </c>
      <c r="D915" t="s">
        <v>788</v>
      </c>
    </row>
    <row r="916" spans="2:4">
      <c r="C916" t="s">
        <v>777</v>
      </c>
      <c r="D916" t="s">
        <v>783</v>
      </c>
    </row>
    <row r="917" spans="2:4">
      <c r="C917" t="s">
        <v>777</v>
      </c>
      <c r="D917" t="s">
        <v>784</v>
      </c>
    </row>
    <row r="918" spans="2:4">
      <c r="C918" t="s">
        <v>777</v>
      </c>
      <c r="D918" t="s">
        <v>782</v>
      </c>
    </row>
    <row r="919" spans="2:4">
      <c r="C919" t="s">
        <v>777</v>
      </c>
    </row>
    <row r="920" spans="2:4">
      <c r="C920" t="s">
        <v>777</v>
      </c>
    </row>
    <row r="921" spans="2:4">
      <c r="C921" t="s">
        <v>375</v>
      </c>
      <c r="D921" t="s">
        <v>378</v>
      </c>
    </row>
    <row r="922" spans="2:4">
      <c r="C922" t="s">
        <v>375</v>
      </c>
      <c r="D922" t="s">
        <v>376</v>
      </c>
    </row>
    <row r="923" spans="2:4">
      <c r="C923" t="s">
        <v>375</v>
      </c>
      <c r="D923" t="s">
        <v>377</v>
      </c>
    </row>
    <row r="924" spans="2:4">
      <c r="C924" t="s">
        <v>375</v>
      </c>
    </row>
    <row r="925" spans="2:4">
      <c r="C925" t="s">
        <v>375</v>
      </c>
    </row>
    <row r="926" spans="2:4">
      <c r="B926">
        <v>1</v>
      </c>
      <c r="C926" t="s">
        <v>1301</v>
      </c>
      <c r="D926" t="s">
        <v>1189</v>
      </c>
    </row>
    <row r="927" spans="2:4">
      <c r="B927">
        <v>1</v>
      </c>
      <c r="C927" t="s">
        <v>1301</v>
      </c>
      <c r="D927" t="s">
        <v>1199</v>
      </c>
    </row>
    <row r="928" spans="2:4">
      <c r="B928">
        <v>1</v>
      </c>
      <c r="C928" t="s">
        <v>1301</v>
      </c>
      <c r="D928" t="s">
        <v>119</v>
      </c>
    </row>
    <row r="929" spans="2:4">
      <c r="B929">
        <v>1</v>
      </c>
      <c r="C929" t="s">
        <v>1301</v>
      </c>
      <c r="D929" t="s">
        <v>1198</v>
      </c>
    </row>
    <row r="930" spans="2:4">
      <c r="B930">
        <v>2</v>
      </c>
      <c r="C930" t="s">
        <v>1301</v>
      </c>
      <c r="D930" t="s">
        <v>123</v>
      </c>
    </row>
    <row r="931" spans="2:4">
      <c r="B931">
        <v>1</v>
      </c>
      <c r="C931" t="s">
        <v>1301</v>
      </c>
      <c r="D931" t="s">
        <v>1186</v>
      </c>
    </row>
    <row r="932" spans="2:4">
      <c r="B932">
        <v>1</v>
      </c>
      <c r="C932" t="s">
        <v>1301</v>
      </c>
      <c r="D932" t="s">
        <v>1187</v>
      </c>
    </row>
    <row r="933" spans="2:4">
      <c r="B933">
        <v>1</v>
      </c>
      <c r="C933" t="s">
        <v>1301</v>
      </c>
      <c r="D933" t="s">
        <v>1190</v>
      </c>
    </row>
    <row r="934" spans="2:4">
      <c r="B934">
        <v>4</v>
      </c>
      <c r="C934" t="s">
        <v>1301</v>
      </c>
      <c r="D934" t="s">
        <v>122</v>
      </c>
    </row>
    <row r="935" spans="2:4">
      <c r="B935">
        <v>1</v>
      </c>
      <c r="C935" t="s">
        <v>1301</v>
      </c>
      <c r="D935" t="s">
        <v>1197</v>
      </c>
    </row>
    <row r="936" spans="2:4">
      <c r="B936">
        <v>1</v>
      </c>
      <c r="C936" t="s">
        <v>1301</v>
      </c>
      <c r="D936" t="s">
        <v>1182</v>
      </c>
    </row>
    <row r="937" spans="2:4">
      <c r="B937">
        <v>5</v>
      </c>
      <c r="C937" t="s">
        <v>1301</v>
      </c>
      <c r="D937" t="s">
        <v>120</v>
      </c>
    </row>
    <row r="938" spans="2:4">
      <c r="B938">
        <v>1</v>
      </c>
      <c r="C938" t="s">
        <v>1301</v>
      </c>
      <c r="D938" t="s">
        <v>1184</v>
      </c>
    </row>
    <row r="939" spans="2:4">
      <c r="B939">
        <v>1</v>
      </c>
      <c r="C939" t="s">
        <v>1301</v>
      </c>
      <c r="D939" t="s">
        <v>1185</v>
      </c>
    </row>
    <row r="940" spans="2:4">
      <c r="B940">
        <v>1</v>
      </c>
      <c r="C940" t="s">
        <v>1301</v>
      </c>
      <c r="D940" t="s">
        <v>1194</v>
      </c>
    </row>
    <row r="941" spans="2:4">
      <c r="B941">
        <v>1</v>
      </c>
      <c r="C941" t="s">
        <v>1301</v>
      </c>
      <c r="D941" t="s">
        <v>1196</v>
      </c>
    </row>
    <row r="942" spans="2:4">
      <c r="B942">
        <v>1</v>
      </c>
      <c r="C942" t="s">
        <v>1301</v>
      </c>
      <c r="D942" t="s">
        <v>1195</v>
      </c>
    </row>
    <row r="943" spans="2:4">
      <c r="B943">
        <v>1</v>
      </c>
      <c r="C943" t="s">
        <v>1301</v>
      </c>
      <c r="D943" t="s">
        <v>121</v>
      </c>
    </row>
    <row r="944" spans="2:4">
      <c r="B944">
        <v>1</v>
      </c>
      <c r="C944" t="s">
        <v>1301</v>
      </c>
      <c r="D944" t="s">
        <v>1183</v>
      </c>
    </row>
    <row r="945" spans="2:4">
      <c r="B945">
        <v>1</v>
      </c>
      <c r="C945" t="s">
        <v>1301</v>
      </c>
      <c r="D945" t="s">
        <v>1188</v>
      </c>
    </row>
    <row r="946" spans="2:4">
      <c r="B946">
        <v>1</v>
      </c>
      <c r="C946" t="s">
        <v>1301</v>
      </c>
      <c r="D946" t="s">
        <v>1192</v>
      </c>
    </row>
    <row r="947" spans="2:4">
      <c r="B947">
        <v>1</v>
      </c>
      <c r="C947" t="s">
        <v>1301</v>
      </c>
      <c r="D947" t="s">
        <v>1193</v>
      </c>
    </row>
    <row r="948" spans="2:4">
      <c r="B948">
        <v>1</v>
      </c>
      <c r="C948" t="s">
        <v>1301</v>
      </c>
      <c r="D948" t="s">
        <v>1191</v>
      </c>
    </row>
    <row r="949" spans="2:4">
      <c r="C949" t="s">
        <v>1301</v>
      </c>
    </row>
    <row r="950" spans="2:4">
      <c r="C950" t="s">
        <v>1301</v>
      </c>
    </row>
    <row r="951" spans="2:4">
      <c r="C951" t="s">
        <v>629</v>
      </c>
      <c r="D951" t="s">
        <v>633</v>
      </c>
    </row>
    <row r="952" spans="2:4">
      <c r="C952" t="s">
        <v>629</v>
      </c>
      <c r="D952" t="s">
        <v>632</v>
      </c>
    </row>
    <row r="953" spans="2:4">
      <c r="C953" t="s">
        <v>629</v>
      </c>
      <c r="D953" t="s">
        <v>631</v>
      </c>
    </row>
    <row r="954" spans="2:4">
      <c r="C954" t="s">
        <v>629</v>
      </c>
      <c r="D954" t="s">
        <v>630</v>
      </c>
    </row>
    <row r="955" spans="2:4">
      <c r="C955" t="s">
        <v>629</v>
      </c>
      <c r="D955" t="s">
        <v>638</v>
      </c>
    </row>
    <row r="956" spans="2:4">
      <c r="C956" t="s">
        <v>629</v>
      </c>
      <c r="D956" t="s">
        <v>635</v>
      </c>
    </row>
    <row r="957" spans="2:4">
      <c r="C957" t="s">
        <v>629</v>
      </c>
      <c r="D957" t="s">
        <v>637</v>
      </c>
    </row>
    <row r="958" spans="2:4">
      <c r="C958" t="s">
        <v>629</v>
      </c>
      <c r="D958" t="s">
        <v>636</v>
      </c>
    </row>
    <row r="959" spans="2:4">
      <c r="C959" t="s">
        <v>629</v>
      </c>
      <c r="D959" t="s">
        <v>634</v>
      </c>
    </row>
    <row r="960" spans="2:4">
      <c r="C960" t="s">
        <v>629</v>
      </c>
      <c r="D960" t="s">
        <v>639</v>
      </c>
    </row>
    <row r="961" spans="1:4">
      <c r="C961" t="s">
        <v>629</v>
      </c>
    </row>
    <row r="962" spans="1:4">
      <c r="C962" t="s">
        <v>629</v>
      </c>
    </row>
    <row r="963" spans="1:4">
      <c r="A963" t="s">
        <v>99</v>
      </c>
    </row>
    <row r="964" spans="1:4">
      <c r="C964" t="s">
        <v>754</v>
      </c>
      <c r="D964" t="s">
        <v>755</v>
      </c>
    </row>
    <row r="965" spans="1:4">
      <c r="C965" t="s">
        <v>754</v>
      </c>
      <c r="D965" t="s">
        <v>756</v>
      </c>
    </row>
    <row r="966" spans="1:4">
      <c r="C966" t="s">
        <v>754</v>
      </c>
      <c r="D966" t="s">
        <v>100</v>
      </c>
    </row>
    <row r="967" spans="1:4">
      <c r="C967" t="s">
        <v>754</v>
      </c>
    </row>
    <row r="968" spans="1:4">
      <c r="C968" t="s">
        <v>754</v>
      </c>
    </row>
    <row r="969" spans="1:4">
      <c r="A969" t="s">
        <v>101</v>
      </c>
    </row>
    <row r="970" spans="1:4">
      <c r="C970" t="s">
        <v>1027</v>
      </c>
      <c r="D970" t="s">
        <v>1028</v>
      </c>
    </row>
    <row r="971" spans="1:4">
      <c r="C971" t="s">
        <v>1027</v>
      </c>
      <c r="D971" t="s">
        <v>1175</v>
      </c>
    </row>
    <row r="972" spans="1:4">
      <c r="C972" t="s">
        <v>1027</v>
      </c>
      <c r="D972" t="s">
        <v>1176</v>
      </c>
    </row>
    <row r="973" spans="1:4">
      <c r="C973" t="s">
        <v>1027</v>
      </c>
      <c r="D973" t="s">
        <v>1177</v>
      </c>
    </row>
    <row r="974" spans="1:4">
      <c r="C974" t="s">
        <v>1027</v>
      </c>
      <c r="D974" t="s">
        <v>1178</v>
      </c>
    </row>
    <row r="975" spans="1:4">
      <c r="C975" t="s">
        <v>1027</v>
      </c>
      <c r="D975" t="s">
        <v>1179</v>
      </c>
    </row>
    <row r="976" spans="1:4">
      <c r="C976" t="s">
        <v>1027</v>
      </c>
      <c r="D976" t="s">
        <v>1180</v>
      </c>
    </row>
    <row r="977" spans="3:4">
      <c r="C977" t="s">
        <v>1027</v>
      </c>
    </row>
    <row r="978" spans="3:4">
      <c r="C978" t="s">
        <v>1027</v>
      </c>
    </row>
    <row r="979" spans="3:4">
      <c r="C979" t="s">
        <v>1015</v>
      </c>
      <c r="D979" t="s">
        <v>36</v>
      </c>
    </row>
    <row r="980" spans="3:4">
      <c r="C980" t="s">
        <v>1015</v>
      </c>
      <c r="D980" t="s">
        <v>1026</v>
      </c>
    </row>
    <row r="981" spans="3:4">
      <c r="C981" t="s">
        <v>1015</v>
      </c>
      <c r="D981" t="s">
        <v>1023</v>
      </c>
    </row>
    <row r="982" spans="3:4">
      <c r="C982" t="s">
        <v>1015</v>
      </c>
      <c r="D982" t="s">
        <v>1021</v>
      </c>
    </row>
    <row r="983" spans="3:4">
      <c r="C983" t="s">
        <v>1015</v>
      </c>
      <c r="D983" t="s">
        <v>1022</v>
      </c>
    </row>
    <row r="984" spans="3:4">
      <c r="C984" t="s">
        <v>1015</v>
      </c>
      <c r="D984" t="s">
        <v>103</v>
      </c>
    </row>
    <row r="985" spans="3:4">
      <c r="C985" t="s">
        <v>1015</v>
      </c>
      <c r="D985" t="s">
        <v>1024</v>
      </c>
    </row>
    <row r="986" spans="3:4">
      <c r="C986" t="s">
        <v>1015</v>
      </c>
      <c r="D986" t="s">
        <v>102</v>
      </c>
    </row>
    <row r="987" spans="3:4">
      <c r="C987" t="s">
        <v>1015</v>
      </c>
      <c r="D987" t="s">
        <v>1025</v>
      </c>
    </row>
    <row r="988" spans="3:4">
      <c r="C988" t="s">
        <v>1015</v>
      </c>
      <c r="D988" t="s">
        <v>1016</v>
      </c>
    </row>
    <row r="989" spans="3:4">
      <c r="C989" t="s">
        <v>1015</v>
      </c>
      <c r="D989" t="s">
        <v>1017</v>
      </c>
    </row>
    <row r="990" spans="3:4">
      <c r="C990" t="s">
        <v>1015</v>
      </c>
      <c r="D990" t="s">
        <v>1018</v>
      </c>
    </row>
    <row r="991" spans="3:4">
      <c r="C991" t="s">
        <v>1015</v>
      </c>
      <c r="D991" t="s">
        <v>1020</v>
      </c>
    </row>
    <row r="992" spans="3:4">
      <c r="C992" t="s">
        <v>1015</v>
      </c>
    </row>
    <row r="993" spans="1:4">
      <c r="C993" t="s">
        <v>1015</v>
      </c>
    </row>
    <row r="994" spans="1:4">
      <c r="A994" t="s">
        <v>105</v>
      </c>
    </row>
    <row r="995" spans="1:4">
      <c r="C995" t="s">
        <v>1047</v>
      </c>
    </row>
    <row r="996" spans="1:4">
      <c r="C996" t="s">
        <v>1047</v>
      </c>
    </row>
    <row r="997" spans="1:4">
      <c r="C997" t="s">
        <v>1037</v>
      </c>
      <c r="D997" t="s">
        <v>1038</v>
      </c>
    </row>
    <row r="998" spans="1:4">
      <c r="C998" t="s">
        <v>1037</v>
      </c>
      <c r="D998" t="s">
        <v>1039</v>
      </c>
    </row>
    <row r="999" spans="1:4">
      <c r="C999" t="s">
        <v>1037</v>
      </c>
      <c r="D999" t="s">
        <v>1040</v>
      </c>
    </row>
    <row r="1000" spans="1:4">
      <c r="C1000" t="s">
        <v>1037</v>
      </c>
    </row>
    <row r="1001" spans="1:4">
      <c r="C1001" t="s">
        <v>1037</v>
      </c>
    </row>
    <row r="1002" spans="1:4">
      <c r="C1002" t="s">
        <v>1063</v>
      </c>
      <c r="D1002" t="s">
        <v>1200</v>
      </c>
    </row>
    <row r="1003" spans="1:4">
      <c r="C1003" t="s">
        <v>1063</v>
      </c>
      <c r="D1003" t="s">
        <v>1225</v>
      </c>
    </row>
    <row r="1004" spans="1:4">
      <c r="C1004" t="s">
        <v>1063</v>
      </c>
      <c r="D1004" t="s">
        <v>1201</v>
      </c>
    </row>
    <row r="1005" spans="1:4">
      <c r="C1005" t="s">
        <v>1063</v>
      </c>
      <c r="D1005" t="s">
        <v>1064</v>
      </c>
    </row>
    <row r="1006" spans="1:4">
      <c r="C1006" t="s">
        <v>1063</v>
      </c>
      <c r="D1006" t="s">
        <v>1224</v>
      </c>
    </row>
    <row r="1007" spans="1:4">
      <c r="C1007" t="s">
        <v>1063</v>
      </c>
      <c r="D1007" t="s">
        <v>1223</v>
      </c>
    </row>
    <row r="1008" spans="1:4">
      <c r="C1008" t="s">
        <v>1063</v>
      </c>
    </row>
    <row r="1009" spans="3:4">
      <c r="C1009" t="s">
        <v>1063</v>
      </c>
    </row>
    <row r="1010" spans="3:4">
      <c r="C1010" t="s">
        <v>890</v>
      </c>
      <c r="D1010" t="s">
        <v>892</v>
      </c>
    </row>
    <row r="1011" spans="3:4">
      <c r="C1011" t="s">
        <v>890</v>
      </c>
      <c r="D1011" t="s">
        <v>893</v>
      </c>
    </row>
    <row r="1012" spans="3:4">
      <c r="C1012" t="s">
        <v>890</v>
      </c>
      <c r="D1012" t="s">
        <v>900</v>
      </c>
    </row>
    <row r="1013" spans="3:4">
      <c r="C1013" t="s">
        <v>890</v>
      </c>
      <c r="D1013" t="s">
        <v>899</v>
      </c>
    </row>
    <row r="1014" spans="3:4">
      <c r="C1014" t="s">
        <v>890</v>
      </c>
      <c r="D1014" t="s">
        <v>898</v>
      </c>
    </row>
    <row r="1015" spans="3:4">
      <c r="C1015" t="s">
        <v>890</v>
      </c>
      <c r="D1015" t="s">
        <v>891</v>
      </c>
    </row>
    <row r="1016" spans="3:4">
      <c r="C1016" t="s">
        <v>890</v>
      </c>
      <c r="D1016" t="s">
        <v>106</v>
      </c>
    </row>
    <row r="1017" spans="3:4">
      <c r="C1017" t="s">
        <v>890</v>
      </c>
    </row>
    <row r="1018" spans="3:4">
      <c r="C1018" t="s">
        <v>890</v>
      </c>
    </row>
    <row r="1019" spans="3:4">
      <c r="C1019" t="s">
        <v>1049</v>
      </c>
      <c r="D1019" t="s">
        <v>1055</v>
      </c>
    </row>
    <row r="1020" spans="3:4">
      <c r="C1020" t="s">
        <v>1049</v>
      </c>
      <c r="D1020" t="s">
        <v>1050</v>
      </c>
    </row>
    <row r="1021" spans="3:4">
      <c r="C1021" t="s">
        <v>1049</v>
      </c>
      <c r="D1021" t="s">
        <v>1051</v>
      </c>
    </row>
    <row r="1022" spans="3:4">
      <c r="C1022" t="s">
        <v>1049</v>
      </c>
      <c r="D1022" t="s">
        <v>1056</v>
      </c>
    </row>
    <row r="1023" spans="3:4">
      <c r="C1023" t="s">
        <v>1049</v>
      </c>
      <c r="D1023" t="s">
        <v>1054</v>
      </c>
    </row>
    <row r="1024" spans="3:4">
      <c r="C1024" t="s">
        <v>1049</v>
      </c>
      <c r="D1024" t="s">
        <v>1053</v>
      </c>
    </row>
    <row r="1025" spans="3:4">
      <c r="C1025" t="s">
        <v>1049</v>
      </c>
      <c r="D1025" t="s">
        <v>1052</v>
      </c>
    </row>
    <row r="1026" spans="3:4">
      <c r="C1026" t="s">
        <v>1049</v>
      </c>
    </row>
    <row r="1027" spans="3:4">
      <c r="C1027" t="s">
        <v>1049</v>
      </c>
    </row>
    <row r="1028" spans="3:4">
      <c r="C1028" t="s">
        <v>886</v>
      </c>
      <c r="D1028" t="s">
        <v>887</v>
      </c>
    </row>
    <row r="1029" spans="3:4">
      <c r="C1029" t="s">
        <v>886</v>
      </c>
      <c r="D1029" t="s">
        <v>888</v>
      </c>
    </row>
    <row r="1030" spans="3:4">
      <c r="C1030" t="s">
        <v>886</v>
      </c>
      <c r="D1030" t="s">
        <v>889</v>
      </c>
    </row>
    <row r="1031" spans="3:4">
      <c r="C1031" t="s">
        <v>886</v>
      </c>
    </row>
    <row r="1032" spans="3:4">
      <c r="C1032" t="s">
        <v>886</v>
      </c>
    </row>
    <row r="1033" spans="3:4">
      <c r="C1033" t="s">
        <v>1057</v>
      </c>
      <c r="D1033" t="s">
        <v>1239</v>
      </c>
    </row>
    <row r="1034" spans="3:4">
      <c r="C1034" t="s">
        <v>1057</v>
      </c>
      <c r="D1034" t="s">
        <v>1240</v>
      </c>
    </row>
    <row r="1035" spans="3:4">
      <c r="C1035" t="s">
        <v>1057</v>
      </c>
      <c r="D1035" t="s">
        <v>1241</v>
      </c>
    </row>
    <row r="1036" spans="3:4">
      <c r="C1036" t="s">
        <v>1057</v>
      </c>
      <c r="D1036" t="s">
        <v>1059</v>
      </c>
    </row>
    <row r="1037" spans="3:4">
      <c r="C1037" t="s">
        <v>1057</v>
      </c>
      <c r="D1037" t="s">
        <v>1236</v>
      </c>
    </row>
    <row r="1038" spans="3:4">
      <c r="C1038" t="s">
        <v>1057</v>
      </c>
      <c r="D1038" t="s">
        <v>1237</v>
      </c>
    </row>
    <row r="1039" spans="3:4">
      <c r="C1039" t="s">
        <v>1057</v>
      </c>
      <c r="D1039" t="s">
        <v>1238</v>
      </c>
    </row>
    <row r="1040" spans="3:4">
      <c r="C1040" t="s">
        <v>1057</v>
      </c>
      <c r="D1040" t="s">
        <v>1234</v>
      </c>
    </row>
    <row r="1041" spans="3:4">
      <c r="C1041" t="s">
        <v>1057</v>
      </c>
      <c r="D1041" t="s">
        <v>1058</v>
      </c>
    </row>
    <row r="1042" spans="3:4">
      <c r="C1042" t="s">
        <v>1057</v>
      </c>
      <c r="D1042" t="s">
        <v>1235</v>
      </c>
    </row>
    <row r="1043" spans="3:4">
      <c r="C1043" t="s">
        <v>1057</v>
      </c>
      <c r="D1043" t="s">
        <v>1062</v>
      </c>
    </row>
    <row r="1044" spans="3:4">
      <c r="C1044" t="s">
        <v>1057</v>
      </c>
      <c r="D1044" t="s">
        <v>1061</v>
      </c>
    </row>
    <row r="1045" spans="3:4">
      <c r="C1045" t="s">
        <v>1057</v>
      </c>
      <c r="D1045" t="s">
        <v>1060</v>
      </c>
    </row>
    <row r="1046" spans="3:4">
      <c r="C1046" t="s">
        <v>1057</v>
      </c>
    </row>
    <row r="1047" spans="3:4">
      <c r="C1047" t="s">
        <v>1057</v>
      </c>
    </row>
    <row r="1048" spans="3:4">
      <c r="C1048" t="s">
        <v>1044</v>
      </c>
      <c r="D1048" t="s">
        <v>1045</v>
      </c>
    </row>
    <row r="1049" spans="3:4">
      <c r="C1049" t="s">
        <v>1044</v>
      </c>
      <c r="D1049" t="s">
        <v>1046</v>
      </c>
    </row>
    <row r="1050" spans="3:4">
      <c r="C1050" t="s">
        <v>1044</v>
      </c>
    </row>
    <row r="1051" spans="3:4">
      <c r="C1051" t="s">
        <v>1044</v>
      </c>
    </row>
    <row r="1052" spans="3:4">
      <c r="C1052" t="s">
        <v>813</v>
      </c>
      <c r="D1052" t="s">
        <v>814</v>
      </c>
    </row>
    <row r="1053" spans="3:4">
      <c r="C1053" t="s">
        <v>813</v>
      </c>
      <c r="D1053" t="s">
        <v>817</v>
      </c>
    </row>
    <row r="1054" spans="3:4">
      <c r="C1054" t="s">
        <v>813</v>
      </c>
      <c r="D1054" t="s">
        <v>815</v>
      </c>
    </row>
    <row r="1055" spans="3:4">
      <c r="C1055" t="s">
        <v>813</v>
      </c>
      <c r="D1055" t="s">
        <v>816</v>
      </c>
    </row>
    <row r="1056" spans="3:4">
      <c r="C1056" t="s">
        <v>813</v>
      </c>
    </row>
    <row r="1057" spans="3:4">
      <c r="C1057" t="s">
        <v>813</v>
      </c>
    </row>
    <row r="1058" spans="3:4">
      <c r="C1058" t="s">
        <v>878</v>
      </c>
      <c r="D1058" t="s">
        <v>879</v>
      </c>
    </row>
    <row r="1059" spans="3:4">
      <c r="C1059" t="s">
        <v>878</v>
      </c>
    </row>
    <row r="1060" spans="3:4">
      <c r="C1060" t="s">
        <v>878</v>
      </c>
    </row>
    <row r="1061" spans="3:4">
      <c r="C1061" t="s">
        <v>884</v>
      </c>
      <c r="D1061" t="s">
        <v>885</v>
      </c>
    </row>
    <row r="1062" spans="3:4">
      <c r="C1062" t="s">
        <v>884</v>
      </c>
    </row>
    <row r="1063" spans="3:4">
      <c r="C1063" t="s">
        <v>884</v>
      </c>
    </row>
    <row r="1064" spans="3:4">
      <c r="C1064" t="s">
        <v>1226</v>
      </c>
      <c r="D1064" t="s">
        <v>1232</v>
      </c>
    </row>
    <row r="1065" spans="3:4">
      <c r="C1065" t="s">
        <v>1226</v>
      </c>
      <c r="D1065" t="s">
        <v>1233</v>
      </c>
    </row>
    <row r="1066" spans="3:4">
      <c r="C1066" t="s">
        <v>1226</v>
      </c>
      <c r="D1066" t="s">
        <v>1229</v>
      </c>
    </row>
    <row r="1067" spans="3:4">
      <c r="C1067" t="s">
        <v>1226</v>
      </c>
      <c r="D1067" t="s">
        <v>1230</v>
      </c>
    </row>
    <row r="1068" spans="3:4">
      <c r="C1068" t="s">
        <v>1226</v>
      </c>
      <c r="D1068" t="s">
        <v>1065</v>
      </c>
    </row>
    <row r="1069" spans="3:4">
      <c r="C1069" t="s">
        <v>1226</v>
      </c>
      <c r="D1069" t="s">
        <v>1228</v>
      </c>
    </row>
    <row r="1070" spans="3:4">
      <c r="C1070" t="s">
        <v>1226</v>
      </c>
    </row>
    <row r="1071" spans="3:4">
      <c r="C1071" t="s">
        <v>1226</v>
      </c>
    </row>
    <row r="1072" spans="3:4">
      <c r="C1072" t="s">
        <v>1035</v>
      </c>
      <c r="D1072" t="s">
        <v>1036</v>
      </c>
    </row>
    <row r="1073" spans="1:4">
      <c r="C1073" t="s">
        <v>1035</v>
      </c>
      <c r="D1073" t="s">
        <v>1036</v>
      </c>
    </row>
    <row r="1074" spans="1:4">
      <c r="C1074" t="s">
        <v>1035</v>
      </c>
    </row>
    <row r="1075" spans="1:4">
      <c r="C1075" t="s">
        <v>1035</v>
      </c>
    </row>
    <row r="1076" spans="1:4">
      <c r="C1076" t="s">
        <v>880</v>
      </c>
      <c r="D1076" t="s">
        <v>883</v>
      </c>
    </row>
    <row r="1077" spans="1:4">
      <c r="C1077" t="s">
        <v>880</v>
      </c>
      <c r="D1077" t="s">
        <v>881</v>
      </c>
    </row>
    <row r="1078" spans="1:4">
      <c r="C1078" t="s">
        <v>880</v>
      </c>
      <c r="D1078" t="s">
        <v>882</v>
      </c>
    </row>
    <row r="1079" spans="1:4">
      <c r="C1079" t="s">
        <v>880</v>
      </c>
    </row>
    <row r="1080" spans="1:4">
      <c r="C1080" t="s">
        <v>880</v>
      </c>
    </row>
    <row r="1081" spans="1:4">
      <c r="C1081" t="s">
        <v>1041</v>
      </c>
      <c r="D1081" t="s">
        <v>1042</v>
      </c>
    </row>
    <row r="1082" spans="1:4">
      <c r="C1082" t="s">
        <v>1041</v>
      </c>
      <c r="D1082" t="s">
        <v>1043</v>
      </c>
    </row>
    <row r="1083" spans="1:4">
      <c r="C1083" t="s">
        <v>1041</v>
      </c>
    </row>
    <row r="1084" spans="1:4">
      <c r="C1084" t="s">
        <v>1041</v>
      </c>
    </row>
    <row r="1085" spans="1:4">
      <c r="A1085" t="s">
        <v>109</v>
      </c>
    </row>
    <row r="1086" spans="1:4">
      <c r="C1086" t="s">
        <v>709</v>
      </c>
      <c r="D1086" t="s">
        <v>710</v>
      </c>
    </row>
    <row r="1087" spans="1:4">
      <c r="C1087" t="s">
        <v>709</v>
      </c>
      <c r="D1087" t="s">
        <v>712</v>
      </c>
    </row>
    <row r="1088" spans="1:4">
      <c r="C1088" t="s">
        <v>709</v>
      </c>
      <c r="D1088" t="s">
        <v>711</v>
      </c>
    </row>
    <row r="1089" spans="1:4">
      <c r="C1089" t="s">
        <v>709</v>
      </c>
    </row>
    <row r="1090" spans="1:4">
      <c r="C1090" t="s">
        <v>709</v>
      </c>
    </row>
    <row r="1091" spans="1:4">
      <c r="A1091" t="s">
        <v>1109</v>
      </c>
    </row>
    <row r="1092" spans="1:4">
      <c r="C1092" t="s">
        <v>200</v>
      </c>
      <c r="D1092" t="s">
        <v>1294</v>
      </c>
    </row>
    <row r="1093" spans="1:4">
      <c r="C1093" t="s">
        <v>200</v>
      </c>
      <c r="D1093" t="s">
        <v>201</v>
      </c>
    </row>
    <row r="1094" spans="1:4">
      <c r="C1094" t="s">
        <v>200</v>
      </c>
    </row>
    <row r="1095" spans="1:4">
      <c r="C1095" t="s">
        <v>200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1BA7CD7-861E-4A20-B655-11C205E887AB}">
  <ds:schemaRefs/>
</ds:datastoreItem>
</file>

<file path=customXml/itemProps2.xml><?xml version="1.0" encoding="utf-8"?>
<ds:datastoreItem xmlns:ds="http://schemas.openxmlformats.org/officeDocument/2006/customXml" ds:itemID="{DA518EF1-7AB5-439B-B2CE-341BF3FC057E}">
  <ds:schemaRefs/>
</ds:datastoreItem>
</file>

<file path=customXml/itemProps3.xml><?xml version="1.0" encoding="utf-8"?>
<ds:datastoreItem xmlns:ds="http://schemas.openxmlformats.org/officeDocument/2006/customXml" ds:itemID="{331A7A9A-F002-44ED-9131-014EE5BB5D35}">
  <ds:schemaRefs/>
</ds:datastoreItem>
</file>

<file path=customXml/itemProps4.xml><?xml version="1.0" encoding="utf-8"?>
<ds:datastoreItem xmlns:ds="http://schemas.openxmlformats.org/officeDocument/2006/customXml" ds:itemID="{7274C52B-E152-4194-BB30-80A38749995F}">
  <ds:schemaRefs/>
</ds:datastoreItem>
</file>

<file path=customXml/itemProps5.xml><?xml version="1.0" encoding="utf-8"?>
<ds:datastoreItem xmlns:ds="http://schemas.openxmlformats.org/officeDocument/2006/customXml" ds:itemID="{3CD52C2F-0605-488C-81EC-429F26629EE2}">
  <ds:schemaRefs/>
</ds:datastoreItem>
</file>

<file path=customXml/itemProps6.xml><?xml version="1.0" encoding="utf-8"?>
<ds:datastoreItem xmlns:ds="http://schemas.openxmlformats.org/officeDocument/2006/customXml" ds:itemID="{458D4D4A-C025-430E-8685-6412011569F1}">
  <ds:schemaRefs/>
</ds:datastoreItem>
</file>

<file path=customXml/itemProps7.xml><?xml version="1.0" encoding="utf-8"?>
<ds:datastoreItem xmlns:ds="http://schemas.openxmlformats.org/officeDocument/2006/customXml" ds:itemID="{73AE9836-C256-4976-A1CF-7CF52F8B1BA4}">
  <ds:schemaRefs/>
</ds:datastoreItem>
</file>

<file path=customXml/itemProps8.xml><?xml version="1.0" encoding="utf-8"?>
<ds:datastoreItem xmlns:ds="http://schemas.openxmlformats.org/officeDocument/2006/customXml" ds:itemID="{40FE9DAC-A15B-4E75-8D52-91E81C15CC1D}">
  <ds:schemaRefs/>
</ds:datastoreItem>
</file>

<file path=customXml/itemProps9.xml><?xml version="1.0" encoding="utf-8"?>
<ds:datastoreItem xmlns:ds="http://schemas.openxmlformats.org/officeDocument/2006/customXml" ds:itemID="{BFD9CFF0-D5A2-44A7-AE59-939C40CDC078}">
  <ds:schemaRefs/>
</ds:datastoreItem>
</file>

<file path=customXml/itemProps10.xml><?xml version="1.0" encoding="utf-8"?>
<ds:datastoreItem xmlns:ds="http://schemas.openxmlformats.org/officeDocument/2006/customXml" ds:itemID="{FD160B51-C6DC-4D1C-A4DE-8621C9AFD448}">
  <ds:schemaRefs/>
</ds:datastoreItem>
</file>

<file path=customXml/itemProps11.xml><?xml version="1.0" encoding="utf-8"?>
<ds:datastoreItem xmlns:ds="http://schemas.openxmlformats.org/officeDocument/2006/customXml" ds:itemID="{77B8CCE0-2ADD-47DD-995E-2C4EF0D31864}">
  <ds:schemaRefs/>
</ds:datastoreItem>
</file>

<file path=customXml/itemProps12.xml><?xml version="1.0" encoding="utf-8"?>
<ds:datastoreItem xmlns:ds="http://schemas.openxmlformats.org/officeDocument/2006/customXml" ds:itemID="{41107026-55F5-46AA-8C0F-6A4E59B220DD}">
  <ds:schemaRefs/>
</ds:datastoreItem>
</file>

<file path=customXml/itemProps13.xml><?xml version="1.0" encoding="utf-8"?>
<ds:datastoreItem xmlns:ds="http://schemas.openxmlformats.org/officeDocument/2006/customXml" ds:itemID="{E45952A0-CF5F-4853-9A51-5D7D3AF49EFB}">
  <ds:schemaRefs/>
</ds:datastoreItem>
</file>

<file path=customXml/itemProps14.xml><?xml version="1.0" encoding="utf-8"?>
<ds:datastoreItem xmlns:ds="http://schemas.openxmlformats.org/officeDocument/2006/customXml" ds:itemID="{D695AFD6-668D-4112-B638-AAE2DFBBE928}">
  <ds:schemaRefs/>
</ds:datastoreItem>
</file>

<file path=customXml/itemProps15.xml><?xml version="1.0" encoding="utf-8"?>
<ds:datastoreItem xmlns:ds="http://schemas.openxmlformats.org/officeDocument/2006/customXml" ds:itemID="{BB87F5AC-D8BD-4CB8-8533-C8205D872C96}">
  <ds:schemaRefs/>
</ds:datastoreItem>
</file>

<file path=customXml/itemProps16.xml><?xml version="1.0" encoding="utf-8"?>
<ds:datastoreItem xmlns:ds="http://schemas.openxmlformats.org/officeDocument/2006/customXml" ds:itemID="{1E7D30E6-7971-482F-B3D7-CB92B58F0AFD}">
  <ds:schemaRefs/>
</ds:datastoreItem>
</file>

<file path=customXml/itemProps17.xml><?xml version="1.0" encoding="utf-8"?>
<ds:datastoreItem xmlns:ds="http://schemas.openxmlformats.org/officeDocument/2006/customXml" ds:itemID="{87B97544-E315-49E5-9C14-9ADF70FBEBF8}">
  <ds:schemaRefs/>
</ds:datastoreItem>
</file>

<file path=customXml/itemProps18.xml><?xml version="1.0" encoding="utf-8"?>
<ds:datastoreItem xmlns:ds="http://schemas.openxmlformats.org/officeDocument/2006/customXml" ds:itemID="{1B52ADD7-F0A8-40F7-94F7-1FAC8D628F07}">
  <ds:schemaRefs/>
</ds:datastoreItem>
</file>

<file path=customXml/itemProps19.xml><?xml version="1.0" encoding="utf-8"?>
<ds:datastoreItem xmlns:ds="http://schemas.openxmlformats.org/officeDocument/2006/customXml" ds:itemID="{C7F7D502-EE23-4E39-A03D-05ECAA6B5965}">
  <ds:schemaRefs/>
</ds:datastoreItem>
</file>

<file path=customXml/itemProps20.xml><?xml version="1.0" encoding="utf-8"?>
<ds:datastoreItem xmlns:ds="http://schemas.openxmlformats.org/officeDocument/2006/customXml" ds:itemID="{37D7AFEC-7821-44BB-B0D4-F16642ED75CD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1BF5E6DA-F134-434A-B9C0-674F66AA83DC}">
  <ds:schemaRefs/>
</ds:datastoreItem>
</file>

<file path=customXml/itemProps22.xml><?xml version="1.0" encoding="utf-8"?>
<ds:datastoreItem xmlns:ds="http://schemas.openxmlformats.org/officeDocument/2006/customXml" ds:itemID="{85491E9E-3A5C-44BA-B4ED-C71B7D667CD7}">
  <ds:schemaRefs/>
</ds:datastoreItem>
</file>

<file path=customXml/itemProps23.xml><?xml version="1.0" encoding="utf-8"?>
<ds:datastoreItem xmlns:ds="http://schemas.openxmlformats.org/officeDocument/2006/customXml" ds:itemID="{7E5A6C67-44E3-4271-8266-1AF3B99AB3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Quotation</vt:lpstr>
      <vt:lpstr>Summary</vt:lpstr>
      <vt:lpstr>prices</vt:lpstr>
      <vt:lpstr>recipes</vt:lpstr>
      <vt:lpstr>dim_price_recipe</vt:lpstr>
      <vt:lpstr>table_cate_order</vt:lpstr>
      <vt:lpstr>dropdown_1</vt:lpstr>
      <vt:lpstr>dropdown_2</vt:lpstr>
      <vt:lpstr>table_form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Thông Phạm</dc:creator>
  <cp:lastModifiedBy>Thông Phạm</cp:lastModifiedBy>
  <dcterms:created xsi:type="dcterms:W3CDTF">2023-12-09T03:42:02Z</dcterms:created>
  <dcterms:modified xsi:type="dcterms:W3CDTF">2024-03-12T04:02:36Z</dcterms:modified>
</cp:coreProperties>
</file>