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mt\Documents\3000_a_month\Data Analyst\Personal projects\Portfoilo projects\Excel\"/>
    </mc:Choice>
  </mc:AlternateContent>
  <xr:revisionPtr revIDLastSave="0" documentId="13_ncr:1_{BBDAD577-1AD0-43E8-B904-423BFAA89E7D}" xr6:coauthVersionLast="47" xr6:coauthVersionMax="47" xr10:uidLastSave="{00000000-0000-0000-0000-000000000000}"/>
  <bookViews>
    <workbookView xWindow="-120" yWindow="-120" windowWidth="27930" windowHeight="16440" xr2:uid="{034CAD39-2B36-418A-8A9C-4EF12CDFCE54}"/>
  </bookViews>
  <sheets>
    <sheet name="Quotation" sheetId="3" r:id="rId1"/>
    <sheet name="prices" sheetId="13" r:id="rId2"/>
  </sheets>
  <definedNames>
    <definedName name="_xlnm._FilterDatabase" localSheetId="1" hidden="1">prices!$B$1429:$D$1434</definedName>
    <definedName name="_xlnm._FilterDatabase" localSheetId="0" hidden="1">Quotation!#REF!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27" i="13" l="1"/>
  <c r="F1140" i="13"/>
  <c r="F1014" i="13"/>
  <c r="E900" i="13"/>
  <c r="D349" i="13"/>
  <c r="D824" i="13"/>
  <c r="E824" i="13"/>
  <c r="F824" i="13"/>
  <c r="D823" i="13"/>
  <c r="E823" i="13"/>
  <c r="F823" i="13"/>
  <c r="D822" i="13"/>
  <c r="E822" i="13"/>
  <c r="F822" i="13"/>
  <c r="D134" i="13"/>
  <c r="E134" i="13"/>
  <c r="F134" i="13"/>
  <c r="D131" i="13"/>
  <c r="E131" i="13"/>
  <c r="F131" i="13"/>
  <c r="J1141" i="13"/>
  <c r="J1157" i="13"/>
  <c r="C1157" i="13"/>
  <c r="D1157" i="13"/>
  <c r="F1157" i="13"/>
  <c r="J1175" i="13"/>
  <c r="C1175" i="13"/>
  <c r="D1175" i="13"/>
  <c r="F1175" i="13"/>
  <c r="J1179" i="13"/>
  <c r="C1179" i="13"/>
  <c r="D1179" i="13"/>
  <c r="F1179" i="13"/>
  <c r="J1268" i="13"/>
  <c r="C1268" i="13"/>
  <c r="D1268" i="13"/>
  <c r="F1268" i="13"/>
  <c r="J1269" i="13"/>
  <c r="C1269" i="13"/>
  <c r="D1269" i="13"/>
  <c r="F1269" i="13"/>
  <c r="J1270" i="13"/>
  <c r="C1270" i="13"/>
  <c r="D1270" i="13"/>
  <c r="F1270" i="13"/>
  <c r="J1148" i="13"/>
  <c r="C1148" i="13"/>
  <c r="D1148" i="13"/>
  <c r="F1148" i="13"/>
  <c r="E161" i="13"/>
  <c r="F161" i="13"/>
  <c r="D80" i="13"/>
  <c r="E80" i="13"/>
  <c r="F80" i="13"/>
  <c r="D790" i="13"/>
  <c r="E790" i="13"/>
  <c r="F790" i="13"/>
  <c r="I791" i="13"/>
  <c r="C791" i="13"/>
  <c r="D791" i="13"/>
  <c r="E791" i="13"/>
  <c r="F791" i="13"/>
  <c r="I792" i="13"/>
  <c r="C792" i="13"/>
  <c r="D792" i="13"/>
  <c r="E792" i="13"/>
  <c r="F792" i="13"/>
  <c r="D82" i="13"/>
  <c r="E82" i="13"/>
  <c r="F82" i="13"/>
  <c r="D831" i="13"/>
  <c r="E831" i="13"/>
  <c r="F831" i="13"/>
  <c r="D205" i="13"/>
  <c r="E205" i="13"/>
  <c r="F205" i="13"/>
  <c r="D211" i="13"/>
  <c r="E211" i="13"/>
  <c r="F211" i="13"/>
  <c r="I779" i="13"/>
  <c r="C779" i="13"/>
  <c r="D779" i="13"/>
  <c r="E779" i="13"/>
  <c r="F779" i="13"/>
  <c r="D814" i="13"/>
  <c r="E814" i="13"/>
  <c r="F814" i="13"/>
  <c r="J901" i="13"/>
  <c r="J909" i="13"/>
  <c r="C909" i="13"/>
  <c r="E909" i="13"/>
  <c r="F909" i="13"/>
  <c r="J940" i="13"/>
  <c r="C940" i="13"/>
  <c r="D901" i="13"/>
  <c r="D940" i="13"/>
  <c r="E940" i="13"/>
  <c r="F940" i="13"/>
  <c r="J943" i="13"/>
  <c r="C943" i="13"/>
  <c r="E943" i="13"/>
  <c r="F943" i="13"/>
  <c r="E1570" i="13"/>
  <c r="F1570" i="13"/>
  <c r="E1569" i="13"/>
  <c r="F1569" i="13"/>
  <c r="E1568" i="13"/>
  <c r="F1568" i="13"/>
  <c r="E1567" i="13"/>
  <c r="F1567" i="13"/>
  <c r="E1566" i="13"/>
  <c r="F1566" i="13"/>
  <c r="E1565" i="13"/>
  <c r="F1565" i="13"/>
  <c r="E1563" i="13"/>
  <c r="F1563" i="13"/>
  <c r="E1562" i="13"/>
  <c r="F1562" i="13"/>
  <c r="E1561" i="13"/>
  <c r="F1561" i="13"/>
  <c r="E1560" i="13"/>
  <c r="F1560" i="13"/>
  <c r="E1559" i="13"/>
  <c r="F1559" i="13"/>
  <c r="E1558" i="13"/>
  <c r="F1558" i="13"/>
  <c r="E1557" i="13"/>
  <c r="F1557" i="13"/>
  <c r="E1556" i="13"/>
  <c r="F1556" i="13"/>
  <c r="E1555" i="13"/>
  <c r="F1555" i="13"/>
  <c r="E1554" i="13"/>
  <c r="F1554" i="13"/>
  <c r="E1553" i="13"/>
  <c r="F1553" i="13"/>
  <c r="E1549" i="13"/>
  <c r="F1549" i="13"/>
  <c r="E1548" i="13"/>
  <c r="F1548" i="13"/>
  <c r="E1547" i="13"/>
  <c r="F1547" i="13"/>
  <c r="E1546" i="13"/>
  <c r="F1546" i="13"/>
  <c r="E1545" i="13"/>
  <c r="F1545" i="13"/>
  <c r="E1544" i="13"/>
  <c r="F1544" i="13"/>
  <c r="E1543" i="13"/>
  <c r="F1543" i="13"/>
  <c r="E1542" i="13"/>
  <c r="F1542" i="13"/>
  <c r="E1541" i="13"/>
  <c r="F1541" i="13"/>
  <c r="E1540" i="13"/>
  <c r="F1540" i="13"/>
  <c r="E1539" i="13"/>
  <c r="F1539" i="13"/>
  <c r="E1538" i="13"/>
  <c r="F1538" i="13"/>
  <c r="E1537" i="13"/>
  <c r="F1537" i="13"/>
  <c r="E1536" i="13"/>
  <c r="F1536" i="13"/>
  <c r="E1535" i="13"/>
  <c r="F1535" i="13"/>
  <c r="E1534" i="13"/>
  <c r="F1534" i="13"/>
  <c r="E1533" i="13"/>
  <c r="F1533" i="13"/>
  <c r="E1532" i="13"/>
  <c r="F1532" i="13"/>
  <c r="E1530" i="13"/>
  <c r="F1530" i="13"/>
  <c r="E1529" i="13"/>
  <c r="F1529" i="13"/>
  <c r="E1528" i="13"/>
  <c r="F1528" i="13"/>
  <c r="E1527" i="13"/>
  <c r="F1527" i="13"/>
  <c r="E1526" i="13"/>
  <c r="F1526" i="13"/>
  <c r="E1525" i="13"/>
  <c r="F1525" i="13"/>
  <c r="E1524" i="13"/>
  <c r="F1524" i="13"/>
  <c r="E1523" i="13"/>
  <c r="F1523" i="13"/>
  <c r="E1522" i="13"/>
  <c r="F1522" i="13"/>
  <c r="E1520" i="13"/>
  <c r="F1520" i="13"/>
  <c r="E1519" i="13"/>
  <c r="F1519" i="13"/>
  <c r="E1518" i="13"/>
  <c r="F1518" i="13"/>
  <c r="E1517" i="13"/>
  <c r="F1517" i="13"/>
  <c r="E1516" i="13"/>
  <c r="F1516" i="13"/>
  <c r="E1514" i="13"/>
  <c r="F1514" i="13"/>
  <c r="E1513" i="13"/>
  <c r="F1513" i="13"/>
  <c r="E1512" i="13"/>
  <c r="F1512" i="13"/>
  <c r="E1511" i="13"/>
  <c r="F1511" i="13"/>
  <c r="E1510" i="13"/>
  <c r="F1510" i="13"/>
  <c r="E1509" i="13"/>
  <c r="F1509" i="13"/>
  <c r="E1508" i="13"/>
  <c r="F1508" i="13"/>
  <c r="E1507" i="13"/>
  <c r="F1507" i="13"/>
  <c r="E1506" i="13"/>
  <c r="F1506" i="13"/>
  <c r="E1505" i="13"/>
  <c r="F1505" i="13"/>
  <c r="E1503" i="13"/>
  <c r="F1503" i="13"/>
  <c r="E1502" i="13"/>
  <c r="F1502" i="13"/>
  <c r="E1501" i="13"/>
  <c r="F1501" i="13"/>
  <c r="E1500" i="13"/>
  <c r="F1500" i="13"/>
  <c r="E1499" i="13"/>
  <c r="F1499" i="13"/>
  <c r="E1498" i="13"/>
  <c r="F1498" i="13"/>
  <c r="E1497" i="13"/>
  <c r="F1497" i="13"/>
  <c r="E1496" i="13"/>
  <c r="F1496" i="13"/>
  <c r="E1495" i="13"/>
  <c r="F1495" i="13"/>
  <c r="E1487" i="13"/>
  <c r="F1487" i="13"/>
  <c r="C1486" i="13"/>
  <c r="E1486" i="13"/>
  <c r="F1486" i="13"/>
  <c r="C1485" i="13"/>
  <c r="E1485" i="13"/>
  <c r="F1485" i="13"/>
  <c r="C1484" i="13"/>
  <c r="E1484" i="13"/>
  <c r="F1484" i="13"/>
  <c r="C1483" i="13"/>
  <c r="E1483" i="13"/>
  <c r="F1483" i="13"/>
  <c r="C1482" i="13"/>
  <c r="E1482" i="13"/>
  <c r="F1482" i="13"/>
  <c r="C1481" i="13"/>
  <c r="E1481" i="13"/>
  <c r="F1481" i="13"/>
  <c r="C1480" i="13"/>
  <c r="E1480" i="13"/>
  <c r="F1480" i="13"/>
  <c r="C1479" i="13"/>
  <c r="E1479" i="13"/>
  <c r="F1479" i="13"/>
  <c r="E1453" i="13"/>
  <c r="E1475" i="13"/>
  <c r="F1475" i="13"/>
  <c r="E1474" i="13"/>
  <c r="F1474" i="13"/>
  <c r="E1473" i="13"/>
  <c r="F1473" i="13"/>
  <c r="E1472" i="13"/>
  <c r="F1472" i="13"/>
  <c r="E1470" i="13"/>
  <c r="F1470" i="13"/>
  <c r="E1469" i="13"/>
  <c r="F1469" i="13"/>
  <c r="E1468" i="13"/>
  <c r="F1468" i="13"/>
  <c r="E1467" i="13"/>
  <c r="F1467" i="13"/>
  <c r="E1466" i="13"/>
  <c r="F1466" i="13"/>
  <c r="E1465" i="13"/>
  <c r="F1465" i="13"/>
  <c r="E1464" i="13"/>
  <c r="F1464" i="13"/>
  <c r="E1463" i="13"/>
  <c r="F1463" i="13"/>
  <c r="E1462" i="13"/>
  <c r="E1461" i="13"/>
  <c r="E1460" i="13"/>
  <c r="F1460" i="13"/>
  <c r="E1459" i="13"/>
  <c r="F1459" i="13"/>
  <c r="E1458" i="13"/>
  <c r="F1458" i="13"/>
  <c r="E1457" i="13"/>
  <c r="F1457" i="13"/>
  <c r="E1456" i="13"/>
  <c r="F1456" i="13"/>
  <c r="E1455" i="13"/>
  <c r="F1455" i="13"/>
  <c r="D1445" i="13"/>
  <c r="F1445" i="13"/>
  <c r="D1444" i="13"/>
  <c r="F1444" i="13"/>
  <c r="D1443" i="13"/>
  <c r="F1443" i="13"/>
  <c r="D1442" i="13"/>
  <c r="F1442" i="13"/>
  <c r="D1441" i="13"/>
  <c r="F1441" i="13"/>
  <c r="C1440" i="13"/>
  <c r="D1440" i="13"/>
  <c r="F1440" i="13"/>
  <c r="D1439" i="13"/>
  <c r="F1439" i="13"/>
  <c r="D1438" i="13"/>
  <c r="F1438" i="13"/>
  <c r="F1437" i="13"/>
  <c r="F1436" i="13"/>
  <c r="D1434" i="13"/>
  <c r="F1434" i="13"/>
  <c r="D1433" i="13"/>
  <c r="F1433" i="13"/>
  <c r="D1432" i="13"/>
  <c r="F1432" i="13"/>
  <c r="D1431" i="13"/>
  <c r="F1431" i="13"/>
  <c r="D1430" i="13"/>
  <c r="F1430" i="13"/>
  <c r="D1429" i="13"/>
  <c r="F1429" i="13"/>
  <c r="F1424" i="13"/>
  <c r="F1423" i="13"/>
  <c r="J1422" i="13"/>
  <c r="C1422" i="13"/>
  <c r="D1422" i="13"/>
  <c r="F1422" i="13"/>
  <c r="J1421" i="13"/>
  <c r="C1421" i="13"/>
  <c r="D1421" i="13"/>
  <c r="F1421" i="13"/>
  <c r="J1420" i="13"/>
  <c r="C1420" i="13"/>
  <c r="D1420" i="13"/>
  <c r="F1420" i="13"/>
  <c r="J1419" i="13"/>
  <c r="C1419" i="13"/>
  <c r="D1419" i="13"/>
  <c r="F1419" i="13"/>
  <c r="J1418" i="13"/>
  <c r="C1418" i="13"/>
  <c r="D1418" i="13"/>
  <c r="F1418" i="13"/>
  <c r="J1417" i="13"/>
  <c r="C1417" i="13"/>
  <c r="D1417" i="13"/>
  <c r="F1417" i="13"/>
  <c r="J1416" i="13"/>
  <c r="C1416" i="13"/>
  <c r="D1416" i="13"/>
  <c r="F1416" i="13"/>
  <c r="J1415" i="13"/>
  <c r="C1415" i="13"/>
  <c r="D1415" i="13"/>
  <c r="F1415" i="13"/>
  <c r="J1414" i="13"/>
  <c r="C1414" i="13"/>
  <c r="D1414" i="13"/>
  <c r="F1414" i="13"/>
  <c r="J1413" i="13"/>
  <c r="C1413" i="13"/>
  <c r="D1413" i="13"/>
  <c r="F1413" i="13"/>
  <c r="J1412" i="13"/>
  <c r="C1412" i="13"/>
  <c r="D1412" i="13"/>
  <c r="F1412" i="13"/>
  <c r="J1411" i="13"/>
  <c r="C1411" i="13"/>
  <c r="D1411" i="13"/>
  <c r="F1411" i="13"/>
  <c r="J1410" i="13"/>
  <c r="C1410" i="13"/>
  <c r="D1410" i="13"/>
  <c r="F1410" i="13"/>
  <c r="J1406" i="13"/>
  <c r="C1406" i="13"/>
  <c r="D1406" i="13"/>
  <c r="F1406" i="13"/>
  <c r="J1405" i="13"/>
  <c r="C1405" i="13"/>
  <c r="D1405" i="13"/>
  <c r="F1405" i="13"/>
  <c r="J1404" i="13"/>
  <c r="C1404" i="13"/>
  <c r="D1404" i="13"/>
  <c r="F1404" i="13"/>
  <c r="J1403" i="13"/>
  <c r="C1403" i="13"/>
  <c r="D1403" i="13"/>
  <c r="F1403" i="13"/>
  <c r="J1402" i="13"/>
  <c r="C1402" i="13"/>
  <c r="D1402" i="13"/>
  <c r="F1402" i="13"/>
  <c r="J1401" i="13"/>
  <c r="C1401" i="13"/>
  <c r="D1401" i="13"/>
  <c r="F1401" i="13"/>
  <c r="J1400" i="13"/>
  <c r="C1400" i="13"/>
  <c r="J1399" i="13"/>
  <c r="C1399" i="13"/>
  <c r="D1400" i="13"/>
  <c r="F1400" i="13"/>
  <c r="D1399" i="13"/>
  <c r="F1399" i="13"/>
  <c r="F1398" i="13"/>
  <c r="F1397" i="13"/>
  <c r="F1396" i="13"/>
  <c r="F1395" i="13"/>
  <c r="J1394" i="13"/>
  <c r="C1394" i="13"/>
  <c r="D1394" i="13"/>
  <c r="F1394" i="13"/>
  <c r="F1393" i="13"/>
  <c r="F1392" i="13"/>
  <c r="J1391" i="13"/>
  <c r="C1391" i="13"/>
  <c r="D1391" i="13"/>
  <c r="F1391" i="13"/>
  <c r="J1390" i="13"/>
  <c r="C1390" i="13"/>
  <c r="D1390" i="13"/>
  <c r="F1390" i="13"/>
  <c r="F1389" i="13"/>
  <c r="F1388" i="13"/>
  <c r="J1387" i="13"/>
  <c r="C1387" i="13"/>
  <c r="D1387" i="13"/>
  <c r="F1387" i="13"/>
  <c r="J1386" i="13"/>
  <c r="C1386" i="13"/>
  <c r="D1386" i="13"/>
  <c r="F1386" i="13"/>
  <c r="F1385" i="13"/>
  <c r="J1383" i="13"/>
  <c r="C1383" i="13"/>
  <c r="D1383" i="13"/>
  <c r="F1383" i="13"/>
  <c r="J1382" i="13"/>
  <c r="C1382" i="13"/>
  <c r="D1382" i="13"/>
  <c r="F1382" i="13"/>
  <c r="J1381" i="13"/>
  <c r="C1381" i="13"/>
  <c r="D1381" i="13"/>
  <c r="F1381" i="13"/>
  <c r="F1380" i="13"/>
  <c r="F1379" i="13"/>
  <c r="J1377" i="13"/>
  <c r="C1377" i="13"/>
  <c r="D1377" i="13"/>
  <c r="F1377" i="13"/>
  <c r="J1376" i="13"/>
  <c r="D1376" i="13"/>
  <c r="J1375" i="13"/>
  <c r="D1375" i="13"/>
  <c r="J1374" i="13"/>
  <c r="C1374" i="13"/>
  <c r="D1374" i="13"/>
  <c r="F1374" i="13"/>
  <c r="J1373" i="13"/>
  <c r="C1373" i="13"/>
  <c r="D1373" i="13"/>
  <c r="F1373" i="13"/>
  <c r="J1372" i="13"/>
  <c r="C1372" i="13"/>
  <c r="D1372" i="13"/>
  <c r="F1372" i="13"/>
  <c r="J1371" i="13"/>
  <c r="C1371" i="13"/>
  <c r="D1371" i="13"/>
  <c r="F1371" i="13"/>
  <c r="J1370" i="13"/>
  <c r="C1370" i="13"/>
  <c r="D1370" i="13"/>
  <c r="F1370" i="13"/>
  <c r="J1369" i="13"/>
  <c r="C1369" i="13"/>
  <c r="D1369" i="13"/>
  <c r="F1369" i="13"/>
  <c r="J1368" i="13"/>
  <c r="C1368" i="13"/>
  <c r="D1368" i="13"/>
  <c r="F1368" i="13"/>
  <c r="J1367" i="13"/>
  <c r="C1367" i="13"/>
  <c r="D1367" i="13"/>
  <c r="F1367" i="13"/>
  <c r="C1366" i="13"/>
  <c r="D1366" i="13"/>
  <c r="F1366" i="13"/>
  <c r="C1365" i="13"/>
  <c r="D1365" i="13"/>
  <c r="F1365" i="13"/>
  <c r="C1364" i="13"/>
  <c r="D1364" i="13"/>
  <c r="F1364" i="13"/>
  <c r="J1363" i="13"/>
  <c r="C1363" i="13"/>
  <c r="D1363" i="13"/>
  <c r="F1363" i="13"/>
  <c r="J1362" i="13"/>
  <c r="C1362" i="13"/>
  <c r="D1362" i="13"/>
  <c r="F1362" i="13"/>
  <c r="F1361" i="13"/>
  <c r="J1360" i="13"/>
  <c r="C1360" i="13"/>
  <c r="D1360" i="13"/>
  <c r="F1360" i="13"/>
  <c r="N1359" i="13"/>
  <c r="J1359" i="13"/>
  <c r="C1359" i="13"/>
  <c r="D1359" i="13"/>
  <c r="F1359" i="13"/>
  <c r="J1358" i="13"/>
  <c r="C1358" i="13"/>
  <c r="D1358" i="13"/>
  <c r="F1358" i="13"/>
  <c r="J1357" i="13"/>
  <c r="C1357" i="13"/>
  <c r="D1357" i="13"/>
  <c r="F1357" i="13"/>
  <c r="F1356" i="13"/>
  <c r="J1355" i="13"/>
  <c r="C1355" i="13"/>
  <c r="D1355" i="13"/>
  <c r="F1355" i="13"/>
  <c r="J1354" i="13"/>
  <c r="C1354" i="13"/>
  <c r="D1354" i="13"/>
  <c r="F1354" i="13"/>
  <c r="L1353" i="13"/>
  <c r="J1353" i="13"/>
  <c r="C1353" i="13"/>
  <c r="D1353" i="13"/>
  <c r="F1353" i="13"/>
  <c r="L1352" i="13"/>
  <c r="F1352" i="13"/>
  <c r="L1351" i="13"/>
  <c r="J1351" i="13"/>
  <c r="C1351" i="13"/>
  <c r="D1351" i="13"/>
  <c r="F1351" i="13"/>
  <c r="L1350" i="13"/>
  <c r="J1350" i="13"/>
  <c r="C1350" i="13"/>
  <c r="D1350" i="13"/>
  <c r="F1350" i="13"/>
  <c r="J1349" i="13"/>
  <c r="C1349" i="13"/>
  <c r="D1349" i="13"/>
  <c r="F1349" i="13"/>
  <c r="J1348" i="13"/>
  <c r="C1348" i="13"/>
  <c r="D1348" i="13"/>
  <c r="F1348" i="13"/>
  <c r="F1347" i="13"/>
  <c r="F1346" i="13"/>
  <c r="J1345" i="13"/>
  <c r="C1345" i="13"/>
  <c r="D1345" i="13"/>
  <c r="F1345" i="13"/>
  <c r="J1344" i="13"/>
  <c r="C1344" i="13"/>
  <c r="D1344" i="13"/>
  <c r="F1344" i="13"/>
  <c r="J1343" i="13"/>
  <c r="C1343" i="13"/>
  <c r="D1343" i="13"/>
  <c r="F1343" i="13"/>
  <c r="J1342" i="13"/>
  <c r="C1342" i="13"/>
  <c r="D1342" i="13"/>
  <c r="F1342" i="13"/>
  <c r="J1341" i="13"/>
  <c r="C1341" i="13"/>
  <c r="D1341" i="13"/>
  <c r="F1341" i="13"/>
  <c r="J1340" i="13"/>
  <c r="C1340" i="13"/>
  <c r="D1340" i="13"/>
  <c r="F1340" i="13"/>
  <c r="J1339" i="13"/>
  <c r="C1339" i="13"/>
  <c r="D1339" i="13"/>
  <c r="F1339" i="13"/>
  <c r="J1338" i="13"/>
  <c r="C1338" i="13"/>
  <c r="D1338" i="13"/>
  <c r="F1338" i="13"/>
  <c r="J1337" i="13"/>
  <c r="C1337" i="13"/>
  <c r="D1337" i="13"/>
  <c r="F1337" i="13"/>
  <c r="J1336" i="13"/>
  <c r="C1336" i="13"/>
  <c r="D1336" i="13"/>
  <c r="F1336" i="13"/>
  <c r="J1335" i="13"/>
  <c r="C1335" i="13"/>
  <c r="D1335" i="13"/>
  <c r="F1335" i="13"/>
  <c r="J1334" i="13"/>
  <c r="C1334" i="13"/>
  <c r="D1334" i="13"/>
  <c r="F1334" i="13"/>
  <c r="J1333" i="13"/>
  <c r="C1333" i="13"/>
  <c r="D1333" i="13"/>
  <c r="F1333" i="13"/>
  <c r="J1332" i="13"/>
  <c r="C1332" i="13"/>
  <c r="D1332" i="13"/>
  <c r="F1332" i="13"/>
  <c r="J1331" i="13"/>
  <c r="C1331" i="13"/>
  <c r="D1331" i="13"/>
  <c r="F1331" i="13"/>
  <c r="J1330" i="13"/>
  <c r="C1330" i="13"/>
  <c r="D1330" i="13"/>
  <c r="F1330" i="13"/>
  <c r="J1329" i="13"/>
  <c r="C1329" i="13"/>
  <c r="D1329" i="13"/>
  <c r="F1329" i="13"/>
  <c r="J1328" i="13"/>
  <c r="C1328" i="13"/>
  <c r="D1328" i="13"/>
  <c r="F1328" i="13"/>
  <c r="J1327" i="13"/>
  <c r="C1327" i="13"/>
  <c r="D1327" i="13"/>
  <c r="F1327" i="13"/>
  <c r="J1326" i="13"/>
  <c r="C1326" i="13"/>
  <c r="D1326" i="13"/>
  <c r="F1326" i="13"/>
  <c r="J1325" i="13"/>
  <c r="C1325" i="13"/>
  <c r="D1325" i="13"/>
  <c r="F1325" i="13"/>
  <c r="J1324" i="13"/>
  <c r="C1324" i="13"/>
  <c r="D1324" i="13"/>
  <c r="F1324" i="13"/>
  <c r="J1323" i="13"/>
  <c r="C1323" i="13"/>
  <c r="D1323" i="13"/>
  <c r="F1323" i="13"/>
  <c r="J1322" i="13"/>
  <c r="C1322" i="13"/>
  <c r="D1322" i="13"/>
  <c r="F1322" i="13"/>
  <c r="D1316" i="13"/>
  <c r="F1316" i="13"/>
  <c r="D1315" i="13"/>
  <c r="F1315" i="13"/>
  <c r="D1314" i="13"/>
  <c r="F1314" i="13"/>
  <c r="D1313" i="13"/>
  <c r="F1313" i="13"/>
  <c r="D1312" i="13"/>
  <c r="F1312" i="13"/>
  <c r="D1311" i="13"/>
  <c r="F1311" i="13"/>
  <c r="D1310" i="13"/>
  <c r="F1310" i="13"/>
  <c r="D1309" i="13"/>
  <c r="F1309" i="13"/>
  <c r="D1308" i="13"/>
  <c r="F1308" i="13"/>
  <c r="D1307" i="13"/>
  <c r="F1307" i="13"/>
  <c r="D1306" i="13"/>
  <c r="F1306" i="13"/>
  <c r="D1305" i="13"/>
  <c r="F1305" i="13"/>
  <c r="D1304" i="13"/>
  <c r="F1304" i="13"/>
  <c r="D1303" i="13"/>
  <c r="F1303" i="13"/>
  <c r="D1302" i="13"/>
  <c r="F1302" i="13"/>
  <c r="J1301" i="13"/>
  <c r="C1301" i="13"/>
  <c r="D1301" i="13"/>
  <c r="F1301" i="13"/>
  <c r="J1300" i="13"/>
  <c r="C1300" i="13"/>
  <c r="D1300" i="13"/>
  <c r="F1300" i="13"/>
  <c r="J1296" i="13"/>
  <c r="C1296" i="13"/>
  <c r="D1296" i="13"/>
  <c r="F1296" i="13"/>
  <c r="J1295" i="13"/>
  <c r="C1295" i="13"/>
  <c r="D1295" i="13"/>
  <c r="F1295" i="13"/>
  <c r="J1294" i="13"/>
  <c r="C1294" i="13"/>
  <c r="D1294" i="13"/>
  <c r="F1294" i="13"/>
  <c r="J1293" i="13"/>
  <c r="C1293" i="13"/>
  <c r="D1293" i="13"/>
  <c r="F1293" i="13"/>
  <c r="K1289" i="13"/>
  <c r="J1289" i="13"/>
  <c r="C1289" i="13"/>
  <c r="D1289" i="13"/>
  <c r="F1289" i="13"/>
  <c r="J1288" i="13"/>
  <c r="C1288" i="13"/>
  <c r="D1288" i="13"/>
  <c r="F1288" i="13"/>
  <c r="J1287" i="13"/>
  <c r="C1287" i="13"/>
  <c r="D1287" i="13"/>
  <c r="F1287" i="13"/>
  <c r="J1286" i="13"/>
  <c r="C1286" i="13"/>
  <c r="D1286" i="13"/>
  <c r="F1286" i="13"/>
  <c r="J1285" i="13"/>
  <c r="C1285" i="13"/>
  <c r="D1285" i="13"/>
  <c r="F1285" i="13"/>
  <c r="J1282" i="13"/>
  <c r="C1282" i="13"/>
  <c r="D1282" i="13"/>
  <c r="F1282" i="13"/>
  <c r="J1281" i="13"/>
  <c r="C1281" i="13"/>
  <c r="D1281" i="13"/>
  <c r="F1281" i="13"/>
  <c r="J1280" i="13"/>
  <c r="C1280" i="13"/>
  <c r="D1280" i="13"/>
  <c r="F1280" i="13"/>
  <c r="J1279" i="13"/>
  <c r="C1279" i="13"/>
  <c r="D1279" i="13"/>
  <c r="F1279" i="13"/>
  <c r="J1278" i="13"/>
  <c r="C1278" i="13"/>
  <c r="D1278" i="13"/>
  <c r="F1278" i="13"/>
  <c r="J1275" i="13"/>
  <c r="C1275" i="13"/>
  <c r="D1275" i="13"/>
  <c r="F1275" i="13"/>
  <c r="J1274" i="13"/>
  <c r="C1274" i="13"/>
  <c r="D1274" i="13"/>
  <c r="F1274" i="13"/>
  <c r="L1267" i="13"/>
  <c r="J1267" i="13"/>
  <c r="C1267" i="13"/>
  <c r="D1267" i="13"/>
  <c r="F1267" i="13"/>
  <c r="D1266" i="13"/>
  <c r="F1266" i="13"/>
  <c r="J1265" i="13"/>
  <c r="C1265" i="13"/>
  <c r="D1265" i="13"/>
  <c r="F1265" i="13"/>
  <c r="J1264" i="13"/>
  <c r="C1264" i="13"/>
  <c r="D1264" i="13"/>
  <c r="F1264" i="13"/>
  <c r="J1263" i="13"/>
  <c r="C1263" i="13"/>
  <c r="D1263" i="13"/>
  <c r="F1263" i="13"/>
  <c r="J1262" i="13"/>
  <c r="C1262" i="13"/>
  <c r="D1262" i="13"/>
  <c r="F1262" i="13"/>
  <c r="J1261" i="13"/>
  <c r="C1261" i="13"/>
  <c r="D1261" i="13"/>
  <c r="F1261" i="13"/>
  <c r="J1260" i="13"/>
  <c r="C1260" i="13"/>
  <c r="D1260" i="13"/>
  <c r="F1260" i="13"/>
  <c r="D1259" i="13"/>
  <c r="F1259" i="13"/>
  <c r="J1258" i="13"/>
  <c r="C1258" i="13"/>
  <c r="D1258" i="13"/>
  <c r="F1258" i="13"/>
  <c r="J1256" i="13"/>
  <c r="C1256" i="13"/>
  <c r="D1256" i="13"/>
  <c r="F1256" i="13"/>
  <c r="J1255" i="13"/>
  <c r="C1255" i="13"/>
  <c r="D1255" i="13"/>
  <c r="F1255" i="13"/>
  <c r="J1254" i="13"/>
  <c r="C1254" i="13"/>
  <c r="D1254" i="13"/>
  <c r="F1254" i="13"/>
  <c r="J1253" i="13"/>
  <c r="C1253" i="13"/>
  <c r="D1253" i="13"/>
  <c r="F1253" i="13"/>
  <c r="J1252" i="13"/>
  <c r="C1252" i="13"/>
  <c r="D1252" i="13"/>
  <c r="F1252" i="13"/>
  <c r="J1251" i="13"/>
  <c r="C1251" i="13"/>
  <c r="D1251" i="13"/>
  <c r="F1251" i="13"/>
  <c r="J1248" i="13"/>
  <c r="C1248" i="13"/>
  <c r="D1248" i="13"/>
  <c r="F1248" i="13"/>
  <c r="J1247" i="13"/>
  <c r="C1247" i="13"/>
  <c r="D1247" i="13"/>
  <c r="F1247" i="13"/>
  <c r="J1246" i="13"/>
  <c r="C1246" i="13"/>
  <c r="D1246" i="13"/>
  <c r="F1246" i="13"/>
  <c r="J1245" i="13"/>
  <c r="C1245" i="13"/>
  <c r="D1245" i="13"/>
  <c r="F1245" i="13"/>
  <c r="J1244" i="13"/>
  <c r="C1244" i="13"/>
  <c r="D1244" i="13"/>
  <c r="F1244" i="13"/>
  <c r="J1243" i="13"/>
  <c r="C1243" i="13"/>
  <c r="D1243" i="13"/>
  <c r="F1243" i="13"/>
  <c r="J1242" i="13"/>
  <c r="C1242" i="13"/>
  <c r="D1242" i="13"/>
  <c r="F1242" i="13"/>
  <c r="J1241" i="13"/>
  <c r="C1241" i="13"/>
  <c r="D1241" i="13"/>
  <c r="F1241" i="13"/>
  <c r="J1240" i="13"/>
  <c r="C1240" i="13"/>
  <c r="D1240" i="13"/>
  <c r="F1240" i="13"/>
  <c r="J1239" i="13"/>
  <c r="C1239" i="13"/>
  <c r="D1239" i="13"/>
  <c r="F1239" i="13"/>
  <c r="J1238" i="13"/>
  <c r="C1238" i="13"/>
  <c r="D1238" i="13"/>
  <c r="F1238" i="13"/>
  <c r="J1237" i="13"/>
  <c r="C1237" i="13"/>
  <c r="D1237" i="13"/>
  <c r="F1237" i="13"/>
  <c r="J1236" i="13"/>
  <c r="C1236" i="13"/>
  <c r="D1236" i="13"/>
  <c r="F1236" i="13"/>
  <c r="J1235" i="13"/>
  <c r="C1235" i="13"/>
  <c r="D1235" i="13"/>
  <c r="F1235" i="13"/>
  <c r="J1234" i="13"/>
  <c r="C1234" i="13"/>
  <c r="D1234" i="13"/>
  <c r="F1234" i="13"/>
  <c r="J1233" i="13"/>
  <c r="C1233" i="13"/>
  <c r="D1233" i="13"/>
  <c r="F1233" i="13"/>
  <c r="J1232" i="13"/>
  <c r="C1232" i="13"/>
  <c r="D1232" i="13"/>
  <c r="F1232" i="13"/>
  <c r="D1231" i="13"/>
  <c r="F1231" i="13"/>
  <c r="D1230" i="13"/>
  <c r="F1230" i="13"/>
  <c r="J1229" i="13"/>
  <c r="C1229" i="13"/>
  <c r="D1229" i="13"/>
  <c r="F1229" i="13"/>
  <c r="J1228" i="13"/>
  <c r="C1228" i="13"/>
  <c r="D1228" i="13"/>
  <c r="F1228" i="13"/>
  <c r="J1227" i="13"/>
  <c r="C1227" i="13"/>
  <c r="D1227" i="13"/>
  <c r="F1227" i="13"/>
  <c r="D1226" i="13"/>
  <c r="F1226" i="13"/>
  <c r="J1143" i="13"/>
  <c r="J1225" i="13"/>
  <c r="C1225" i="13"/>
  <c r="D1225" i="13"/>
  <c r="F1225" i="13"/>
  <c r="J1224" i="13"/>
  <c r="C1224" i="13"/>
  <c r="D1224" i="13"/>
  <c r="F1224" i="13"/>
  <c r="J1223" i="13"/>
  <c r="C1223" i="13"/>
  <c r="D1223" i="13"/>
  <c r="F1223" i="13"/>
  <c r="J1222" i="13"/>
  <c r="C1222" i="13"/>
  <c r="D1222" i="13"/>
  <c r="F1222" i="13"/>
  <c r="J1221" i="13"/>
  <c r="C1221" i="13"/>
  <c r="D1221" i="13"/>
  <c r="F1221" i="13"/>
  <c r="J1220" i="13"/>
  <c r="C1220" i="13"/>
  <c r="D1220" i="13"/>
  <c r="F1220" i="13"/>
  <c r="J1219" i="13"/>
  <c r="C1219" i="13"/>
  <c r="D1219" i="13"/>
  <c r="F1219" i="13"/>
  <c r="J1218" i="13"/>
  <c r="C1218" i="13"/>
  <c r="D1218" i="13"/>
  <c r="F1218" i="13"/>
  <c r="D1217" i="13"/>
  <c r="F1217" i="13"/>
  <c r="D1216" i="13"/>
  <c r="F1216" i="13"/>
  <c r="J1215" i="13"/>
  <c r="C1215" i="13"/>
  <c r="D1215" i="13"/>
  <c r="F1215" i="13"/>
  <c r="J1214" i="13"/>
  <c r="C1214" i="13"/>
  <c r="D1214" i="13"/>
  <c r="F1214" i="13"/>
  <c r="J1213" i="13"/>
  <c r="C1213" i="13"/>
  <c r="D1213" i="13"/>
  <c r="F1213" i="13"/>
  <c r="J1212" i="13"/>
  <c r="C1212" i="13"/>
  <c r="D1212" i="13"/>
  <c r="F1212" i="13"/>
  <c r="J1211" i="13"/>
  <c r="C1211" i="13"/>
  <c r="D1211" i="13"/>
  <c r="F1211" i="13"/>
  <c r="J1210" i="13"/>
  <c r="C1210" i="13"/>
  <c r="D1210" i="13"/>
  <c r="F1210" i="13"/>
  <c r="J1144" i="13"/>
  <c r="J1209" i="13"/>
  <c r="D1209" i="13"/>
  <c r="F1209" i="13"/>
  <c r="J1208" i="13"/>
  <c r="D1208" i="13"/>
  <c r="F1208" i="13"/>
  <c r="J1207" i="13"/>
  <c r="C1207" i="13"/>
  <c r="D1207" i="13"/>
  <c r="F1207" i="13"/>
  <c r="J1206" i="13"/>
  <c r="C1206" i="13"/>
  <c r="D1206" i="13"/>
  <c r="F1206" i="13"/>
  <c r="J1205" i="13"/>
  <c r="C1205" i="13"/>
  <c r="D1205" i="13"/>
  <c r="F1205" i="13"/>
  <c r="J1204" i="13"/>
  <c r="C1204" i="13"/>
  <c r="D1204" i="13"/>
  <c r="F1204" i="13"/>
  <c r="J1203" i="13"/>
  <c r="C1203" i="13"/>
  <c r="D1203" i="13"/>
  <c r="F1203" i="13"/>
  <c r="J1202" i="13"/>
  <c r="C1202" i="13"/>
  <c r="D1202" i="13"/>
  <c r="F1202" i="13"/>
  <c r="J1201" i="13"/>
  <c r="C1201" i="13"/>
  <c r="D1201" i="13"/>
  <c r="F1201" i="13"/>
  <c r="J1200" i="13"/>
  <c r="C1200" i="13"/>
  <c r="D1200" i="13"/>
  <c r="F1200" i="13"/>
  <c r="J1199" i="13"/>
  <c r="C1199" i="13"/>
  <c r="D1199" i="13"/>
  <c r="F1199" i="13"/>
  <c r="J1198" i="13"/>
  <c r="C1198" i="13"/>
  <c r="D1198" i="13"/>
  <c r="F1198" i="13"/>
  <c r="J1197" i="13"/>
  <c r="C1197" i="13"/>
  <c r="D1197" i="13"/>
  <c r="F1197" i="13"/>
  <c r="J1196" i="13"/>
  <c r="C1196" i="13"/>
  <c r="D1196" i="13"/>
  <c r="F1196" i="13"/>
  <c r="J1195" i="13"/>
  <c r="C1195" i="13"/>
  <c r="D1195" i="13"/>
  <c r="F1195" i="13"/>
  <c r="D1194" i="13"/>
  <c r="F1194" i="13"/>
  <c r="D1193" i="13"/>
  <c r="J1192" i="13"/>
  <c r="C1192" i="13"/>
  <c r="D1192" i="13"/>
  <c r="F1192" i="13"/>
  <c r="J1191" i="13"/>
  <c r="C1191" i="13"/>
  <c r="D1191" i="13"/>
  <c r="F1191" i="13"/>
  <c r="J1190" i="13"/>
  <c r="C1190" i="13"/>
  <c r="D1190" i="13"/>
  <c r="F1190" i="13"/>
  <c r="J1189" i="13"/>
  <c r="C1189" i="13"/>
  <c r="D1189" i="13"/>
  <c r="F1189" i="13"/>
  <c r="J1188" i="13"/>
  <c r="C1188" i="13"/>
  <c r="D1188" i="13"/>
  <c r="F1188" i="13"/>
  <c r="J1187" i="13"/>
  <c r="C1187" i="13"/>
  <c r="D1187" i="13"/>
  <c r="F1187" i="13"/>
  <c r="D1186" i="13"/>
  <c r="J1185" i="13"/>
  <c r="C1185" i="13"/>
  <c r="D1185" i="13"/>
  <c r="F1185" i="13"/>
  <c r="J1184" i="13"/>
  <c r="C1184" i="13"/>
  <c r="D1184" i="13"/>
  <c r="F1184" i="13"/>
  <c r="J1183" i="13"/>
  <c r="C1183" i="13"/>
  <c r="D1183" i="13"/>
  <c r="F1183" i="13"/>
  <c r="J1182" i="13"/>
  <c r="C1182" i="13"/>
  <c r="D1182" i="13"/>
  <c r="F1182" i="13"/>
  <c r="J1181" i="13"/>
  <c r="C1181" i="13"/>
  <c r="D1181" i="13"/>
  <c r="F1181" i="13"/>
  <c r="J1180" i="13"/>
  <c r="C1180" i="13"/>
  <c r="D1180" i="13"/>
  <c r="F1180" i="13"/>
  <c r="J1178" i="13"/>
  <c r="C1178" i="13"/>
  <c r="D1178" i="13"/>
  <c r="F1178" i="13"/>
  <c r="J1177" i="13"/>
  <c r="C1177" i="13"/>
  <c r="D1177" i="13"/>
  <c r="F1177" i="13"/>
  <c r="J1176" i="13"/>
  <c r="C1176" i="13"/>
  <c r="D1176" i="13"/>
  <c r="F1176" i="13"/>
  <c r="J1174" i="13"/>
  <c r="C1174" i="13"/>
  <c r="D1174" i="13"/>
  <c r="F1174" i="13"/>
  <c r="F1173" i="13"/>
  <c r="F1172" i="13"/>
  <c r="J1167" i="13"/>
  <c r="C1167" i="13"/>
  <c r="D1167" i="13"/>
  <c r="F1167" i="13"/>
  <c r="J1166" i="13"/>
  <c r="C1166" i="13"/>
  <c r="D1166" i="13"/>
  <c r="F1166" i="13"/>
  <c r="J1165" i="13"/>
  <c r="C1165" i="13"/>
  <c r="D1165" i="13"/>
  <c r="F1165" i="13"/>
  <c r="J1164" i="13"/>
  <c r="C1164" i="13"/>
  <c r="D1164" i="13"/>
  <c r="F1164" i="13"/>
  <c r="J1163" i="13"/>
  <c r="C1163" i="13"/>
  <c r="D1163" i="13"/>
  <c r="F1163" i="13"/>
  <c r="J1161" i="13"/>
  <c r="C1161" i="13"/>
  <c r="D1161" i="13"/>
  <c r="F1161" i="13"/>
  <c r="J1160" i="13"/>
  <c r="C1160" i="13"/>
  <c r="D1160" i="13"/>
  <c r="F1160" i="13"/>
  <c r="J1159" i="13"/>
  <c r="C1159" i="13"/>
  <c r="D1159" i="13"/>
  <c r="F1159" i="13"/>
  <c r="J1158" i="13"/>
  <c r="C1158" i="13"/>
  <c r="D1158" i="13"/>
  <c r="F1158" i="13"/>
  <c r="F1156" i="13"/>
  <c r="F1155" i="13"/>
  <c r="J1154" i="13"/>
  <c r="C1154" i="13"/>
  <c r="D1154" i="13"/>
  <c r="F1154" i="13"/>
  <c r="J1153" i="13"/>
  <c r="C1153" i="13"/>
  <c r="D1153" i="13"/>
  <c r="F1153" i="13"/>
  <c r="J1152" i="13"/>
  <c r="C1152" i="13"/>
  <c r="D1152" i="13"/>
  <c r="F1152" i="13"/>
  <c r="J1151" i="13"/>
  <c r="C1151" i="13"/>
  <c r="D1151" i="13"/>
  <c r="F1151" i="13"/>
  <c r="J1150" i="13"/>
  <c r="C1150" i="13"/>
  <c r="D1150" i="13"/>
  <c r="F1150" i="13"/>
  <c r="J1149" i="13"/>
  <c r="D1149" i="13"/>
  <c r="F1149" i="13"/>
  <c r="J1147" i="13"/>
  <c r="C1147" i="13"/>
  <c r="D1147" i="13"/>
  <c r="F1147" i="13"/>
  <c r="J1146" i="13"/>
  <c r="C1146" i="13"/>
  <c r="D1146" i="13"/>
  <c r="F1146" i="13"/>
  <c r="J1145" i="13"/>
  <c r="C1145" i="13"/>
  <c r="D1145" i="13"/>
  <c r="F1145" i="13"/>
  <c r="C1144" i="13"/>
  <c r="D1144" i="13"/>
  <c r="F1144" i="13"/>
  <c r="C1143" i="13"/>
  <c r="D1143" i="13"/>
  <c r="F1143" i="13"/>
  <c r="D1137" i="13"/>
  <c r="F1137" i="13"/>
  <c r="D1136" i="13"/>
  <c r="F1136" i="13"/>
  <c r="J1014" i="13"/>
  <c r="J1135" i="13"/>
  <c r="C1135" i="13"/>
  <c r="D1135" i="13"/>
  <c r="F1135" i="13"/>
  <c r="D1131" i="13"/>
  <c r="F1131" i="13"/>
  <c r="D1130" i="13"/>
  <c r="F1130" i="13"/>
  <c r="D1129" i="13"/>
  <c r="F1129" i="13"/>
  <c r="D1128" i="13"/>
  <c r="F1128" i="13"/>
  <c r="D1126" i="13"/>
  <c r="F1126" i="13"/>
  <c r="D1123" i="13"/>
  <c r="F1123" i="13"/>
  <c r="D1122" i="13"/>
  <c r="F1122" i="13"/>
  <c r="D1121" i="13"/>
  <c r="F1121" i="13"/>
  <c r="D1120" i="13"/>
  <c r="F1120" i="13"/>
  <c r="D1118" i="13"/>
  <c r="F1118" i="13"/>
  <c r="D1117" i="13"/>
  <c r="F1117" i="13"/>
  <c r="D1116" i="13"/>
  <c r="F1116" i="13"/>
  <c r="D1115" i="13"/>
  <c r="F1115" i="13"/>
  <c r="D1114" i="13"/>
  <c r="F1114" i="13"/>
  <c r="D1113" i="13"/>
  <c r="F1113" i="13"/>
  <c r="D1111" i="13"/>
  <c r="F1111" i="13"/>
  <c r="C1110" i="13"/>
  <c r="D1110" i="13"/>
  <c r="F1110" i="13"/>
  <c r="J1109" i="13"/>
  <c r="C1109" i="13"/>
  <c r="D1109" i="13"/>
  <c r="F1109" i="13"/>
  <c r="J1108" i="13"/>
  <c r="C1108" i="13"/>
  <c r="D1108" i="13"/>
  <c r="F1108" i="13"/>
  <c r="J1107" i="13"/>
  <c r="C1107" i="13"/>
  <c r="D1107" i="13"/>
  <c r="F1107" i="13"/>
  <c r="J1106" i="13"/>
  <c r="C1106" i="13"/>
  <c r="D1106" i="13"/>
  <c r="F1106" i="13"/>
  <c r="J1105" i="13"/>
  <c r="C1105" i="13"/>
  <c r="D1105" i="13"/>
  <c r="F1105" i="13"/>
  <c r="J1103" i="13"/>
  <c r="C1103" i="13"/>
  <c r="D1103" i="13"/>
  <c r="F1103" i="13"/>
  <c r="J1102" i="13"/>
  <c r="C1102" i="13"/>
  <c r="D1102" i="13"/>
  <c r="F1102" i="13"/>
  <c r="J1101" i="13"/>
  <c r="C1101" i="13"/>
  <c r="D1101" i="13"/>
  <c r="F1101" i="13"/>
  <c r="J1100" i="13"/>
  <c r="C1100" i="13"/>
  <c r="D1100" i="13"/>
  <c r="F1100" i="13"/>
  <c r="J1099" i="13"/>
  <c r="C1099" i="13"/>
  <c r="D1099" i="13"/>
  <c r="F1099" i="13"/>
  <c r="J1098" i="13"/>
  <c r="C1098" i="13"/>
  <c r="D1098" i="13"/>
  <c r="F1098" i="13"/>
  <c r="J1097" i="13"/>
  <c r="C1097" i="13"/>
  <c r="D1097" i="13"/>
  <c r="F1097" i="13"/>
  <c r="J1096" i="13"/>
  <c r="C1096" i="13"/>
  <c r="D1096" i="13"/>
  <c r="F1096" i="13"/>
  <c r="J1095" i="13"/>
  <c r="C1095" i="13"/>
  <c r="D1095" i="13"/>
  <c r="F1095" i="13"/>
  <c r="J1094" i="13"/>
  <c r="C1094" i="13"/>
  <c r="D1094" i="13"/>
  <c r="F1094" i="13"/>
  <c r="J1093" i="13"/>
  <c r="C1093" i="13"/>
  <c r="D1093" i="13"/>
  <c r="F1093" i="13"/>
  <c r="J1092" i="13"/>
  <c r="C1092" i="13"/>
  <c r="D1092" i="13"/>
  <c r="F1092" i="13"/>
  <c r="J1091" i="13"/>
  <c r="C1091" i="13"/>
  <c r="D1091" i="13"/>
  <c r="F1091" i="13"/>
  <c r="J1088" i="13"/>
  <c r="C1088" i="13"/>
  <c r="D1088" i="13"/>
  <c r="F1088" i="13"/>
  <c r="J1087" i="13"/>
  <c r="C1087" i="13"/>
  <c r="D1087" i="13"/>
  <c r="F1087" i="13"/>
  <c r="J1086" i="13"/>
  <c r="C1086" i="13"/>
  <c r="D1086" i="13"/>
  <c r="F1086" i="13"/>
  <c r="J1085" i="13"/>
  <c r="C1085" i="13"/>
  <c r="D1085" i="13"/>
  <c r="F1085" i="13"/>
  <c r="J1084" i="13"/>
  <c r="C1084" i="13"/>
  <c r="D1084" i="13"/>
  <c r="F1084" i="13"/>
  <c r="F1083" i="13"/>
  <c r="J1082" i="13"/>
  <c r="C1082" i="13"/>
  <c r="D1082" i="13"/>
  <c r="F1082" i="13"/>
  <c r="J1081" i="13"/>
  <c r="C1081" i="13"/>
  <c r="D1081" i="13"/>
  <c r="F1081" i="13"/>
  <c r="J1080" i="13"/>
  <c r="C1080" i="13"/>
  <c r="D1080" i="13"/>
  <c r="F1080" i="13"/>
  <c r="J1079" i="13"/>
  <c r="C1079" i="13"/>
  <c r="D1079" i="13"/>
  <c r="F1079" i="13"/>
  <c r="F1078" i="13"/>
  <c r="J1071" i="13"/>
  <c r="C1071" i="13"/>
  <c r="D1071" i="13"/>
  <c r="F1071" i="13"/>
  <c r="J1070" i="13"/>
  <c r="C1070" i="13"/>
  <c r="D1070" i="13"/>
  <c r="F1070" i="13"/>
  <c r="J1069" i="13"/>
  <c r="C1069" i="13"/>
  <c r="D1069" i="13"/>
  <c r="F1069" i="13"/>
  <c r="J1068" i="13"/>
  <c r="C1068" i="13"/>
  <c r="D1068" i="13"/>
  <c r="F1068" i="13"/>
  <c r="J1064" i="13"/>
  <c r="C1064" i="13"/>
  <c r="D1064" i="13"/>
  <c r="F1064" i="13"/>
  <c r="J1063" i="13"/>
  <c r="C1063" i="13"/>
  <c r="D1063" i="13"/>
  <c r="F1063" i="13"/>
  <c r="J1062" i="13"/>
  <c r="C1062" i="13"/>
  <c r="D1062" i="13"/>
  <c r="F1062" i="13"/>
  <c r="J1061" i="13"/>
  <c r="C1061" i="13"/>
  <c r="D1061" i="13"/>
  <c r="F1061" i="13"/>
  <c r="J1060" i="13"/>
  <c r="C1060" i="13"/>
  <c r="D1060" i="13"/>
  <c r="F1060" i="13"/>
  <c r="J1059" i="13"/>
  <c r="C1059" i="13"/>
  <c r="D1059" i="13"/>
  <c r="F1059" i="13"/>
  <c r="J1058" i="13"/>
  <c r="C1058" i="13"/>
  <c r="D1058" i="13"/>
  <c r="F1058" i="13"/>
  <c r="J1057" i="13"/>
  <c r="C1057" i="13"/>
  <c r="D1057" i="13"/>
  <c r="F1057" i="13"/>
  <c r="J1056" i="13"/>
  <c r="C1056" i="13"/>
  <c r="D1056" i="13"/>
  <c r="F1056" i="13"/>
  <c r="J1055" i="13"/>
  <c r="C1055" i="13"/>
  <c r="D1055" i="13"/>
  <c r="F1055" i="13"/>
  <c r="J1054" i="13"/>
  <c r="C1054" i="13"/>
  <c r="D1054" i="13"/>
  <c r="F1054" i="13"/>
  <c r="J1053" i="13"/>
  <c r="C1053" i="13"/>
  <c r="D1053" i="13"/>
  <c r="F1053" i="13"/>
  <c r="J1052" i="13"/>
  <c r="C1052" i="13"/>
  <c r="D1052" i="13"/>
  <c r="F1052" i="13"/>
  <c r="J1050" i="13"/>
  <c r="C1050" i="13"/>
  <c r="D1050" i="13"/>
  <c r="F1050" i="13"/>
  <c r="J1049" i="13"/>
  <c r="C1049" i="13"/>
  <c r="D1049" i="13"/>
  <c r="F1049" i="13"/>
  <c r="J1046" i="13"/>
  <c r="C1046" i="13"/>
  <c r="D1046" i="13"/>
  <c r="F1046" i="13"/>
  <c r="J1045" i="13"/>
  <c r="C1045" i="13"/>
  <c r="D1045" i="13"/>
  <c r="F1045" i="13"/>
  <c r="J1044" i="13"/>
  <c r="C1044" i="13"/>
  <c r="D1044" i="13"/>
  <c r="F1044" i="13"/>
  <c r="J1043" i="13"/>
  <c r="C1043" i="13"/>
  <c r="D1043" i="13"/>
  <c r="F1043" i="13"/>
  <c r="J1042" i="13"/>
  <c r="C1042" i="13"/>
  <c r="D1042" i="13"/>
  <c r="F1042" i="13"/>
  <c r="J1041" i="13"/>
  <c r="C1041" i="13"/>
  <c r="D1041" i="13"/>
  <c r="F1041" i="13"/>
  <c r="F1040" i="13"/>
  <c r="J1038" i="13"/>
  <c r="C1038" i="13"/>
  <c r="D1038" i="13"/>
  <c r="F1038" i="13"/>
  <c r="J1037" i="13"/>
  <c r="C1037" i="13"/>
  <c r="D1037" i="13"/>
  <c r="F1037" i="13"/>
  <c r="J1036" i="13"/>
  <c r="C1036" i="13"/>
  <c r="D1036" i="13"/>
  <c r="F1036" i="13"/>
  <c r="J1035" i="13"/>
  <c r="C1035" i="13"/>
  <c r="D1035" i="13"/>
  <c r="F1035" i="13"/>
  <c r="J1034" i="13"/>
  <c r="C1034" i="13"/>
  <c r="D1034" i="13"/>
  <c r="F1034" i="13"/>
  <c r="J1033" i="13"/>
  <c r="C1033" i="13"/>
  <c r="D1033" i="13"/>
  <c r="F1033" i="13"/>
  <c r="J1032" i="13"/>
  <c r="C1032" i="13"/>
  <c r="D1032" i="13"/>
  <c r="F1032" i="13"/>
  <c r="J1031" i="13"/>
  <c r="C1031" i="13"/>
  <c r="D1031" i="13"/>
  <c r="F1031" i="13"/>
  <c r="J1030" i="13"/>
  <c r="C1030" i="13"/>
  <c r="D1030" i="13"/>
  <c r="F1030" i="13"/>
  <c r="J1029" i="13"/>
  <c r="C1029" i="13"/>
  <c r="D1029" i="13"/>
  <c r="F1029" i="13"/>
  <c r="J1028" i="13"/>
  <c r="C1028" i="13"/>
  <c r="D1028" i="13"/>
  <c r="F1028" i="13"/>
  <c r="J1027" i="13"/>
  <c r="C1027" i="13"/>
  <c r="D1027" i="13"/>
  <c r="F1027" i="13"/>
  <c r="J1026" i="13"/>
  <c r="C1026" i="13"/>
  <c r="D1026" i="13"/>
  <c r="F1026" i="13"/>
  <c r="J1025" i="13"/>
  <c r="C1025" i="13"/>
  <c r="D1025" i="13"/>
  <c r="F1025" i="13"/>
  <c r="J1024" i="13"/>
  <c r="C1024" i="13"/>
  <c r="D1024" i="13"/>
  <c r="F1024" i="13"/>
  <c r="J1023" i="13"/>
  <c r="C1023" i="13"/>
  <c r="D1023" i="13"/>
  <c r="F1023" i="13"/>
  <c r="J1022" i="13"/>
  <c r="C1022" i="13"/>
  <c r="D1022" i="13"/>
  <c r="F1022" i="13"/>
  <c r="J1020" i="13"/>
  <c r="C1020" i="13"/>
  <c r="D1020" i="13"/>
  <c r="F1020" i="13"/>
  <c r="J1019" i="13"/>
  <c r="C1019" i="13"/>
  <c r="D1019" i="13"/>
  <c r="F1019" i="13"/>
  <c r="J1018" i="13"/>
  <c r="C1018" i="13"/>
  <c r="D1018" i="13"/>
  <c r="F1018" i="13"/>
  <c r="J1017" i="13"/>
  <c r="C1017" i="13"/>
  <c r="D1017" i="13"/>
  <c r="F1017" i="13"/>
  <c r="J1016" i="13"/>
  <c r="C1016" i="13"/>
  <c r="D1016" i="13"/>
  <c r="F1016" i="13"/>
  <c r="E1005" i="13"/>
  <c r="F1005" i="13"/>
  <c r="E1004" i="13"/>
  <c r="F1004" i="13"/>
  <c r="E1003" i="13"/>
  <c r="F1003" i="13"/>
  <c r="E1002" i="13"/>
  <c r="F1002" i="13"/>
  <c r="E1001" i="13"/>
  <c r="F1001" i="13"/>
  <c r="E1000" i="13"/>
  <c r="F1000" i="13"/>
  <c r="E999" i="13"/>
  <c r="F999" i="13"/>
  <c r="E997" i="13"/>
  <c r="F997" i="13"/>
  <c r="E994" i="13"/>
  <c r="F994" i="13"/>
  <c r="E993" i="13"/>
  <c r="F993" i="13"/>
  <c r="E992" i="13"/>
  <c r="F992" i="13"/>
  <c r="E991" i="13"/>
  <c r="F991" i="13"/>
  <c r="E990" i="13"/>
  <c r="F990" i="13"/>
  <c r="E989" i="13"/>
  <c r="F989" i="13"/>
  <c r="E987" i="13"/>
  <c r="F987" i="13"/>
  <c r="E986" i="13"/>
  <c r="F986" i="13"/>
  <c r="E985" i="13"/>
  <c r="F985" i="13"/>
  <c r="E984" i="13"/>
  <c r="F984" i="13"/>
  <c r="E983" i="13"/>
  <c r="F983" i="13"/>
  <c r="E982" i="13"/>
  <c r="F982" i="13"/>
  <c r="E981" i="13"/>
  <c r="F981" i="13"/>
  <c r="E980" i="13"/>
  <c r="F980" i="13"/>
  <c r="E979" i="13"/>
  <c r="F979" i="13"/>
  <c r="E974" i="13"/>
  <c r="J970" i="13"/>
  <c r="C970" i="13"/>
  <c r="D970" i="13"/>
  <c r="G970" i="13"/>
  <c r="E970" i="13"/>
  <c r="F970" i="13"/>
  <c r="J969" i="13"/>
  <c r="C969" i="13"/>
  <c r="D969" i="13"/>
  <c r="G969" i="13"/>
  <c r="E969" i="13"/>
  <c r="F969" i="13"/>
  <c r="J968" i="13"/>
  <c r="C968" i="13"/>
  <c r="G968" i="13"/>
  <c r="E968" i="13"/>
  <c r="F968" i="13"/>
  <c r="J967" i="13"/>
  <c r="C967" i="13"/>
  <c r="G967" i="13"/>
  <c r="E967" i="13"/>
  <c r="F967" i="13"/>
  <c r="J966" i="13"/>
  <c r="C966" i="13"/>
  <c r="G966" i="13"/>
  <c r="E966" i="13"/>
  <c r="F966" i="13"/>
  <c r="J965" i="13"/>
  <c r="C965" i="13"/>
  <c r="D965" i="13"/>
  <c r="E965" i="13"/>
  <c r="F965" i="13"/>
  <c r="J960" i="13"/>
  <c r="C960" i="13"/>
  <c r="C958" i="13"/>
  <c r="C961" i="13"/>
  <c r="D960" i="13"/>
  <c r="D961" i="13"/>
  <c r="G961" i="13"/>
  <c r="E961" i="13"/>
  <c r="F961" i="13"/>
  <c r="G960" i="13"/>
  <c r="E960" i="13"/>
  <c r="F960" i="13"/>
  <c r="J959" i="13"/>
  <c r="C959" i="13"/>
  <c r="G959" i="13"/>
  <c r="E959" i="13"/>
  <c r="F959" i="13"/>
  <c r="J958" i="13"/>
  <c r="G958" i="13"/>
  <c r="E958" i="13"/>
  <c r="F958" i="13"/>
  <c r="J957" i="13"/>
  <c r="C957" i="13"/>
  <c r="D957" i="13"/>
  <c r="G957" i="13"/>
  <c r="E957" i="13"/>
  <c r="F957" i="13"/>
  <c r="J956" i="13"/>
  <c r="C956" i="13"/>
  <c r="G956" i="13"/>
  <c r="E956" i="13"/>
  <c r="F956" i="13"/>
  <c r="J955" i="13"/>
  <c r="C955" i="13"/>
  <c r="G955" i="13"/>
  <c r="E955" i="13"/>
  <c r="F955" i="13"/>
  <c r="J954" i="13"/>
  <c r="C954" i="13"/>
  <c r="E901" i="13"/>
  <c r="F901" i="13"/>
  <c r="D954" i="13"/>
  <c r="G954" i="13"/>
  <c r="E954" i="13"/>
  <c r="F954" i="13"/>
  <c r="J951" i="13"/>
  <c r="C951" i="13"/>
  <c r="G951" i="13"/>
  <c r="E951" i="13"/>
  <c r="F951" i="13"/>
  <c r="J950" i="13"/>
  <c r="C950" i="13"/>
  <c r="G950" i="13"/>
  <c r="E950" i="13"/>
  <c r="F950" i="13"/>
  <c r="J949" i="13"/>
  <c r="C949" i="13"/>
  <c r="G949" i="13"/>
  <c r="E949" i="13"/>
  <c r="F949" i="13"/>
  <c r="J947" i="13"/>
  <c r="C947" i="13"/>
  <c r="G947" i="13"/>
  <c r="E947" i="13"/>
  <c r="F947" i="13"/>
  <c r="J946" i="13"/>
  <c r="C946" i="13"/>
  <c r="G946" i="13"/>
  <c r="E946" i="13"/>
  <c r="F946" i="13"/>
  <c r="J945" i="13"/>
  <c r="C945" i="13"/>
  <c r="G945" i="13"/>
  <c r="E945" i="13"/>
  <c r="F945" i="13"/>
  <c r="J944" i="13"/>
  <c r="C944" i="13"/>
  <c r="G944" i="13"/>
  <c r="E944" i="13"/>
  <c r="F944" i="13"/>
  <c r="G943" i="13"/>
  <c r="G940" i="13"/>
  <c r="J939" i="13"/>
  <c r="C939" i="13"/>
  <c r="D905" i="13"/>
  <c r="D939" i="13"/>
  <c r="G939" i="13"/>
  <c r="E939" i="13"/>
  <c r="F939" i="13"/>
  <c r="J938" i="13"/>
  <c r="C938" i="13"/>
  <c r="G938" i="13"/>
  <c r="E938" i="13"/>
  <c r="F938" i="13"/>
  <c r="J929" i="13"/>
  <c r="C929" i="13"/>
  <c r="G929" i="13"/>
  <c r="E929" i="13"/>
  <c r="F929" i="13"/>
  <c r="J928" i="13"/>
  <c r="C928" i="13"/>
  <c r="G928" i="13"/>
  <c r="E928" i="13"/>
  <c r="F928" i="13"/>
  <c r="J927" i="13"/>
  <c r="C927" i="13"/>
  <c r="G927" i="13"/>
  <c r="E927" i="13"/>
  <c r="F927" i="13"/>
  <c r="J925" i="13"/>
  <c r="C925" i="13"/>
  <c r="G925" i="13"/>
  <c r="E925" i="13"/>
  <c r="F925" i="13"/>
  <c r="J924" i="13"/>
  <c r="C924" i="13"/>
  <c r="G924" i="13"/>
  <c r="E924" i="13"/>
  <c r="F924" i="13"/>
  <c r="J923" i="13"/>
  <c r="C923" i="13"/>
  <c r="G923" i="13"/>
  <c r="E923" i="13"/>
  <c r="F923" i="13"/>
  <c r="J922" i="13"/>
  <c r="C922" i="13"/>
  <c r="G922" i="13"/>
  <c r="E922" i="13"/>
  <c r="F922" i="13"/>
  <c r="J921" i="13"/>
  <c r="C921" i="13"/>
  <c r="G921" i="13"/>
  <c r="E921" i="13"/>
  <c r="F921" i="13"/>
  <c r="J920" i="13"/>
  <c r="C920" i="13"/>
  <c r="G920" i="13"/>
  <c r="E920" i="13"/>
  <c r="F920" i="13"/>
  <c r="J917" i="13"/>
  <c r="C917" i="13"/>
  <c r="G917" i="13"/>
  <c r="E917" i="13"/>
  <c r="F917" i="13"/>
  <c r="J916" i="13"/>
  <c r="C916" i="13"/>
  <c r="G916" i="13"/>
  <c r="E916" i="13"/>
  <c r="F916" i="13"/>
  <c r="J915" i="13"/>
  <c r="C915" i="13"/>
  <c r="G915" i="13"/>
  <c r="E915" i="13"/>
  <c r="F915" i="13"/>
  <c r="J914" i="13"/>
  <c r="C914" i="13"/>
  <c r="G914" i="13"/>
  <c r="E914" i="13"/>
  <c r="F914" i="13"/>
  <c r="J913" i="13"/>
  <c r="C913" i="13"/>
  <c r="G913" i="13"/>
  <c r="E913" i="13"/>
  <c r="F913" i="13"/>
  <c r="J911" i="13"/>
  <c r="C911" i="13"/>
  <c r="G911" i="13"/>
  <c r="E911" i="13"/>
  <c r="F911" i="13"/>
  <c r="J910" i="13"/>
  <c r="C910" i="13"/>
  <c r="G910" i="13"/>
  <c r="E910" i="13"/>
  <c r="F910" i="13"/>
  <c r="G909" i="13"/>
  <c r="E907" i="13"/>
  <c r="F907" i="13"/>
  <c r="E906" i="13"/>
  <c r="E905" i="13"/>
  <c r="F905" i="13"/>
  <c r="F903" i="13"/>
  <c r="C903" i="13"/>
  <c r="D903" i="13"/>
  <c r="E903" i="13"/>
  <c r="D894" i="13"/>
  <c r="E894" i="13"/>
  <c r="F894" i="13"/>
  <c r="E893" i="13"/>
  <c r="F893" i="13"/>
  <c r="E892" i="13"/>
  <c r="F892" i="13"/>
  <c r="D891" i="13"/>
  <c r="E891" i="13"/>
  <c r="F891" i="13"/>
  <c r="E890" i="13"/>
  <c r="F890" i="13"/>
  <c r="D881" i="13"/>
  <c r="E881" i="13"/>
  <c r="F881" i="13"/>
  <c r="D880" i="13"/>
  <c r="E880" i="13"/>
  <c r="E879" i="13"/>
  <c r="C878" i="13"/>
  <c r="D878" i="13"/>
  <c r="E878" i="13"/>
  <c r="F878" i="13"/>
  <c r="C877" i="13"/>
  <c r="D877" i="13"/>
  <c r="E877" i="13"/>
  <c r="F877" i="13"/>
  <c r="C874" i="13"/>
  <c r="E874" i="13"/>
  <c r="F874" i="13"/>
  <c r="C872" i="13"/>
  <c r="E872" i="13"/>
  <c r="F872" i="13"/>
  <c r="E870" i="13"/>
  <c r="F870" i="13"/>
  <c r="E868" i="13"/>
  <c r="F868" i="13"/>
  <c r="E867" i="13"/>
  <c r="F867" i="13"/>
  <c r="E866" i="13"/>
  <c r="F866" i="13"/>
  <c r="E865" i="13"/>
  <c r="F865" i="13"/>
  <c r="E864" i="13"/>
  <c r="F864" i="13"/>
  <c r="E863" i="13"/>
  <c r="F863" i="13"/>
  <c r="E862" i="13"/>
  <c r="F862" i="13"/>
  <c r="E861" i="13"/>
  <c r="F861" i="13"/>
  <c r="D860" i="13"/>
  <c r="E860" i="13"/>
  <c r="F860" i="13"/>
  <c r="D859" i="13"/>
  <c r="E859" i="13"/>
  <c r="F859" i="13"/>
  <c r="D858" i="13"/>
  <c r="E858" i="13"/>
  <c r="F858" i="13"/>
  <c r="D856" i="13"/>
  <c r="E856" i="13"/>
  <c r="F856" i="13"/>
  <c r="D855" i="13"/>
  <c r="E855" i="13"/>
  <c r="F855" i="13"/>
  <c r="D854" i="13"/>
  <c r="E854" i="13"/>
  <c r="F854" i="13"/>
  <c r="D853" i="13"/>
  <c r="E853" i="13"/>
  <c r="F853" i="13"/>
  <c r="D852" i="13"/>
  <c r="E852" i="13"/>
  <c r="F852" i="13"/>
  <c r="D851" i="13"/>
  <c r="E851" i="13"/>
  <c r="F851" i="13"/>
  <c r="D850" i="13"/>
  <c r="E850" i="13"/>
  <c r="F850" i="13"/>
  <c r="D846" i="13"/>
  <c r="E846" i="13"/>
  <c r="F846" i="13"/>
  <c r="D845" i="13"/>
  <c r="E845" i="13"/>
  <c r="F845" i="13"/>
  <c r="D841" i="13"/>
  <c r="E841" i="13"/>
  <c r="F841" i="13"/>
  <c r="D840" i="13"/>
  <c r="E840" i="13"/>
  <c r="F840" i="13"/>
  <c r="D839" i="13"/>
  <c r="E839" i="13"/>
  <c r="F839" i="13"/>
  <c r="D838" i="13"/>
  <c r="E838" i="13"/>
  <c r="F838" i="13"/>
  <c r="D837" i="13"/>
  <c r="E837" i="13"/>
  <c r="F837" i="13"/>
  <c r="D836" i="13"/>
  <c r="E836" i="13"/>
  <c r="F836" i="13"/>
  <c r="D833" i="13"/>
  <c r="F833" i="13"/>
  <c r="D832" i="13"/>
  <c r="E832" i="13"/>
  <c r="F832" i="13"/>
  <c r="D830" i="13"/>
  <c r="E830" i="13"/>
  <c r="F830" i="13"/>
  <c r="D818" i="13"/>
  <c r="E818" i="13"/>
  <c r="F818" i="13"/>
  <c r="D817" i="13"/>
  <c r="E817" i="13"/>
  <c r="F817" i="13"/>
  <c r="D816" i="13"/>
  <c r="E816" i="13"/>
  <c r="F816" i="13"/>
  <c r="E813" i="13"/>
  <c r="F813" i="13"/>
  <c r="D812" i="13"/>
  <c r="E812" i="13"/>
  <c r="F812" i="13"/>
  <c r="E811" i="13"/>
  <c r="F811" i="13"/>
  <c r="D810" i="13"/>
  <c r="E810" i="13"/>
  <c r="F810" i="13"/>
  <c r="E809" i="13"/>
  <c r="F809" i="13"/>
  <c r="E808" i="13"/>
  <c r="F808" i="13"/>
  <c r="E807" i="13"/>
  <c r="F807" i="13"/>
  <c r="D806" i="13"/>
  <c r="E806" i="13"/>
  <c r="F806" i="13"/>
  <c r="D804" i="13"/>
  <c r="F804" i="13"/>
  <c r="E803" i="13"/>
  <c r="F803" i="13"/>
  <c r="E802" i="13"/>
  <c r="F802" i="13"/>
  <c r="D801" i="13"/>
  <c r="E801" i="13"/>
  <c r="F801" i="13"/>
  <c r="D800" i="13"/>
  <c r="E800" i="13"/>
  <c r="F800" i="13"/>
  <c r="D799" i="13"/>
  <c r="E799" i="13"/>
  <c r="F799" i="13"/>
  <c r="E798" i="13"/>
  <c r="E797" i="13"/>
  <c r="I796" i="13"/>
  <c r="C796" i="13"/>
  <c r="D796" i="13"/>
  <c r="E796" i="13"/>
  <c r="F796" i="13"/>
  <c r="E795" i="13"/>
  <c r="F795" i="13"/>
  <c r="E794" i="13"/>
  <c r="F794" i="13"/>
  <c r="E793" i="13"/>
  <c r="F793" i="13"/>
  <c r="I790" i="13"/>
  <c r="D787" i="13"/>
  <c r="E787" i="13"/>
  <c r="F787" i="13"/>
  <c r="I786" i="13"/>
  <c r="C786" i="13"/>
  <c r="D786" i="13"/>
  <c r="E786" i="13"/>
  <c r="F786" i="13"/>
  <c r="I785" i="13"/>
  <c r="C785" i="13"/>
  <c r="D785" i="13"/>
  <c r="E785" i="13"/>
  <c r="F785" i="13"/>
  <c r="I783" i="13"/>
  <c r="C783" i="13"/>
  <c r="C784" i="13"/>
  <c r="E784" i="13"/>
  <c r="F784" i="13"/>
  <c r="D783" i="13"/>
  <c r="E783" i="13"/>
  <c r="F783" i="13"/>
  <c r="I782" i="13"/>
  <c r="C782" i="13"/>
  <c r="D782" i="13"/>
  <c r="E782" i="13"/>
  <c r="F782" i="13"/>
  <c r="I781" i="13"/>
  <c r="C781" i="13"/>
  <c r="D781" i="13"/>
  <c r="E781" i="13"/>
  <c r="F781" i="13"/>
  <c r="D780" i="13"/>
  <c r="E780" i="13"/>
  <c r="F780" i="13"/>
  <c r="I778" i="13"/>
  <c r="C778" i="13"/>
  <c r="D778" i="13"/>
  <c r="E778" i="13"/>
  <c r="F778" i="13"/>
  <c r="I777" i="13"/>
  <c r="C777" i="13"/>
  <c r="D777" i="13"/>
  <c r="E777" i="13"/>
  <c r="F777" i="13"/>
  <c r="I776" i="13"/>
  <c r="C776" i="13"/>
  <c r="D776" i="13"/>
  <c r="E776" i="13"/>
  <c r="F776" i="13"/>
  <c r="I775" i="13"/>
  <c r="C775" i="13"/>
  <c r="D775" i="13"/>
  <c r="E775" i="13"/>
  <c r="F775" i="13"/>
  <c r="I774" i="13"/>
  <c r="C774" i="13"/>
  <c r="D774" i="13"/>
  <c r="E774" i="13"/>
  <c r="F774" i="13"/>
  <c r="I773" i="13"/>
  <c r="C773" i="13"/>
  <c r="D773" i="13"/>
  <c r="E773" i="13"/>
  <c r="F773" i="13"/>
  <c r="F772" i="13"/>
  <c r="I771" i="13"/>
  <c r="C771" i="13"/>
  <c r="D771" i="13"/>
  <c r="E771" i="13"/>
  <c r="F771" i="13"/>
  <c r="I770" i="13"/>
  <c r="C770" i="13"/>
  <c r="D770" i="13"/>
  <c r="E770" i="13"/>
  <c r="F770" i="13"/>
  <c r="I769" i="13"/>
  <c r="C769" i="13"/>
  <c r="D769" i="13"/>
  <c r="E769" i="13"/>
  <c r="F769" i="13"/>
  <c r="I768" i="13"/>
  <c r="C768" i="13"/>
  <c r="D768" i="13"/>
  <c r="E768" i="13"/>
  <c r="F768" i="13"/>
  <c r="I767" i="13"/>
  <c r="C767" i="13"/>
  <c r="D767" i="13"/>
  <c r="E767" i="13"/>
  <c r="F767" i="13"/>
  <c r="I766" i="13"/>
  <c r="C766" i="13"/>
  <c r="D766" i="13"/>
  <c r="E766" i="13"/>
  <c r="F766" i="13"/>
  <c r="F765" i="13"/>
  <c r="I764" i="13"/>
  <c r="C764" i="13"/>
  <c r="D764" i="13"/>
  <c r="E764" i="13"/>
  <c r="F764" i="13"/>
  <c r="I763" i="13"/>
  <c r="C763" i="13"/>
  <c r="D763" i="13"/>
  <c r="E763" i="13"/>
  <c r="F763" i="13"/>
  <c r="I762" i="13"/>
  <c r="C762" i="13"/>
  <c r="D762" i="13"/>
  <c r="E762" i="13"/>
  <c r="F762" i="13"/>
  <c r="I760" i="13"/>
  <c r="C760" i="13"/>
  <c r="E760" i="13"/>
  <c r="F760" i="13"/>
  <c r="I759" i="13"/>
  <c r="C759" i="13"/>
  <c r="E759" i="13"/>
  <c r="F759" i="13"/>
  <c r="I758" i="13"/>
  <c r="C758" i="13"/>
  <c r="E758" i="13"/>
  <c r="F758" i="13"/>
  <c r="I757" i="13"/>
  <c r="C757" i="13"/>
  <c r="D757" i="13"/>
  <c r="E757" i="13"/>
  <c r="F757" i="13"/>
  <c r="I756" i="13"/>
  <c r="C756" i="13"/>
  <c r="D756" i="13"/>
  <c r="E756" i="13"/>
  <c r="F756" i="13"/>
  <c r="I755" i="13"/>
  <c r="C755" i="13"/>
  <c r="D755" i="13"/>
  <c r="E755" i="13"/>
  <c r="F755" i="13"/>
  <c r="I754" i="13"/>
  <c r="C754" i="13"/>
  <c r="D754" i="13"/>
  <c r="E754" i="13"/>
  <c r="F754" i="13"/>
  <c r="I753" i="13"/>
  <c r="C753" i="13"/>
  <c r="D753" i="13"/>
  <c r="E753" i="13"/>
  <c r="F753" i="13"/>
  <c r="D751" i="13"/>
  <c r="F751" i="13"/>
  <c r="D749" i="13"/>
  <c r="E749" i="13"/>
  <c r="F749" i="13"/>
  <c r="D748" i="13"/>
  <c r="E748" i="13"/>
  <c r="F748" i="13"/>
  <c r="D747" i="13"/>
  <c r="E747" i="13"/>
  <c r="F747" i="13"/>
  <c r="D746" i="13"/>
  <c r="E746" i="13"/>
  <c r="F746" i="13"/>
  <c r="D745" i="13"/>
  <c r="E745" i="13"/>
  <c r="F745" i="13"/>
  <c r="D744" i="13"/>
  <c r="E744" i="13"/>
  <c r="F744" i="13"/>
  <c r="D743" i="13"/>
  <c r="E743" i="13"/>
  <c r="F743" i="13"/>
  <c r="C742" i="13"/>
  <c r="D742" i="13"/>
  <c r="E742" i="13"/>
  <c r="F742" i="13"/>
  <c r="D741" i="13"/>
  <c r="E741" i="13"/>
  <c r="F741" i="13"/>
  <c r="D737" i="13"/>
  <c r="E737" i="13"/>
  <c r="F737" i="13"/>
  <c r="D736" i="13"/>
  <c r="E736" i="13"/>
  <c r="F736" i="13"/>
  <c r="C735" i="13"/>
  <c r="D735" i="13"/>
  <c r="E735" i="13"/>
  <c r="F735" i="13"/>
  <c r="C734" i="13"/>
  <c r="D734" i="13"/>
  <c r="E734" i="13"/>
  <c r="F734" i="13"/>
  <c r="C733" i="13"/>
  <c r="D733" i="13"/>
  <c r="E733" i="13"/>
  <c r="F733" i="13"/>
  <c r="E732" i="13"/>
  <c r="F732" i="13"/>
  <c r="C730" i="13"/>
  <c r="E730" i="13"/>
  <c r="F730" i="13"/>
  <c r="C729" i="13"/>
  <c r="E729" i="13"/>
  <c r="F729" i="13"/>
  <c r="C728" i="13"/>
  <c r="E728" i="13"/>
  <c r="F728" i="13"/>
  <c r="C727" i="13"/>
  <c r="D727" i="13"/>
  <c r="E727" i="13"/>
  <c r="F727" i="13"/>
  <c r="D726" i="13"/>
  <c r="E726" i="13"/>
  <c r="F726" i="13"/>
  <c r="E723" i="13"/>
  <c r="F723" i="13"/>
  <c r="G723" i="13"/>
  <c r="E722" i="13"/>
  <c r="F722" i="13"/>
  <c r="G722" i="13"/>
  <c r="E721" i="13"/>
  <c r="F721" i="13"/>
  <c r="G721" i="13"/>
  <c r="E720" i="13"/>
  <c r="F720" i="13"/>
  <c r="G720" i="13"/>
  <c r="E719" i="13"/>
  <c r="F719" i="13"/>
  <c r="G719" i="13"/>
  <c r="E718" i="13"/>
  <c r="F718" i="13"/>
  <c r="G718" i="13"/>
  <c r="E717" i="13"/>
  <c r="F717" i="13"/>
  <c r="G717" i="13"/>
  <c r="E716" i="13"/>
  <c r="F716" i="13"/>
  <c r="E715" i="13"/>
  <c r="F715" i="13"/>
  <c r="E714" i="13"/>
  <c r="F714" i="13"/>
  <c r="G714" i="13"/>
  <c r="E713" i="13"/>
  <c r="F713" i="13"/>
  <c r="G713" i="13"/>
  <c r="E712" i="13"/>
  <c r="F712" i="13"/>
  <c r="G712" i="13"/>
  <c r="E711" i="13"/>
  <c r="F711" i="13"/>
  <c r="G711" i="13"/>
  <c r="H707" i="13"/>
  <c r="D707" i="13"/>
  <c r="E707" i="13"/>
  <c r="F707" i="13"/>
  <c r="D706" i="13"/>
  <c r="E706" i="13"/>
  <c r="F706" i="13"/>
  <c r="H705" i="13"/>
  <c r="C705" i="13"/>
  <c r="D705" i="13"/>
  <c r="E705" i="13"/>
  <c r="F705" i="13"/>
  <c r="H704" i="13"/>
  <c r="C704" i="13"/>
  <c r="D704" i="13"/>
  <c r="E704" i="13"/>
  <c r="F704" i="13"/>
  <c r="D703" i="13"/>
  <c r="E703" i="13"/>
  <c r="F703" i="13"/>
  <c r="H702" i="13"/>
  <c r="C702" i="13"/>
  <c r="D702" i="13"/>
  <c r="E702" i="13"/>
  <c r="F702" i="13"/>
  <c r="H701" i="13"/>
  <c r="C701" i="13"/>
  <c r="D701" i="13"/>
  <c r="E701" i="13"/>
  <c r="F701" i="13"/>
  <c r="H700" i="13"/>
  <c r="C700" i="13"/>
  <c r="D700" i="13"/>
  <c r="E700" i="13"/>
  <c r="F700" i="13"/>
  <c r="H699" i="13"/>
  <c r="C699" i="13"/>
  <c r="D699" i="13"/>
  <c r="E699" i="13"/>
  <c r="F699" i="13"/>
  <c r="D697" i="13"/>
  <c r="E697" i="13"/>
  <c r="F697" i="13"/>
  <c r="D696" i="13"/>
  <c r="E696" i="13"/>
  <c r="F696" i="13"/>
  <c r="D695" i="13"/>
  <c r="E695" i="13"/>
  <c r="F695" i="13"/>
  <c r="D694" i="13"/>
  <c r="E694" i="13"/>
  <c r="F694" i="13"/>
  <c r="D693" i="13"/>
  <c r="E693" i="13"/>
  <c r="F693" i="13"/>
  <c r="D692" i="13"/>
  <c r="E692" i="13"/>
  <c r="F692" i="13"/>
  <c r="D691" i="13"/>
  <c r="E691" i="13"/>
  <c r="F691" i="13"/>
  <c r="D690" i="13"/>
  <c r="E690" i="13"/>
  <c r="F690" i="13"/>
  <c r="C683" i="13"/>
  <c r="E683" i="13"/>
  <c r="F683" i="13"/>
  <c r="E682" i="13"/>
  <c r="F682" i="13"/>
  <c r="E681" i="13"/>
  <c r="F681" i="13"/>
  <c r="E680" i="13"/>
  <c r="F680" i="13"/>
  <c r="E679" i="13"/>
  <c r="F679" i="13"/>
  <c r="E678" i="13"/>
  <c r="F678" i="13"/>
  <c r="E677" i="13"/>
  <c r="F677" i="13"/>
  <c r="E676" i="13"/>
  <c r="F676" i="13"/>
  <c r="E675" i="13"/>
  <c r="F675" i="13"/>
  <c r="E674" i="13"/>
  <c r="F674" i="13"/>
  <c r="E673" i="13"/>
  <c r="F673" i="13"/>
  <c r="E672" i="13"/>
  <c r="F672" i="13"/>
  <c r="E671" i="13"/>
  <c r="F671" i="13"/>
  <c r="D670" i="13"/>
  <c r="E670" i="13"/>
  <c r="F670" i="13"/>
  <c r="D669" i="13"/>
  <c r="E669" i="13"/>
  <c r="F669" i="13"/>
  <c r="D668" i="13"/>
  <c r="E668" i="13"/>
  <c r="F668" i="13"/>
  <c r="D666" i="13"/>
  <c r="E666" i="13"/>
  <c r="F666" i="13"/>
  <c r="D665" i="13"/>
  <c r="E665" i="13"/>
  <c r="F665" i="13"/>
  <c r="D663" i="13"/>
  <c r="E663" i="13"/>
  <c r="F663" i="13"/>
  <c r="D662" i="13"/>
  <c r="E662" i="13"/>
  <c r="F662" i="13"/>
  <c r="D660" i="13"/>
  <c r="E660" i="13"/>
  <c r="F660" i="13"/>
  <c r="D659" i="13"/>
  <c r="E659" i="13"/>
  <c r="F659" i="13"/>
  <c r="D657" i="13"/>
  <c r="E657" i="13"/>
  <c r="F657" i="13"/>
  <c r="D656" i="13"/>
  <c r="E656" i="13"/>
  <c r="F656" i="13"/>
  <c r="D655" i="13"/>
  <c r="E655" i="13"/>
  <c r="F655" i="13"/>
  <c r="D654" i="13"/>
  <c r="E654" i="13"/>
  <c r="F654" i="13"/>
  <c r="D651" i="13"/>
  <c r="E651" i="13"/>
  <c r="F651" i="13"/>
  <c r="D650" i="13"/>
  <c r="E650" i="13"/>
  <c r="F650" i="13"/>
  <c r="D649" i="13"/>
  <c r="E649" i="13"/>
  <c r="F649" i="13"/>
  <c r="D646" i="13"/>
  <c r="E646" i="13"/>
  <c r="F646" i="13"/>
  <c r="D645" i="13"/>
  <c r="E645" i="13"/>
  <c r="F645" i="13"/>
  <c r="D644" i="13"/>
  <c r="F644" i="13"/>
  <c r="E644" i="13"/>
  <c r="D643" i="13"/>
  <c r="E643" i="13"/>
  <c r="F643" i="13"/>
  <c r="D642" i="13"/>
  <c r="D641" i="13"/>
  <c r="E641" i="13"/>
  <c r="F641" i="13"/>
  <c r="D640" i="13"/>
  <c r="E640" i="13"/>
  <c r="F640" i="13"/>
  <c r="D639" i="13"/>
  <c r="E639" i="13"/>
  <c r="F639" i="13"/>
  <c r="D638" i="13"/>
  <c r="D637" i="13"/>
  <c r="E637" i="13"/>
  <c r="F637" i="13"/>
  <c r="D636" i="13"/>
  <c r="E636" i="13"/>
  <c r="F636" i="13"/>
  <c r="D635" i="13"/>
  <c r="E635" i="13"/>
  <c r="F635" i="13"/>
  <c r="D634" i="13"/>
  <c r="E634" i="13"/>
  <c r="F634" i="13"/>
  <c r="D633" i="13"/>
  <c r="E633" i="13"/>
  <c r="F633" i="13"/>
  <c r="D632" i="13"/>
  <c r="E632" i="13"/>
  <c r="F632" i="13"/>
  <c r="D631" i="13"/>
  <c r="E631" i="13"/>
  <c r="F631" i="13"/>
  <c r="D630" i="13"/>
  <c r="E630" i="13"/>
  <c r="F630" i="13"/>
  <c r="D625" i="13"/>
  <c r="E625" i="13"/>
  <c r="F625" i="13"/>
  <c r="D624" i="13"/>
  <c r="E624" i="13"/>
  <c r="F624" i="13"/>
  <c r="D623" i="13"/>
  <c r="E623" i="13"/>
  <c r="F623" i="13"/>
  <c r="D622" i="13"/>
  <c r="E622" i="13"/>
  <c r="F622" i="13"/>
  <c r="D621" i="13"/>
  <c r="E621" i="13"/>
  <c r="F621" i="13"/>
  <c r="D620" i="13"/>
  <c r="E620" i="13"/>
  <c r="F620" i="13"/>
  <c r="D619" i="13"/>
  <c r="E619" i="13"/>
  <c r="F619" i="13"/>
  <c r="D618" i="13"/>
  <c r="E618" i="13"/>
  <c r="F618" i="13"/>
  <c r="D617" i="13"/>
  <c r="F617" i="13"/>
  <c r="D616" i="13"/>
  <c r="F616" i="13"/>
  <c r="D615" i="13"/>
  <c r="E615" i="13"/>
  <c r="F615" i="13"/>
  <c r="D614" i="13"/>
  <c r="E614" i="13"/>
  <c r="F614" i="13"/>
  <c r="D613" i="13"/>
  <c r="E613" i="13"/>
  <c r="F613" i="13"/>
  <c r="D612" i="13"/>
  <c r="E612" i="13"/>
  <c r="F612" i="13"/>
  <c r="D611" i="13"/>
  <c r="E611" i="13"/>
  <c r="F611" i="13"/>
  <c r="D610" i="13"/>
  <c r="E610" i="13"/>
  <c r="F610" i="13"/>
  <c r="D609" i="13"/>
  <c r="E609" i="13"/>
  <c r="F609" i="13"/>
  <c r="D608" i="13"/>
  <c r="E608" i="13"/>
  <c r="F608" i="13"/>
  <c r="D607" i="13"/>
  <c r="E607" i="13"/>
  <c r="F607" i="13"/>
  <c r="D606" i="13"/>
  <c r="E606" i="13"/>
  <c r="F606" i="13"/>
  <c r="D605" i="13"/>
  <c r="E605" i="13"/>
  <c r="F605" i="13"/>
  <c r="D604" i="13"/>
  <c r="E604" i="13"/>
  <c r="F604" i="13"/>
  <c r="D603" i="13"/>
  <c r="E603" i="13"/>
  <c r="F603" i="13"/>
  <c r="E602" i="13"/>
  <c r="D602" i="13"/>
  <c r="F602" i="13"/>
  <c r="E601" i="13"/>
  <c r="D601" i="13"/>
  <c r="F601" i="13"/>
  <c r="D600" i="13"/>
  <c r="E600" i="13"/>
  <c r="F600" i="13"/>
  <c r="D599" i="13"/>
  <c r="E599" i="13"/>
  <c r="F599" i="13"/>
  <c r="E598" i="13"/>
  <c r="D598" i="13"/>
  <c r="F598" i="13"/>
  <c r="E597" i="13"/>
  <c r="D597" i="13"/>
  <c r="F597" i="13"/>
  <c r="E596" i="13"/>
  <c r="D596" i="13"/>
  <c r="F596" i="13"/>
  <c r="D595" i="13"/>
  <c r="E595" i="13"/>
  <c r="F595" i="13"/>
  <c r="D594" i="13"/>
  <c r="E594" i="13"/>
  <c r="F594" i="13"/>
  <c r="E584" i="13"/>
  <c r="F584" i="13"/>
  <c r="E583" i="13"/>
  <c r="F583" i="13"/>
  <c r="E582" i="13"/>
  <c r="F582" i="13"/>
  <c r="E580" i="13"/>
  <c r="F580" i="13"/>
  <c r="C579" i="13"/>
  <c r="E579" i="13"/>
  <c r="F579" i="13"/>
  <c r="E578" i="13"/>
  <c r="F578" i="13"/>
  <c r="E577" i="13"/>
  <c r="F577" i="13"/>
  <c r="E576" i="13"/>
  <c r="F576" i="13"/>
  <c r="E575" i="13"/>
  <c r="F575" i="13"/>
  <c r="E569" i="13"/>
  <c r="F569" i="13"/>
  <c r="E568" i="13"/>
  <c r="F568" i="13"/>
  <c r="E567" i="13"/>
  <c r="F567" i="13"/>
  <c r="E566" i="13"/>
  <c r="F566" i="13"/>
  <c r="E565" i="13"/>
  <c r="F565" i="13"/>
  <c r="E564" i="13"/>
  <c r="F564" i="13"/>
  <c r="E563" i="13"/>
  <c r="F563" i="13"/>
  <c r="E562" i="13"/>
  <c r="F562" i="13"/>
  <c r="E561" i="13"/>
  <c r="F561" i="13"/>
  <c r="E560" i="13"/>
  <c r="F560" i="13"/>
  <c r="E559" i="13"/>
  <c r="F559" i="13"/>
  <c r="E558" i="13"/>
  <c r="F558" i="13"/>
  <c r="E557" i="13"/>
  <c r="F557" i="13"/>
  <c r="E556" i="13"/>
  <c r="F556" i="13"/>
  <c r="E555" i="13"/>
  <c r="F555" i="13"/>
  <c r="E554" i="13"/>
  <c r="F554" i="13"/>
  <c r="E553" i="13"/>
  <c r="F553" i="13"/>
  <c r="E552" i="13"/>
  <c r="F552" i="13"/>
  <c r="E551" i="13"/>
  <c r="F551" i="13"/>
  <c r="E550" i="13"/>
  <c r="F550" i="13"/>
  <c r="E549" i="13"/>
  <c r="F549" i="13"/>
  <c r="E548" i="13"/>
  <c r="F548" i="13"/>
  <c r="E547" i="13"/>
  <c r="F547" i="13"/>
  <c r="E546" i="13"/>
  <c r="F546" i="13"/>
  <c r="E545" i="13"/>
  <c r="F545" i="13"/>
  <c r="E544" i="13"/>
  <c r="F544" i="13"/>
  <c r="E543" i="13"/>
  <c r="F543" i="13"/>
  <c r="E542" i="13"/>
  <c r="F542" i="13"/>
  <c r="E541" i="13"/>
  <c r="F541" i="13"/>
  <c r="E540" i="13"/>
  <c r="F540" i="13"/>
  <c r="E539" i="13"/>
  <c r="F539" i="13"/>
  <c r="E538" i="13"/>
  <c r="F538" i="13"/>
  <c r="E537" i="13"/>
  <c r="F537" i="13"/>
  <c r="E536" i="13"/>
  <c r="F536" i="13"/>
  <c r="E535" i="13"/>
  <c r="F535" i="13"/>
  <c r="E534" i="13"/>
  <c r="F534" i="13"/>
  <c r="E533" i="13"/>
  <c r="F533" i="13"/>
  <c r="E532" i="13"/>
  <c r="F532" i="13"/>
  <c r="E531" i="13"/>
  <c r="F531" i="13"/>
  <c r="E530" i="13"/>
  <c r="F530" i="13"/>
  <c r="E529" i="13"/>
  <c r="F529" i="13"/>
  <c r="E528" i="13"/>
  <c r="F528" i="13"/>
  <c r="E527" i="13"/>
  <c r="F527" i="13"/>
  <c r="E526" i="13"/>
  <c r="F526" i="13"/>
  <c r="E525" i="13"/>
  <c r="F525" i="13"/>
  <c r="E524" i="13"/>
  <c r="F524" i="13"/>
  <c r="E523" i="13"/>
  <c r="F523" i="13"/>
  <c r="E522" i="13"/>
  <c r="F522" i="13"/>
  <c r="E521" i="13"/>
  <c r="F521" i="13"/>
  <c r="E520" i="13"/>
  <c r="F520" i="13"/>
  <c r="E519" i="13"/>
  <c r="F519" i="13"/>
  <c r="E518" i="13"/>
  <c r="F518" i="13"/>
  <c r="E517" i="13"/>
  <c r="F517" i="13"/>
  <c r="E516" i="13"/>
  <c r="F516" i="13"/>
  <c r="E515" i="13"/>
  <c r="F515" i="13"/>
  <c r="E514" i="13"/>
  <c r="F514" i="13"/>
  <c r="E513" i="13"/>
  <c r="F513" i="13"/>
  <c r="E512" i="13"/>
  <c r="F512" i="13"/>
  <c r="E511" i="13"/>
  <c r="F511" i="13"/>
  <c r="E510" i="13"/>
  <c r="F510" i="13"/>
  <c r="E509" i="13"/>
  <c r="F509" i="13"/>
  <c r="E508" i="13"/>
  <c r="F508" i="13"/>
  <c r="E507" i="13"/>
  <c r="F507" i="13"/>
  <c r="E506" i="13"/>
  <c r="F506" i="13"/>
  <c r="C505" i="13"/>
  <c r="E505" i="13"/>
  <c r="F505" i="13"/>
  <c r="E504" i="13"/>
  <c r="F504" i="13"/>
  <c r="E503" i="13"/>
  <c r="F503" i="13"/>
  <c r="E502" i="13"/>
  <c r="F502" i="13"/>
  <c r="E501" i="13"/>
  <c r="F501" i="13"/>
  <c r="C500" i="13"/>
  <c r="E500" i="13"/>
  <c r="F500" i="13"/>
  <c r="E499" i="13"/>
  <c r="F499" i="13"/>
  <c r="C498" i="13"/>
  <c r="E498" i="13"/>
  <c r="F498" i="13"/>
  <c r="E497" i="13"/>
  <c r="F497" i="13"/>
  <c r="E496" i="13"/>
  <c r="F496" i="13"/>
  <c r="E495" i="13"/>
  <c r="F495" i="13"/>
  <c r="E494" i="13"/>
  <c r="F494" i="13"/>
  <c r="C493" i="13"/>
  <c r="E493" i="13"/>
  <c r="F493" i="13"/>
  <c r="C492" i="13"/>
  <c r="E492" i="13"/>
  <c r="F492" i="13"/>
  <c r="E491" i="13"/>
  <c r="F491" i="13"/>
  <c r="E490" i="13"/>
  <c r="F490" i="13"/>
  <c r="E489" i="13"/>
  <c r="F489" i="13"/>
  <c r="E488" i="13"/>
  <c r="F488" i="13"/>
  <c r="E487" i="13"/>
  <c r="F487" i="13"/>
  <c r="E486" i="13"/>
  <c r="F486" i="13"/>
  <c r="E485" i="13"/>
  <c r="F485" i="13"/>
  <c r="E484" i="13"/>
  <c r="F484" i="13"/>
  <c r="E482" i="13"/>
  <c r="F482" i="13"/>
  <c r="E481" i="13"/>
  <c r="F481" i="13"/>
  <c r="E480" i="13"/>
  <c r="F480" i="13"/>
  <c r="E477" i="13"/>
  <c r="F477" i="13"/>
  <c r="E476" i="13"/>
  <c r="F476" i="13"/>
  <c r="E475" i="13"/>
  <c r="F475" i="13"/>
  <c r="E474" i="13"/>
  <c r="F474" i="13"/>
  <c r="E473" i="13"/>
  <c r="F473" i="13"/>
  <c r="E472" i="13"/>
  <c r="F472" i="13"/>
  <c r="E471" i="13"/>
  <c r="F471" i="13"/>
  <c r="E470" i="13"/>
  <c r="F470" i="13"/>
  <c r="E468" i="13"/>
  <c r="F468" i="13"/>
  <c r="E467" i="13"/>
  <c r="F467" i="13"/>
  <c r="E466" i="13"/>
  <c r="F466" i="13"/>
  <c r="E465" i="13"/>
  <c r="F465" i="13"/>
  <c r="E463" i="13"/>
  <c r="F463" i="13"/>
  <c r="E462" i="13"/>
  <c r="F462" i="13"/>
  <c r="E461" i="13"/>
  <c r="F461" i="13"/>
  <c r="E457" i="13"/>
  <c r="F457" i="13"/>
  <c r="E456" i="13"/>
  <c r="F456" i="13"/>
  <c r="E455" i="13"/>
  <c r="F455" i="13"/>
  <c r="E454" i="13"/>
  <c r="F454" i="13"/>
  <c r="E449" i="13"/>
  <c r="F449" i="13"/>
  <c r="C447" i="13"/>
  <c r="E447" i="13"/>
  <c r="F447" i="13"/>
  <c r="E446" i="13"/>
  <c r="F446" i="13"/>
  <c r="E445" i="13"/>
  <c r="F445" i="13"/>
  <c r="E444" i="13"/>
  <c r="F444" i="13"/>
  <c r="E443" i="13"/>
  <c r="F443" i="13"/>
  <c r="E442" i="13"/>
  <c r="F442" i="13"/>
  <c r="E441" i="13"/>
  <c r="F441" i="13"/>
  <c r="E440" i="13"/>
  <c r="F440" i="13"/>
  <c r="G440" i="13"/>
  <c r="E439" i="13"/>
  <c r="F439" i="13"/>
  <c r="E438" i="13"/>
  <c r="F438" i="13"/>
  <c r="G438" i="13"/>
  <c r="E437" i="13"/>
  <c r="F437" i="13"/>
  <c r="E436" i="13"/>
  <c r="F436" i="13"/>
  <c r="G436" i="13"/>
  <c r="E435" i="13"/>
  <c r="F435" i="13"/>
  <c r="E434" i="13"/>
  <c r="F434" i="13"/>
  <c r="E433" i="13"/>
  <c r="F433" i="13"/>
  <c r="E432" i="13"/>
  <c r="F432" i="13"/>
  <c r="A432" i="13"/>
  <c r="E431" i="13"/>
  <c r="F431" i="13"/>
  <c r="A431" i="13"/>
  <c r="E430" i="13"/>
  <c r="F430" i="13"/>
  <c r="A430" i="13"/>
  <c r="A429" i="13"/>
  <c r="C429" i="13"/>
  <c r="E429" i="13"/>
  <c r="F429" i="13"/>
  <c r="E428" i="13"/>
  <c r="F428" i="13"/>
  <c r="E427" i="13"/>
  <c r="F427" i="13"/>
  <c r="E426" i="13"/>
  <c r="F426" i="13"/>
  <c r="E425" i="13"/>
  <c r="F425" i="13"/>
  <c r="D424" i="13"/>
  <c r="E424" i="13"/>
  <c r="F424" i="13"/>
  <c r="D423" i="13"/>
  <c r="E423" i="13"/>
  <c r="F423" i="13"/>
  <c r="H419" i="13"/>
  <c r="J419" i="13"/>
  <c r="E419" i="13"/>
  <c r="F419" i="13"/>
  <c r="C418" i="13"/>
  <c r="H418" i="13"/>
  <c r="J418" i="13"/>
  <c r="D418" i="13"/>
  <c r="E418" i="13"/>
  <c r="F418" i="13"/>
  <c r="C417" i="13"/>
  <c r="H417" i="13"/>
  <c r="J417" i="13"/>
  <c r="D417" i="13"/>
  <c r="E417" i="13"/>
  <c r="F417" i="13"/>
  <c r="C416" i="13"/>
  <c r="H416" i="13"/>
  <c r="J416" i="13"/>
  <c r="D416" i="13"/>
  <c r="E416" i="13"/>
  <c r="F416" i="13"/>
  <c r="C415" i="13"/>
  <c r="H415" i="13"/>
  <c r="J415" i="13"/>
  <c r="D415" i="13"/>
  <c r="E415" i="13"/>
  <c r="F415" i="13"/>
  <c r="C414" i="13"/>
  <c r="H414" i="13"/>
  <c r="J414" i="13"/>
  <c r="D414" i="13"/>
  <c r="E414" i="13"/>
  <c r="F414" i="13"/>
  <c r="C413" i="13"/>
  <c r="H413" i="13"/>
  <c r="J413" i="13"/>
  <c r="D413" i="13"/>
  <c r="E413" i="13"/>
  <c r="F413" i="13"/>
  <c r="C412" i="13"/>
  <c r="H412" i="13"/>
  <c r="J412" i="13"/>
  <c r="D412" i="13"/>
  <c r="E412" i="13"/>
  <c r="F412" i="13"/>
  <c r="H411" i="13"/>
  <c r="J411" i="13"/>
  <c r="H410" i="13"/>
  <c r="J410" i="13"/>
  <c r="H409" i="13"/>
  <c r="J409" i="13"/>
  <c r="H408" i="13"/>
  <c r="J408" i="13"/>
  <c r="D408" i="13"/>
  <c r="E408" i="13"/>
  <c r="F408" i="13"/>
  <c r="H407" i="13"/>
  <c r="J407" i="13"/>
  <c r="H406" i="13"/>
  <c r="J406" i="13"/>
  <c r="H405" i="13"/>
  <c r="J405" i="13"/>
  <c r="C404" i="13"/>
  <c r="D404" i="13"/>
  <c r="E404" i="13"/>
  <c r="F404" i="13"/>
  <c r="H403" i="13"/>
  <c r="J403" i="13"/>
  <c r="E403" i="13"/>
  <c r="F403" i="13"/>
  <c r="H402" i="13"/>
  <c r="J402" i="13"/>
  <c r="D402" i="13"/>
  <c r="E402" i="13"/>
  <c r="F402" i="13"/>
  <c r="C401" i="13"/>
  <c r="H401" i="13"/>
  <c r="J401" i="13"/>
  <c r="D401" i="13"/>
  <c r="E401" i="13"/>
  <c r="F401" i="13"/>
  <c r="H400" i="13"/>
  <c r="J400" i="13"/>
  <c r="D400" i="13"/>
  <c r="E400" i="13"/>
  <c r="F400" i="13"/>
  <c r="H399" i="13"/>
  <c r="J399" i="13"/>
  <c r="D399" i="13"/>
  <c r="E399" i="13"/>
  <c r="F399" i="13"/>
  <c r="H398" i="13"/>
  <c r="J398" i="13"/>
  <c r="D398" i="13"/>
  <c r="E398" i="13"/>
  <c r="F398" i="13"/>
  <c r="H397" i="13"/>
  <c r="J397" i="13"/>
  <c r="D397" i="13"/>
  <c r="E397" i="13"/>
  <c r="F397" i="13"/>
  <c r="H396" i="13"/>
  <c r="J396" i="13"/>
  <c r="D396" i="13"/>
  <c r="E396" i="13"/>
  <c r="F396" i="13"/>
  <c r="H395" i="13"/>
  <c r="J395" i="13"/>
  <c r="D395" i="13"/>
  <c r="E395" i="13"/>
  <c r="F395" i="13"/>
  <c r="H394" i="13"/>
  <c r="J394" i="13"/>
  <c r="D394" i="13"/>
  <c r="E394" i="13"/>
  <c r="F394" i="13"/>
  <c r="H393" i="13"/>
  <c r="J393" i="13"/>
  <c r="E393" i="13"/>
  <c r="F393" i="13"/>
  <c r="H392" i="13"/>
  <c r="J392" i="13"/>
  <c r="D392" i="13"/>
  <c r="E392" i="13"/>
  <c r="F392" i="13"/>
  <c r="H391" i="13"/>
  <c r="J391" i="13"/>
  <c r="D391" i="13"/>
  <c r="E391" i="13"/>
  <c r="F391" i="13"/>
  <c r="H390" i="13"/>
  <c r="J390" i="13"/>
  <c r="D390" i="13"/>
  <c r="E390" i="13"/>
  <c r="F390" i="13"/>
  <c r="D386" i="13"/>
  <c r="E386" i="13"/>
  <c r="F386" i="13"/>
  <c r="D385" i="13"/>
  <c r="E385" i="13"/>
  <c r="F385" i="13"/>
  <c r="D384" i="13"/>
  <c r="E384" i="13"/>
  <c r="F384" i="13"/>
  <c r="K378" i="13"/>
  <c r="J378" i="13"/>
  <c r="C378" i="13"/>
  <c r="E378" i="13"/>
  <c r="F378" i="13"/>
  <c r="K377" i="13"/>
  <c r="J377" i="13"/>
  <c r="C377" i="13"/>
  <c r="E377" i="13"/>
  <c r="F377" i="13"/>
  <c r="K376" i="13"/>
  <c r="J376" i="13"/>
  <c r="C376" i="13"/>
  <c r="E376" i="13"/>
  <c r="F376" i="13"/>
  <c r="K375" i="13"/>
  <c r="J375" i="13"/>
  <c r="C375" i="13"/>
  <c r="E375" i="13"/>
  <c r="F375" i="13"/>
  <c r="F374" i="13"/>
  <c r="F373" i="13"/>
  <c r="E372" i="13"/>
  <c r="F372" i="13"/>
  <c r="E371" i="13"/>
  <c r="F371" i="13"/>
  <c r="E365" i="13"/>
  <c r="F365" i="13"/>
  <c r="E363" i="13"/>
  <c r="F363" i="13"/>
  <c r="E362" i="13"/>
  <c r="F362" i="13"/>
  <c r="E361" i="13"/>
  <c r="F361" i="13"/>
  <c r="E360" i="13"/>
  <c r="F360" i="13"/>
  <c r="E359" i="13"/>
  <c r="F359" i="13"/>
  <c r="E358" i="13"/>
  <c r="F358" i="13"/>
  <c r="E357" i="13"/>
  <c r="F357" i="13"/>
  <c r="E356" i="13"/>
  <c r="F356" i="13"/>
  <c r="E355" i="13"/>
  <c r="F355" i="13"/>
  <c r="E354" i="13"/>
  <c r="F354" i="13"/>
  <c r="E353" i="13"/>
  <c r="F353" i="13"/>
  <c r="E352" i="13"/>
  <c r="F352" i="13"/>
  <c r="E351" i="13"/>
  <c r="F351" i="13"/>
  <c r="E350" i="13"/>
  <c r="F350" i="13"/>
  <c r="F348" i="13"/>
  <c r="E346" i="13"/>
  <c r="F346" i="13"/>
  <c r="E345" i="13"/>
  <c r="F345" i="13"/>
  <c r="E343" i="13"/>
  <c r="F343" i="13"/>
  <c r="E342" i="13"/>
  <c r="F342" i="13"/>
  <c r="E341" i="13"/>
  <c r="F341" i="13"/>
  <c r="E339" i="13"/>
  <c r="F339" i="13"/>
  <c r="E338" i="13"/>
  <c r="F338" i="13"/>
  <c r="E337" i="13"/>
  <c r="F337" i="13"/>
  <c r="D336" i="13"/>
  <c r="E336" i="13"/>
  <c r="F336" i="13"/>
  <c r="D335" i="13"/>
  <c r="E335" i="13"/>
  <c r="F335" i="13"/>
  <c r="D331" i="13"/>
  <c r="E331" i="13"/>
  <c r="F331" i="13"/>
  <c r="E330" i="13"/>
  <c r="F330" i="13"/>
  <c r="E329" i="13"/>
  <c r="F329" i="13"/>
  <c r="E328" i="13"/>
  <c r="F328" i="13"/>
  <c r="E327" i="13"/>
  <c r="E326" i="13"/>
  <c r="E325" i="13"/>
  <c r="D324" i="13"/>
  <c r="E324" i="13"/>
  <c r="F324" i="13"/>
  <c r="D323" i="13"/>
  <c r="E323" i="13"/>
  <c r="F323" i="13"/>
  <c r="E322" i="13"/>
  <c r="F322" i="13"/>
  <c r="D321" i="13"/>
  <c r="E321" i="13"/>
  <c r="F321" i="13"/>
  <c r="D318" i="13"/>
  <c r="E318" i="13"/>
  <c r="F318" i="13"/>
  <c r="D317" i="13"/>
  <c r="E317" i="13"/>
  <c r="F317" i="13"/>
  <c r="C312" i="13"/>
  <c r="H312" i="13"/>
  <c r="J312" i="13"/>
  <c r="D312" i="13"/>
  <c r="E312" i="13"/>
  <c r="F312" i="13"/>
  <c r="C311" i="13"/>
  <c r="H311" i="13"/>
  <c r="J311" i="13"/>
  <c r="D311" i="13"/>
  <c r="E311" i="13"/>
  <c r="F311" i="13"/>
  <c r="C310" i="13"/>
  <c r="H310" i="13"/>
  <c r="J310" i="13"/>
  <c r="D310" i="13"/>
  <c r="E310" i="13"/>
  <c r="F310" i="13"/>
  <c r="H309" i="13"/>
  <c r="J309" i="13"/>
  <c r="D309" i="13"/>
  <c r="E309" i="13"/>
  <c r="F309" i="13"/>
  <c r="H308" i="13"/>
  <c r="J308" i="13"/>
  <c r="D308" i="13"/>
  <c r="E308" i="13"/>
  <c r="F308" i="13"/>
  <c r="H307" i="13"/>
  <c r="J307" i="13"/>
  <c r="H306" i="13"/>
  <c r="J306" i="13"/>
  <c r="H305" i="13"/>
  <c r="J305" i="13"/>
  <c r="H304" i="13"/>
  <c r="J304" i="13"/>
  <c r="D304" i="13"/>
  <c r="E304" i="13"/>
  <c r="F304" i="13"/>
  <c r="H303" i="13"/>
  <c r="J303" i="13"/>
  <c r="D303" i="13"/>
  <c r="E303" i="13"/>
  <c r="F303" i="13"/>
  <c r="H302" i="13"/>
  <c r="J302" i="13"/>
  <c r="D302" i="13"/>
  <c r="E302" i="13"/>
  <c r="F302" i="13"/>
  <c r="H301" i="13"/>
  <c r="J301" i="13"/>
  <c r="D301" i="13"/>
  <c r="E301" i="13"/>
  <c r="F301" i="13"/>
  <c r="H300" i="13"/>
  <c r="J300" i="13"/>
  <c r="D300" i="13"/>
  <c r="E300" i="13"/>
  <c r="F300" i="13"/>
  <c r="H299" i="13"/>
  <c r="J299" i="13"/>
  <c r="H298" i="13"/>
  <c r="J298" i="13"/>
  <c r="H297" i="13"/>
  <c r="J297" i="13"/>
  <c r="H296" i="13"/>
  <c r="J296" i="13"/>
  <c r="E296" i="13"/>
  <c r="F296" i="13"/>
  <c r="H295" i="13"/>
  <c r="J295" i="13"/>
  <c r="E295" i="13"/>
  <c r="F295" i="13"/>
  <c r="H294" i="13"/>
  <c r="J294" i="13"/>
  <c r="E294" i="13"/>
  <c r="F294" i="13"/>
  <c r="H293" i="13"/>
  <c r="J293" i="13"/>
  <c r="E293" i="13"/>
  <c r="F293" i="13"/>
  <c r="H292" i="13"/>
  <c r="J292" i="13"/>
  <c r="E292" i="13"/>
  <c r="F292" i="13"/>
  <c r="H291" i="13"/>
  <c r="J291" i="13"/>
  <c r="E291" i="13"/>
  <c r="F291" i="13"/>
  <c r="H290" i="13"/>
  <c r="J290" i="13"/>
  <c r="E290" i="13"/>
  <c r="F290" i="13"/>
  <c r="H289" i="13"/>
  <c r="J289" i="13"/>
  <c r="E289" i="13"/>
  <c r="F289" i="13"/>
  <c r="H288" i="13"/>
  <c r="J288" i="13"/>
  <c r="E288" i="13"/>
  <c r="F288" i="13"/>
  <c r="H287" i="13"/>
  <c r="J287" i="13"/>
  <c r="H286" i="13"/>
  <c r="J286" i="13"/>
  <c r="C285" i="13"/>
  <c r="E285" i="13"/>
  <c r="F285" i="13"/>
  <c r="C284" i="13"/>
  <c r="E284" i="13"/>
  <c r="F284" i="13"/>
  <c r="H283" i="13"/>
  <c r="J283" i="13"/>
  <c r="E283" i="13"/>
  <c r="F283" i="13"/>
  <c r="H282" i="13"/>
  <c r="J282" i="13"/>
  <c r="E282" i="13"/>
  <c r="F282" i="13"/>
  <c r="D281" i="13"/>
  <c r="D280" i="13"/>
  <c r="D279" i="13"/>
  <c r="C278" i="13"/>
  <c r="E278" i="13"/>
  <c r="F278" i="13"/>
  <c r="C277" i="13"/>
  <c r="E277" i="13"/>
  <c r="F277" i="13"/>
  <c r="C276" i="13"/>
  <c r="E276" i="13"/>
  <c r="F276" i="13"/>
  <c r="C275" i="13"/>
  <c r="E275" i="13"/>
  <c r="F275" i="13"/>
  <c r="C274" i="13"/>
  <c r="E274" i="13"/>
  <c r="F274" i="13"/>
  <c r="H273" i="13"/>
  <c r="D273" i="13"/>
  <c r="H272" i="13"/>
  <c r="D272" i="13"/>
  <c r="H271" i="13"/>
  <c r="D271" i="13"/>
  <c r="H270" i="13"/>
  <c r="D270" i="13"/>
  <c r="C269" i="13"/>
  <c r="E269" i="13"/>
  <c r="F269" i="13"/>
  <c r="C268" i="13"/>
  <c r="E268" i="13"/>
  <c r="F268" i="13"/>
  <c r="C267" i="13"/>
  <c r="E267" i="13"/>
  <c r="F267" i="13"/>
  <c r="C266" i="13"/>
  <c r="E266" i="13"/>
  <c r="F266" i="13"/>
  <c r="C265" i="13"/>
  <c r="E265" i="13"/>
  <c r="F265" i="13"/>
  <c r="C264" i="13"/>
  <c r="E264" i="13"/>
  <c r="F264" i="13"/>
  <c r="C263" i="13"/>
  <c r="E263" i="13"/>
  <c r="F263" i="13"/>
  <c r="C262" i="13"/>
  <c r="E262" i="13"/>
  <c r="F262" i="13"/>
  <c r="C261" i="13"/>
  <c r="E261" i="13"/>
  <c r="F261" i="13"/>
  <c r="C260" i="13"/>
  <c r="E260" i="13"/>
  <c r="F260" i="13"/>
  <c r="C259" i="13"/>
  <c r="E259" i="13"/>
  <c r="F259" i="13"/>
  <c r="C258" i="13"/>
  <c r="E258" i="13"/>
  <c r="F258" i="13"/>
  <c r="H257" i="13"/>
  <c r="D257" i="13"/>
  <c r="H256" i="13"/>
  <c r="J256" i="13"/>
  <c r="E256" i="13"/>
  <c r="F256" i="13"/>
  <c r="H255" i="13"/>
  <c r="J255" i="13"/>
  <c r="H254" i="13"/>
  <c r="J254" i="13"/>
  <c r="E254" i="13"/>
  <c r="F254" i="13"/>
  <c r="H253" i="13"/>
  <c r="J253" i="13"/>
  <c r="E253" i="13"/>
  <c r="F253" i="13"/>
  <c r="H252" i="13"/>
  <c r="J252" i="13"/>
  <c r="E252" i="13"/>
  <c r="F252" i="13"/>
  <c r="H251" i="13"/>
  <c r="J251" i="13"/>
  <c r="E251" i="13"/>
  <c r="F251" i="13"/>
  <c r="H250" i="13"/>
  <c r="J250" i="13"/>
  <c r="E250" i="13"/>
  <c r="F250" i="13"/>
  <c r="H249" i="13"/>
  <c r="J249" i="13"/>
  <c r="E249" i="13"/>
  <c r="F249" i="13"/>
  <c r="H248" i="13"/>
  <c r="J248" i="13"/>
  <c r="E248" i="13"/>
  <c r="F248" i="13"/>
  <c r="H247" i="13"/>
  <c r="J247" i="13"/>
  <c r="E247" i="13"/>
  <c r="F247" i="13"/>
  <c r="H246" i="13"/>
  <c r="J246" i="13"/>
  <c r="E246" i="13"/>
  <c r="F246" i="13"/>
  <c r="H245" i="13"/>
  <c r="J245" i="13"/>
  <c r="E245" i="13"/>
  <c r="F245" i="13"/>
  <c r="H244" i="13"/>
  <c r="J244" i="13"/>
  <c r="E244" i="13"/>
  <c r="F244" i="13"/>
  <c r="D243" i="13"/>
  <c r="D242" i="13"/>
  <c r="E241" i="13"/>
  <c r="D241" i="13"/>
  <c r="F241" i="13"/>
  <c r="D240" i="13"/>
  <c r="E240" i="13"/>
  <c r="F240" i="13"/>
  <c r="D239" i="13"/>
  <c r="E239" i="13"/>
  <c r="F239" i="13"/>
  <c r="D238" i="13"/>
  <c r="E238" i="13"/>
  <c r="F238" i="13"/>
  <c r="J237" i="13"/>
  <c r="D237" i="13"/>
  <c r="H236" i="13"/>
  <c r="J236" i="13"/>
  <c r="E236" i="13"/>
  <c r="F236" i="13"/>
  <c r="H235" i="13"/>
  <c r="J235" i="13"/>
  <c r="E235" i="13"/>
  <c r="F235" i="13"/>
  <c r="H234" i="13"/>
  <c r="J234" i="13"/>
  <c r="E234" i="13"/>
  <c r="F234" i="13"/>
  <c r="H233" i="13"/>
  <c r="J233" i="13"/>
  <c r="E233" i="13"/>
  <c r="F233" i="13"/>
  <c r="H232" i="13"/>
  <c r="J232" i="13"/>
  <c r="E232" i="13"/>
  <c r="F232" i="13"/>
  <c r="H231" i="13"/>
  <c r="J231" i="13"/>
  <c r="D231" i="13"/>
  <c r="H230" i="13"/>
  <c r="J230" i="13"/>
  <c r="D230" i="13"/>
  <c r="H229" i="13"/>
  <c r="J229" i="13"/>
  <c r="D229" i="13"/>
  <c r="E229" i="13"/>
  <c r="F229" i="13"/>
  <c r="H228" i="13"/>
  <c r="J228" i="13"/>
  <c r="E228" i="13"/>
  <c r="F228" i="13"/>
  <c r="H227" i="13"/>
  <c r="J227" i="13"/>
  <c r="E227" i="13"/>
  <c r="F227" i="13"/>
  <c r="H226" i="13"/>
  <c r="J226" i="13"/>
  <c r="E226" i="13"/>
  <c r="F226" i="13"/>
  <c r="H225" i="13"/>
  <c r="J225" i="13"/>
  <c r="E225" i="13"/>
  <c r="F225" i="13"/>
  <c r="H224" i="13"/>
  <c r="J224" i="13"/>
  <c r="E224" i="13"/>
  <c r="F224" i="13"/>
  <c r="H223" i="13"/>
  <c r="J223" i="13"/>
  <c r="E223" i="13"/>
  <c r="F223" i="13"/>
  <c r="H222" i="13"/>
  <c r="J222" i="13"/>
  <c r="E222" i="13"/>
  <c r="F222" i="13"/>
  <c r="H221" i="13"/>
  <c r="J221" i="13"/>
  <c r="E221" i="13"/>
  <c r="F221" i="13"/>
  <c r="H220" i="13"/>
  <c r="J220" i="13"/>
  <c r="E220" i="13"/>
  <c r="F220" i="13"/>
  <c r="H219" i="13"/>
  <c r="J219" i="13"/>
  <c r="E219" i="13"/>
  <c r="F219" i="13"/>
  <c r="H218" i="13"/>
  <c r="J218" i="13"/>
  <c r="E218" i="13"/>
  <c r="F218" i="13"/>
  <c r="H217" i="13"/>
  <c r="J217" i="13"/>
  <c r="E217" i="13"/>
  <c r="F217" i="13"/>
  <c r="H216" i="13"/>
  <c r="J216" i="13"/>
  <c r="E216" i="13"/>
  <c r="F216" i="13"/>
  <c r="H215" i="13"/>
  <c r="J215" i="13"/>
  <c r="E215" i="13"/>
  <c r="F215" i="13"/>
  <c r="D210" i="13"/>
  <c r="E210" i="13"/>
  <c r="F210" i="13"/>
  <c r="C208" i="13"/>
  <c r="E208" i="13"/>
  <c r="F208" i="13"/>
  <c r="E207" i="13"/>
  <c r="F207" i="13"/>
  <c r="D206" i="13"/>
  <c r="E206" i="13"/>
  <c r="F206" i="13"/>
  <c r="D204" i="13"/>
  <c r="E204" i="13"/>
  <c r="F204" i="13"/>
  <c r="D203" i="13"/>
  <c r="E203" i="13"/>
  <c r="F203" i="13"/>
  <c r="D202" i="13"/>
  <c r="E202" i="13"/>
  <c r="F202" i="13"/>
  <c r="D201" i="13"/>
  <c r="E201" i="13"/>
  <c r="F201" i="13"/>
  <c r="C200" i="13"/>
  <c r="D200" i="13"/>
  <c r="E200" i="13"/>
  <c r="F200" i="13"/>
  <c r="H199" i="13"/>
  <c r="D199" i="13"/>
  <c r="E199" i="13"/>
  <c r="F199" i="13"/>
  <c r="E198" i="13"/>
  <c r="F198" i="13"/>
  <c r="D197" i="13"/>
  <c r="D194" i="13"/>
  <c r="E194" i="13"/>
  <c r="F194" i="13"/>
  <c r="D193" i="13"/>
  <c r="E193" i="13"/>
  <c r="F193" i="13"/>
  <c r="D192" i="13"/>
  <c r="E192" i="13"/>
  <c r="F192" i="13"/>
  <c r="D191" i="13"/>
  <c r="E191" i="13"/>
  <c r="F191" i="13"/>
  <c r="D190" i="13"/>
  <c r="E190" i="13"/>
  <c r="F190" i="13"/>
  <c r="D189" i="13"/>
  <c r="E189" i="13"/>
  <c r="F189" i="13"/>
  <c r="D188" i="13"/>
  <c r="E188" i="13"/>
  <c r="F188" i="13"/>
  <c r="D184" i="13"/>
  <c r="E184" i="13"/>
  <c r="F184" i="13"/>
  <c r="D183" i="13"/>
  <c r="E183" i="13"/>
  <c r="F183" i="13"/>
  <c r="D182" i="13"/>
  <c r="E182" i="13"/>
  <c r="F182" i="13"/>
  <c r="D181" i="13"/>
  <c r="E181" i="13"/>
  <c r="F181" i="13"/>
  <c r="D180" i="13"/>
  <c r="E180" i="13"/>
  <c r="F180" i="13"/>
  <c r="E179" i="13"/>
  <c r="F179" i="13"/>
  <c r="E178" i="13"/>
  <c r="F178" i="13"/>
  <c r="E177" i="13"/>
  <c r="F177" i="13"/>
  <c r="D173" i="13"/>
  <c r="F173" i="13"/>
  <c r="E173" i="13"/>
  <c r="D172" i="13"/>
  <c r="F172" i="13"/>
  <c r="E172" i="13"/>
  <c r="D171" i="13"/>
  <c r="F171" i="13"/>
  <c r="E171" i="13"/>
  <c r="D167" i="13"/>
  <c r="E167" i="13"/>
  <c r="F167" i="13"/>
  <c r="C166" i="13"/>
  <c r="H166" i="13"/>
  <c r="D166" i="13"/>
  <c r="E166" i="13"/>
  <c r="F166" i="13"/>
  <c r="H165" i="13"/>
  <c r="D165" i="13"/>
  <c r="E165" i="13"/>
  <c r="F165" i="13"/>
  <c r="H164" i="13"/>
  <c r="D164" i="13"/>
  <c r="E164" i="13"/>
  <c r="F164" i="13"/>
  <c r="H163" i="13"/>
  <c r="D163" i="13"/>
  <c r="E163" i="13"/>
  <c r="F163" i="13"/>
  <c r="H162" i="13"/>
  <c r="D162" i="13"/>
  <c r="E162" i="13"/>
  <c r="F162" i="13"/>
  <c r="H161" i="13"/>
  <c r="C160" i="13"/>
  <c r="H160" i="13"/>
  <c r="E160" i="13"/>
  <c r="F160" i="13"/>
  <c r="C159" i="13"/>
  <c r="H159" i="13"/>
  <c r="E159" i="13"/>
  <c r="F159" i="13"/>
  <c r="C158" i="13"/>
  <c r="H158" i="13"/>
  <c r="E158" i="13"/>
  <c r="F158" i="13"/>
  <c r="H157" i="13"/>
  <c r="E157" i="13"/>
  <c r="F157" i="13"/>
  <c r="H156" i="13"/>
  <c r="E156" i="13"/>
  <c r="F156" i="13"/>
  <c r="H155" i="13"/>
  <c r="E155" i="13"/>
  <c r="F155" i="13"/>
  <c r="H154" i="13"/>
  <c r="E154" i="13"/>
  <c r="F154" i="13"/>
  <c r="H153" i="13"/>
  <c r="E153" i="13"/>
  <c r="F153" i="13"/>
  <c r="H152" i="13"/>
  <c r="E152" i="13"/>
  <c r="F152" i="13"/>
  <c r="E148" i="13"/>
  <c r="F148" i="13"/>
  <c r="E145" i="13"/>
  <c r="F145" i="13"/>
  <c r="E144" i="13"/>
  <c r="F144" i="13"/>
  <c r="E143" i="13"/>
  <c r="F143" i="13"/>
  <c r="E142" i="13"/>
  <c r="F142" i="13"/>
  <c r="E141" i="13"/>
  <c r="F141" i="13"/>
  <c r="E140" i="13"/>
  <c r="F140" i="13"/>
  <c r="E139" i="13"/>
  <c r="F139" i="13"/>
  <c r="E136" i="13"/>
  <c r="F136" i="13"/>
  <c r="D135" i="13"/>
  <c r="E135" i="13"/>
  <c r="F135" i="13"/>
  <c r="D133" i="13"/>
  <c r="E133" i="13"/>
  <c r="F133" i="13"/>
  <c r="D132" i="13"/>
  <c r="E132" i="13"/>
  <c r="F132" i="13"/>
  <c r="E129" i="13"/>
  <c r="F129" i="13"/>
  <c r="E128" i="13"/>
  <c r="F128" i="13"/>
  <c r="E125" i="13"/>
  <c r="F125" i="13"/>
  <c r="E124" i="13"/>
  <c r="F124" i="13"/>
  <c r="E123" i="13"/>
  <c r="F123" i="13"/>
  <c r="E122" i="13"/>
  <c r="F122" i="13"/>
  <c r="E121" i="13"/>
  <c r="F121" i="13"/>
  <c r="E120" i="13"/>
  <c r="F120" i="13"/>
  <c r="E119" i="13"/>
  <c r="F119" i="13"/>
  <c r="E118" i="13"/>
  <c r="F118" i="13"/>
  <c r="E115" i="13"/>
  <c r="F115" i="13"/>
  <c r="E114" i="13"/>
  <c r="F114" i="13"/>
  <c r="E113" i="13"/>
  <c r="F113" i="13"/>
  <c r="E112" i="13"/>
  <c r="F112" i="13"/>
  <c r="E111" i="13"/>
  <c r="F111" i="13"/>
  <c r="E110" i="13"/>
  <c r="F110" i="13"/>
  <c r="E109" i="13"/>
  <c r="F109" i="13"/>
  <c r="E108" i="13"/>
  <c r="F108" i="13"/>
  <c r="E107" i="13"/>
  <c r="F107" i="13"/>
  <c r="E106" i="13"/>
  <c r="F106" i="13"/>
  <c r="E105" i="13"/>
  <c r="F105" i="13"/>
  <c r="E104" i="13"/>
  <c r="F104" i="13"/>
  <c r="E103" i="13"/>
  <c r="F103" i="13"/>
  <c r="E102" i="13"/>
  <c r="F102" i="13"/>
  <c r="E101" i="13"/>
  <c r="F101" i="13"/>
  <c r="E100" i="13"/>
  <c r="F100" i="13"/>
  <c r="E99" i="13"/>
  <c r="F99" i="13"/>
  <c r="E98" i="13"/>
  <c r="F98" i="13"/>
  <c r="E97" i="13"/>
  <c r="F97" i="13"/>
  <c r="E96" i="13"/>
  <c r="F96" i="13"/>
  <c r="E95" i="13"/>
  <c r="F95" i="13"/>
  <c r="H91" i="13"/>
  <c r="D91" i="13"/>
  <c r="E91" i="13"/>
  <c r="F91" i="13"/>
  <c r="D90" i="13"/>
  <c r="E90" i="13"/>
  <c r="F90" i="13"/>
  <c r="D89" i="13"/>
  <c r="E89" i="13"/>
  <c r="F89" i="13"/>
  <c r="D88" i="13"/>
  <c r="E88" i="13"/>
  <c r="F88" i="13"/>
  <c r="D87" i="13"/>
  <c r="E87" i="13"/>
  <c r="F87" i="13"/>
  <c r="E81" i="13"/>
  <c r="F81" i="13"/>
  <c r="E70" i="13"/>
  <c r="F70" i="13"/>
  <c r="E66" i="13"/>
  <c r="F66" i="13"/>
  <c r="E65" i="13"/>
  <c r="F65" i="13"/>
  <c r="E64" i="13"/>
  <c r="F64" i="13"/>
  <c r="E63" i="13"/>
  <c r="F63" i="13"/>
  <c r="E62" i="13"/>
  <c r="F62" i="13"/>
  <c r="E58" i="13"/>
  <c r="F58" i="13"/>
  <c r="C57" i="13"/>
  <c r="E57" i="13"/>
  <c r="F57" i="13"/>
  <c r="C55" i="13"/>
  <c r="D55" i="13"/>
  <c r="E55" i="13"/>
  <c r="F55" i="13"/>
  <c r="C54" i="13"/>
  <c r="D54" i="13"/>
  <c r="E54" i="13"/>
  <c r="F54" i="13"/>
  <c r="D50" i="13"/>
  <c r="E50" i="13"/>
  <c r="F50" i="13"/>
  <c r="D49" i="13"/>
  <c r="E49" i="13"/>
  <c r="F49" i="13"/>
  <c r="D48" i="13"/>
  <c r="E48" i="13"/>
  <c r="F48" i="13"/>
  <c r="D47" i="13"/>
  <c r="E47" i="13"/>
  <c r="F47" i="13"/>
  <c r="D46" i="13"/>
  <c r="E46" i="13"/>
  <c r="F46" i="13"/>
  <c r="D45" i="13"/>
  <c r="E45" i="13"/>
  <c r="F45" i="13"/>
  <c r="D44" i="13"/>
  <c r="E44" i="13"/>
  <c r="F44" i="13"/>
  <c r="D43" i="13"/>
  <c r="E43" i="13"/>
  <c r="F43" i="13"/>
  <c r="D42" i="13"/>
  <c r="E42" i="13"/>
  <c r="F42" i="13"/>
  <c r="E37" i="13"/>
  <c r="F37" i="13"/>
  <c r="E36" i="13"/>
  <c r="F36" i="13"/>
  <c r="E35" i="13"/>
  <c r="F35" i="13"/>
  <c r="E34" i="13"/>
  <c r="F34" i="13"/>
  <c r="E33" i="13"/>
  <c r="F33" i="13"/>
  <c r="E32" i="13"/>
  <c r="F32" i="13"/>
  <c r="E31" i="13"/>
  <c r="F31" i="13"/>
  <c r="E30" i="13"/>
  <c r="F30" i="13"/>
  <c r="E29" i="13"/>
  <c r="F29" i="13"/>
  <c r="E28" i="13"/>
  <c r="F28" i="13"/>
  <c r="E27" i="13"/>
  <c r="F27" i="13"/>
  <c r="E26" i="13"/>
  <c r="F26" i="13"/>
  <c r="E25" i="13"/>
  <c r="F25" i="13"/>
  <c r="E24" i="13"/>
  <c r="F24" i="13"/>
  <c r="E23" i="13"/>
  <c r="F23" i="13"/>
  <c r="E22" i="13"/>
  <c r="F22" i="13"/>
  <c r="E21" i="13"/>
  <c r="F21" i="13"/>
  <c r="E20" i="13"/>
  <c r="F20" i="13"/>
  <c r="E19" i="13"/>
  <c r="F19" i="13"/>
  <c r="E18" i="13"/>
  <c r="F18" i="13"/>
  <c r="E17" i="13"/>
  <c r="F17" i="13"/>
  <c r="E16" i="13"/>
  <c r="F16" i="13"/>
  <c r="E15" i="13"/>
  <c r="F15" i="13"/>
  <c r="E14" i="13"/>
  <c r="F14" i="13"/>
  <c r="E13" i="13"/>
  <c r="F13" i="13"/>
  <c r="E12" i="13"/>
  <c r="F12" i="13"/>
  <c r="E11" i="13"/>
  <c r="F11" i="13"/>
  <c r="D10" i="13"/>
  <c r="E10" i="13"/>
  <c r="F10" i="13"/>
  <c r="B872" i="3"/>
  <c r="D872" i="3"/>
  <c r="E872" i="3"/>
  <c r="G124" i="3"/>
  <c r="G125" i="3"/>
  <c r="G132" i="3"/>
  <c r="G133" i="3"/>
  <c r="G134" i="3"/>
  <c r="G137" i="3"/>
  <c r="G138" i="3"/>
  <c r="G139" i="3"/>
  <c r="G140" i="3"/>
  <c r="G141" i="3"/>
  <c r="G142" i="3"/>
  <c r="G187" i="3"/>
  <c r="G188" i="3"/>
  <c r="G204" i="3"/>
  <c r="G206" i="3"/>
  <c r="G207" i="3"/>
  <c r="G208" i="3"/>
  <c r="G314" i="3"/>
  <c r="G315" i="3"/>
  <c r="G316" i="3"/>
  <c r="G317" i="3"/>
  <c r="G318" i="3"/>
  <c r="G319" i="3"/>
  <c r="G321" i="3"/>
  <c r="G322" i="3"/>
  <c r="G323" i="3"/>
  <c r="G324" i="3"/>
  <c r="G325" i="3"/>
  <c r="G327" i="3"/>
  <c r="G328" i="3"/>
  <c r="G330" i="3"/>
  <c r="G331" i="3"/>
  <c r="G332" i="3"/>
  <c r="G336" i="3"/>
  <c r="G337" i="3"/>
  <c r="G338" i="3"/>
  <c r="G339" i="3"/>
  <c r="G340" i="3"/>
  <c r="G341" i="3"/>
  <c r="G343" i="3"/>
  <c r="G344" i="3"/>
  <c r="G345" i="3"/>
  <c r="G346" i="3"/>
  <c r="G347" i="3"/>
  <c r="G348" i="3"/>
  <c r="G350" i="3"/>
  <c r="G351" i="3"/>
  <c r="G352" i="3"/>
  <c r="G353" i="3"/>
  <c r="G354" i="3"/>
  <c r="D356" i="3"/>
  <c r="G356" i="3"/>
  <c r="G358" i="3"/>
  <c r="G359" i="3"/>
  <c r="G360" i="3"/>
  <c r="G361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5" i="3"/>
  <c r="G387" i="3"/>
  <c r="G388" i="3"/>
  <c r="G389" i="3"/>
  <c r="G390" i="3"/>
  <c r="G395" i="3"/>
  <c r="G396" i="3"/>
  <c r="G397" i="3"/>
  <c r="G398" i="3"/>
  <c r="G399" i="3"/>
  <c r="D400" i="3"/>
  <c r="G400" i="3"/>
  <c r="G401" i="3"/>
  <c r="G406" i="3"/>
  <c r="G408" i="3"/>
  <c r="G409" i="3"/>
  <c r="G410" i="3"/>
  <c r="G411" i="3"/>
  <c r="G412" i="3"/>
  <c r="G413" i="3"/>
  <c r="G414" i="3"/>
  <c r="G416" i="3"/>
  <c r="G422" i="3"/>
  <c r="G430" i="3"/>
  <c r="G431" i="3"/>
  <c r="G432" i="3"/>
  <c r="G439" i="3"/>
  <c r="G440" i="3"/>
  <c r="G441" i="3"/>
  <c r="G442" i="3"/>
  <c r="G443" i="3"/>
  <c r="G445" i="3"/>
  <c r="G446" i="3"/>
  <c r="D480" i="3"/>
  <c r="G480" i="3"/>
  <c r="G595" i="3"/>
  <c r="G596" i="3"/>
  <c r="G597" i="3"/>
  <c r="G598" i="3"/>
  <c r="G687" i="3"/>
  <c r="D812" i="3"/>
  <c r="G812" i="3"/>
  <c r="G816" i="3"/>
  <c r="D825" i="3"/>
  <c r="G825" i="3"/>
  <c r="G858" i="3"/>
  <c r="G859" i="3"/>
  <c r="G860" i="3"/>
  <c r="F7" i="3"/>
  <c r="F9" i="3"/>
  <c r="F10" i="3"/>
  <c r="F12" i="3"/>
  <c r="F13" i="3"/>
  <c r="F14" i="3"/>
  <c r="F15" i="3"/>
  <c r="F16" i="3"/>
  <c r="F17" i="3"/>
  <c r="Q7" i="3"/>
  <c r="S7" i="3"/>
  <c r="Q8" i="3"/>
  <c r="S8" i="3"/>
  <c r="Q9" i="3"/>
  <c r="S9" i="3"/>
  <c r="Q10" i="3"/>
  <c r="S10" i="3"/>
  <c r="Q11" i="3"/>
  <c r="S11" i="3"/>
  <c r="Q12" i="3"/>
  <c r="S12" i="3"/>
  <c r="Q13" i="3"/>
  <c r="S13" i="3"/>
  <c r="S17" i="3"/>
  <c r="D21" i="3"/>
  <c r="B20" i="3"/>
  <c r="B21" i="3"/>
  <c r="F21" i="3"/>
  <c r="D26" i="3"/>
  <c r="E26" i="3"/>
  <c r="F26" i="3"/>
  <c r="D27" i="3"/>
  <c r="E27" i="3"/>
  <c r="F27" i="3"/>
  <c r="D28" i="3"/>
  <c r="E28" i="3"/>
  <c r="F28" i="3"/>
  <c r="D29" i="3"/>
  <c r="E29" i="3"/>
  <c r="F29" i="3"/>
  <c r="D30" i="3"/>
  <c r="E30" i="3"/>
  <c r="F30" i="3"/>
  <c r="F42" i="3"/>
  <c r="F43" i="3"/>
  <c r="F44" i="3"/>
  <c r="D45" i="3"/>
  <c r="F45" i="3"/>
  <c r="D46" i="3"/>
  <c r="F46" i="3"/>
  <c r="F48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3" i="3"/>
  <c r="F75" i="3"/>
  <c r="F81" i="3"/>
  <c r="F86" i="3"/>
  <c r="F87" i="3"/>
  <c r="F88" i="3"/>
  <c r="F120" i="3"/>
  <c r="F124" i="3"/>
  <c r="F125" i="3"/>
  <c r="F126" i="3"/>
  <c r="F132" i="3"/>
  <c r="F137" i="3"/>
  <c r="F138" i="3"/>
  <c r="F139" i="3"/>
  <c r="F140" i="3"/>
  <c r="F141" i="3"/>
  <c r="N141" i="3"/>
  <c r="F142" i="3"/>
  <c r="F143" i="3"/>
  <c r="F178" i="3"/>
  <c r="F184" i="3"/>
  <c r="F185" i="3"/>
  <c r="F186" i="3"/>
  <c r="F193" i="3"/>
  <c r="F200" i="3"/>
  <c r="F204" i="3"/>
  <c r="D205" i="3"/>
  <c r="F205" i="3"/>
  <c r="F206" i="3"/>
  <c r="F207" i="3"/>
  <c r="F214" i="3"/>
  <c r="F215" i="3"/>
  <c r="F216" i="3"/>
  <c r="F217" i="3"/>
  <c r="F218" i="3"/>
  <c r="F224" i="3"/>
  <c r="F225" i="3"/>
  <c r="F227" i="3"/>
  <c r="F228" i="3"/>
  <c r="F232" i="3"/>
  <c r="F233" i="3"/>
  <c r="F234" i="3"/>
  <c r="F235" i="3"/>
  <c r="F236" i="3"/>
  <c r="D238" i="3"/>
  <c r="F238" i="3"/>
  <c r="F243" i="3"/>
  <c r="F247" i="3"/>
  <c r="F248" i="3"/>
  <c r="F249" i="3"/>
  <c r="F253" i="3"/>
  <c r="F254" i="3"/>
  <c r="F255" i="3"/>
  <c r="F259" i="3"/>
  <c r="F260" i="3"/>
  <c r="F261" i="3"/>
  <c r="F262" i="3"/>
  <c r="F263" i="3"/>
  <c r="F264" i="3"/>
  <c r="F265" i="3"/>
  <c r="F268" i="3"/>
  <c r="F269" i="3"/>
  <c r="F270" i="3"/>
  <c r="F271" i="3"/>
  <c r="F275" i="3"/>
  <c r="F276" i="3"/>
  <c r="F282" i="3"/>
  <c r="F283" i="3"/>
  <c r="F284" i="3"/>
  <c r="F285" i="3"/>
  <c r="F286" i="3"/>
  <c r="F287" i="3"/>
  <c r="F288" i="3"/>
  <c r="F298" i="3"/>
  <c r="F299" i="3"/>
  <c r="F300" i="3"/>
  <c r="F309" i="3"/>
  <c r="F310" i="3"/>
  <c r="F311" i="3"/>
  <c r="F374" i="3"/>
  <c r="F375" i="3"/>
  <c r="F466" i="3"/>
  <c r="F467" i="3"/>
  <c r="F472" i="3"/>
  <c r="F473" i="3"/>
  <c r="F474" i="3"/>
  <c r="F484" i="3"/>
  <c r="F485" i="3"/>
  <c r="F486" i="3"/>
  <c r="F487" i="3"/>
  <c r="F488" i="3"/>
  <c r="F489" i="3"/>
  <c r="F493" i="3"/>
  <c r="F494" i="3"/>
  <c r="F495" i="3"/>
  <c r="F497" i="3"/>
  <c r="F500" i="3"/>
  <c r="F503" i="3"/>
  <c r="F504" i="3"/>
  <c r="F505" i="3"/>
  <c r="B506" i="3"/>
  <c r="F506" i="3"/>
  <c r="F509" i="3"/>
  <c r="F510" i="3"/>
  <c r="F518" i="3"/>
  <c r="F519" i="3"/>
  <c r="F520" i="3"/>
  <c r="F521" i="3"/>
  <c r="F524" i="3"/>
  <c r="F531" i="3"/>
  <c r="F532" i="3"/>
  <c r="F533" i="3"/>
  <c r="F534" i="3"/>
  <c r="F535" i="3"/>
  <c r="F541" i="3"/>
  <c r="F542" i="3"/>
  <c r="F543" i="3"/>
  <c r="F545" i="3"/>
  <c r="F546" i="3"/>
  <c r="F577" i="3"/>
  <c r="F578" i="3"/>
  <c r="F579" i="3"/>
  <c r="F580" i="3"/>
  <c r="F581" i="3"/>
  <c r="F582" i="3"/>
  <c r="F583" i="3"/>
  <c r="F586" i="3"/>
  <c r="F587" i="3"/>
  <c r="F588" i="3"/>
  <c r="F589" i="3"/>
  <c r="F590" i="3"/>
  <c r="F591" i="3"/>
  <c r="F595" i="3"/>
  <c r="F596" i="3"/>
  <c r="F597" i="3"/>
  <c r="F598" i="3"/>
  <c r="F603" i="3"/>
  <c r="F604" i="3"/>
  <c r="F605" i="3"/>
  <c r="F619" i="3"/>
  <c r="F620" i="3"/>
  <c r="F621" i="3"/>
  <c r="F622" i="3"/>
  <c r="F626" i="3"/>
  <c r="F627" i="3"/>
  <c r="F628" i="3"/>
  <c r="F629" i="3"/>
  <c r="F632" i="3"/>
  <c r="F633" i="3"/>
  <c r="F634" i="3"/>
  <c r="F638" i="3"/>
  <c r="F639" i="3"/>
  <c r="F640" i="3"/>
  <c r="F641" i="3"/>
  <c r="F644" i="3"/>
  <c r="F645" i="3"/>
  <c r="F646" i="3"/>
  <c r="F647" i="3"/>
  <c r="F648" i="3"/>
  <c r="F649" i="3"/>
  <c r="F654" i="3"/>
  <c r="F655" i="3"/>
  <c r="F656" i="3"/>
  <c r="F661" i="3"/>
  <c r="F662" i="3"/>
  <c r="F663" i="3"/>
  <c r="F666" i="3"/>
  <c r="F667" i="3"/>
  <c r="F668" i="3"/>
  <c r="F669" i="3"/>
  <c r="F670" i="3"/>
  <c r="F671" i="3"/>
  <c r="F672" i="3"/>
  <c r="F675" i="3"/>
  <c r="F679" i="3"/>
  <c r="F680" i="3"/>
  <c r="F685" i="3"/>
  <c r="F686" i="3"/>
  <c r="F687" i="3"/>
  <c r="F728" i="3"/>
  <c r="F729" i="3"/>
  <c r="F730" i="3"/>
  <c r="F732" i="3"/>
  <c r="F733" i="3"/>
  <c r="F734" i="3"/>
  <c r="F737" i="3"/>
  <c r="F738" i="3"/>
  <c r="D822" i="3"/>
  <c r="F822" i="3"/>
  <c r="D823" i="3"/>
  <c r="F823" i="3"/>
  <c r="D824" i="3"/>
  <c r="F824" i="3"/>
  <c r="F815" i="3"/>
  <c r="D821" i="3"/>
  <c r="F821" i="3"/>
  <c r="B826" i="3"/>
  <c r="F826" i="3"/>
  <c r="B827" i="3"/>
  <c r="F827" i="3"/>
  <c r="B828" i="3"/>
  <c r="F828" i="3"/>
  <c r="D832" i="3"/>
  <c r="F832" i="3"/>
  <c r="D833" i="3"/>
  <c r="F833" i="3"/>
  <c r="D834" i="3"/>
  <c r="F834" i="3"/>
  <c r="F851" i="3"/>
  <c r="F853" i="3"/>
  <c r="F858" i="3"/>
  <c r="F859" i="3"/>
  <c r="F860" i="3"/>
  <c r="D7" i="3"/>
  <c r="E7" i="3"/>
  <c r="D17" i="3"/>
  <c r="E17" i="3"/>
  <c r="Q17" i="3"/>
  <c r="R17" i="3"/>
  <c r="R7" i="3"/>
  <c r="D19" i="3"/>
  <c r="B19" i="3"/>
  <c r="E19" i="3"/>
  <c r="E20" i="3"/>
  <c r="B22" i="3"/>
  <c r="E22" i="3"/>
  <c r="E23" i="3"/>
  <c r="D42" i="3"/>
  <c r="E42" i="3"/>
  <c r="D43" i="3"/>
  <c r="E43" i="3"/>
  <c r="D44" i="3"/>
  <c r="E44" i="3"/>
  <c r="D48" i="3"/>
  <c r="E48" i="3"/>
  <c r="E49" i="3"/>
  <c r="E50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E71" i="3"/>
  <c r="D73" i="3"/>
  <c r="E73" i="3"/>
  <c r="D74" i="3"/>
  <c r="E74" i="3"/>
  <c r="E76" i="3"/>
  <c r="D77" i="3"/>
  <c r="E77" i="3"/>
  <c r="D81" i="3"/>
  <c r="E81" i="3"/>
  <c r="D86" i="3"/>
  <c r="E86" i="3"/>
  <c r="D87" i="3"/>
  <c r="E87" i="3"/>
  <c r="D88" i="3"/>
  <c r="E88" i="3"/>
  <c r="D92" i="3"/>
  <c r="E92" i="3"/>
  <c r="D93" i="3"/>
  <c r="E93" i="3"/>
  <c r="D94" i="3"/>
  <c r="E94" i="3"/>
  <c r="D95" i="3"/>
  <c r="E95" i="3"/>
  <c r="D98" i="3"/>
  <c r="E98" i="3"/>
  <c r="D99" i="3"/>
  <c r="E99" i="3"/>
  <c r="D101" i="3"/>
  <c r="E101" i="3"/>
  <c r="D102" i="3"/>
  <c r="E102" i="3"/>
  <c r="D103" i="3"/>
  <c r="E103" i="3"/>
  <c r="D106" i="3"/>
  <c r="E106" i="3"/>
  <c r="D107" i="3"/>
  <c r="E107" i="3"/>
  <c r="D108" i="3"/>
  <c r="E108" i="3"/>
  <c r="D111" i="3"/>
  <c r="E111" i="3"/>
  <c r="D112" i="3"/>
  <c r="E112" i="3"/>
  <c r="D113" i="3"/>
  <c r="E113" i="3"/>
  <c r="D114" i="3"/>
  <c r="E114" i="3"/>
  <c r="D115" i="3"/>
  <c r="B115" i="3"/>
  <c r="E115" i="3"/>
  <c r="D124" i="3"/>
  <c r="E124" i="3"/>
  <c r="D125" i="3"/>
  <c r="E125" i="3"/>
  <c r="D126" i="3"/>
  <c r="E126" i="3"/>
  <c r="D132" i="3"/>
  <c r="E132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9" i="3"/>
  <c r="E149" i="3"/>
  <c r="D150" i="3"/>
  <c r="E150" i="3"/>
  <c r="D151" i="3"/>
  <c r="E151" i="3"/>
  <c r="D152" i="3"/>
  <c r="E152" i="3"/>
  <c r="D153" i="3"/>
  <c r="E153" i="3"/>
  <c r="D156" i="3"/>
  <c r="E156" i="3"/>
  <c r="D157" i="3"/>
  <c r="E157" i="3"/>
  <c r="D158" i="3"/>
  <c r="E158" i="3"/>
  <c r="D161" i="3"/>
  <c r="E161" i="3"/>
  <c r="D162" i="3"/>
  <c r="E162" i="3"/>
  <c r="D163" i="3"/>
  <c r="E163" i="3"/>
  <c r="D166" i="3"/>
  <c r="E166" i="3"/>
  <c r="D167" i="3"/>
  <c r="E167" i="3"/>
  <c r="D168" i="3"/>
  <c r="E168" i="3"/>
  <c r="D169" i="3"/>
  <c r="E169" i="3"/>
  <c r="E170" i="3"/>
  <c r="D172" i="3"/>
  <c r="E172" i="3"/>
  <c r="D173" i="3"/>
  <c r="E173" i="3"/>
  <c r="D174" i="3"/>
  <c r="E174" i="3"/>
  <c r="D178" i="3"/>
  <c r="E180" i="3"/>
  <c r="E178" i="3"/>
  <c r="D179" i="3"/>
  <c r="E179" i="3"/>
  <c r="D184" i="3"/>
  <c r="E184" i="3"/>
  <c r="D185" i="3"/>
  <c r="E185" i="3"/>
  <c r="D186" i="3"/>
  <c r="E186" i="3"/>
  <c r="D187" i="3"/>
  <c r="E187" i="3"/>
  <c r="D188" i="3"/>
  <c r="E188" i="3"/>
  <c r="D193" i="3"/>
  <c r="E193" i="3"/>
  <c r="D195" i="3"/>
  <c r="E195" i="3"/>
  <c r="D196" i="3"/>
  <c r="E196" i="3"/>
  <c r="D197" i="3"/>
  <c r="E197" i="3"/>
  <c r="D200" i="3"/>
  <c r="E200" i="3"/>
  <c r="E203" i="3"/>
  <c r="D204" i="3"/>
  <c r="E204" i="3"/>
  <c r="D206" i="3"/>
  <c r="E206" i="3"/>
  <c r="D207" i="3"/>
  <c r="E207" i="3"/>
  <c r="D208" i="3"/>
  <c r="E208" i="3"/>
  <c r="D214" i="3"/>
  <c r="E214" i="3"/>
  <c r="D215" i="3"/>
  <c r="E215" i="3"/>
  <c r="D216" i="3"/>
  <c r="E216" i="3"/>
  <c r="D217" i="3"/>
  <c r="E217" i="3"/>
  <c r="D218" i="3"/>
  <c r="E218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32" i="3"/>
  <c r="E232" i="3"/>
  <c r="D233" i="3"/>
  <c r="E233" i="3"/>
  <c r="D234" i="3"/>
  <c r="E234" i="3"/>
  <c r="D235" i="3"/>
  <c r="E235" i="3"/>
  <c r="D236" i="3"/>
  <c r="E236" i="3"/>
  <c r="E240" i="3"/>
  <c r="D243" i="3"/>
  <c r="E243" i="3"/>
  <c r="D247" i="3"/>
  <c r="E247" i="3"/>
  <c r="D248" i="3"/>
  <c r="E248" i="3"/>
  <c r="D249" i="3"/>
  <c r="E249" i="3"/>
  <c r="D253" i="3"/>
  <c r="E253" i="3"/>
  <c r="D254" i="3"/>
  <c r="E254" i="3"/>
  <c r="D255" i="3"/>
  <c r="E255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8" i="3"/>
  <c r="E268" i="3"/>
  <c r="D269" i="3"/>
  <c r="E269" i="3"/>
  <c r="D270" i="3"/>
  <c r="E270" i="3"/>
  <c r="D271" i="3"/>
  <c r="E271" i="3"/>
  <c r="D275" i="3"/>
  <c r="E275" i="3"/>
  <c r="D276" i="3"/>
  <c r="E276" i="3"/>
  <c r="E280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94" i="3"/>
  <c r="E294" i="3"/>
  <c r="D295" i="3"/>
  <c r="E295" i="3"/>
  <c r="D296" i="3"/>
  <c r="E296" i="3"/>
  <c r="D297" i="3"/>
  <c r="E297" i="3"/>
  <c r="D298" i="3"/>
  <c r="E298" i="3"/>
  <c r="D304" i="3"/>
  <c r="E304" i="3"/>
  <c r="D305" i="3"/>
  <c r="E305" i="3"/>
  <c r="D306" i="3"/>
  <c r="E306" i="3"/>
  <c r="D307" i="3"/>
  <c r="E307" i="3"/>
  <c r="D308" i="3"/>
  <c r="B308" i="3"/>
  <c r="E308" i="3"/>
  <c r="E310" i="3"/>
  <c r="E311" i="3"/>
  <c r="D314" i="3"/>
  <c r="E314" i="3"/>
  <c r="D315" i="3"/>
  <c r="E315" i="3"/>
  <c r="D316" i="3"/>
  <c r="E316" i="3"/>
  <c r="E317" i="3"/>
  <c r="E318" i="3"/>
  <c r="D319" i="3"/>
  <c r="E319" i="3"/>
  <c r="D321" i="3"/>
  <c r="E321" i="3"/>
  <c r="D322" i="3"/>
  <c r="E322" i="3"/>
  <c r="D324" i="3"/>
  <c r="E324" i="3"/>
  <c r="D325" i="3"/>
  <c r="E325" i="3"/>
  <c r="D327" i="3"/>
  <c r="E327" i="3"/>
  <c r="D328" i="3"/>
  <c r="E328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50" i="3"/>
  <c r="E350" i="3"/>
  <c r="D351" i="3"/>
  <c r="E351" i="3"/>
  <c r="D352" i="3"/>
  <c r="E352" i="3"/>
  <c r="D353" i="3"/>
  <c r="E353" i="3"/>
  <c r="D354" i="3"/>
  <c r="E354" i="3"/>
  <c r="D358" i="3"/>
  <c r="E358" i="3"/>
  <c r="D359" i="3"/>
  <c r="E359" i="3"/>
  <c r="D360" i="3"/>
  <c r="E360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E382" i="3"/>
  <c r="D385" i="3"/>
  <c r="E385" i="3"/>
  <c r="D386" i="3"/>
  <c r="E386" i="3"/>
  <c r="D387" i="3"/>
  <c r="E387" i="3"/>
  <c r="D389" i="3"/>
  <c r="E389" i="3"/>
  <c r="D390" i="3"/>
  <c r="E390" i="3"/>
  <c r="D394" i="3"/>
  <c r="E394" i="3"/>
  <c r="D396" i="3"/>
  <c r="E396" i="3"/>
  <c r="D397" i="3"/>
  <c r="E397" i="3"/>
  <c r="D398" i="3"/>
  <c r="E398" i="3"/>
  <c r="D399" i="3"/>
  <c r="E399" i="3"/>
  <c r="E400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B415" i="3"/>
  <c r="E415" i="3"/>
  <c r="D416" i="3"/>
  <c r="E416" i="3"/>
  <c r="D421" i="3"/>
  <c r="E421" i="3"/>
  <c r="D422" i="3"/>
  <c r="E422" i="3"/>
  <c r="D423" i="3"/>
  <c r="E423" i="3"/>
  <c r="D424" i="3"/>
  <c r="E424" i="3"/>
  <c r="D426" i="3"/>
  <c r="E426" i="3"/>
  <c r="D427" i="3"/>
  <c r="E427" i="3"/>
  <c r="D429" i="3"/>
  <c r="E429" i="3"/>
  <c r="D430" i="3"/>
  <c r="E430" i="3"/>
  <c r="D431" i="3"/>
  <c r="E431" i="3"/>
  <c r="D432" i="3"/>
  <c r="E432" i="3"/>
  <c r="D435" i="3"/>
  <c r="E435" i="3"/>
  <c r="D436" i="3"/>
  <c r="B436" i="3"/>
  <c r="E436" i="3"/>
  <c r="D445" i="3"/>
  <c r="E445" i="3"/>
  <c r="D446" i="3"/>
  <c r="E446" i="3"/>
  <c r="D449" i="3"/>
  <c r="O449" i="3"/>
  <c r="E449" i="3"/>
  <c r="D450" i="3"/>
  <c r="O450" i="3"/>
  <c r="E450" i="3"/>
  <c r="D451" i="3"/>
  <c r="O451" i="3"/>
  <c r="E451" i="3"/>
  <c r="D452" i="3"/>
  <c r="O452" i="3"/>
  <c r="E452" i="3"/>
  <c r="D453" i="3"/>
  <c r="O453" i="3"/>
  <c r="E453" i="3"/>
  <c r="D455" i="3"/>
  <c r="E455" i="3"/>
  <c r="D456" i="3"/>
  <c r="E456" i="3"/>
  <c r="D457" i="3"/>
  <c r="E457" i="3"/>
  <c r="D458" i="3"/>
  <c r="E458" i="3"/>
  <c r="D459" i="3"/>
  <c r="E459" i="3"/>
  <c r="E460" i="3"/>
  <c r="D461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3" i="3"/>
  <c r="B461" i="3"/>
  <c r="E461" i="3"/>
  <c r="D466" i="3"/>
  <c r="E466" i="3"/>
  <c r="D467" i="3"/>
  <c r="E467" i="3"/>
  <c r="D472" i="3"/>
  <c r="E472" i="3"/>
  <c r="D473" i="3"/>
  <c r="E473" i="3"/>
  <c r="D474" i="3"/>
  <c r="E474" i="3"/>
  <c r="D478" i="3"/>
  <c r="E478" i="3"/>
  <c r="D479" i="3"/>
  <c r="E479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3" i="3"/>
  <c r="E493" i="3"/>
  <c r="D494" i="3"/>
  <c r="E494" i="3"/>
  <c r="D495" i="3"/>
  <c r="E495" i="3"/>
  <c r="D496" i="3"/>
  <c r="E497" i="3"/>
  <c r="K498" i="3"/>
  <c r="D498" i="3"/>
  <c r="E498" i="3"/>
  <c r="K499" i="3"/>
  <c r="D499" i="3"/>
  <c r="E499" i="3"/>
  <c r="D503" i="3"/>
  <c r="E503" i="3"/>
  <c r="D504" i="3"/>
  <c r="E504" i="3"/>
  <c r="D505" i="3"/>
  <c r="E505" i="3"/>
  <c r="D506" i="3"/>
  <c r="E506" i="3"/>
  <c r="D507" i="3"/>
  <c r="E507" i="3"/>
  <c r="D509" i="3"/>
  <c r="E509" i="3"/>
  <c r="D510" i="3"/>
  <c r="E510" i="3"/>
  <c r="D518" i="3"/>
  <c r="E518" i="3"/>
  <c r="D519" i="3"/>
  <c r="E519" i="3"/>
  <c r="D520" i="3"/>
  <c r="E520" i="3"/>
  <c r="D521" i="3"/>
  <c r="E521" i="3"/>
  <c r="D524" i="3"/>
  <c r="E524" i="3"/>
  <c r="D525" i="3"/>
  <c r="B525" i="3"/>
  <c r="E525" i="3"/>
  <c r="D531" i="3"/>
  <c r="E531" i="3"/>
  <c r="D532" i="3"/>
  <c r="E532" i="3"/>
  <c r="D533" i="3"/>
  <c r="E533" i="3"/>
  <c r="D534" i="3"/>
  <c r="E534" i="3"/>
  <c r="D535" i="3"/>
  <c r="E535" i="3"/>
  <c r="D541" i="3"/>
  <c r="E541" i="3"/>
  <c r="D542" i="3"/>
  <c r="E542" i="3"/>
  <c r="D543" i="3"/>
  <c r="E543" i="3"/>
  <c r="D545" i="3"/>
  <c r="E545" i="3"/>
  <c r="D546" i="3"/>
  <c r="E546" i="3"/>
  <c r="E549" i="3"/>
  <c r="E564" i="3"/>
  <c r="E565" i="3"/>
  <c r="D550" i="3"/>
  <c r="L550" i="3"/>
  <c r="D551" i="3"/>
  <c r="L551" i="3"/>
  <c r="D552" i="3"/>
  <c r="L552" i="3"/>
  <c r="D554" i="3"/>
  <c r="L554" i="3"/>
  <c r="D555" i="3"/>
  <c r="L555" i="3"/>
  <c r="D556" i="3"/>
  <c r="L556" i="3"/>
  <c r="D557" i="3"/>
  <c r="L557" i="3"/>
  <c r="D559" i="3"/>
  <c r="L559" i="3"/>
  <c r="D560" i="3"/>
  <c r="L560" i="3"/>
  <c r="D562" i="3"/>
  <c r="L562" i="3"/>
  <c r="D563" i="3"/>
  <c r="L563" i="3"/>
  <c r="L565" i="3"/>
  <c r="D566" i="3"/>
  <c r="B567" i="3"/>
  <c r="E567" i="3"/>
  <c r="D572" i="3"/>
  <c r="B572" i="3"/>
  <c r="E572" i="3"/>
  <c r="D577" i="3"/>
  <c r="E577" i="3"/>
  <c r="D578" i="3"/>
  <c r="E578" i="3"/>
  <c r="D579" i="3"/>
  <c r="E579" i="3"/>
  <c r="D580" i="3"/>
  <c r="E580" i="3"/>
  <c r="D581" i="3"/>
  <c r="E581" i="3"/>
  <c r="D582" i="3"/>
  <c r="E582" i="3"/>
  <c r="D583" i="3"/>
  <c r="E583" i="3"/>
  <c r="D586" i="3"/>
  <c r="E586" i="3"/>
  <c r="D587" i="3"/>
  <c r="E587" i="3"/>
  <c r="D588" i="3"/>
  <c r="E588" i="3"/>
  <c r="D589" i="3"/>
  <c r="E589" i="3"/>
  <c r="D590" i="3"/>
  <c r="E590" i="3"/>
  <c r="D591" i="3"/>
  <c r="E591" i="3"/>
  <c r="D595" i="3"/>
  <c r="E595" i="3"/>
  <c r="D596" i="3"/>
  <c r="E596" i="3"/>
  <c r="D597" i="3"/>
  <c r="E597" i="3"/>
  <c r="D598" i="3"/>
  <c r="E598" i="3"/>
  <c r="AD599" i="3"/>
  <c r="B599" i="3"/>
  <c r="E599" i="3"/>
  <c r="D612" i="3"/>
  <c r="E612" i="3"/>
  <c r="D613" i="3"/>
  <c r="E613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L612" i="3"/>
  <c r="E615" i="3"/>
  <c r="D619" i="3"/>
  <c r="E619" i="3"/>
  <c r="D620" i="3"/>
  <c r="E620" i="3"/>
  <c r="D621" i="3"/>
  <c r="E621" i="3"/>
  <c r="D622" i="3"/>
  <c r="E622" i="3"/>
  <c r="D626" i="3"/>
  <c r="E626" i="3"/>
  <c r="D627" i="3"/>
  <c r="E627" i="3"/>
  <c r="D628" i="3"/>
  <c r="E628" i="3"/>
  <c r="D629" i="3"/>
  <c r="E629" i="3"/>
  <c r="D632" i="3"/>
  <c r="E632" i="3"/>
  <c r="D633" i="3"/>
  <c r="E633" i="3"/>
  <c r="D634" i="3"/>
  <c r="E634" i="3"/>
  <c r="D635" i="3"/>
  <c r="B635" i="3"/>
  <c r="E635" i="3"/>
  <c r="D638" i="3"/>
  <c r="E638" i="3"/>
  <c r="D639" i="3"/>
  <c r="E639" i="3"/>
  <c r="D640" i="3"/>
  <c r="E640" i="3"/>
  <c r="D641" i="3"/>
  <c r="E641" i="3"/>
  <c r="D644" i="3"/>
  <c r="E644" i="3"/>
  <c r="D645" i="3"/>
  <c r="E645" i="3"/>
  <c r="D646" i="3"/>
  <c r="E646" i="3"/>
  <c r="D647" i="3"/>
  <c r="E647" i="3"/>
  <c r="D648" i="3"/>
  <c r="E648" i="3"/>
  <c r="D649" i="3"/>
  <c r="E649" i="3"/>
  <c r="D651" i="3"/>
  <c r="E651" i="3"/>
  <c r="D654" i="3"/>
  <c r="E654" i="3"/>
  <c r="D655" i="3"/>
  <c r="E655" i="3"/>
  <c r="D656" i="3"/>
  <c r="E656" i="3"/>
  <c r="D661" i="3"/>
  <c r="E661" i="3"/>
  <c r="D662" i="3"/>
  <c r="E662" i="3"/>
  <c r="D663" i="3"/>
  <c r="E663" i="3"/>
  <c r="D666" i="3"/>
  <c r="E666" i="3"/>
  <c r="D667" i="3"/>
  <c r="E667" i="3"/>
  <c r="D668" i="3"/>
  <c r="E668" i="3"/>
  <c r="D669" i="3"/>
  <c r="E669" i="3"/>
  <c r="D670" i="3"/>
  <c r="E670" i="3"/>
  <c r="D671" i="3"/>
  <c r="E671" i="3"/>
  <c r="D672" i="3"/>
  <c r="E672" i="3"/>
  <c r="D675" i="3"/>
  <c r="E675" i="3"/>
  <c r="D677" i="3"/>
  <c r="E677" i="3"/>
  <c r="D679" i="3"/>
  <c r="E679" i="3"/>
  <c r="D680" i="3"/>
  <c r="E680" i="3"/>
  <c r="D681" i="3"/>
  <c r="E681" i="3"/>
  <c r="D682" i="3"/>
  <c r="E682" i="3"/>
  <c r="E683" i="3"/>
  <c r="D685" i="3"/>
  <c r="E685" i="3"/>
  <c r="D686" i="3"/>
  <c r="E686" i="3"/>
  <c r="D687" i="3"/>
  <c r="E687" i="3"/>
  <c r="D717" i="3"/>
  <c r="E717" i="3"/>
  <c r="D718" i="3"/>
  <c r="E718" i="3"/>
  <c r="D715" i="3"/>
  <c r="D716" i="3"/>
  <c r="D719" i="3"/>
  <c r="B720" i="3"/>
  <c r="E720" i="3"/>
  <c r="E727" i="3"/>
  <c r="D728" i="3"/>
  <c r="E728" i="3"/>
  <c r="D729" i="3"/>
  <c r="E729" i="3"/>
  <c r="D730" i="3"/>
  <c r="E730" i="3"/>
  <c r="D732" i="3"/>
  <c r="E732" i="3"/>
  <c r="D733" i="3"/>
  <c r="E733" i="3"/>
  <c r="D734" i="3"/>
  <c r="E734" i="3"/>
  <c r="E735" i="3"/>
  <c r="D737" i="3"/>
  <c r="E737" i="3"/>
  <c r="D738" i="3"/>
  <c r="E738" i="3"/>
  <c r="D741" i="3"/>
  <c r="E741" i="3"/>
  <c r="D742" i="3"/>
  <c r="E742" i="3"/>
  <c r="D743" i="3"/>
  <c r="E743" i="3"/>
  <c r="M746" i="3"/>
  <c r="E746" i="3"/>
  <c r="M747" i="3"/>
  <c r="E747" i="3"/>
  <c r="M748" i="3"/>
  <c r="E748" i="3"/>
  <c r="M749" i="3"/>
  <c r="E749" i="3"/>
  <c r="M750" i="3"/>
  <c r="E750" i="3"/>
  <c r="M751" i="3"/>
  <c r="E751" i="3"/>
  <c r="M752" i="3"/>
  <c r="E752" i="3"/>
  <c r="M753" i="3"/>
  <c r="E753" i="3"/>
  <c r="M754" i="3"/>
  <c r="E754" i="3"/>
  <c r="M755" i="3"/>
  <c r="E755" i="3"/>
  <c r="M756" i="3"/>
  <c r="E756" i="3"/>
  <c r="M757" i="3"/>
  <c r="E757" i="3"/>
  <c r="M758" i="3"/>
  <c r="E758" i="3"/>
  <c r="M759" i="3"/>
  <c r="E759" i="3"/>
  <c r="M760" i="3"/>
  <c r="E760" i="3"/>
  <c r="M761" i="3"/>
  <c r="E761" i="3"/>
  <c r="M762" i="3"/>
  <c r="E762" i="3"/>
  <c r="M763" i="3"/>
  <c r="E763" i="3"/>
  <c r="M764" i="3"/>
  <c r="E764" i="3"/>
  <c r="M766" i="3"/>
  <c r="E766" i="3"/>
  <c r="M767" i="3"/>
  <c r="E767" i="3"/>
  <c r="M768" i="3"/>
  <c r="E768" i="3"/>
  <c r="M769" i="3"/>
  <c r="E769" i="3"/>
  <c r="M770" i="3"/>
  <c r="E770" i="3"/>
  <c r="M771" i="3"/>
  <c r="E771" i="3"/>
  <c r="M772" i="3"/>
  <c r="E772" i="3"/>
  <c r="M773" i="3"/>
  <c r="E773" i="3"/>
  <c r="M774" i="3"/>
  <c r="E774" i="3"/>
  <c r="M775" i="3"/>
  <c r="E775" i="3"/>
  <c r="M776" i="3"/>
  <c r="E776" i="3"/>
  <c r="M777" i="3"/>
  <c r="E777" i="3"/>
  <c r="M778" i="3"/>
  <c r="E778" i="3"/>
  <c r="M779" i="3"/>
  <c r="E779" i="3"/>
  <c r="M780" i="3"/>
  <c r="E780" i="3"/>
  <c r="M781" i="3"/>
  <c r="E781" i="3"/>
  <c r="M782" i="3"/>
  <c r="E782" i="3"/>
  <c r="M783" i="3"/>
  <c r="E783" i="3"/>
  <c r="M784" i="3"/>
  <c r="E784" i="3"/>
  <c r="M785" i="3"/>
  <c r="E785" i="3"/>
  <c r="M786" i="3"/>
  <c r="E786" i="3"/>
  <c r="M787" i="3"/>
  <c r="E787" i="3"/>
  <c r="M788" i="3"/>
  <c r="E788" i="3"/>
  <c r="M789" i="3"/>
  <c r="E789" i="3"/>
  <c r="M790" i="3"/>
  <c r="E790" i="3"/>
  <c r="M791" i="3"/>
  <c r="E791" i="3"/>
  <c r="M792" i="3"/>
  <c r="E792" i="3"/>
  <c r="M793" i="3"/>
  <c r="E793" i="3"/>
  <c r="M794" i="3"/>
  <c r="E794" i="3"/>
  <c r="M795" i="3"/>
  <c r="E795" i="3"/>
  <c r="M796" i="3"/>
  <c r="E796" i="3"/>
  <c r="M797" i="3"/>
  <c r="E797" i="3"/>
  <c r="M798" i="3"/>
  <c r="E798" i="3"/>
  <c r="M799" i="3"/>
  <c r="E799" i="3"/>
  <c r="M800" i="3"/>
  <c r="E800" i="3"/>
  <c r="M801" i="3"/>
  <c r="E801" i="3"/>
  <c r="M802" i="3"/>
  <c r="E802" i="3"/>
  <c r="M803" i="3"/>
  <c r="E803" i="3"/>
  <c r="M804" i="3"/>
  <c r="E804" i="3"/>
  <c r="M805" i="3"/>
  <c r="E805" i="3"/>
  <c r="M806" i="3"/>
  <c r="E806" i="3"/>
  <c r="M807" i="3"/>
  <c r="E807" i="3"/>
  <c r="M808" i="3"/>
  <c r="E808" i="3"/>
  <c r="M809" i="3"/>
  <c r="E809" i="3"/>
  <c r="E810" i="3"/>
  <c r="E833" i="3"/>
  <c r="D836" i="3"/>
  <c r="E836" i="3"/>
  <c r="D837" i="3"/>
  <c r="E837" i="3"/>
  <c r="D838" i="3"/>
  <c r="E838" i="3"/>
  <c r="D839" i="3"/>
  <c r="E839" i="3"/>
  <c r="D841" i="3"/>
  <c r="E841" i="3"/>
  <c r="D691" i="3"/>
  <c r="D692" i="3"/>
  <c r="B692" i="3"/>
  <c r="D693" i="3"/>
  <c r="B693" i="3"/>
  <c r="D694" i="3"/>
  <c r="B694" i="3"/>
  <c r="D695" i="3"/>
  <c r="B695" i="3"/>
  <c r="D696" i="3"/>
  <c r="B696" i="3"/>
  <c r="D697" i="3"/>
  <c r="B697" i="3"/>
  <c r="D698" i="3"/>
  <c r="B698" i="3"/>
  <c r="D699" i="3"/>
  <c r="B699" i="3"/>
  <c r="D700" i="3"/>
  <c r="B700" i="3"/>
  <c r="D701" i="3"/>
  <c r="B701" i="3"/>
  <c r="D702" i="3"/>
  <c r="B702" i="3"/>
  <c r="D703" i="3"/>
  <c r="B703" i="3"/>
  <c r="B704" i="3"/>
  <c r="D705" i="3"/>
  <c r="D706" i="3"/>
  <c r="B706" i="3"/>
  <c r="D707" i="3"/>
  <c r="L595" i="3"/>
  <c r="L596" i="3"/>
  <c r="L666" i="3"/>
  <c r="L667" i="3"/>
  <c r="L668" i="3"/>
  <c r="D709" i="3"/>
  <c r="D710" i="3"/>
  <c r="N711" i="3"/>
  <c r="D711" i="3"/>
  <c r="E846" i="3"/>
  <c r="D847" i="3"/>
  <c r="A847" i="3"/>
  <c r="E847" i="3"/>
  <c r="P138" i="3"/>
  <c r="P139" i="3"/>
  <c r="P140" i="3"/>
  <c r="P141" i="3"/>
  <c r="P447" i="3"/>
  <c r="P449" i="3"/>
  <c r="P450" i="3"/>
  <c r="P451" i="3"/>
  <c r="P452" i="3"/>
  <c r="P453" i="3"/>
  <c r="O447" i="3"/>
  <c r="P460" i="3"/>
  <c r="P472" i="3"/>
  <c r="P873" i="3"/>
  <c r="O138" i="3"/>
  <c r="O139" i="3"/>
  <c r="O140" i="3"/>
  <c r="O141" i="3"/>
  <c r="O148" i="3"/>
  <c r="O149" i="3"/>
  <c r="O150" i="3"/>
  <c r="O151" i="3"/>
  <c r="O152" i="3"/>
  <c r="O194" i="3"/>
  <c r="O195" i="3"/>
  <c r="O196" i="3"/>
  <c r="O203" i="3"/>
  <c r="O204" i="3"/>
  <c r="O206" i="3"/>
  <c r="O213" i="3"/>
  <c r="O214" i="3"/>
  <c r="O215" i="3"/>
  <c r="O216" i="3"/>
  <c r="O217" i="3"/>
  <c r="O223" i="3"/>
  <c r="O224" i="3"/>
  <c r="O225" i="3"/>
  <c r="O226" i="3"/>
  <c r="O227" i="3"/>
  <c r="O460" i="3"/>
  <c r="O472" i="3"/>
  <c r="O873" i="3"/>
  <c r="P889" i="3"/>
  <c r="D848" i="3"/>
  <c r="E848" i="3"/>
  <c r="D849" i="3"/>
  <c r="E849" i="3"/>
  <c r="E850" i="3"/>
  <c r="E851" i="3"/>
  <c r="D852" i="3"/>
  <c r="E852" i="3"/>
  <c r="E853" i="3"/>
  <c r="E859" i="3"/>
  <c r="E860" i="3"/>
  <c r="E861" i="3"/>
  <c r="E862" i="3"/>
  <c r="E865" i="3"/>
  <c r="E866" i="3"/>
  <c r="B870" i="3"/>
  <c r="E870" i="3"/>
  <c r="E871" i="3"/>
  <c r="D873" i="3"/>
  <c r="E873" i="3"/>
  <c r="E867" i="3"/>
  <c r="E875" i="3"/>
  <c r="D876" i="3"/>
  <c r="E876" i="3"/>
  <c r="E878" i="3"/>
  <c r="E884" i="3"/>
  <c r="G901" i="3"/>
  <c r="G902" i="3"/>
  <c r="G903" i="3"/>
  <c r="G904" i="3"/>
  <c r="G905" i="3"/>
  <c r="G906" i="3"/>
  <c r="F1054" i="3"/>
  <c r="D1054" i="3"/>
  <c r="E1054" i="3"/>
  <c r="F1053" i="3"/>
  <c r="D1053" i="3"/>
  <c r="E1053" i="3"/>
  <c r="F1052" i="3"/>
  <c r="D1052" i="3"/>
  <c r="E1052" i="3"/>
  <c r="F1051" i="3"/>
  <c r="D1051" i="3"/>
  <c r="E1051" i="3"/>
  <c r="F1050" i="3"/>
  <c r="D1050" i="3"/>
  <c r="E1050" i="3"/>
  <c r="F1049" i="3"/>
  <c r="D1049" i="3"/>
  <c r="E1049" i="3"/>
  <c r="F1048" i="3"/>
  <c r="D1048" i="3"/>
  <c r="E1048" i="3"/>
  <c r="F1047" i="3"/>
  <c r="D1047" i="3"/>
  <c r="E1047" i="3"/>
  <c r="F1046" i="3"/>
  <c r="D1046" i="3"/>
  <c r="E1046" i="3"/>
  <c r="F1045" i="3"/>
  <c r="D1045" i="3"/>
  <c r="E1045" i="3"/>
  <c r="F1044" i="3"/>
  <c r="E1044" i="3"/>
  <c r="A1028" i="3"/>
  <c r="B1028" i="3"/>
  <c r="F1024" i="3"/>
  <c r="B1029" i="3"/>
  <c r="F1029" i="3"/>
  <c r="B1030" i="3"/>
  <c r="F1030" i="3"/>
  <c r="D1032" i="3"/>
  <c r="F1032" i="3"/>
  <c r="A1023" i="3"/>
  <c r="A1036" i="3"/>
  <c r="B1027" i="3"/>
  <c r="B1036" i="3"/>
  <c r="F1036" i="3"/>
  <c r="A1037" i="3"/>
  <c r="B1037" i="3"/>
  <c r="F1037" i="3"/>
  <c r="A1038" i="3"/>
  <c r="B1038" i="3"/>
  <c r="F1038" i="3"/>
  <c r="A1039" i="3"/>
  <c r="B1039" i="3"/>
  <c r="F1039" i="3"/>
  <c r="A1040" i="3"/>
  <c r="B1040" i="3"/>
  <c r="F1040" i="3"/>
  <c r="F1041" i="3"/>
  <c r="I1040" i="3"/>
  <c r="J1041" i="3"/>
  <c r="D1024" i="3"/>
  <c r="E1024" i="3"/>
  <c r="D1029" i="3"/>
  <c r="E1029" i="3"/>
  <c r="D1030" i="3"/>
  <c r="E1030" i="3"/>
  <c r="E1032" i="3"/>
  <c r="D1036" i="3"/>
  <c r="E1036" i="3"/>
  <c r="D1037" i="3"/>
  <c r="E1037" i="3"/>
  <c r="D1038" i="3"/>
  <c r="E1038" i="3"/>
  <c r="D1039" i="3"/>
  <c r="E1039" i="3"/>
  <c r="D1040" i="3"/>
  <c r="E1040" i="3"/>
  <c r="E1041" i="3"/>
  <c r="H1041" i="3"/>
  <c r="I1041" i="3"/>
  <c r="B1034" i="3"/>
  <c r="A1019" i="3"/>
  <c r="D964" i="3"/>
  <c r="E964" i="3"/>
  <c r="F964" i="3"/>
  <c r="G964" i="3"/>
  <c r="H964" i="3"/>
  <c r="E891" i="3"/>
  <c r="B911" i="3"/>
  <c r="F920" i="3"/>
  <c r="F938" i="3"/>
  <c r="F937" i="3"/>
  <c r="AO936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D923" i="3"/>
  <c r="E923" i="3"/>
  <c r="F923" i="3"/>
  <c r="D922" i="3"/>
  <c r="F922" i="3"/>
  <c r="D921" i="3"/>
  <c r="F921" i="3"/>
  <c r="AQ913" i="3"/>
  <c r="AP914" i="3"/>
  <c r="AQ914" i="3"/>
  <c r="AP915" i="3"/>
  <c r="AQ915" i="3"/>
  <c r="AP916" i="3"/>
  <c r="AQ916" i="3"/>
  <c r="AP917" i="3"/>
  <c r="AQ917" i="3"/>
  <c r="AP918" i="3"/>
  <c r="AQ918" i="3"/>
  <c r="AQ920" i="3"/>
  <c r="B912" i="3"/>
  <c r="L860" i="3"/>
  <c r="L862" i="3"/>
  <c r="L863" i="3"/>
  <c r="B910" i="3"/>
  <c r="D909" i="3"/>
  <c r="B909" i="3"/>
  <c r="L906" i="3"/>
  <c r="L905" i="3"/>
  <c r="L904" i="3"/>
  <c r="L903" i="3"/>
  <c r="L902" i="3"/>
  <c r="L901" i="3"/>
  <c r="L900" i="3"/>
  <c r="E885" i="3"/>
  <c r="E886" i="3"/>
  <c r="E892" i="3"/>
  <c r="C894" i="3"/>
  <c r="D889" i="3"/>
  <c r="B877" i="3"/>
  <c r="D871" i="3"/>
  <c r="A871" i="3"/>
  <c r="D870" i="3"/>
  <c r="M860" i="3"/>
  <c r="M862" i="3"/>
  <c r="N863" i="3"/>
  <c r="M863" i="3"/>
  <c r="N860" i="3"/>
  <c r="N862" i="3"/>
  <c r="J862" i="3"/>
  <c r="M861" i="3"/>
  <c r="L861" i="3"/>
  <c r="E857" i="3"/>
  <c r="D856" i="3"/>
  <c r="E856" i="3"/>
  <c r="D853" i="3"/>
  <c r="D851" i="3"/>
  <c r="D850" i="3"/>
  <c r="B835" i="3"/>
  <c r="L839" i="3"/>
  <c r="L838" i="3"/>
  <c r="L837" i="3"/>
  <c r="L836" i="3"/>
  <c r="L835" i="3"/>
  <c r="D826" i="3"/>
  <c r="D816" i="3"/>
  <c r="D815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M765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N746" i="3"/>
  <c r="L746" i="3"/>
  <c r="N745" i="3"/>
  <c r="C743" i="3"/>
  <c r="C742" i="3"/>
  <c r="D708" i="3"/>
  <c r="D704" i="3"/>
  <c r="AM669" i="3"/>
  <c r="AM668" i="3"/>
  <c r="H668" i="3"/>
  <c r="AM667" i="3"/>
  <c r="H667" i="3"/>
  <c r="AM666" i="3"/>
  <c r="H666" i="3"/>
  <c r="C656" i="3"/>
  <c r="C655" i="3"/>
  <c r="C654" i="3"/>
  <c r="D599" i="3"/>
  <c r="C598" i="3"/>
  <c r="L597" i="3"/>
  <c r="C597" i="3"/>
  <c r="C596" i="3"/>
  <c r="C595" i="3"/>
  <c r="C574" i="3"/>
  <c r="B574" i="3"/>
  <c r="D500" i="3"/>
  <c r="N462" i="3"/>
  <c r="N461" i="3"/>
  <c r="C461" i="3"/>
  <c r="D460" i="3"/>
  <c r="C460" i="3"/>
  <c r="C459" i="3"/>
  <c r="C458" i="3"/>
  <c r="C457" i="3"/>
  <c r="C456" i="3"/>
  <c r="C455" i="3"/>
  <c r="D454" i="3"/>
  <c r="C454" i="3"/>
  <c r="C453" i="3"/>
  <c r="C452" i="3"/>
  <c r="C451" i="3"/>
  <c r="C450" i="3"/>
  <c r="C449" i="3"/>
  <c r="C448" i="3"/>
  <c r="C447" i="3"/>
  <c r="D443" i="3"/>
  <c r="D442" i="3"/>
  <c r="D441" i="3"/>
  <c r="D440" i="3"/>
  <c r="D382" i="3"/>
  <c r="D323" i="3"/>
  <c r="D318" i="3"/>
  <c r="D317" i="3"/>
  <c r="D134" i="3"/>
  <c r="D133" i="3"/>
  <c r="B77" i="3"/>
  <c r="D76" i="3"/>
  <c r="D50" i="3"/>
  <c r="D49" i="3"/>
  <c r="D23" i="3"/>
  <c r="C23" i="3"/>
  <c r="D22" i="3"/>
  <c r="C22" i="3"/>
  <c r="C2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Goodie</author>
    <author>matt</author>
    <author>matt goodie</author>
    <author>Ben</author>
  </authors>
  <commentList>
    <comment ref="N6" authorId="0" shapeId="0" xr:uid="{51F1D708-14AD-4EC2-8104-7006414E5973}">
      <text>
        <r>
          <rPr>
            <b/>
            <sz val="9"/>
            <color indexed="81"/>
            <rFont val="Tahoma"/>
            <family val="2"/>
          </rPr>
          <t>Matt Goodie:</t>
        </r>
        <r>
          <rPr>
            <sz val="9"/>
            <color indexed="81"/>
            <rFont val="Tahoma"/>
            <family val="2"/>
          </rPr>
          <t xml:space="preserve">
Formula for round hole Half Dia x Half Dia x 3.146 x depth
l</t>
        </r>
      </text>
    </comment>
    <comment ref="P7" authorId="0" shapeId="0" xr:uid="{43B7338F-914D-4414-9B97-A91C285E4E06}">
      <text>
        <r>
          <rPr>
            <b/>
            <sz val="9"/>
            <color indexed="81"/>
            <rFont val="Tahoma"/>
            <family val="2"/>
          </rPr>
          <t>Matt Goodie:</t>
        </r>
        <r>
          <rPr>
            <sz val="9"/>
            <color indexed="81"/>
            <rFont val="Tahoma"/>
            <family val="2"/>
          </rPr>
          <t xml:space="preserve">
450x 450 x 800 deep</t>
        </r>
      </text>
    </comment>
    <comment ref="C45" authorId="0" shapeId="0" xr:uid="{ABC812AD-98DE-46CE-A775-F29C28246F40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To lift decking and install post to the deck or splice the post for the connection DON’T FORGET TO REMOVE &amp; REPLACE RAIL</t>
        </r>
      </text>
    </comment>
    <comment ref="C46" authorId="0" shapeId="0" xr:uid="{D109CFD3-04B2-4C49-9DEC-AEA347B4CCFF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allow 1 for every rail to be removed &amp; Replaced</t>
        </r>
      </text>
    </comment>
    <comment ref="C87" authorId="1" shapeId="0" xr:uid="{BCB39CAF-8D2A-45DB-BE50-3E1757607045}">
      <text>
        <r>
          <rPr>
            <b/>
            <sz val="8"/>
            <color indexed="81"/>
            <rFont val="Tahoma"/>
            <family val="2"/>
          </rPr>
          <t>matt:</t>
        </r>
        <r>
          <rPr>
            <sz val="8"/>
            <color indexed="81"/>
            <rFont val="Tahoma"/>
            <family val="2"/>
          </rPr>
          <t xml:space="preserve">
Included in this price is
1 stirrup
1 cypress post
1 column
2 Pencil round rings</t>
        </r>
      </text>
    </comment>
    <comment ref="C120" authorId="1" shapeId="0" xr:uid="{8C6CAAE7-5EA8-40DF-A376-882779E1AFB6}">
      <text>
        <r>
          <rPr>
            <b/>
            <sz val="8"/>
            <color indexed="81"/>
            <rFont val="Tahoma"/>
            <family val="2"/>
          </rPr>
          <t xml:space="preserve">matt:
</t>
        </r>
        <r>
          <rPr>
            <b/>
            <sz val="8"/>
            <color indexed="10"/>
            <rFont val="Tahoma"/>
            <family val="2"/>
          </rPr>
          <t xml:space="preserve">Free standing project
</t>
        </r>
        <r>
          <rPr>
            <sz val="8"/>
            <color indexed="81"/>
            <rFont val="Tahoma"/>
            <family val="2"/>
          </rPr>
          <t xml:space="preserve">
This labour componant is applied when we are constructing a free standing project we take the longest outside  main beam length and apply it 
</t>
        </r>
        <r>
          <rPr>
            <b/>
            <sz val="8"/>
            <color indexed="10"/>
            <rFont val="Tahoma"/>
            <family val="2"/>
          </rPr>
          <t xml:space="preserve">BELL ROOF APPLICATION
</t>
        </r>
        <r>
          <rPr>
            <sz val="8"/>
            <color indexed="81"/>
            <rFont val="Tahoma"/>
            <family val="2"/>
          </rPr>
          <t>We apply the length of the 2 internal main beams</t>
        </r>
      </text>
    </comment>
    <comment ref="C129" authorId="2" shapeId="0" xr:uid="{43A4F824-C7D9-42BF-B3BC-505643F8E08C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when installing a box spout allow a rainhead when possible for better drainage</t>
        </r>
      </text>
    </comment>
    <comment ref="C190" authorId="2" shapeId="0" xr:uid="{DC308352-5A27-472C-94E8-49E10E8AC6F5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Tie beam length is wideth of the project subtract 600mm
Tie beam sizes are 100 x 50 on projects below 3.6m wide and 150 x 50 for projects over 3.6m</t>
        </r>
      </text>
    </comment>
    <comment ref="C221" authorId="2" shapeId="0" xr:uid="{110A0803-AF70-4B98-B5F3-7D0F846732C4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end span max is 900mm
mid span max is 1200mm
SEE SCHEDULE</t>
        </r>
      </text>
    </comment>
    <comment ref="C257" authorId="2" shapeId="0" xr:uid="{114211C8-A51E-49CB-8C10-B0D7BACFF1DA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this a/c sheeting is always allicated when the project buts up the garage or when the client wants the end of the gable to be water proof</t>
        </r>
      </text>
    </comment>
    <comment ref="C271" authorId="1" shapeId="0" xr:uid="{8CD18945-EB3A-4171-AAF2-87535B0CE66D}">
      <text>
        <r>
          <rPr>
            <b/>
            <sz val="8"/>
            <color indexed="81"/>
            <rFont val="Tahoma"/>
            <family val="2"/>
          </rPr>
          <t>matt:</t>
        </r>
        <r>
          <rPr>
            <sz val="8"/>
            <color indexed="81"/>
            <rFont val="Tahoma"/>
            <family val="2"/>
          </rPr>
          <t xml:space="preserve">
Calculate lineal metre of product width /.2 max length of product is 4.2</t>
        </r>
      </text>
    </comment>
    <comment ref="C275" authorId="0" shapeId="0" xr:uid="{9114952B-7D87-443A-94A7-5292296EC99C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Includes 75 x 45 dropper
Cement sheet endfill on the back
Weather boards being primed
190 x 32 primed fascia baord on the outside</t>
        </r>
      </text>
    </comment>
    <comment ref="C312" authorId="2" shapeId="0" xr:uid="{B149D7B9-7369-4DD7-A8E5-6DEEA4C387F6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when joining spouting allow 300mm per join</t>
        </r>
      </text>
    </comment>
    <comment ref="C363" authorId="0" shapeId="0" xr:uid="{5C9FBDC8-6E9E-4906-9396-37B346940412}">
      <text>
        <r>
          <rPr>
            <sz val="8"/>
            <color indexed="81"/>
            <rFont val="Tahoma"/>
            <family val="2"/>
          </rPr>
          <t xml:space="preserve">
Girth is the total width of materia
Number of folds is how many times the metal needs to be bent</t>
        </r>
      </text>
    </comment>
    <comment ref="C399" authorId="0" shapeId="0" xr:uid="{BDA0FDD1-8EC5-4A2A-86A3-36F766CAA399}">
      <text>
        <r>
          <rPr>
            <b/>
            <sz val="8"/>
            <color indexed="81"/>
            <rFont val="Tahoma"/>
            <family val="2"/>
          </rPr>
          <t xml:space="preserve">This price includes 
</t>
        </r>
        <r>
          <rPr>
            <sz val="8"/>
            <color indexed="81"/>
            <rFont val="Tahoma"/>
            <family val="2"/>
          </rPr>
          <t xml:space="preserve">
1 minimum hire of excurvator
1 6m bin hire
1 cubic metre of rock
1 Delivery fee for rock
4 hours of labour 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C415" authorId="1" shapeId="0" xr:uid="{88A468FA-FCD4-4301-BA0F-787B05D9F6F6}">
      <text>
        <r>
          <rPr>
            <b/>
            <sz val="8"/>
            <color indexed="81"/>
            <rFont val="Tahoma"/>
            <family val="2"/>
          </rPr>
          <t>matt:</t>
        </r>
        <r>
          <rPr>
            <sz val="8"/>
            <color indexed="81"/>
            <rFont val="Tahoma"/>
            <family val="2"/>
          </rPr>
          <t xml:space="preserve">
Colours availiable 
Black
White
Primrose</t>
        </r>
      </text>
    </comment>
    <comment ref="C427" authorId="1" shapeId="0" xr:uid="{BE9F56D5-8393-4298-8C35-EEBBE58745E7}">
      <text>
        <r>
          <rPr>
            <b/>
            <sz val="8"/>
            <color indexed="81"/>
            <rFont val="Tahoma"/>
            <family val="2"/>
          </rPr>
          <t>matt:</t>
        </r>
        <r>
          <rPr>
            <sz val="8"/>
            <color indexed="81"/>
            <rFont val="Tahoma"/>
            <family val="2"/>
          </rPr>
          <t xml:space="preserve">
Colours are Smooth cream &amp; Surfmist</t>
        </r>
      </text>
    </comment>
    <comment ref="C429" authorId="2" shapeId="0" xr:uid="{93BE2DEF-0315-4363-BA05-60092F251022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this calculation is ,762mm x( length of the sheet +400mm)
Bullnose roofs the client can exspect 2 to 3 weeks delay from frame to roof installation due to the delays in making the sheet and which state it comes from</t>
        </r>
      </text>
    </comment>
    <comment ref="C430" authorId="2" shapeId="0" xr:uid="{66ECF485-7168-4DBA-B8F1-7A7228DD596D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Allow this roll charge per bull nose sheet</t>
        </r>
      </text>
    </comment>
    <comment ref="C464" authorId="2" shapeId="0" xr:uid="{06A55007-24D1-4C94-9355-E057C2DF43A1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Shade clothe labour calculation =  length x widethof the shade cloth size
Always add 500mm of shade clothe to the length for pull it tight</t>
        </r>
      </text>
    </comment>
    <comment ref="C516" authorId="0" shapeId="0" xr:uid="{D08CB815-8683-42D9-82B3-60A5AB7B7408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Includes
90 x 45 trenched frame
90 x 19 murbua with a gap no bigger then 25 mm</t>
        </r>
      </text>
    </comment>
    <comment ref="C523" authorId="0" shapeId="0" xr:uid="{78BDC902-864A-43B2-B5B2-54B3CBECACEF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Includes
90 x 45 trenched frame
90 x 19 murbua with a gap no bigger then 25 mm</t>
        </r>
      </text>
    </comment>
    <comment ref="C529" authorId="2" shapeId="0" xr:uid="{AD084959-5872-4100-9E65-7BCBD3BD4FF1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pink primed frete work is only availible in 5.4 m lengths</t>
        </r>
      </text>
    </comment>
    <comment ref="C540" authorId="0" shapeId="0" xr:uid="{238A8644-E0F3-4D4B-9F3B-496C3C72EFB3}">
      <text>
        <r>
          <rPr>
            <b/>
            <sz val="8"/>
            <color indexed="81"/>
            <rFont val="Tahoma"/>
            <family val="2"/>
          </rPr>
          <t>Matt Goodie:</t>
        </r>
        <r>
          <rPr>
            <sz val="8"/>
            <color indexed="81"/>
            <rFont val="Tahoma"/>
            <family val="2"/>
          </rPr>
          <t xml:space="preserve">
Divide the width by 125 mm and battoning out</t>
        </r>
      </text>
    </comment>
    <comment ref="C576" authorId="1" shapeId="0" xr:uid="{B3ABF7EF-F133-49BF-8EB2-D7484317967D}">
      <text>
        <r>
          <rPr>
            <b/>
            <sz val="8"/>
            <color indexed="81"/>
            <rFont val="Tahoma"/>
            <family val="2"/>
          </rPr>
          <t>matt:</t>
        </r>
        <r>
          <rPr>
            <sz val="8"/>
            <color indexed="81"/>
            <rFont val="Tahoma"/>
            <family val="2"/>
          </rPr>
          <t xml:space="preserve">
Stud wall includes
Top &amp; Bottom plate
Studs at 450 centres
Nogan in middle</t>
        </r>
      </text>
    </comment>
    <comment ref="C594" authorId="3" shapeId="0" xr:uid="{E928BBDF-B192-433B-AC17-BA73FAE8E31D}">
      <text>
        <r>
          <rPr>
            <b/>
            <sz val="9"/>
            <color indexed="81"/>
            <rFont val="Tahoma"/>
            <family val="2"/>
          </rPr>
          <t>Ben:</t>
        </r>
        <r>
          <rPr>
            <sz val="9"/>
            <color indexed="81"/>
            <rFont val="Tahoma"/>
            <family val="2"/>
          </rPr>
          <t xml:space="preserve">
Wall lm includes:
Stud frame
16mm Fire Check
Duragrove Cladding (External Only)
Cap flashing
*NOTE Please select internal cladding,
i.e. Plaster, Villa board, etc</t>
        </r>
      </text>
    </comment>
    <comment ref="C812" authorId="0" shapeId="0" xr:uid="{C5E64091-E738-4519-932F-E34C70B772CE}">
      <text>
        <r>
          <rPr>
            <b/>
            <sz val="9"/>
            <color indexed="81"/>
            <rFont val="Tahoma"/>
            <family val="2"/>
          </rPr>
          <t>Matt Goodie:</t>
        </r>
        <r>
          <rPr>
            <sz val="9"/>
            <color indexed="81"/>
            <rFont val="Tahoma"/>
            <family val="2"/>
          </rPr>
          <t xml:space="preserve">
Min Hire $660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</author>
    <author>construction</author>
    <author>matt</author>
  </authors>
  <commentList>
    <comment ref="B374" authorId="0" shapeId="0" xr:uid="{FC4D003F-56BC-4249-8A5E-7A77EB9F469C}">
      <text>
        <r>
          <rPr>
            <b/>
            <sz val="9"/>
            <color indexed="81"/>
            <rFont val="Tahoma"/>
            <family val="2"/>
          </rPr>
          <t>Ben:</t>
        </r>
        <r>
          <rPr>
            <sz val="9"/>
            <color indexed="81"/>
            <rFont val="Tahoma"/>
            <family val="2"/>
          </rPr>
          <t xml:space="preserve">
Wall Consists of:
90 x 45mm Stud Frame
16mm Fire Check Plaster
6mm Blueboard (External)
Cap Flashing
*Note Internal Wall Cladding not included.</t>
        </r>
      </text>
    </comment>
    <comment ref="I700" authorId="1" shapeId="0" xr:uid="{B76EFAF3-73CE-4419-A24D-B00FAB6250F8}">
      <text>
        <r>
          <rPr>
            <b/>
            <sz val="8"/>
            <color indexed="81"/>
            <rFont val="Tahoma"/>
            <family val="2"/>
          </rPr>
          <t>construction:</t>
        </r>
        <r>
          <rPr>
            <sz val="8"/>
            <color indexed="81"/>
            <rFont val="Tahoma"/>
            <family val="2"/>
          </rPr>
          <t xml:space="preserve">
coloured price 18.7</t>
        </r>
      </text>
    </comment>
    <comment ref="C737" authorId="2" shapeId="0" xr:uid="{BB065C0E-3B30-4B6D-9A20-D99781C5BC9F}">
      <text>
        <r>
          <rPr>
            <b/>
            <sz val="8"/>
            <color indexed="81"/>
            <rFont val="Tahoma"/>
            <family val="2"/>
          </rPr>
          <t>matt:</t>
        </r>
      </text>
    </comment>
  </commentList>
</comments>
</file>

<file path=xl/sharedStrings.xml><?xml version="1.0" encoding="utf-8"?>
<sst xmlns="http://schemas.openxmlformats.org/spreadsheetml/2006/main" count="2139" uniqueCount="1821">
  <si>
    <t>Markup</t>
  </si>
  <si>
    <t xml:space="preserve"> </t>
  </si>
  <si>
    <t>Standard</t>
  </si>
  <si>
    <t>FOOTINGS</t>
  </si>
  <si>
    <t>Hand dig</t>
  </si>
  <si>
    <t>Concrete calculation</t>
  </si>
  <si>
    <t>Soil Calc</t>
  </si>
  <si>
    <r>
      <t xml:space="preserve">Bagged Concrete </t>
    </r>
    <r>
      <rPr>
        <sz val="9"/>
        <color indexed="10"/>
        <rFont val="Arial"/>
        <family val="2"/>
      </rPr>
      <t xml:space="preserve">                                                3 bags</t>
    </r>
    <r>
      <rPr>
        <b/>
        <sz val="9"/>
        <color indexed="10"/>
        <rFont val="Arial"/>
        <family val="2"/>
      </rPr>
      <t xml:space="preserve"> per hole</t>
    </r>
  </si>
  <si>
    <t>800 x 450  square</t>
  </si>
  <si>
    <t>m3</t>
  </si>
  <si>
    <t>1000 x 450 round</t>
  </si>
  <si>
    <r>
      <t xml:space="preserve">Footings for Post </t>
    </r>
    <r>
      <rPr>
        <sz val="9"/>
        <color indexed="10"/>
        <rFont val="Arial"/>
        <family val="2"/>
      </rPr>
      <t xml:space="preserve">                               </t>
    </r>
    <r>
      <rPr>
        <sz val="9"/>
        <rFont val="Arial"/>
        <family val="2"/>
      </rPr>
      <t xml:space="preserve">       450 x 450 x   800 Deep (100 mm pad)</t>
    </r>
  </si>
  <si>
    <t>1200 x 450 round</t>
  </si>
  <si>
    <t>Footings for Brick Pier                               600 x 600 x   800 Deep (100 mm pad)</t>
  </si>
  <si>
    <t>1500 x 450 round</t>
  </si>
  <si>
    <t>Machine dig</t>
  </si>
  <si>
    <t>1800 x 450 round</t>
  </si>
  <si>
    <r>
      <t xml:space="preserve">Footings for Post </t>
    </r>
    <r>
      <rPr>
        <sz val="9"/>
        <color indexed="10"/>
        <rFont val="Arial"/>
        <family val="2"/>
      </rPr>
      <t xml:space="preserve">                               </t>
    </r>
    <r>
      <rPr>
        <sz val="9"/>
        <rFont val="Arial"/>
        <family val="2"/>
      </rPr>
      <t xml:space="preserve">       450 x 450 x 1000 Deep (100 mm pad)</t>
    </r>
  </si>
  <si>
    <t>2000 x 450 round</t>
  </si>
  <si>
    <t>Footings for Post                                       450 x 450 x 1200 Deep (100 mm pad)</t>
  </si>
  <si>
    <t>600 x 600 x 800</t>
  </si>
  <si>
    <t>Footings for Post                                       450 x 450 x 1500 Deep (100 mm pad)</t>
  </si>
  <si>
    <t>Footings for Post                                       450 x 450 x 2000 Deep (100 mm pad)</t>
  </si>
  <si>
    <r>
      <t xml:space="preserve">Readymix concrete price per Cubic Metre           </t>
    </r>
    <r>
      <rPr>
        <b/>
        <sz val="9"/>
        <color indexed="10"/>
        <rFont val="Arial"/>
        <family val="2"/>
      </rPr>
      <t xml:space="preserve"> (No Labour Component)</t>
    </r>
  </si>
  <si>
    <t>Total Concretre</t>
  </si>
  <si>
    <t>Total combined concrete</t>
  </si>
  <si>
    <t>Soil calculator and labour to put in supplied bin m3</t>
  </si>
  <si>
    <t>Stirrups &amp; Extenda brackets</t>
  </si>
  <si>
    <t xml:space="preserve">Post Surport Installed - Bolt Down sandle H/Duty </t>
  </si>
  <si>
    <t xml:space="preserve">Post stirrup Installed  - Cyclone  600 leg  </t>
  </si>
  <si>
    <t xml:space="preserve">Post Stirrup Installed - 90-110-125mm X 125mm leg  </t>
  </si>
  <si>
    <t>Post Stirrup installed  90-110-125mm X 500mm leg</t>
  </si>
  <si>
    <t>Extenda Bracket  Installed - 420 to 480 Gal  include the boot</t>
  </si>
  <si>
    <r>
      <t xml:space="preserve">Stirrups  in ground                                                    </t>
    </r>
    <r>
      <rPr>
        <b/>
        <sz val="9"/>
        <color indexed="10"/>
        <rFont val="Arial"/>
        <family val="2"/>
      </rPr>
      <t xml:space="preserve">90 x 600 mm </t>
    </r>
  </si>
  <si>
    <r>
      <t xml:space="preserve">Bolt down stirrups                                                    </t>
    </r>
    <r>
      <rPr>
        <b/>
        <sz val="9"/>
        <color indexed="10"/>
        <rFont val="Arial"/>
        <family val="2"/>
      </rPr>
      <t xml:space="preserve">90 x 125 mm </t>
    </r>
  </si>
  <si>
    <t>Post support bolt down 90 mm</t>
  </si>
  <si>
    <t>Post connection to existing deck or post</t>
  </si>
  <si>
    <r>
      <t xml:space="preserve">Remove and replace handrail                              </t>
    </r>
    <r>
      <rPr>
        <b/>
        <sz val="9"/>
        <color indexed="10"/>
        <rFont val="Arial"/>
        <family val="2"/>
      </rPr>
      <t>Per Rail</t>
    </r>
  </si>
  <si>
    <t>Engineered Footing System</t>
  </si>
  <si>
    <r>
      <t xml:space="preserve">Surefoot </t>
    </r>
    <r>
      <rPr>
        <b/>
        <sz val="9"/>
        <color rgb="FFFF0000"/>
        <rFont val="Arial"/>
        <family val="2"/>
      </rPr>
      <t>each</t>
    </r>
  </si>
  <si>
    <t>Engineering for Surefoot</t>
  </si>
  <si>
    <t>Delivery Metro</t>
  </si>
  <si>
    <t>POSTS</t>
  </si>
  <si>
    <t>Timber</t>
  </si>
  <si>
    <t>F5 Cypress rough sawn                             (100x100x3.6)</t>
  </si>
  <si>
    <t>F5 Cypress rough sawn                             (125x125x3.6)</t>
  </si>
  <si>
    <t>F5 Cypress Dar                                           ( 90mm X 90mm)</t>
  </si>
  <si>
    <t>F5 Cypress Dar                                           (115mm X 115mm)</t>
  </si>
  <si>
    <t>F7 Cypress pine                                          (140 x 140 x 3.6 Dressed )</t>
  </si>
  <si>
    <t>F5 Cypress pine                                          (190 x 190 x 3.6 Dressed )</t>
  </si>
  <si>
    <t>LOSP H3 Treated post                                 88 x 88</t>
  </si>
  <si>
    <t>LOSP H3 Treated post                                 112 x 112</t>
  </si>
  <si>
    <t>LOSP H3 Treated post                                 135 x 135</t>
  </si>
  <si>
    <t>H4 treated pine 90mm X 90mm                    (Laminated 3.6 DAR)</t>
  </si>
  <si>
    <t xml:space="preserve">90 X 90 Turned &amp; Fluted Post                      2.4m </t>
  </si>
  <si>
    <t>110 x110 Turned &amp; Fluted post                   2.4m</t>
  </si>
  <si>
    <t>Post corner brackets</t>
  </si>
  <si>
    <t>Post Bottom fret work</t>
  </si>
  <si>
    <t>Nibb Post for Signature Range</t>
  </si>
  <si>
    <t>Nibb Post on wall</t>
  </si>
  <si>
    <t>Spare Post</t>
  </si>
  <si>
    <t>Steel</t>
  </si>
  <si>
    <r>
      <t xml:space="preserve">100 x 100 Gal post with cap </t>
    </r>
    <r>
      <rPr>
        <b/>
        <sz val="9"/>
        <color indexed="10"/>
        <rFont val="Arial"/>
        <family val="2"/>
      </rPr>
      <t xml:space="preserve">                      3.6 m high</t>
    </r>
  </si>
  <si>
    <t>100 x 100 Gal post with cap                      Per Metre</t>
  </si>
  <si>
    <t>Gal post labour over 4m                        Per Post</t>
  </si>
  <si>
    <t>Powder Coating                                       Per Metre</t>
  </si>
  <si>
    <t>Delivery</t>
  </si>
  <si>
    <t xml:space="preserve">EXTENDA BRACKETS </t>
  </si>
  <si>
    <t>Extenda Brackets                        Tile Roof / Colourbond</t>
  </si>
  <si>
    <t>COLUMNS</t>
  </si>
  <si>
    <t>Don’t forget the Bulk head when installing column</t>
  </si>
  <si>
    <t>250 mm bulk head                                                 Per Metre</t>
  </si>
  <si>
    <t>200 mm round column 2.7 high</t>
  </si>
  <si>
    <t>201 mm round column 4.0 high</t>
  </si>
  <si>
    <t>MAIN BEAMS                                                                        F5   -   N2 wind Classifaction</t>
  </si>
  <si>
    <t>Treated pine</t>
  </si>
  <si>
    <r>
      <t xml:space="preserve">Treated pine          295 x 45           </t>
    </r>
    <r>
      <rPr>
        <b/>
        <sz val="9"/>
        <color indexed="10"/>
        <rFont val="Arial"/>
        <family val="2"/>
      </rPr>
      <t>Max space @1200 centres =4800   If doubled up 5600</t>
    </r>
  </si>
  <si>
    <r>
      <t xml:space="preserve">Treated pine          245 x 45           </t>
    </r>
    <r>
      <rPr>
        <b/>
        <sz val="9"/>
        <color indexed="10"/>
        <rFont val="Arial"/>
        <family val="2"/>
      </rPr>
      <t>Max space @1200 centres =3900   If doubled up 5000</t>
    </r>
  </si>
  <si>
    <r>
      <t xml:space="preserve">Treated pine          195 x 45          </t>
    </r>
    <r>
      <rPr>
        <b/>
        <sz val="9"/>
        <color indexed="10"/>
        <rFont val="Arial"/>
        <family val="2"/>
      </rPr>
      <t xml:space="preserve"> Max space @1200 centres =3000   If doubled up 4200</t>
    </r>
  </si>
  <si>
    <r>
      <t xml:space="preserve">Treated pine          145 x 45           </t>
    </r>
    <r>
      <rPr>
        <b/>
        <sz val="9"/>
        <color indexed="10"/>
        <rFont val="Arial"/>
        <family val="2"/>
      </rPr>
      <t xml:space="preserve">Max space @1200 centres =1800 </t>
    </r>
    <r>
      <rPr>
        <sz val="9"/>
        <rFont val="Arial"/>
        <family val="2"/>
      </rPr>
      <t xml:space="preserve">  </t>
    </r>
  </si>
  <si>
    <t>Gable end beam</t>
  </si>
  <si>
    <t>Gable end Beam for gables under 6.1 wide                         F7 Treated Pine</t>
  </si>
  <si>
    <t>Gable end Beam for gables under 7.3 wide                         F17 Hardwood</t>
  </si>
  <si>
    <t>Hardwood</t>
  </si>
  <si>
    <t xml:space="preserve">F17 Hardwood         290 x 42           </t>
  </si>
  <si>
    <t>F17 Hardwood         240 x 42</t>
  </si>
  <si>
    <t>F17 Hardwood         190 x 42</t>
  </si>
  <si>
    <t>Smart LVL -15</t>
  </si>
  <si>
    <t xml:space="preserve">LVL 140 x 45           </t>
  </si>
  <si>
    <t>GL-13 H3 Treated Laminated Beam</t>
  </si>
  <si>
    <t>252 x 60         at 2.4 m spacing can span 6.2m</t>
  </si>
  <si>
    <t xml:space="preserve">Ducklift including Delivery </t>
  </si>
  <si>
    <t>Laminated timber delivery</t>
  </si>
  <si>
    <t>Main beam labour for free standing&amp; Bell roof projects  Per Metre on 1 side</t>
  </si>
  <si>
    <t>Cement sheet  &amp; Vertical walls</t>
  </si>
  <si>
    <t>Octagonal Cut out on Straight Gable                     Large</t>
  </si>
  <si>
    <t>Octagonal Cut out on Straight Gable                     Small</t>
  </si>
  <si>
    <r>
      <t xml:space="preserve">Straight Cement sheet  Wall for endfill     </t>
    </r>
    <r>
      <rPr>
        <b/>
        <sz val="9"/>
        <color indexed="10"/>
        <rFont val="Arial"/>
        <family val="2"/>
      </rPr>
      <t>1200 High x 1 Per Meter</t>
    </r>
  </si>
  <si>
    <t>BOX SPOUTING CARPENTERS all lineal metres @600mm intervals</t>
  </si>
  <si>
    <t>Alfresco Box spouts Joins and Corners</t>
  </si>
  <si>
    <t>Alfresco Box spout  on parapet 180 x 245 x 500 including the 1st 140 x 45 MGP10 batton</t>
  </si>
  <si>
    <t>End Stop for Alfresco Box spouts</t>
  </si>
  <si>
    <t>Alfresco Box spout Corners &amp; Joins</t>
  </si>
  <si>
    <t>Verandah Box Spouts</t>
  </si>
  <si>
    <t>Box spout on brick wall  / Weather board                                Treated Pine</t>
  </si>
  <si>
    <t xml:space="preserve">Box spout For Gables when the spout is removed  including the roof Batton      </t>
  </si>
  <si>
    <r>
      <t xml:space="preserve">Box spout up to 4.2 metres                           Treated Pine         </t>
    </r>
    <r>
      <rPr>
        <b/>
        <sz val="9"/>
        <color indexed="10"/>
        <rFont val="Arial"/>
        <family val="2"/>
      </rPr>
      <t>Beam Size  2 / 240 x 42</t>
    </r>
    <r>
      <rPr>
        <sz val="9"/>
        <rFont val="Arial"/>
        <family val="2"/>
      </rPr>
      <t xml:space="preserve"> </t>
    </r>
  </si>
  <si>
    <r>
      <t xml:space="preserve">Box spout from 4.3m to 4.8 m                      Treated Pine   </t>
    </r>
    <r>
      <rPr>
        <b/>
        <sz val="9"/>
        <color indexed="10"/>
        <rFont val="Arial"/>
        <family val="2"/>
      </rPr>
      <t xml:space="preserve">      Beam Size  2 / 290 x 42</t>
    </r>
    <r>
      <rPr>
        <sz val="9"/>
        <rFont val="Arial"/>
        <family val="2"/>
      </rPr>
      <t xml:space="preserve"> </t>
    </r>
  </si>
  <si>
    <r>
      <t xml:space="preserve">Box spout from 4.9 m to 5.4 m                     Laminated </t>
    </r>
    <r>
      <rPr>
        <b/>
        <sz val="9"/>
        <color indexed="10"/>
        <rFont val="Arial"/>
        <family val="2"/>
      </rPr>
      <t xml:space="preserve">   GL-132 Beam Size  2 / 230 x 60</t>
    </r>
  </si>
  <si>
    <r>
      <t xml:space="preserve">Box spout from 5.5 to 6.0 metres                Laminated    </t>
    </r>
    <r>
      <rPr>
        <b/>
        <sz val="9"/>
        <color indexed="10"/>
        <rFont val="Arial"/>
        <family val="2"/>
      </rPr>
      <t xml:space="preserve">GL-132 Beam Size  2 / 250 x 60 </t>
    </r>
  </si>
  <si>
    <r>
      <t>Heavy Duty</t>
    </r>
    <r>
      <rPr>
        <sz val="9"/>
        <rFont val="Arial"/>
        <family val="2"/>
      </rPr>
      <t xml:space="preserve">  Fascia Bracket   see photo</t>
    </r>
  </si>
  <si>
    <t>Delivery for laminated beams</t>
  </si>
  <si>
    <t>RAFTERS                                                            F5   -   N3 wind Classifaction</t>
  </si>
  <si>
    <t>F7 Treated pine</t>
  </si>
  <si>
    <r>
      <t xml:space="preserve">Treated pine          295 x 45            </t>
    </r>
    <r>
      <rPr>
        <b/>
        <sz val="9"/>
        <color indexed="10"/>
        <rFont val="Arial"/>
        <family val="2"/>
      </rPr>
      <t xml:space="preserve">                Max space @1200 centres = 6000 Span</t>
    </r>
  </si>
  <si>
    <r>
      <t xml:space="preserve">Treated pine          245 x 45                            </t>
    </r>
    <r>
      <rPr>
        <b/>
        <sz val="9"/>
        <color indexed="10"/>
        <rFont val="Arial"/>
        <family val="2"/>
      </rPr>
      <t>Max space @1200 centres = 5700 Span</t>
    </r>
  </si>
  <si>
    <r>
      <t xml:space="preserve">Treated pine          195 x 45                           </t>
    </r>
    <r>
      <rPr>
        <b/>
        <sz val="9"/>
        <color indexed="10"/>
        <rFont val="Arial"/>
        <family val="2"/>
      </rPr>
      <t xml:space="preserve"> Max space @1200 centres = 4400 Span</t>
    </r>
  </si>
  <si>
    <r>
      <t xml:space="preserve">Treated pine          145 x 45                            </t>
    </r>
    <r>
      <rPr>
        <b/>
        <sz val="9"/>
        <color indexed="10"/>
        <rFont val="Arial"/>
        <family val="2"/>
      </rPr>
      <t>Max space @1200 centres = 3200 Span</t>
    </r>
  </si>
  <si>
    <r>
      <t xml:space="preserve">Treated pine           95 x 45                             </t>
    </r>
    <r>
      <rPr>
        <b/>
        <sz val="9"/>
        <color indexed="10"/>
        <rFont val="Arial"/>
        <family val="2"/>
      </rPr>
      <t>Max space @1200 centres = 1700 Span</t>
    </r>
  </si>
  <si>
    <t>MGP10-12 Pine</t>
  </si>
  <si>
    <t xml:space="preserve"> 240mm X 45mm         MGP 12</t>
  </si>
  <si>
    <t xml:space="preserve"> 290mm X 45mm         MGP 10</t>
  </si>
  <si>
    <t>F7 Designer pine Pre Primed</t>
  </si>
  <si>
    <t>Designer Pine  285mm X 42mm                            Pre- Primed</t>
  </si>
  <si>
    <t xml:space="preserve">F17 hardwood </t>
  </si>
  <si>
    <t>F17 Hardwood         140 x 42</t>
  </si>
  <si>
    <t>LVL 170 x 45           Max span @900 centres for Sheet &amp; Ceiling is 4400</t>
  </si>
  <si>
    <t>LVL 140 x 45           Max span @900 centres for Sheet &amp; Ceiling is 3600</t>
  </si>
  <si>
    <t>Alfresco Rafter truss</t>
  </si>
  <si>
    <t>Truss Roof per Square Metre</t>
  </si>
  <si>
    <t>FASCIA BOARD</t>
  </si>
  <si>
    <t>Primed  Fascia        190 x32</t>
  </si>
  <si>
    <t>Primed  Fascia        230 x33</t>
  </si>
  <si>
    <r>
      <t xml:space="preserve">70 X 19 Treated pine decking for endfill detail                   </t>
    </r>
    <r>
      <rPr>
        <b/>
        <sz val="9"/>
        <color indexed="10"/>
        <rFont val="Arial"/>
        <family val="2"/>
      </rPr>
      <t>Per Meter</t>
    </r>
  </si>
  <si>
    <t>Metal Fasica and quad spouting   L/M</t>
  </si>
  <si>
    <t>Metal Fasica and Squareline spouting  L/M</t>
  </si>
  <si>
    <t>TIE BEAMS  lineal metre @ 600 intervels</t>
  </si>
  <si>
    <r>
      <t xml:space="preserve">Steel Collar ties                                    </t>
    </r>
    <r>
      <rPr>
        <b/>
        <sz val="9"/>
        <color indexed="10"/>
        <rFont val="Arial"/>
        <family val="2"/>
      </rPr>
      <t>Powder Coated</t>
    </r>
  </si>
  <si>
    <t>Treated pine          195 x 45</t>
  </si>
  <si>
    <t>Treated pine          145 x 45</t>
  </si>
  <si>
    <t>Treated pine            95 x 45</t>
  </si>
  <si>
    <t>Tie beam hardware Labour per tie beam number off</t>
  </si>
  <si>
    <t>RIDGES HIPS &amp; VALLEYS</t>
  </si>
  <si>
    <t>Standard Ridge                                      Per Metre</t>
  </si>
  <si>
    <t xml:space="preserve">Carpenter ridge connection fee </t>
  </si>
  <si>
    <t xml:space="preserve">Hips                                                          Per metre  </t>
  </si>
  <si>
    <t>Valley                                                        Per metre</t>
  </si>
  <si>
    <t>Install Valley Flashing   Labour                   Quantity of flashings</t>
  </si>
  <si>
    <t>FACIA CLEAT</t>
  </si>
  <si>
    <t>Treated pine          295 x 45</t>
  </si>
  <si>
    <t>Treated pine          245 x 45</t>
  </si>
  <si>
    <t>ENDFILL CALC GABLE</t>
  </si>
  <si>
    <t>Treated pine        195 x 45</t>
  </si>
  <si>
    <t>3 TO 3.6</t>
  </si>
  <si>
    <t>4.8m</t>
  </si>
  <si>
    <t>Treated pine        145 x 45</t>
  </si>
  <si>
    <t>3.6 to 4.2</t>
  </si>
  <si>
    <t>5.4m</t>
  </si>
  <si>
    <t>Treated pine          95 x 45</t>
  </si>
  <si>
    <t>4.2 to 4.8</t>
  </si>
  <si>
    <t>6.0m</t>
  </si>
  <si>
    <t>5.4 to 6</t>
  </si>
  <si>
    <t>7.2 m</t>
  </si>
  <si>
    <t>BATTENS &amp; ENDFILLS</t>
  </si>
  <si>
    <t>BATTON CALC ON GABLE</t>
  </si>
  <si>
    <t>3m to 3.6m</t>
  </si>
  <si>
    <t>4.2m to 4.8m</t>
  </si>
  <si>
    <t>5.4m to 7.2m</t>
  </si>
  <si>
    <t>Treated pine          90 x 45</t>
  </si>
  <si>
    <t>Treated pine          75 x 45</t>
  </si>
  <si>
    <t>Treated pine          45 x 45</t>
  </si>
  <si>
    <t>Alfresco Battens</t>
  </si>
  <si>
    <t>MGP10  - Pine        295 x 45</t>
  </si>
  <si>
    <t>MGP10  - Pine        245 x 45</t>
  </si>
  <si>
    <t>MGP10  - Pine        195 x 45</t>
  </si>
  <si>
    <t>MGP10  - Pine        145 x 45</t>
  </si>
  <si>
    <t>MGP10  - Pine          90 x 45</t>
  </si>
  <si>
    <r>
      <t xml:space="preserve">Graded batten labour                               </t>
    </r>
    <r>
      <rPr>
        <b/>
        <sz val="9"/>
        <rFont val="Arial"/>
        <family val="2"/>
      </rPr>
      <t>Click 1</t>
    </r>
  </si>
  <si>
    <t>HERITAGE GABLE END FRET WORK</t>
  </si>
  <si>
    <t>BATTON CALC SKILLION</t>
  </si>
  <si>
    <t>3.6m</t>
  </si>
  <si>
    <t>Heritage Gable Endfill Fretwork    Treated pine</t>
  </si>
  <si>
    <t>4.2m</t>
  </si>
  <si>
    <t>VENTS</t>
  </si>
  <si>
    <t>6m</t>
  </si>
  <si>
    <r>
      <t xml:space="preserve">450 round plastic vent </t>
    </r>
    <r>
      <rPr>
        <b/>
        <sz val="9"/>
        <color indexed="12"/>
        <rFont val="Arial"/>
        <family val="2"/>
      </rPr>
      <t xml:space="preserve">                                                </t>
    </r>
    <r>
      <rPr>
        <b/>
        <sz val="9"/>
        <color indexed="10"/>
        <rFont val="Arial"/>
        <family val="2"/>
      </rPr>
      <t xml:space="preserve"> PER END</t>
    </r>
  </si>
  <si>
    <r>
      <t xml:space="preserve">550 round plastic vent </t>
    </r>
    <r>
      <rPr>
        <b/>
        <sz val="9"/>
        <color indexed="12"/>
        <rFont val="Arial"/>
        <family val="2"/>
      </rPr>
      <t xml:space="preserve">                                                </t>
    </r>
    <r>
      <rPr>
        <b/>
        <sz val="9"/>
        <color indexed="10"/>
        <rFont val="Arial"/>
        <family val="2"/>
      </rPr>
      <t xml:space="preserve"> PER END</t>
    </r>
  </si>
  <si>
    <r>
      <t xml:space="preserve">450 x 600 rectangle plastic vent </t>
    </r>
    <r>
      <rPr>
        <b/>
        <sz val="9"/>
        <color indexed="12"/>
        <rFont val="Arial"/>
        <family val="2"/>
      </rPr>
      <t xml:space="preserve">                               </t>
    </r>
    <r>
      <rPr>
        <b/>
        <sz val="9"/>
        <color indexed="10"/>
        <rFont val="Arial"/>
        <family val="2"/>
      </rPr>
      <t xml:space="preserve"> PER END</t>
    </r>
  </si>
  <si>
    <t>FINIALS</t>
  </si>
  <si>
    <t>Finial                             600mm</t>
  </si>
  <si>
    <t>Finial                             900mm</t>
  </si>
  <si>
    <t>Finial                           1200mm</t>
  </si>
  <si>
    <t>AC / SHEETING HOUSE END x 2 including Z flashing</t>
  </si>
  <si>
    <t>Cement Sheet end fills</t>
  </si>
  <si>
    <t>3m                                          Gable cement sheet</t>
  </si>
  <si>
    <t>3.6m                                       Gable cement sheet</t>
  </si>
  <si>
    <t>4.2m                                       Gable cement sheet</t>
  </si>
  <si>
    <t>4.8m                                       Gable cement sheet</t>
  </si>
  <si>
    <t>5.4m                                       Gable cement sheet</t>
  </si>
  <si>
    <t>6m                                          Gable cement sheet</t>
  </si>
  <si>
    <t>6.6 to 7.2 m                          Gable cement sheet</t>
  </si>
  <si>
    <t xml:space="preserve">Stucco  &amp; wood grain planks </t>
  </si>
  <si>
    <t>Less than 4.8m</t>
  </si>
  <si>
    <t xml:space="preserve">4.8 m to 6.0 m </t>
  </si>
  <si>
    <t xml:space="preserve">6.0 m to 7.2 m </t>
  </si>
  <si>
    <r>
      <t xml:space="preserve">Cement Sheet Woodgrain plank 200 mm cover       4.2m length </t>
    </r>
    <r>
      <rPr>
        <b/>
        <sz val="9"/>
        <rFont val="Arial"/>
        <family val="2"/>
      </rPr>
      <t xml:space="preserve"> </t>
    </r>
    <r>
      <rPr>
        <b/>
        <sz val="9"/>
        <color indexed="10"/>
        <rFont val="Arial"/>
        <family val="2"/>
      </rPr>
      <t>Per Meter</t>
    </r>
  </si>
  <si>
    <t>Weather board &amp; Cement sheet shingles  endfills</t>
  </si>
  <si>
    <r>
      <t xml:space="preserve">Weather Board gables  from 3m to 4m                               </t>
    </r>
    <r>
      <rPr>
        <b/>
        <sz val="9"/>
        <color indexed="10"/>
        <rFont val="Arial"/>
        <family val="2"/>
      </rPr>
      <t>Per end</t>
    </r>
  </si>
  <si>
    <r>
      <t xml:space="preserve">Weather Board gables  from 4m to 6m                               </t>
    </r>
    <r>
      <rPr>
        <b/>
        <sz val="9"/>
        <color indexed="10"/>
        <rFont val="Arial"/>
        <family val="2"/>
      </rPr>
      <t>Per end</t>
    </r>
  </si>
  <si>
    <t>AC / SHEETING not attached to the house</t>
  </si>
  <si>
    <t>3m gable cement sheet</t>
  </si>
  <si>
    <t>3.6m gable cement sheet</t>
  </si>
  <si>
    <t>4.2 m gable cement sheet</t>
  </si>
  <si>
    <t>4.8m gable cement sheet</t>
  </si>
  <si>
    <t>5.4m gable cement sheet</t>
  </si>
  <si>
    <t>6m gable cement sheet</t>
  </si>
  <si>
    <t>6.6 to 7.2 m cement sheet</t>
  </si>
  <si>
    <r>
      <t xml:space="preserve">POLYCARB INFILL  4.5 mm                 </t>
    </r>
    <r>
      <rPr>
        <b/>
        <sz val="9"/>
        <color indexed="10"/>
        <rFont val="Arial"/>
        <family val="2"/>
      </rPr>
      <t>BOTH END   CLEAR</t>
    </r>
  </si>
  <si>
    <t xml:space="preserve">4.8m gable                      </t>
  </si>
  <si>
    <t xml:space="preserve">5.4m gable                      </t>
  </si>
  <si>
    <t xml:space="preserve">6.0 Gable                        </t>
  </si>
  <si>
    <t xml:space="preserve">6.6 to 7.2 m gable          </t>
  </si>
  <si>
    <t>2400 x 12 x 4.5mm sheet</t>
  </si>
  <si>
    <t>Labour to install 4.5 mm poly carb ends                 House End</t>
  </si>
  <si>
    <t>Labour to install 4.5 mm poly carb ends                 Open End</t>
  </si>
  <si>
    <r>
      <t xml:space="preserve">POLYCARB INFILL  4.5 mm                </t>
    </r>
    <r>
      <rPr>
        <b/>
        <sz val="9"/>
        <color indexed="10"/>
        <rFont val="Arial"/>
        <family val="2"/>
      </rPr>
      <t>BOTH  END TINTED</t>
    </r>
  </si>
  <si>
    <t xml:space="preserve">5.4m gable                     </t>
  </si>
  <si>
    <t xml:space="preserve">6m  Clear                       </t>
  </si>
  <si>
    <t xml:space="preserve">6.6 to 7.2 m gable         </t>
  </si>
  <si>
    <t>Mulford Delivery</t>
  </si>
  <si>
    <t xml:space="preserve">SPOUTING </t>
  </si>
  <si>
    <t xml:space="preserve">Spout type      Per Metre                          </t>
  </si>
  <si>
    <t>Quad per                                                                                                           (Colourbond)</t>
  </si>
  <si>
    <t>Easyflow                                                                                                            (Colourbond)</t>
  </si>
  <si>
    <t>Ogee        BHP                                                                                                  (Colourbond)</t>
  </si>
  <si>
    <t>Ace Mini Line Spout                                                                                         (Colourbond)</t>
  </si>
  <si>
    <t>Continuous aluminum   Ogee                                                                       (Coloured )</t>
  </si>
  <si>
    <t>Half round spout                                     APEX</t>
  </si>
  <si>
    <t>Spout Corners</t>
  </si>
  <si>
    <t>Quad Cast corner                                                                                            (colourbond)</t>
  </si>
  <si>
    <t>Ogee Cast corner                                                                                            (colourbond)</t>
  </si>
  <si>
    <t>Square spout corners</t>
  </si>
  <si>
    <t>Half round Cast Corner                                                                                   Colour bond</t>
  </si>
  <si>
    <t>Endstops</t>
  </si>
  <si>
    <t>End stops                                                                                                          (colourbond)</t>
  </si>
  <si>
    <t>Half round end stop</t>
  </si>
  <si>
    <t>Spout Hip end Corner tapping fee</t>
  </si>
  <si>
    <t>Spout  Tee  tapping fee</t>
  </si>
  <si>
    <t>Remove Existing spouting</t>
  </si>
  <si>
    <t>DOWN PIPES &amp; RAINHEADS</t>
  </si>
  <si>
    <r>
      <t xml:space="preserve">Downpipe For a </t>
    </r>
    <r>
      <rPr>
        <b/>
        <sz val="9"/>
        <color indexed="10"/>
        <rFont val="Arial"/>
        <family val="2"/>
      </rPr>
      <t xml:space="preserve">1.8m High  Eave </t>
    </r>
    <r>
      <rPr>
        <sz val="9"/>
        <rFont val="Arial"/>
        <family val="2"/>
      </rPr>
      <t xml:space="preserve">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</si>
  <si>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 xml:space="preserve">2.4m High  Eave </t>
    </r>
    <r>
      <rPr>
        <sz val="9"/>
        <rFont val="Arial"/>
        <family val="2"/>
      </rPr>
      <t xml:space="preserve">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</si>
  <si>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3.0 m high eave</t>
    </r>
    <r>
      <rPr>
        <sz val="9"/>
        <rFont val="Arial"/>
        <family val="2"/>
      </rPr>
      <t xml:space="preserve"> 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</si>
  <si>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3.6 m high eave</t>
    </r>
    <r>
      <rPr>
        <sz val="9"/>
        <rFont val="Arial"/>
        <family val="2"/>
      </rPr>
      <t xml:space="preserve"> 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</si>
  <si>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4.2 m high eave</t>
    </r>
    <r>
      <rPr>
        <sz val="9"/>
        <rFont val="Arial"/>
        <family val="2"/>
      </rPr>
      <t xml:space="preserve"> 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</si>
  <si>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4.8 m high eave</t>
    </r>
    <r>
      <rPr>
        <sz val="9"/>
        <rFont val="Arial"/>
        <family val="2"/>
      </rPr>
      <t xml:space="preserve">              (4x2)        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</si>
  <si>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 xml:space="preserve">1.8m High   No  Eave </t>
    </r>
    <r>
      <rPr>
        <sz val="9"/>
        <rFont val="Arial"/>
        <family val="2"/>
      </rPr>
      <t xml:space="preserve">     (4x3)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</si>
  <si>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 xml:space="preserve">2.4m High   No Eave </t>
    </r>
    <r>
      <rPr>
        <sz val="9"/>
        <rFont val="Arial"/>
        <family val="2"/>
      </rPr>
      <t xml:space="preserve">      (4x3)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</si>
  <si>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3.0 m high  No eave</t>
    </r>
    <r>
      <rPr>
        <sz val="9"/>
        <rFont val="Arial"/>
        <family val="2"/>
      </rPr>
      <t xml:space="preserve">        (4x3)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</si>
  <si>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3.6 m high  No  eave</t>
    </r>
    <r>
      <rPr>
        <sz val="9"/>
        <rFont val="Arial"/>
        <family val="2"/>
      </rPr>
      <t xml:space="preserve">       (4x3)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</si>
  <si>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4.2 m high  No  eave</t>
    </r>
    <r>
      <rPr>
        <sz val="9"/>
        <rFont val="Arial"/>
        <family val="2"/>
      </rPr>
      <t xml:space="preserve">       (4x3)             (colourbond)</t>
    </r>
  </si>
  <si>
    <r>
      <t xml:space="preserve">Downpipe For a </t>
    </r>
    <r>
      <rPr>
        <b/>
        <sz val="9"/>
        <color indexed="10"/>
        <rFont val="Arial"/>
        <family val="2"/>
      </rPr>
      <t>4.8 m high  No eave</t>
    </r>
    <r>
      <rPr>
        <sz val="9"/>
        <rFont val="Arial"/>
        <family val="2"/>
      </rPr>
      <t xml:space="preserve">        (4x3)             (colourbond)</t>
    </r>
  </si>
  <si>
    <r>
      <t xml:space="preserve">Downpipe &amp; Offsett For a </t>
    </r>
    <r>
      <rPr>
        <b/>
        <sz val="9"/>
        <color indexed="10"/>
        <rFont val="Arial"/>
        <family val="2"/>
      </rPr>
      <t>2.4m High Eave</t>
    </r>
    <r>
      <rPr>
        <sz val="9"/>
        <rFont val="Arial"/>
        <family val="2"/>
      </rPr>
      <t xml:space="preserve">   ( 4x3)        (colourbond)</t>
    </r>
  </si>
  <si>
    <r>
      <t xml:space="preserve">Downpipe &amp; Offset  For a </t>
    </r>
    <r>
      <rPr>
        <b/>
        <sz val="9"/>
        <color indexed="10"/>
        <rFont val="Arial"/>
        <family val="2"/>
      </rPr>
      <t>3.0m High Eave</t>
    </r>
    <r>
      <rPr>
        <sz val="9"/>
        <rFont val="Arial"/>
        <family val="2"/>
      </rPr>
      <t xml:space="preserve">   ( 4x3)        (colourbond)</t>
    </r>
  </si>
  <si>
    <r>
      <t xml:space="preserve">Downpipe &amp; Offset  For a </t>
    </r>
    <r>
      <rPr>
        <b/>
        <sz val="9"/>
        <color indexed="10"/>
        <rFont val="Arial"/>
        <family val="2"/>
      </rPr>
      <t>3.6m High Eave</t>
    </r>
    <r>
      <rPr>
        <sz val="9"/>
        <rFont val="Arial"/>
        <family val="2"/>
      </rPr>
      <t xml:space="preserve">   ( 4x3)       (colourbond)</t>
    </r>
  </si>
  <si>
    <r>
      <t xml:space="preserve">Downpipe &amp; Ofsett For a </t>
    </r>
    <r>
      <rPr>
        <b/>
        <sz val="9"/>
        <color indexed="10"/>
        <rFont val="Arial"/>
        <family val="2"/>
      </rPr>
      <t>4.2m High Eave</t>
    </r>
    <r>
      <rPr>
        <sz val="9"/>
        <rFont val="Arial"/>
        <family val="2"/>
      </rPr>
      <t xml:space="preserve">   ( 4x3)        (colourbond)</t>
    </r>
  </si>
  <si>
    <r>
      <t xml:space="preserve">Downpipe &amp; Offset  For a </t>
    </r>
    <r>
      <rPr>
        <b/>
        <sz val="9"/>
        <color indexed="10"/>
        <rFont val="Arial"/>
        <family val="2"/>
      </rPr>
      <t>4.8m High Eave</t>
    </r>
    <r>
      <rPr>
        <sz val="9"/>
        <rFont val="Arial"/>
        <family val="2"/>
      </rPr>
      <t xml:space="preserve">   ( 4x3)       (colourbond)</t>
    </r>
  </si>
  <si>
    <t>Upgrade down pipe Labour                          ALL UPGRADES</t>
  </si>
  <si>
    <r>
      <t xml:space="preserve">Rainhead  </t>
    </r>
    <r>
      <rPr>
        <sz val="8"/>
        <color indexed="10"/>
        <rFont val="Arial"/>
        <family val="2"/>
      </rPr>
      <t>Square</t>
    </r>
    <r>
      <rPr>
        <sz val="8"/>
        <rFont val="Arial"/>
        <family val="2"/>
      </rPr>
      <t xml:space="preserve">              240 x 180 x 175          (colourbond)</t>
    </r>
  </si>
  <si>
    <r>
      <t xml:space="preserve">Rainhead  </t>
    </r>
    <r>
      <rPr>
        <sz val="8"/>
        <color indexed="10"/>
        <rFont val="Arial"/>
        <family val="2"/>
      </rPr>
      <t xml:space="preserve">Corner    </t>
    </r>
    <r>
      <rPr>
        <sz val="8"/>
        <rFont val="Arial"/>
        <family val="2"/>
      </rPr>
      <t xml:space="preserve">         (colourbond)</t>
    </r>
  </si>
  <si>
    <r>
      <t xml:space="preserve">Rainhead  </t>
    </r>
    <r>
      <rPr>
        <sz val="8"/>
        <color indexed="10"/>
        <rFont val="Arial"/>
        <family val="2"/>
      </rPr>
      <t>Dam Buster</t>
    </r>
    <r>
      <rPr>
        <sz val="8"/>
        <rFont val="Arial"/>
        <family val="2"/>
      </rPr>
      <t xml:space="preserve">         (colourbond)</t>
    </r>
  </si>
  <si>
    <t xml:space="preserve">Side of rain head tap in </t>
  </si>
  <si>
    <t xml:space="preserve">FLASHINGS </t>
  </si>
  <si>
    <t>All flashings are calculated per lineal metre</t>
  </si>
  <si>
    <r>
      <t xml:space="preserve">Barge flashing Colourbond   </t>
    </r>
    <r>
      <rPr>
        <b/>
        <sz val="9"/>
        <color indexed="10"/>
        <rFont val="Arial"/>
        <family val="2"/>
      </rPr>
      <t>for corrugated &amp; Grecca</t>
    </r>
    <r>
      <rPr>
        <sz val="9"/>
        <rFont val="Arial"/>
        <family val="2"/>
      </rPr>
      <t xml:space="preserve"> </t>
    </r>
    <r>
      <rPr>
        <b/>
        <sz val="9"/>
        <color indexed="10"/>
        <rFont val="Arial"/>
        <family val="2"/>
      </rPr>
      <t xml:space="preserve">profile roofs 140 x 75  </t>
    </r>
    <r>
      <rPr>
        <sz val="9"/>
        <rFont val="Arial"/>
        <family val="2"/>
      </rPr>
      <t xml:space="preserve">              </t>
    </r>
  </si>
  <si>
    <r>
      <t xml:space="preserve">Barge flashing Colourbond   </t>
    </r>
    <r>
      <rPr>
        <b/>
        <sz val="9"/>
        <color indexed="10"/>
        <rFont val="Arial"/>
        <family val="2"/>
      </rPr>
      <t>for trimdeck , 5rib &amp; cliplock</t>
    </r>
  </si>
  <si>
    <t>Under soaker flashing</t>
  </si>
  <si>
    <r>
      <t xml:space="preserve">Tappered barge flashing                                                          </t>
    </r>
    <r>
      <rPr>
        <b/>
        <sz val="9"/>
        <color indexed="12"/>
        <rFont val="Arial"/>
        <family val="2"/>
      </rPr>
      <t>SEE PHOTO</t>
    </r>
    <r>
      <rPr>
        <sz val="9"/>
        <rFont val="Arial"/>
        <family val="2"/>
      </rPr>
      <t xml:space="preserve">           </t>
    </r>
  </si>
  <si>
    <t>Flashing labour                                  Number of flashings</t>
  </si>
  <si>
    <r>
      <t xml:space="preserve">Roll Barge      Only availible in </t>
    </r>
    <r>
      <rPr>
        <b/>
        <sz val="9"/>
        <color indexed="10"/>
        <rFont val="Arial"/>
        <family val="2"/>
      </rPr>
      <t>2.4 metre lengths</t>
    </r>
  </si>
  <si>
    <r>
      <t xml:space="preserve">Spouting barge flashing       </t>
    </r>
    <r>
      <rPr>
        <b/>
        <sz val="9"/>
        <color indexed="10"/>
        <rFont val="Arial"/>
        <family val="2"/>
      </rPr>
      <t>for corrugated &amp; Grecca profile roofs 140 x 75</t>
    </r>
    <r>
      <rPr>
        <sz val="9"/>
        <rFont val="Arial"/>
        <family val="2"/>
      </rPr>
      <t xml:space="preserve">  </t>
    </r>
  </si>
  <si>
    <r>
      <t xml:space="preserve">Spouting barge flashing       </t>
    </r>
    <r>
      <rPr>
        <b/>
        <sz val="9"/>
        <color indexed="10"/>
        <rFont val="Arial"/>
        <family val="2"/>
      </rPr>
      <t>for trimdeck , 5rib &amp; cliplock</t>
    </r>
  </si>
  <si>
    <r>
      <t>Spouting barge flashing for graded battons</t>
    </r>
    <r>
      <rPr>
        <b/>
        <sz val="9"/>
        <color indexed="10"/>
        <rFont val="Arial"/>
        <family val="2"/>
      </rPr>
      <t xml:space="preserve"> for Corrugated &amp; Grecca profiles</t>
    </r>
  </si>
  <si>
    <r>
      <t>Spouting barge flashing for graded battons</t>
    </r>
    <r>
      <rPr>
        <b/>
        <sz val="9"/>
        <color indexed="10"/>
        <rFont val="Arial"/>
        <family val="2"/>
      </rPr>
      <t xml:space="preserve"> for Trimdeck, 5 Rib &amp; Cliplock profiles</t>
    </r>
  </si>
  <si>
    <t>Apron flashing on dutch gable verandah</t>
  </si>
  <si>
    <t xml:space="preserve">Apron flashing against a brick wall  </t>
  </si>
  <si>
    <t>Step flashing against weather boards</t>
  </si>
  <si>
    <t>Lead Flashing</t>
  </si>
  <si>
    <r>
      <t xml:space="preserve">Gutter </t>
    </r>
    <r>
      <rPr>
        <b/>
        <sz val="9"/>
        <color indexed="10"/>
        <rFont val="Arial"/>
        <family val="2"/>
      </rPr>
      <t xml:space="preserve">SPLASH BACK </t>
    </r>
    <r>
      <rPr>
        <sz val="9"/>
        <rFont val="Arial"/>
        <family val="2"/>
      </rPr>
      <t>flashing for gables attached to houses only</t>
    </r>
  </si>
  <si>
    <r>
      <t xml:space="preserve">Timber capping flashing 75 x 45 x 45                                       </t>
    </r>
    <r>
      <rPr>
        <b/>
        <sz val="9"/>
        <color indexed="12"/>
        <rFont val="Arial"/>
        <family val="2"/>
      </rPr>
      <t>SEE PHOTO</t>
    </r>
  </si>
  <si>
    <t>Swan direct delivery</t>
  </si>
  <si>
    <t>Alfresco Flashings</t>
  </si>
  <si>
    <t>Apron flashing under tile  Zinc 750 girth 3 fold</t>
  </si>
  <si>
    <t>Apron Flashing Non spout end to suit 500mm Parapat  600 Girth 2Fold</t>
  </si>
  <si>
    <t>Internal Tapper flashing to suit up to a 500mm Parapat</t>
  </si>
  <si>
    <t>Internal flashing Labour Per Flashing</t>
  </si>
  <si>
    <t>Parapet Capping to suit blue board</t>
  </si>
  <si>
    <t>Parapet Capping to suit Foam board</t>
  </si>
  <si>
    <t>STORMWATER</t>
  </si>
  <si>
    <t>Stormwater Location connection</t>
  </si>
  <si>
    <r>
      <t xml:space="preserve">Connection to a watertank                                     </t>
    </r>
    <r>
      <rPr>
        <b/>
        <sz val="9"/>
        <color indexed="10"/>
        <rFont val="Arial"/>
        <family val="2"/>
      </rPr>
      <t xml:space="preserve">               Plus lineal metres of pipe</t>
    </r>
  </si>
  <si>
    <r>
      <t xml:space="preserve">Dig &amp; Lay storm water                                                            </t>
    </r>
    <r>
      <rPr>
        <b/>
        <sz val="9"/>
        <color indexed="10"/>
        <rFont val="Arial"/>
        <family val="2"/>
      </rPr>
      <t xml:space="preserve">Per meter </t>
    </r>
  </si>
  <si>
    <r>
      <t xml:space="preserve">Suspend Storm water under decking or House  </t>
    </r>
    <r>
      <rPr>
        <b/>
        <sz val="9"/>
        <rFont val="Arial"/>
        <family val="2"/>
      </rPr>
      <t xml:space="preserve">              </t>
    </r>
    <r>
      <rPr>
        <b/>
        <sz val="9"/>
        <color indexed="10"/>
        <rFont val="Arial"/>
        <family val="2"/>
      </rPr>
      <t>Per meter</t>
    </r>
  </si>
  <si>
    <r>
      <t xml:space="preserve">Storm water Pit     1000 x 1000 x1000                                  </t>
    </r>
    <r>
      <rPr>
        <b/>
        <sz val="9"/>
        <color indexed="10"/>
        <rFont val="Arial"/>
        <family val="2"/>
      </rPr>
      <t>Per Pit</t>
    </r>
  </si>
  <si>
    <r>
      <t xml:space="preserve">Pull up existing pavers before storm water is laid             </t>
    </r>
    <r>
      <rPr>
        <b/>
        <sz val="9"/>
        <color indexed="10"/>
        <rFont val="Arial"/>
        <family val="2"/>
      </rPr>
      <t>Per Meter</t>
    </r>
  </si>
  <si>
    <t>ROOFING PRODUCTS</t>
  </si>
  <si>
    <t xml:space="preserve">All roofs are calculated on a per lineal metre </t>
  </si>
  <si>
    <t>Polycarbonate Roofs</t>
  </si>
  <si>
    <r>
      <t xml:space="preserve">Sola Safe  Polycarbonate </t>
    </r>
    <r>
      <rPr>
        <b/>
        <sz val="9"/>
        <rFont val="Arial"/>
        <family val="2"/>
      </rPr>
      <t xml:space="preserve">           Grecca and Corrugated   </t>
    </r>
  </si>
  <si>
    <t>Ampelite Delivery</t>
  </si>
  <si>
    <r>
      <t xml:space="preserve">Sola Safe  Polycarbonate           </t>
    </r>
    <r>
      <rPr>
        <b/>
        <sz val="9"/>
        <rFont val="Arial"/>
        <family val="2"/>
      </rPr>
      <t xml:space="preserve"> Pearl Ice  </t>
    </r>
    <r>
      <rPr>
        <sz val="9"/>
        <rFont val="Arial"/>
        <family val="2"/>
      </rPr>
      <t xml:space="preserve"> </t>
    </r>
  </si>
  <si>
    <t>Wide rib plm to suit Trimdeck</t>
  </si>
  <si>
    <r>
      <t xml:space="preserve">Wonder glass roofing                        </t>
    </r>
    <r>
      <rPr>
        <b/>
        <sz val="9"/>
        <rFont val="Arial"/>
        <family val="2"/>
      </rPr>
      <t xml:space="preserve"> Fiberglass</t>
    </r>
  </si>
  <si>
    <r>
      <t xml:space="preserve">Lazerlite                                    </t>
    </r>
    <r>
      <rPr>
        <b/>
        <sz val="9"/>
        <rFont val="Arial"/>
        <family val="2"/>
      </rPr>
      <t>2000</t>
    </r>
  </si>
  <si>
    <r>
      <t xml:space="preserve">Lazerlite                                    </t>
    </r>
    <r>
      <rPr>
        <b/>
        <sz val="9"/>
        <rFont val="Arial"/>
        <family val="2"/>
      </rPr>
      <t>APOLLO</t>
    </r>
  </si>
  <si>
    <r>
      <t xml:space="preserve">Lazerlite                                    </t>
    </r>
    <r>
      <rPr>
        <b/>
        <sz val="9"/>
        <rFont val="Arial"/>
        <family val="2"/>
      </rPr>
      <t>XPT</t>
    </r>
  </si>
  <si>
    <t>10mm twin wall 1070 centres for rafters batton when space exceeds 1.8m</t>
  </si>
  <si>
    <r>
      <t xml:space="preserve">Colour bond H bars                           </t>
    </r>
    <r>
      <rPr>
        <b/>
        <sz val="9"/>
        <color indexed="10"/>
        <rFont val="Arial"/>
        <family val="2"/>
      </rPr>
      <t>Per metre</t>
    </r>
  </si>
  <si>
    <t>Purlin Tape 50mm x 6mm</t>
  </si>
  <si>
    <t>Metal roofs per lineal metre x number of sheets in 600mm intervals</t>
  </si>
  <si>
    <r>
      <t xml:space="preserve">Corrugated c/bond                            </t>
    </r>
    <r>
      <rPr>
        <b/>
        <sz val="9"/>
        <color indexed="10"/>
        <rFont val="Arial"/>
        <family val="2"/>
      </rPr>
      <t xml:space="preserve">.762 cover </t>
    </r>
    <r>
      <rPr>
        <sz val="9"/>
        <rFont val="Arial"/>
        <family val="2"/>
      </rPr>
      <t xml:space="preserve">                                              </t>
    </r>
  </si>
  <si>
    <r>
      <t xml:space="preserve">Trimdec c/bond                                </t>
    </r>
    <r>
      <rPr>
        <sz val="9"/>
        <color indexed="10"/>
        <rFont val="Arial"/>
        <family val="2"/>
      </rPr>
      <t xml:space="preserve"> .</t>
    </r>
    <r>
      <rPr>
        <b/>
        <sz val="9"/>
        <color indexed="10"/>
        <rFont val="Arial"/>
        <family val="2"/>
      </rPr>
      <t>762 cover</t>
    </r>
    <r>
      <rPr>
        <b/>
        <sz val="9"/>
        <rFont val="Arial"/>
        <family val="2"/>
      </rPr>
      <t xml:space="preserve">  </t>
    </r>
    <r>
      <rPr>
        <sz val="9"/>
        <rFont val="Arial"/>
        <family val="2"/>
      </rPr>
      <t xml:space="preserve">                                                </t>
    </r>
  </si>
  <si>
    <r>
      <t xml:space="preserve">Corrugated or trimdec c/bond per sqm                     </t>
    </r>
    <r>
      <rPr>
        <b/>
        <sz val="9"/>
        <color indexed="10"/>
        <rFont val="Arial"/>
        <family val="2"/>
      </rPr>
      <t>Coloured                  POA</t>
    </r>
  </si>
  <si>
    <r>
      <t xml:space="preserve">Zinc Roofing                                      </t>
    </r>
    <r>
      <rPr>
        <b/>
        <sz val="9"/>
        <color indexed="10"/>
        <rFont val="Arial"/>
        <family val="2"/>
      </rPr>
      <t>.762 cover</t>
    </r>
    <r>
      <rPr>
        <sz val="9"/>
        <rFont val="Arial"/>
        <family val="2"/>
      </rPr>
      <t xml:space="preserve"> </t>
    </r>
  </si>
  <si>
    <t>Cliploc roofing</t>
  </si>
  <si>
    <t>Back channel sizes</t>
  </si>
  <si>
    <t>Number of sheets</t>
  </si>
  <si>
    <r>
      <t xml:space="preserve">Cliplock zinc                                      </t>
    </r>
    <r>
      <rPr>
        <b/>
        <sz val="9"/>
        <color indexed="10"/>
        <rFont val="Arial"/>
        <family val="2"/>
      </rPr>
      <t>.700 cover</t>
    </r>
  </si>
  <si>
    <t>Extrusion</t>
  </si>
  <si>
    <r>
      <t>Cliplock coloured                             .</t>
    </r>
    <r>
      <rPr>
        <b/>
        <sz val="9"/>
        <color indexed="10"/>
        <rFont val="Arial"/>
        <family val="2"/>
      </rPr>
      <t>700 Cover</t>
    </r>
  </si>
  <si>
    <t>Bullnose roofing</t>
  </si>
  <si>
    <r>
      <t xml:space="preserve">Bullnose colourbond                       </t>
    </r>
    <r>
      <rPr>
        <b/>
        <sz val="9"/>
        <color indexed="10"/>
        <rFont val="Arial"/>
        <family val="2"/>
      </rPr>
      <t>.762 cover</t>
    </r>
    <r>
      <rPr>
        <sz val="9"/>
        <rFont val="Arial"/>
        <family val="2"/>
      </rPr>
      <t xml:space="preserve">  </t>
    </r>
  </si>
  <si>
    <t>Bullnose rolling per sheet up to 3m</t>
  </si>
  <si>
    <r>
      <t xml:space="preserve">Bull nose PVC cones                                                     </t>
    </r>
    <r>
      <rPr>
        <b/>
        <sz val="9"/>
        <color indexed="10"/>
        <rFont val="Arial"/>
        <family val="2"/>
      </rPr>
      <t>Each</t>
    </r>
  </si>
  <si>
    <r>
      <t xml:space="preserve">Bull nose barge flashing                                               </t>
    </r>
    <r>
      <rPr>
        <b/>
        <sz val="9"/>
        <color indexed="10"/>
        <rFont val="Arial"/>
        <family val="2"/>
      </rPr>
      <t>Per 1.8 metre</t>
    </r>
  </si>
  <si>
    <t xml:space="preserve">Swan Roofing delivery </t>
  </si>
  <si>
    <t>Roofing screws each  =L x w x 9</t>
  </si>
  <si>
    <t>Roofing Labour    Plan View</t>
  </si>
  <si>
    <t>cut roof sheet</t>
  </si>
  <si>
    <r>
      <t xml:space="preserve">Install roof  Sheet up to     </t>
    </r>
    <r>
      <rPr>
        <b/>
        <sz val="9"/>
        <rFont val="Arial"/>
        <family val="2"/>
      </rPr>
      <t xml:space="preserve">5 Degrees                   </t>
    </r>
    <r>
      <rPr>
        <sz val="9"/>
        <rFont val="Arial"/>
        <family val="2"/>
      </rPr>
      <t xml:space="preserve"> metre square</t>
    </r>
  </si>
  <si>
    <r>
      <t xml:space="preserve">Install roof sheet  up       </t>
    </r>
    <r>
      <rPr>
        <b/>
        <sz val="9"/>
        <rFont val="Arial"/>
        <family val="2"/>
      </rPr>
      <t>24 Degrees</t>
    </r>
    <r>
      <rPr>
        <sz val="9"/>
        <rFont val="Arial"/>
        <family val="2"/>
      </rPr>
      <t xml:space="preserve">                    metre square</t>
    </r>
  </si>
  <si>
    <r>
      <t xml:space="preserve">Install roof sheet  up       </t>
    </r>
    <r>
      <rPr>
        <b/>
        <sz val="9"/>
        <rFont val="Arial"/>
        <family val="2"/>
      </rPr>
      <t>30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</si>
  <si>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45   Degrees</t>
    </r>
    <r>
      <rPr>
        <sz val="9"/>
        <rFont val="Arial"/>
        <family val="2"/>
      </rPr>
      <t xml:space="preserve">                  metre square</t>
    </r>
  </si>
  <si>
    <t>Insulation</t>
  </si>
  <si>
    <t>50mm Anticon (Foil/Blanket) x 15m Rolls</t>
  </si>
  <si>
    <t>75mm Anticon (Foil/Blanket) x 15m Rolls</t>
  </si>
  <si>
    <t>Tile Sand Del Activ</t>
  </si>
  <si>
    <t>Min Hire</t>
  </si>
  <si>
    <t xml:space="preserve">SHADECLOTH </t>
  </si>
  <si>
    <r>
      <t xml:space="preserve">Shadecloth 1.8  @ 70% plm </t>
    </r>
    <r>
      <rPr>
        <sz val="9"/>
        <color indexed="10"/>
        <rFont val="Arial"/>
        <family val="2"/>
      </rPr>
      <t xml:space="preserve"> </t>
    </r>
    <r>
      <rPr>
        <b/>
        <sz val="9"/>
        <color indexed="10"/>
        <rFont val="Arial"/>
        <family val="2"/>
      </rPr>
      <t xml:space="preserve">Coolaroo brand </t>
    </r>
  </si>
  <si>
    <r>
      <t xml:space="preserve">Shadecloth  3.6 @ 70% plm   </t>
    </r>
    <r>
      <rPr>
        <b/>
        <sz val="9"/>
        <color indexed="10"/>
        <rFont val="Arial"/>
        <family val="2"/>
      </rPr>
      <t>Coolaroo brand</t>
    </r>
  </si>
  <si>
    <t>SHADE BATTEN</t>
  </si>
  <si>
    <r>
      <t xml:space="preserve">70 X 19 Treated pine decking for endfill detail                   </t>
    </r>
    <r>
      <rPr>
        <b/>
        <sz val="9"/>
        <color indexed="10"/>
        <rFont val="Arial"/>
        <family val="2"/>
      </rPr>
      <t>Per Metre</t>
    </r>
  </si>
  <si>
    <t>Treated pine                                                        70 x 45</t>
  </si>
  <si>
    <t>Murbua  stained Slates                                       90 x 19</t>
  </si>
  <si>
    <t>DELIVERY &amp; ROOFING COMPLIANCE</t>
  </si>
  <si>
    <t>Deliveries</t>
  </si>
  <si>
    <t>Tip fees</t>
  </si>
  <si>
    <t>Roofing compliance</t>
  </si>
  <si>
    <t xml:space="preserve">HAND RAILS </t>
  </si>
  <si>
    <r>
      <t xml:space="preserve">Handrail with a 42 x 42 external ballustrade                                    </t>
    </r>
    <r>
      <rPr>
        <b/>
        <sz val="9"/>
        <rFont val="Arial"/>
        <family val="2"/>
      </rPr>
      <t>Type PERH001</t>
    </r>
  </si>
  <si>
    <r>
      <t xml:space="preserve">Curved  top Hand Rail  with a 70 x 19 Ballustrade                          </t>
    </r>
    <r>
      <rPr>
        <b/>
        <sz val="9"/>
        <rFont val="Arial"/>
        <family val="2"/>
      </rPr>
      <t>Type PERH002</t>
    </r>
    <r>
      <rPr>
        <sz val="9"/>
        <rFont val="Arial"/>
        <family val="2"/>
      </rPr>
      <t xml:space="preserve"> </t>
    </r>
  </si>
  <si>
    <r>
      <t xml:space="preserve">Curved  top Hand Rail  with a 42 x 42 Ballustrade                          </t>
    </r>
    <r>
      <rPr>
        <b/>
        <sz val="9"/>
        <rFont val="Arial"/>
        <family val="2"/>
      </rPr>
      <t>Type PERH002</t>
    </r>
  </si>
  <si>
    <r>
      <t xml:space="preserve">Curved  top Hand Rail  with a 70 x 19 Ballustrade &amp; Tulip            </t>
    </r>
    <r>
      <rPr>
        <b/>
        <sz val="9"/>
        <rFont val="Arial"/>
        <family val="2"/>
      </rPr>
      <t>Type PERH004</t>
    </r>
    <r>
      <rPr>
        <sz val="9"/>
        <rFont val="Arial"/>
        <family val="2"/>
      </rPr>
      <t xml:space="preserve"> </t>
    </r>
  </si>
  <si>
    <t>Hand rail steel gate frame &amp; latch</t>
  </si>
  <si>
    <t>Gate Self Closing hinges and pool latch</t>
  </si>
  <si>
    <t xml:space="preserve">WIRE HAND RAIL                                        PER METRE             </t>
  </si>
  <si>
    <t>Number of runs</t>
  </si>
  <si>
    <t>Num of strand</t>
  </si>
  <si>
    <t>Top plate type</t>
  </si>
  <si>
    <r>
      <t xml:space="preserve">Dressed  </t>
    </r>
    <r>
      <rPr>
        <b/>
        <sz val="9"/>
        <color indexed="10"/>
        <rFont val="Arial"/>
        <family val="2"/>
      </rPr>
      <t>Murbau</t>
    </r>
    <r>
      <rPr>
        <sz val="9"/>
        <rFont val="Arial"/>
        <family val="2"/>
      </rPr>
      <t xml:space="preserve">  No Wire                       </t>
    </r>
    <r>
      <rPr>
        <b/>
        <sz val="9"/>
        <color indexed="10"/>
        <rFont val="Arial"/>
        <family val="2"/>
      </rPr>
      <t xml:space="preserve">Decks under 1m high  </t>
    </r>
    <r>
      <rPr>
        <sz val="9"/>
        <color indexed="10"/>
        <rFont val="Arial"/>
        <family val="2"/>
      </rPr>
      <t xml:space="preserve">  </t>
    </r>
    <r>
      <rPr>
        <sz val="9"/>
        <rFont val="Arial"/>
        <family val="2"/>
      </rPr>
      <t xml:space="preserve">        </t>
    </r>
  </si>
  <si>
    <r>
      <t xml:space="preserve">Dressed  </t>
    </r>
    <r>
      <rPr>
        <b/>
        <sz val="9"/>
        <color indexed="10"/>
        <rFont val="Arial"/>
        <family val="2"/>
      </rPr>
      <t xml:space="preserve">Murbau </t>
    </r>
    <r>
      <rPr>
        <sz val="9"/>
        <rFont val="Arial"/>
        <family val="2"/>
      </rPr>
      <t xml:space="preserve"> top with  </t>
    </r>
    <r>
      <rPr>
        <b/>
        <sz val="9"/>
        <color indexed="12"/>
        <rFont val="Arial"/>
        <family val="2"/>
      </rPr>
      <t>10 Strands</t>
    </r>
    <r>
      <rPr>
        <sz val="9"/>
        <rFont val="Arial"/>
        <family val="2"/>
      </rPr>
      <t xml:space="preserve">                        </t>
    </r>
    <r>
      <rPr>
        <sz val="9"/>
        <color indexed="10"/>
        <rFont val="Arial"/>
        <family val="2"/>
      </rPr>
      <t xml:space="preserve"> </t>
    </r>
    <r>
      <rPr>
        <b/>
        <sz val="9"/>
        <color indexed="10"/>
        <rFont val="Arial"/>
        <family val="2"/>
      </rPr>
      <t>Decks over 1 metre under 4.2m</t>
    </r>
    <r>
      <rPr>
        <sz val="9"/>
        <rFont val="Arial"/>
        <family val="2"/>
      </rPr>
      <t xml:space="preserve">                </t>
    </r>
  </si>
  <si>
    <r>
      <t xml:space="preserve">Dressed  </t>
    </r>
    <r>
      <rPr>
        <b/>
        <sz val="9"/>
        <color indexed="10"/>
        <rFont val="Arial"/>
        <family val="2"/>
      </rPr>
      <t xml:space="preserve">Murbau </t>
    </r>
    <r>
      <rPr>
        <sz val="9"/>
        <rFont val="Arial"/>
        <family val="2"/>
      </rPr>
      <t xml:space="preserve"> Dropper   </t>
    </r>
    <r>
      <rPr>
        <b/>
        <sz val="9"/>
        <rFont val="Arial"/>
        <family val="2"/>
      </rPr>
      <t xml:space="preserve">                                      Maximum post spacing 1500</t>
    </r>
    <r>
      <rPr>
        <sz val="9"/>
        <rFont val="Arial"/>
        <family val="2"/>
      </rPr>
      <t xml:space="preserve">              </t>
    </r>
  </si>
  <si>
    <t>Number of strands per run</t>
  </si>
  <si>
    <r>
      <t xml:space="preserve">Number of runs                                                             </t>
    </r>
    <r>
      <rPr>
        <b/>
        <sz val="9"/>
        <rFont val="Arial"/>
        <family val="2"/>
      </rPr>
      <t>Maximum 10m to a run</t>
    </r>
  </si>
  <si>
    <t>handrail discount</t>
  </si>
  <si>
    <r>
      <t xml:space="preserve">If Treated pine top </t>
    </r>
    <r>
      <rPr>
        <b/>
        <sz val="9"/>
        <color indexed="10"/>
        <rFont val="Arial"/>
        <family val="2"/>
      </rPr>
      <t>deduct</t>
    </r>
    <r>
      <rPr>
        <sz val="9"/>
        <rFont val="Arial"/>
        <family val="2"/>
      </rPr>
      <t xml:space="preserve"> the total liniel metres of rail</t>
    </r>
  </si>
  <si>
    <r>
      <t xml:space="preserve">If spotted gum top </t>
    </r>
    <r>
      <rPr>
        <b/>
        <sz val="9"/>
        <color indexed="10"/>
        <rFont val="Arial"/>
        <family val="2"/>
      </rPr>
      <t>Add</t>
    </r>
    <r>
      <rPr>
        <sz val="9"/>
        <rFont val="Arial"/>
        <family val="2"/>
      </rPr>
      <t xml:space="preserve"> the total liniel metres of rail</t>
    </r>
  </si>
  <si>
    <t>STAINLESS TUBE HANDRAIL</t>
  </si>
  <si>
    <t>50mm stainless tube rail</t>
  </si>
  <si>
    <r>
      <t xml:space="preserve">50mm </t>
    </r>
    <r>
      <rPr>
        <b/>
        <sz val="9"/>
        <color indexed="10"/>
        <rFont val="Arial"/>
        <family val="2"/>
      </rPr>
      <t xml:space="preserve">stainless tube </t>
    </r>
    <r>
      <rPr>
        <sz val="9"/>
        <rFont val="Arial"/>
        <family val="2"/>
      </rPr>
      <t xml:space="preserve">rail with </t>
    </r>
    <r>
      <rPr>
        <b/>
        <sz val="9"/>
        <color indexed="12"/>
        <rFont val="Arial"/>
        <family val="2"/>
      </rPr>
      <t xml:space="preserve">4 Runs                      </t>
    </r>
    <r>
      <rPr>
        <b/>
        <sz val="9"/>
        <color indexed="10"/>
        <rFont val="Arial"/>
        <family val="2"/>
      </rPr>
      <t xml:space="preserve">Decks under 1m high    </t>
    </r>
    <r>
      <rPr>
        <b/>
        <sz val="9"/>
        <color indexed="12"/>
        <rFont val="Arial"/>
        <family val="2"/>
      </rPr>
      <t xml:space="preserve"> </t>
    </r>
  </si>
  <si>
    <r>
      <t xml:space="preserve">50mm </t>
    </r>
    <r>
      <rPr>
        <b/>
        <sz val="9"/>
        <color indexed="10"/>
        <rFont val="Arial"/>
        <family val="2"/>
      </rPr>
      <t xml:space="preserve">stainless tube </t>
    </r>
    <r>
      <rPr>
        <sz val="9"/>
        <rFont val="Arial"/>
        <family val="2"/>
      </rPr>
      <t xml:space="preserve">rail with </t>
    </r>
    <r>
      <rPr>
        <b/>
        <sz val="9"/>
        <color indexed="12"/>
        <rFont val="Arial"/>
        <family val="2"/>
      </rPr>
      <t xml:space="preserve">10 Runs                    </t>
    </r>
    <r>
      <rPr>
        <b/>
        <sz val="9"/>
        <color indexed="10"/>
        <rFont val="Arial"/>
        <family val="2"/>
      </rPr>
      <t xml:space="preserve">Decks over 1 metre under 4.2m     </t>
    </r>
    <r>
      <rPr>
        <b/>
        <sz val="9"/>
        <color indexed="12"/>
        <rFont val="Arial"/>
        <family val="2"/>
      </rPr>
      <t xml:space="preserve"> </t>
    </r>
  </si>
  <si>
    <r>
      <t xml:space="preserve">50mm </t>
    </r>
    <r>
      <rPr>
        <b/>
        <sz val="9"/>
        <color indexed="10"/>
        <rFont val="Arial"/>
        <family val="2"/>
      </rPr>
      <t xml:space="preserve">stainless steel </t>
    </r>
    <r>
      <rPr>
        <sz val="9"/>
        <rFont val="Arial"/>
        <family val="2"/>
      </rPr>
      <t>post</t>
    </r>
  </si>
  <si>
    <r>
      <t xml:space="preserve">20mm </t>
    </r>
    <r>
      <rPr>
        <b/>
        <sz val="9"/>
        <color indexed="10"/>
        <rFont val="Arial"/>
        <family val="2"/>
      </rPr>
      <t>stainless Steel</t>
    </r>
    <r>
      <rPr>
        <sz val="9"/>
        <rFont val="Arial"/>
        <family val="2"/>
      </rPr>
      <t xml:space="preserve"> Droppers                                </t>
    </r>
    <r>
      <rPr>
        <b/>
        <sz val="9"/>
        <rFont val="Arial"/>
        <family val="2"/>
      </rPr>
      <t>Maximum post spacing 1500</t>
    </r>
    <r>
      <rPr>
        <sz val="9"/>
        <rFont val="Arial"/>
        <family val="2"/>
      </rPr>
      <t xml:space="preserve"> </t>
    </r>
  </si>
  <si>
    <t>Number of stands</t>
  </si>
  <si>
    <r>
      <t xml:space="preserve">Number of runs                                                              </t>
    </r>
    <r>
      <rPr>
        <b/>
        <sz val="9"/>
        <rFont val="Arial"/>
        <family val="2"/>
      </rPr>
      <t>Maximum 10m to a run</t>
    </r>
  </si>
  <si>
    <t>Number of straight Flanges / Cover</t>
  </si>
  <si>
    <t>Number of 45 Degree Flanges / Cover</t>
  </si>
  <si>
    <r>
      <t xml:space="preserve">STEEL &amp; GLASS RAIL                  </t>
    </r>
    <r>
      <rPr>
        <b/>
        <sz val="9"/>
        <color indexed="10"/>
        <rFont val="Arial"/>
        <family val="2"/>
      </rPr>
      <t>Go to activator page</t>
    </r>
  </si>
  <si>
    <t>SCREENS</t>
  </si>
  <si>
    <r>
      <t xml:space="preserve">Murbau   </t>
    </r>
    <r>
      <rPr>
        <b/>
        <sz val="9"/>
        <rFont val="Arial"/>
        <family val="2"/>
      </rPr>
      <t xml:space="preserve">                                                    </t>
    </r>
    <r>
      <rPr>
        <b/>
        <sz val="9"/>
        <color indexed="10"/>
        <rFont val="Arial"/>
        <family val="2"/>
      </rPr>
      <t>90 x 19 mm spaced with a 10mm gap</t>
    </r>
  </si>
  <si>
    <r>
      <t xml:space="preserve">Murbua  90 x 19                                          </t>
    </r>
    <r>
      <rPr>
        <b/>
        <sz val="9"/>
        <rFont val="Arial"/>
        <family val="2"/>
      </rPr>
      <t xml:space="preserve">600 High     Per metre               </t>
    </r>
    <r>
      <rPr>
        <b/>
        <sz val="9"/>
        <color indexed="10"/>
        <rFont val="Arial"/>
        <family val="2"/>
      </rPr>
      <t>5 Runs</t>
    </r>
  </si>
  <si>
    <r>
      <t xml:space="preserve">Murbua  90 x 19                                        </t>
    </r>
    <r>
      <rPr>
        <b/>
        <sz val="9"/>
        <rFont val="Arial"/>
        <family val="2"/>
      </rPr>
      <t xml:space="preserve">1000 High     Per Metre               </t>
    </r>
    <r>
      <rPr>
        <b/>
        <sz val="9"/>
        <color indexed="10"/>
        <rFont val="Arial"/>
        <family val="2"/>
      </rPr>
      <t>9 Runs</t>
    </r>
    <r>
      <rPr>
        <b/>
        <sz val="9"/>
        <rFont val="Arial"/>
        <family val="2"/>
      </rPr>
      <t xml:space="preserve"> </t>
    </r>
  </si>
  <si>
    <r>
      <t xml:space="preserve">Murbua  90 x 19                                        </t>
    </r>
    <r>
      <rPr>
        <b/>
        <sz val="9"/>
        <rFont val="Arial"/>
        <family val="2"/>
      </rPr>
      <t xml:space="preserve">1400 High     Per Metre             </t>
    </r>
    <r>
      <rPr>
        <b/>
        <sz val="9"/>
        <color indexed="10"/>
        <rFont val="Arial"/>
        <family val="2"/>
      </rPr>
      <t>13 Runs</t>
    </r>
  </si>
  <si>
    <r>
      <t xml:space="preserve">Murbua  90 x 19                                        </t>
    </r>
    <r>
      <rPr>
        <b/>
        <sz val="9"/>
        <rFont val="Arial"/>
        <family val="2"/>
      </rPr>
      <t xml:space="preserve">1800 High     Per Metre             </t>
    </r>
    <r>
      <rPr>
        <b/>
        <sz val="9"/>
        <color indexed="10"/>
        <rFont val="Arial"/>
        <family val="2"/>
      </rPr>
      <t>17 Runs</t>
    </r>
  </si>
  <si>
    <t>STEEL SCREENS</t>
  </si>
  <si>
    <t>Powder coated 2400 x 1200 x 1.6mm  custom screen                               Each</t>
  </si>
  <si>
    <r>
      <t xml:space="preserve">Glass privacy screens             </t>
    </r>
    <r>
      <rPr>
        <b/>
        <sz val="9"/>
        <color indexed="10"/>
        <rFont val="Arial"/>
        <family val="2"/>
      </rPr>
      <t>Go to activator page</t>
    </r>
  </si>
  <si>
    <t>FRET WORK</t>
  </si>
  <si>
    <r>
      <t xml:space="preserve">Treated pine top Fretwork  50 x 38                                           </t>
    </r>
    <r>
      <rPr>
        <b/>
        <sz val="9"/>
        <rFont val="Arial"/>
        <family val="2"/>
      </rPr>
      <t>Type PERFR001</t>
    </r>
  </si>
  <si>
    <r>
      <t xml:space="preserve">Fretwork  45 x 45 Pink primed                                                   </t>
    </r>
    <r>
      <rPr>
        <b/>
        <sz val="9"/>
        <rFont val="Arial"/>
        <family val="2"/>
      </rPr>
      <t>Type PERFR002</t>
    </r>
  </si>
  <si>
    <r>
      <t xml:space="preserve">Motifs Top  $10.60  pink primed motif 1p/m                           </t>
    </r>
    <r>
      <rPr>
        <b/>
        <sz val="9"/>
        <rFont val="Arial"/>
        <family val="2"/>
      </rPr>
      <t>Type PERFR003</t>
    </r>
  </si>
  <si>
    <t>CEILINGS &amp; WALLS</t>
  </si>
  <si>
    <t>Pine lining</t>
  </si>
  <si>
    <r>
      <t xml:space="preserve">T/Pine Cladding Primed    138 x 18                                                      </t>
    </r>
    <r>
      <rPr>
        <b/>
        <sz val="9"/>
        <color indexed="10"/>
        <rFont val="Arial"/>
        <family val="2"/>
      </rPr>
      <t>m2</t>
    </r>
  </si>
  <si>
    <r>
      <t xml:space="preserve">Pine Lining primed            139x 12                                                    </t>
    </r>
    <r>
      <rPr>
        <sz val="9"/>
        <color rgb="FFFF0000"/>
        <rFont val="Arial"/>
        <family val="2"/>
      </rPr>
      <t xml:space="preserve">  m2</t>
    </r>
  </si>
  <si>
    <r>
      <t xml:space="preserve">Beading for the perimeter                                                                    </t>
    </r>
    <r>
      <rPr>
        <b/>
        <sz val="9"/>
        <color indexed="10"/>
        <rFont val="Arial"/>
        <family val="2"/>
      </rPr>
      <t>L/M</t>
    </r>
  </si>
  <si>
    <t>Cement sheeting</t>
  </si>
  <si>
    <r>
      <t xml:space="preserve">Cement sheeting       4.5                                                                            </t>
    </r>
    <r>
      <rPr>
        <b/>
        <sz val="9"/>
        <color indexed="10"/>
        <rFont val="Arial"/>
        <family val="2"/>
      </rPr>
      <t>Per Square metre</t>
    </r>
  </si>
  <si>
    <r>
      <t xml:space="preserve">Beading for the perimeter                                                                    </t>
    </r>
    <r>
      <rPr>
        <b/>
        <sz val="9"/>
        <color indexed="10"/>
        <rFont val="Arial"/>
        <family val="2"/>
      </rPr>
      <t>Per Lineal metre</t>
    </r>
  </si>
  <si>
    <t>Plaster Works</t>
  </si>
  <si>
    <t>Plaster</t>
  </si>
  <si>
    <t>Ceiling - including Direct fix battens -Vaulted 10mm                        M2</t>
  </si>
  <si>
    <t>Ceiling - including Direct fix battens -Flat 10mm                              M2</t>
  </si>
  <si>
    <t>Ceiling - including Direct fix battens -Suspended 10mm                 M2</t>
  </si>
  <si>
    <t>Walls - Plaster 10mm                                                                        M2</t>
  </si>
  <si>
    <t>Walls - Villa Board 6mm                                                                   M2</t>
  </si>
  <si>
    <t>Walls - Plaster 10mm  Stick on walls                                               M2</t>
  </si>
  <si>
    <t>Walls - Plaster 200mm drip line on Alfresco                                    L/M</t>
  </si>
  <si>
    <t>Tear aways                                                                                    L/M</t>
  </si>
  <si>
    <t>70mm Cornice                    3.6 and 4.8 m lengths                          L/M</t>
  </si>
  <si>
    <t>Skylights</t>
  </si>
  <si>
    <t>Window reveals                                                                             L/M</t>
  </si>
  <si>
    <t>Total</t>
  </si>
  <si>
    <t>Plaster total</t>
  </si>
  <si>
    <t>Slylights Garron 1800 x 900</t>
  </si>
  <si>
    <t xml:space="preserve">Frame Walls </t>
  </si>
  <si>
    <r>
      <t xml:space="preserve">  600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 Per Metre</t>
    </r>
  </si>
  <si>
    <r>
      <t xml:space="preserve">1200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Per Metre</t>
    </r>
  </si>
  <si>
    <r>
      <t xml:space="preserve">1800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Per Metre</t>
    </r>
  </si>
  <si>
    <r>
      <t xml:space="preserve">2400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Per Metre</t>
    </r>
  </si>
  <si>
    <r>
      <t xml:space="preserve">3000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Per Metre</t>
    </r>
  </si>
  <si>
    <r>
      <t xml:space="preserve">3600 high Stud wall  - MGP10 Studs - T/P Sole plate   </t>
    </r>
    <r>
      <rPr>
        <b/>
        <sz val="9"/>
        <color indexed="10"/>
        <rFont val="Arial"/>
        <family val="2"/>
      </rPr>
      <t xml:space="preserve">                                    Per Metre</t>
    </r>
  </si>
  <si>
    <r>
      <t xml:space="preserve">MGP10 - Seat framing 600 high x 450 wide                                                   </t>
    </r>
    <r>
      <rPr>
        <b/>
        <sz val="9"/>
        <color indexed="10"/>
        <rFont val="Arial"/>
        <family val="2"/>
      </rPr>
      <t xml:space="preserve">  Per Metre</t>
    </r>
  </si>
  <si>
    <t xml:space="preserve">Heater framing  </t>
  </si>
  <si>
    <t>To frame upto 1.8m H x 2.4 W x .600 D heater box with blue board cladding</t>
  </si>
  <si>
    <t>To frame upto 2.4m H x 2.4 W x .600 D heater box with blue board cladding</t>
  </si>
  <si>
    <t>To frame upto 3.0m H x 2.4 W x .600 D heater box with blue board cladding</t>
  </si>
  <si>
    <t>To frame upto 1.8m H x 1.8 W x .600 D heater box with blue board cladding</t>
  </si>
  <si>
    <t>To frame upto 2.4m H x 1.8 W x .600 D heater box with blue board cladding</t>
  </si>
  <si>
    <t>To frame upto 3.0m H x 1.8 W x .600 D heater box with blue board cladding</t>
  </si>
  <si>
    <t>FRL 60/60/60 Stud Framed Walls (Dura Board External) *Internal wall cladding Not INC</t>
  </si>
  <si>
    <t>Painting</t>
  </si>
  <si>
    <t>Delivery Fire check</t>
  </si>
  <si>
    <t>Delivery Fire check Metro 150m2 maximum</t>
  </si>
  <si>
    <t>Brick Work</t>
  </si>
  <si>
    <t>Brick work</t>
  </si>
  <si>
    <t>Brick rate - BV supplies Sand Cement Lime wall ties ETC</t>
  </si>
  <si>
    <t>Day rate</t>
  </si>
  <si>
    <t xml:space="preserve">Clean bricks </t>
  </si>
  <si>
    <t>Brick allowance</t>
  </si>
  <si>
    <t>Brick delivery</t>
  </si>
  <si>
    <t>Brick layer total</t>
  </si>
  <si>
    <t xml:space="preserve">Door Jams </t>
  </si>
  <si>
    <t>MDFDJ120 MDF Internal Door Jam 120mm                                MDF</t>
  </si>
  <si>
    <t>DFEMS00870 External door frames with sills                            Meranti (Assembled)</t>
  </si>
  <si>
    <t>DFEWSM820  External door frame without sill     KD H/W Style 5.1m</t>
  </si>
  <si>
    <t>Aluminium Multi Stack doors</t>
  </si>
  <si>
    <t>ESTIMATE ONLY Multi stack door 2100 x 2400     3 Panel</t>
  </si>
  <si>
    <t>ESTIMATE ONLY Multi stack door 2100 x 3200     3 Panel</t>
  </si>
  <si>
    <t>ESTIMATE ONLY Multi stack door 2100 x 3600     3 Panel</t>
  </si>
  <si>
    <t>External timber doors</t>
  </si>
  <si>
    <t xml:space="preserve">Laundry Door Hume XF3 1/2 glass durocote 820 door </t>
  </si>
  <si>
    <t>Duracote door Permacore 2040 x 820 x 40 with hardware</t>
  </si>
  <si>
    <t>Entrance Door   Hume doors   with Hardware                PROVISIONAL SUM</t>
  </si>
  <si>
    <t xml:space="preserve">Hardware and door Allowances  </t>
  </si>
  <si>
    <t xml:space="preserve">Internal door </t>
  </si>
  <si>
    <t>RMD2040820 Redicote Mas door 720                 ( Plain Face)</t>
  </si>
  <si>
    <t>Aluminium Sliding windows  SINGLE GLASS</t>
  </si>
  <si>
    <t>ESTIMATE ONLY Sliding window  585 x 660         Fixed</t>
  </si>
  <si>
    <t xml:space="preserve">Window and Door flashing </t>
  </si>
  <si>
    <t>Skirt &amp; Arc</t>
  </si>
  <si>
    <t>Wall cladding</t>
  </si>
  <si>
    <t>row index</t>
  </si>
  <si>
    <t>Unit Labour</t>
  </si>
  <si>
    <t xml:space="preserve">Blue board m2                           Parrapet / 2nd story                  </t>
  </si>
  <si>
    <t xml:space="preserve">Blue board m2                            Wall  single story                        </t>
  </si>
  <si>
    <t>Cement sheet m2 - 6mm</t>
  </si>
  <si>
    <t>Hardies /DuraGroove</t>
  </si>
  <si>
    <t>BGC Duragroove 2.4 H x 1200 w                                  Each</t>
  </si>
  <si>
    <t>BGC Duragroove 2.7 H x 1200 w                                  Each</t>
  </si>
  <si>
    <t>BGC Duragroove 3.0 H x 1200 w                                  Each</t>
  </si>
  <si>
    <t>Hardie / Durogroove Horizontal flashing  3.0                 Each</t>
  </si>
  <si>
    <t xml:space="preserve">Hardie / Durogroove Corner  Flashing     3.0                 Each               </t>
  </si>
  <si>
    <t>Hardies base edge trim with Matrix cavity vent strip     L/M</t>
  </si>
  <si>
    <t>Hardies Cavity Batten 18 x 70 x 3m                              Each</t>
  </si>
  <si>
    <t>Hardies Weather Wrap</t>
  </si>
  <si>
    <t>Hardies Wrap weather barrier 2.75 high                                          L/M</t>
  </si>
  <si>
    <t>Brick to wall flashing for fire rated walls</t>
  </si>
  <si>
    <t>Pre primed Baltic pine weather board m2</t>
  </si>
  <si>
    <t>Cement Sheet Woodgrain Hardi plank m2</t>
  </si>
  <si>
    <t>Timber External wboard stop                                 LM</t>
  </si>
  <si>
    <t>Timber internal wboard stop                                  LM</t>
  </si>
  <si>
    <t>Bulk heads and Blue board pillars</t>
  </si>
  <si>
    <r>
      <t xml:space="preserve">Blue board 600 mm Bulk head                                              </t>
    </r>
    <r>
      <rPr>
        <b/>
        <sz val="9"/>
        <color indexed="10"/>
        <rFont val="Arial"/>
        <family val="2"/>
      </rPr>
      <t>Per Lineal metre</t>
    </r>
  </si>
  <si>
    <r>
      <t xml:space="preserve">Blue board column 450 x 450 up to 3 metres high            </t>
    </r>
    <r>
      <rPr>
        <b/>
        <sz val="9"/>
        <color indexed="10"/>
        <rFont val="Arial"/>
        <family val="2"/>
      </rPr>
      <t>Each</t>
    </r>
  </si>
  <si>
    <r>
      <t xml:space="preserve">Blue board parapat wall up to .5 high     </t>
    </r>
    <r>
      <rPr>
        <b/>
        <sz val="9"/>
        <color rgb="FFFF0000"/>
        <rFont val="Arial"/>
        <family val="2"/>
      </rPr>
      <t xml:space="preserve"> NO FLASHING</t>
    </r>
    <r>
      <rPr>
        <sz val="9"/>
        <rFont val="Arial"/>
        <family val="2"/>
      </rPr>
      <t xml:space="preserve">    </t>
    </r>
    <r>
      <rPr>
        <b/>
        <sz val="9"/>
        <color indexed="10"/>
        <rFont val="Arial"/>
        <family val="2"/>
      </rPr>
      <t>Per Lineal metre</t>
    </r>
  </si>
  <si>
    <t>PAINTING</t>
  </si>
  <si>
    <t>Open pergola  per square metre 3 coats m2</t>
  </si>
  <si>
    <t>Projects with Twinwall roofing m2</t>
  </si>
  <si>
    <t>Paint Plain Verandah Post Each</t>
  </si>
  <si>
    <t>Paint Turned Verandah Post Each</t>
  </si>
  <si>
    <t>Finial Each</t>
  </si>
  <si>
    <t>Gable  per square metre 3 coats m2</t>
  </si>
  <si>
    <t>Skillion per square metre 3 coats m2</t>
  </si>
  <si>
    <t>Balustrade handrail &amp; frete lm</t>
  </si>
  <si>
    <t>Heritage  endfill lm</t>
  </si>
  <si>
    <t>Wire Hand Rail lm</t>
  </si>
  <si>
    <t>Timber Slatts lm</t>
  </si>
  <si>
    <t>Timber slats Stained Murbua lm</t>
  </si>
  <si>
    <t>Paint ceiling m2</t>
  </si>
  <si>
    <t>Paint walls</t>
  </si>
  <si>
    <t>Paint plastic lattice screen surrounds Each</t>
  </si>
  <si>
    <t>Merbua screens with frame and oiling both sides lm</t>
  </si>
  <si>
    <t>Decking Oil m2</t>
  </si>
  <si>
    <t>Bulk heads, parapat walls and Blueboard columns</t>
  </si>
  <si>
    <t xml:space="preserve">Painting transfer from the decking page </t>
  </si>
  <si>
    <t>Minimum Hire</t>
  </si>
  <si>
    <t>Painting Calculator</t>
  </si>
  <si>
    <t>Total cost of painting</t>
  </si>
  <si>
    <t>Rendering</t>
  </si>
  <si>
    <t>Rendering a Column upto 450 wide                                        Per Linial Metre</t>
  </si>
  <si>
    <t>Wall rendering                                                                         Per Sq Metre</t>
  </si>
  <si>
    <t>Parepet moulding                                                                     Per metre</t>
  </si>
  <si>
    <t>Install Parepet moulding</t>
  </si>
  <si>
    <t xml:space="preserve">Rendering  Sub Total </t>
  </si>
  <si>
    <t>Rendering total</t>
  </si>
  <si>
    <t>LABOUR CALCULATION FOR CARPORTS, VERANDAHS &amp; PERGOLAS</t>
  </si>
  <si>
    <t>LABOUR number of rafters</t>
  </si>
  <si>
    <t xml:space="preserve">Install skillion roof 2.4 to 3.6 </t>
  </si>
  <si>
    <t>Install skillion roof 3.7 to 4.2</t>
  </si>
  <si>
    <t xml:space="preserve">Install skillion roof 4.3 to 6 </t>
  </si>
  <si>
    <t>Install gable roof rafter up to 4.1 wide</t>
  </si>
  <si>
    <t>Install gable roof Rafter from 4.2 to 5.9 m wide</t>
  </si>
  <si>
    <t>Install gable roof Rafter from 6 to 7.2m wide</t>
  </si>
  <si>
    <t>Gables over 7.3m not availiable without prior approval from management</t>
  </si>
  <si>
    <t>Install creeper Rafter</t>
  </si>
  <si>
    <t>Install Jack Rafter</t>
  </si>
  <si>
    <t>Additional Permiting requirements</t>
  </si>
  <si>
    <t>Energy rating</t>
  </si>
  <si>
    <t>Row Index</t>
  </si>
  <si>
    <t>QTY</t>
  </si>
  <si>
    <t>ADDITIONAL ITEMS</t>
  </si>
  <si>
    <t>Item Cost$</t>
  </si>
  <si>
    <t>Done</t>
  </si>
  <si>
    <t>Spare</t>
  </si>
  <si>
    <t>Toilet Hire 10 week</t>
  </si>
  <si>
    <t>Connections</t>
  </si>
  <si>
    <t>Above ground 20mm Gas line for BBQ  Linial metre  MI Hire</t>
  </si>
  <si>
    <t>SUBTOTAL CARPENTERS (DAYS / LABOUR)</t>
  </si>
  <si>
    <t>SUBTOTAL PLUMBERS (DAYS / LABOUR)</t>
  </si>
  <si>
    <t>ADDITIONAL LABOUR</t>
  </si>
  <si>
    <r>
      <t xml:space="preserve">Cart Timber &amp; additional carpenter labour per hour                         </t>
    </r>
    <r>
      <rPr>
        <b/>
        <sz val="9"/>
        <color indexed="10"/>
        <rFont val="Arial"/>
        <family val="2"/>
      </rPr>
      <t>1 Man</t>
    </r>
    <r>
      <rPr>
        <sz val="9"/>
        <rFont val="Arial"/>
        <family val="2"/>
      </rPr>
      <t xml:space="preserve">  </t>
    </r>
  </si>
  <si>
    <t>Instalation Bi-Fold Doors Per Panel</t>
  </si>
  <si>
    <t>Instalation Windows Per Unit</t>
  </si>
  <si>
    <t>Instalation French Door Per Unit (2 door panels)</t>
  </si>
  <si>
    <r>
      <t xml:space="preserve">Additional labour  for a Plumber per hour                                           </t>
    </r>
    <r>
      <rPr>
        <b/>
        <sz val="9"/>
        <color indexed="10"/>
        <rFont val="Arial"/>
        <family val="2"/>
      </rPr>
      <t>1 Man</t>
    </r>
    <r>
      <rPr>
        <sz val="9"/>
        <rFont val="Arial"/>
        <family val="2"/>
      </rPr>
      <t xml:space="preserve">           </t>
    </r>
  </si>
  <si>
    <t>Scaffold Erection</t>
  </si>
  <si>
    <t>Carpenter Height compensations pergolas over 3.0m high</t>
  </si>
  <si>
    <t>Carpenter  Gables over 7.2m wide</t>
  </si>
  <si>
    <t>PULLDOWN &amp; WASTE REMOVAL</t>
  </si>
  <si>
    <r>
      <t xml:space="preserve">Labour to remove existing    </t>
    </r>
    <r>
      <rPr>
        <b/>
        <sz val="9"/>
        <rFont val="Arial"/>
        <family val="2"/>
      </rPr>
      <t xml:space="preserve">Verandah </t>
    </r>
    <r>
      <rPr>
        <sz val="9"/>
        <rFont val="Arial"/>
        <family val="2"/>
      </rPr>
      <t xml:space="preserve">         </t>
    </r>
    <r>
      <rPr>
        <b/>
        <sz val="9"/>
        <color indexed="10"/>
        <rFont val="Arial"/>
        <family val="2"/>
      </rPr>
      <t>Per Square Metre</t>
    </r>
  </si>
  <si>
    <r>
      <t xml:space="preserve">Labour to remove existing       </t>
    </r>
    <r>
      <rPr>
        <b/>
        <sz val="9"/>
        <rFont val="Arial"/>
        <family val="2"/>
      </rPr>
      <t xml:space="preserve">Decking </t>
    </r>
    <r>
      <rPr>
        <sz val="9"/>
        <rFont val="Arial"/>
        <family val="2"/>
      </rPr>
      <t xml:space="preserve">         </t>
    </r>
    <r>
      <rPr>
        <b/>
        <sz val="9"/>
        <color indexed="10"/>
        <rFont val="Arial"/>
        <family val="2"/>
      </rPr>
      <t>Per Square Metre</t>
    </r>
  </si>
  <si>
    <t>Bin Cal</t>
  </si>
  <si>
    <r>
      <t xml:space="preserve">Labour to remove existing            </t>
    </r>
    <r>
      <rPr>
        <b/>
        <sz val="9"/>
        <rFont val="Arial"/>
        <family val="2"/>
      </rPr>
      <t xml:space="preserve">Eaves   </t>
    </r>
    <r>
      <rPr>
        <sz val="9"/>
        <rFont val="Arial"/>
        <family val="2"/>
      </rPr>
      <t xml:space="preserve">       </t>
    </r>
    <r>
      <rPr>
        <b/>
        <sz val="9"/>
        <color indexed="10"/>
        <rFont val="Arial"/>
        <family val="2"/>
      </rPr>
      <t>Per Linial Metre</t>
    </r>
  </si>
  <si>
    <t>Cubic meterage of Pull down</t>
  </si>
  <si>
    <t>3 Metre Bin Hire</t>
  </si>
  <si>
    <t>6 metre bin Hire</t>
  </si>
  <si>
    <t>8 Metre Bin Hire</t>
  </si>
  <si>
    <t>2 X 6m Bins</t>
  </si>
  <si>
    <t>Asbestos removal                       Per Square Metre</t>
  </si>
  <si>
    <t>Project Item Activators</t>
  </si>
  <si>
    <t>Paint                                                        Activator</t>
  </si>
  <si>
    <t>Dressed timbers                                  Activator</t>
  </si>
  <si>
    <t>Laminated LOSP F7 pine                    Activator</t>
  </si>
  <si>
    <t>Electrical</t>
  </si>
  <si>
    <t>Termite Protection</t>
  </si>
  <si>
    <t>Decking Activator</t>
  </si>
  <si>
    <t>Insulation Activator</t>
  </si>
  <si>
    <t>Roller Doors</t>
  </si>
  <si>
    <r>
      <t xml:space="preserve">Activate when you are wanting to remove all </t>
    </r>
    <r>
      <rPr>
        <b/>
        <sz val="8"/>
        <color indexed="12"/>
        <rFont val="Arial"/>
        <family val="2"/>
      </rPr>
      <t>plumbing minimum hires</t>
    </r>
    <r>
      <rPr>
        <b/>
        <sz val="8"/>
        <color indexed="10"/>
        <rFont val="Arial"/>
        <family val="2"/>
      </rPr>
      <t xml:space="preserve"> from the verandah page</t>
    </r>
  </si>
  <si>
    <r>
      <t xml:space="preserve">Activate when you are wanting to remove all </t>
    </r>
    <r>
      <rPr>
        <b/>
        <sz val="8"/>
        <color indexed="12"/>
        <rFont val="Arial"/>
        <family val="2"/>
      </rPr>
      <t xml:space="preserve">Carpentry minimum hires </t>
    </r>
    <r>
      <rPr>
        <b/>
        <sz val="8"/>
        <color indexed="10"/>
        <rFont val="Arial"/>
        <family val="2"/>
      </rPr>
      <t>from verandah page</t>
    </r>
  </si>
  <si>
    <t xml:space="preserve">SUBTOTALS ACTUAL </t>
  </si>
  <si>
    <t>Travel Allowence</t>
  </si>
  <si>
    <t>SUBTOTALS ADJUSTED</t>
  </si>
  <si>
    <t>Carpenter</t>
  </si>
  <si>
    <t>Plumber</t>
  </si>
  <si>
    <t>Project Manager</t>
  </si>
  <si>
    <t>days</t>
  </si>
  <si>
    <t>Sub total Price excluding GST</t>
  </si>
  <si>
    <t>BUILDING PERMIT &amp; HOME OWNERS WARRANTY</t>
  </si>
  <si>
    <t xml:space="preserve">Building Permit </t>
  </si>
  <si>
    <t>Home Owners Warranty</t>
  </si>
  <si>
    <t>HIA Contracts</t>
  </si>
  <si>
    <t>SAFETY EQUIPMENT</t>
  </si>
  <si>
    <r>
      <t xml:space="preserve">Scaffold hire  6 x 6 x18   </t>
    </r>
    <r>
      <rPr>
        <sz val="9"/>
        <color indexed="10"/>
        <rFont val="Arial"/>
        <family val="2"/>
      </rPr>
      <t>Base hire 2 days</t>
    </r>
    <r>
      <rPr>
        <sz val="9"/>
        <rFont val="Arial"/>
        <family val="2"/>
      </rPr>
      <t xml:space="preserve">       </t>
    </r>
  </si>
  <si>
    <t xml:space="preserve">  </t>
  </si>
  <si>
    <r>
      <t xml:space="preserve">Scaffold hire  6 x 6 x18   </t>
    </r>
    <r>
      <rPr>
        <sz val="9"/>
        <color indexed="10"/>
        <rFont val="Arial"/>
        <family val="2"/>
      </rPr>
      <t xml:space="preserve"> Additional days   </t>
    </r>
    <r>
      <rPr>
        <sz val="9"/>
        <rFont val="Arial"/>
        <family val="2"/>
      </rPr>
      <t xml:space="preserve"> </t>
    </r>
  </si>
  <si>
    <t>X:\Project Items\Saftey rail.JPG</t>
  </si>
  <si>
    <t>Guard Rail Hire                   25m minimum hire</t>
  </si>
  <si>
    <t>Guard Rail Hire                   Per metre</t>
  </si>
  <si>
    <t>LOSP Timber $ Calculator</t>
  </si>
  <si>
    <t>Project Sub Total Full Project</t>
  </si>
  <si>
    <t>Under 7000 loading</t>
  </si>
  <si>
    <t xml:space="preserve">Sales Commission  </t>
  </si>
  <si>
    <t>WORKING CAPITAL CEILING SET ALLOWENCE</t>
  </si>
  <si>
    <t>Working capital %</t>
  </si>
  <si>
    <t>%</t>
  </si>
  <si>
    <t>Working Capital ex Gst</t>
  </si>
  <si>
    <t>Sub total of project after loadings</t>
  </si>
  <si>
    <t>Sales managers commision</t>
  </si>
  <si>
    <t>Travel Allowance</t>
  </si>
  <si>
    <t>PROJECT TOTAL PRE GST</t>
  </si>
  <si>
    <r>
      <t xml:space="preserve">TOTAL CONTRACT PRICE GST </t>
    </r>
    <r>
      <rPr>
        <b/>
        <sz val="8"/>
        <rFont val="Arial"/>
        <family val="2"/>
      </rPr>
      <t>inclusive</t>
    </r>
  </si>
  <si>
    <t>Total sold Price Inclusive</t>
  </si>
  <si>
    <t>Contract Instalments</t>
  </si>
  <si>
    <t xml:space="preserve">          Deposit</t>
  </si>
  <si>
    <t xml:space="preserve">     Drafting approval</t>
  </si>
  <si>
    <t xml:space="preserve">          Delivery of Timber </t>
  </si>
  <si>
    <t xml:space="preserve">          Frame Up</t>
  </si>
  <si>
    <t xml:space="preserve">          Completion</t>
  </si>
  <si>
    <t xml:space="preserve">          TOTAL</t>
  </si>
  <si>
    <t>Warnings</t>
  </si>
  <si>
    <t>Paint Price</t>
  </si>
  <si>
    <t>Including GST</t>
  </si>
  <si>
    <t>Trav/Allow</t>
  </si>
  <si>
    <t>W/Capital</t>
  </si>
  <si>
    <t>Deposit</t>
  </si>
  <si>
    <t>Subfloor</t>
  </si>
  <si>
    <t>Frame</t>
  </si>
  <si>
    <t>GST EXCLUSIVE</t>
  </si>
  <si>
    <t>Lock up</t>
  </si>
  <si>
    <t xml:space="preserve">Fix </t>
  </si>
  <si>
    <t>Item</t>
  </si>
  <si>
    <t>Allowance</t>
  </si>
  <si>
    <t>Actual</t>
  </si>
  <si>
    <t>Completion</t>
  </si>
  <si>
    <t>Working Capital</t>
  </si>
  <si>
    <t>Home owners warranty insurance</t>
  </si>
  <si>
    <t>Building permit / Title / Property report /</t>
  </si>
  <si>
    <t>Totals</t>
  </si>
  <si>
    <t>Glen</t>
  </si>
  <si>
    <t>Hrs worked</t>
  </si>
  <si>
    <t>Trade 1</t>
  </si>
  <si>
    <t>Trade 2</t>
  </si>
  <si>
    <t>Trade 3</t>
  </si>
  <si>
    <t>Decking Calculator</t>
  </si>
  <si>
    <t>Decking spans</t>
  </si>
  <si>
    <t>Number of bearers</t>
  </si>
  <si>
    <t>Height of deck</t>
  </si>
  <si>
    <t>Decking type</t>
  </si>
  <si>
    <t>Decking length</t>
  </si>
  <si>
    <t>Decking Width</t>
  </si>
  <si>
    <t>Height of decking at highest point</t>
  </si>
  <si>
    <t>Number of bearer including the outside bearer</t>
  </si>
  <si>
    <t>Number of joist</t>
  </si>
  <si>
    <t>Number of stumps</t>
  </si>
  <si>
    <t>Wall cleat</t>
  </si>
  <si>
    <t>Bearers</t>
  </si>
  <si>
    <t>lineal meters of joist required</t>
  </si>
  <si>
    <t>Type of Joist required:</t>
  </si>
  <si>
    <t>90 joist (to 1.8m)</t>
  </si>
  <si>
    <t>140 joist (to 3m)</t>
  </si>
  <si>
    <t>190 joist (to 3.7m)</t>
  </si>
  <si>
    <t>245 joist (to 4.6m)</t>
  </si>
  <si>
    <t>290 joist (to 5.4m)</t>
  </si>
  <si>
    <r>
      <t xml:space="preserve">100 x 100 stumps to suit deck height of    </t>
    </r>
    <r>
      <rPr>
        <sz val="9"/>
        <color indexed="10"/>
        <rFont val="Arial"/>
        <family val="2"/>
      </rPr>
      <t xml:space="preserve">                400mm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</si>
  <si>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600mm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</si>
  <si>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800mm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</si>
  <si>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1000mm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</si>
  <si>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1200mm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</si>
  <si>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1400mm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</si>
  <si>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1600mm high</t>
    </r>
  </si>
  <si>
    <r>
      <t xml:space="preserve">100 x 100 stumps to suit deck height of                    </t>
    </r>
    <r>
      <rPr>
        <sz val="9"/>
        <color indexed="10"/>
        <rFont val="Arial"/>
        <family val="2"/>
      </rPr>
      <t>1800mm high</t>
    </r>
  </si>
  <si>
    <r>
      <t xml:space="preserve">125 x 125 stumps to suit deck height of                    </t>
    </r>
    <r>
      <rPr>
        <sz val="9"/>
        <color indexed="10"/>
        <rFont val="Arial"/>
        <family val="2"/>
      </rPr>
      <t>2000mm high</t>
    </r>
  </si>
  <si>
    <r>
      <t xml:space="preserve">125 x 125 stumps to suit deck height of                    </t>
    </r>
    <r>
      <rPr>
        <sz val="9"/>
        <color indexed="10"/>
        <rFont val="Arial"/>
        <family val="2"/>
      </rPr>
      <t>2200mm high</t>
    </r>
  </si>
  <si>
    <r>
      <t xml:space="preserve">125 x 125 stumps to suit deck height of                    </t>
    </r>
    <r>
      <rPr>
        <sz val="9"/>
        <color indexed="10"/>
        <rFont val="Arial"/>
        <family val="2"/>
      </rPr>
      <t>2400mm high</t>
    </r>
  </si>
  <si>
    <t>Item Description</t>
  </si>
  <si>
    <t>Treated Pine</t>
  </si>
  <si>
    <t>Single gate for trap door in deck            1.0 wide &amp; 1.0high</t>
  </si>
  <si>
    <t>Murbua</t>
  </si>
  <si>
    <t>Trex Decking 139.7 x 25.4 x 5.480                 L/M</t>
  </si>
  <si>
    <t>Decking post</t>
  </si>
  <si>
    <t>Paint stairs per tread</t>
  </si>
  <si>
    <t>Buffer</t>
  </si>
  <si>
    <t>Mark up</t>
  </si>
  <si>
    <t>Retail</t>
  </si>
  <si>
    <t>Internal fashion door and jam</t>
  </si>
  <si>
    <t>Additional painting</t>
  </si>
  <si>
    <t>2400 High x 2400 wide Roller door</t>
  </si>
  <si>
    <t>2400 High x 3000 wide Roller door</t>
  </si>
  <si>
    <t>2400 High x 3600 wide Roller door</t>
  </si>
  <si>
    <t>2400 High x 4200 wide Roller door</t>
  </si>
  <si>
    <t>2400 High x 4800 wide Roller door</t>
  </si>
  <si>
    <t>2400 High x 5400 wide Roller door</t>
  </si>
  <si>
    <t>2400 wide x 2400 High Panel Door</t>
  </si>
  <si>
    <t>2400 wide x 3000 High Panel Door</t>
  </si>
  <si>
    <t>2400 wide x 3600 High Panel Door</t>
  </si>
  <si>
    <t>2400 wide x 4200 High Panel Door</t>
  </si>
  <si>
    <t>2400 wide x 4800 High Panel Door</t>
  </si>
  <si>
    <t>2400 wide x 5400 High Panel Door</t>
  </si>
  <si>
    <t>2400 wide x 6000 High Panel Door</t>
  </si>
  <si>
    <t>2400 wide x 6600 High Panel Door</t>
  </si>
  <si>
    <t>Auto Door remote</t>
  </si>
  <si>
    <t>Ember Brush seal  PlM</t>
  </si>
  <si>
    <t xml:space="preserve">Taper base </t>
  </si>
  <si>
    <t>Door Jams</t>
  </si>
  <si>
    <t xml:space="preserve"> Door Jam 140 x 42 Treated pine Dressed to suit 2400 wide x 2400</t>
  </si>
  <si>
    <t xml:space="preserve"> Door Jam 140 x 42 Treated pine Dressed to suit 2400 wide x 3000</t>
  </si>
  <si>
    <t xml:space="preserve"> Door Jam 140 x 42 Treated pine Dressed to suit 2400 wide x 3600</t>
  </si>
  <si>
    <t xml:space="preserve"> Door Jam 140 x 42 Treated pine Dressed to suit 2400 wide x 4200</t>
  </si>
  <si>
    <t xml:space="preserve"> Door Jam 140 x 42 Treated pine Dressed to suit 2400 wide x 4800</t>
  </si>
  <si>
    <t xml:space="preserve"> Door Jam 140 x 42 Treated pine Dressed to suit 2400 wide x 5400</t>
  </si>
  <si>
    <t xml:space="preserve"> Door Jam 140 x 42 Treated pine Dressed to suit 2400 wide x 6000</t>
  </si>
  <si>
    <t xml:space="preserve"> Door Jam 140 x 42 Treated pine Dressed to suit 2400 wide x 6600</t>
  </si>
  <si>
    <t>Subfloor - Perimetre spray</t>
  </si>
  <si>
    <t xml:space="preserve">Physical Barrier </t>
  </si>
  <si>
    <t>PRICES 1 / 8 / 2010</t>
  </si>
  <si>
    <t>Custom</t>
  </si>
  <si>
    <t>Price</t>
  </si>
  <si>
    <t>Retail price</t>
  </si>
  <si>
    <t>KD Hardwood</t>
  </si>
  <si>
    <t>Dressed Timber</t>
  </si>
  <si>
    <t>Pricing 2013-2014 parent copy</t>
  </si>
  <si>
    <t>Beachcomber</t>
  </si>
  <si>
    <t>Permits</t>
  </si>
  <si>
    <t>Base Permit price for projects upto $30,000</t>
  </si>
  <si>
    <t>Updated 30/5/2022</t>
  </si>
  <si>
    <t>Permit price for projects upto $40,000</t>
  </si>
  <si>
    <t>Permit price for projects upto $50,000</t>
  </si>
  <si>
    <t>Permit price for projects upto $60,000</t>
  </si>
  <si>
    <t>Permit price for projects upto $70,000</t>
  </si>
  <si>
    <t>Permit price for projects upto $80,000</t>
  </si>
  <si>
    <t>Permit price for projects upto $90,000</t>
  </si>
  <si>
    <t>Permit price for projects upto $100,000</t>
  </si>
  <si>
    <t>Permit price for projects upto $110,000</t>
  </si>
  <si>
    <t>Permit price for projects upto $120,000</t>
  </si>
  <si>
    <t>Permit price for projects upto $130,000</t>
  </si>
  <si>
    <t>Permit price for projects upto $140,000</t>
  </si>
  <si>
    <t>Permit price for projects upto $150,000</t>
  </si>
  <si>
    <t>Permit price for projects upto $160,000</t>
  </si>
  <si>
    <t>Permit price for projects upto $170,000</t>
  </si>
  <si>
    <t>Permit price for projects upto $180,000</t>
  </si>
  <si>
    <t>Permit price for projects upto $190,000</t>
  </si>
  <si>
    <t>Permit price for projects upto $200,000</t>
  </si>
  <si>
    <t>Permit price for projects upto $210,000</t>
  </si>
  <si>
    <t>Permit price for projects upto $220,000</t>
  </si>
  <si>
    <t>Permit price for projects upto $230,000</t>
  </si>
  <si>
    <t>Permit price for projects upto $240,000</t>
  </si>
  <si>
    <t>Permit price for projects upto $250,000</t>
  </si>
  <si>
    <t>Permit price for projects upto $260,000</t>
  </si>
  <si>
    <t>Permit price for projects upto $270,000</t>
  </si>
  <si>
    <t>Permit price for projects upto $280,000</t>
  </si>
  <si>
    <t>Permit price for projects upto $290,000</t>
  </si>
  <si>
    <t>Permit price for projects upto $300,000</t>
  </si>
  <si>
    <t xml:space="preserve">Home owners Warranty </t>
  </si>
  <si>
    <t>Home owners waranty insurance under $16000.00</t>
  </si>
  <si>
    <t>Updated Matt 21/6/2022</t>
  </si>
  <si>
    <t>Home owners waranty insurance under $25,000.00</t>
  </si>
  <si>
    <t>Home owners waranty insurance under $50,000.00</t>
  </si>
  <si>
    <t>Home owners waranty insurance under $75,000.00</t>
  </si>
  <si>
    <t>Home owners waranty insurance under $100,000.00</t>
  </si>
  <si>
    <t>Home owners waranty insurance under $150,000.00</t>
  </si>
  <si>
    <t>Home owners waranty insurance under $200,000.00</t>
  </si>
  <si>
    <t>Home owners waranty insurance under $250,000.00</t>
  </si>
  <si>
    <t>Home owners waranty insurance under $300,000.00</t>
  </si>
  <si>
    <t>Home owners waranty insurance under $350,000.00</t>
  </si>
  <si>
    <t>Permit Documentation</t>
  </si>
  <si>
    <t>Copy of title Covenant and property report</t>
  </si>
  <si>
    <t>Building permit council lodgement fee &amp; N/Point BAM Reg fee</t>
  </si>
  <si>
    <t>BPC LEVY</t>
  </si>
  <si>
    <t>Project BPC Calculation</t>
  </si>
  <si>
    <t>HIA contract</t>
  </si>
  <si>
    <t>Proffesional Advisors</t>
  </si>
  <si>
    <t>Engineering - Soil report</t>
  </si>
  <si>
    <t>Engineering - Soil report with footing probe</t>
  </si>
  <si>
    <t>Energy Ratings</t>
  </si>
  <si>
    <t>Deem to satisfy</t>
  </si>
  <si>
    <t>Footings Concrete</t>
  </si>
  <si>
    <t>Rapid 20kg bag of 20 mpa concrete  .09 metre</t>
  </si>
  <si>
    <t>.</t>
  </si>
  <si>
    <t>Readymix Concrete per Cubic Meter                                     .4</t>
  </si>
  <si>
    <t xml:space="preserve">Readymix Concrete per Cubic Meter                                      1.0 </t>
  </si>
  <si>
    <t>Stirrups</t>
  </si>
  <si>
    <t>Slabs &amp; Strip Footings</t>
  </si>
  <si>
    <t>Concreter Labourer (1 Day Min Hire) each</t>
  </si>
  <si>
    <t>Line Pump Hire (3hr Min Hire) per Hr</t>
  </si>
  <si>
    <t>Pumping per m3</t>
  </si>
  <si>
    <t>Pump Hire Travell</t>
  </si>
  <si>
    <t>20mpa Readymix  Concrete m3</t>
  </si>
  <si>
    <t>3-L8TM Bar Reinforcement (Strip Footing &amp; Edge Beam) each .2 x 6 lm</t>
  </si>
  <si>
    <t>3-L11TM Bar Reinforcement (Strip Footing &amp; Edge Beam) each .2 x 6 lm</t>
  </si>
  <si>
    <t>3-L12TM Bar Reinforcement (Strip Footing &amp; Edge Beam) each .2 x 6 lm</t>
  </si>
  <si>
    <t>3-N16 Bar Reinforcement (Strip Footing &amp; Edge Beam) x3 lm</t>
  </si>
  <si>
    <t>4-N16 Bar Reinforcement (Strip Footing &amp; Edge Beam) x4 lm</t>
  </si>
  <si>
    <t>SL72 Slab Mesh 6 x 2.4m</t>
  </si>
  <si>
    <t>SL82 Slab Mesh 6 x 2.4m</t>
  </si>
  <si>
    <t>SL92 Slab Mesh 6 x 2.4m</t>
  </si>
  <si>
    <t>SL102 Slab Mesh 6 x 2.4m</t>
  </si>
  <si>
    <t>Mesh Delivery</t>
  </si>
  <si>
    <t>Plastic Roll 50m x 4m Each</t>
  </si>
  <si>
    <t>Sand</t>
  </si>
  <si>
    <t>Sand Delivery</t>
  </si>
  <si>
    <t>Concreting Rates</t>
  </si>
  <si>
    <t>Mininmum Hire loading</t>
  </si>
  <si>
    <t>Plain Concrete</t>
  </si>
  <si>
    <t>Colour Concrete</t>
  </si>
  <si>
    <t>Stencil Concrete 1 Colour</t>
  </si>
  <si>
    <t>Stamped Concrete 1 Colour</t>
  </si>
  <si>
    <t>Stamped Concrete 2 Colour</t>
  </si>
  <si>
    <t>Stamped Concrete 3 Colour</t>
  </si>
  <si>
    <t>Exsposed Aggregate</t>
  </si>
  <si>
    <t>Excurvation</t>
  </si>
  <si>
    <t>Excavator Hire</t>
  </si>
  <si>
    <t>Bobcat and Tipper</t>
  </si>
  <si>
    <t>Excavation</t>
  </si>
  <si>
    <t>Mini Dingo Minimum hire</t>
  </si>
  <si>
    <t>Excavater 2 tonne</t>
  </si>
  <si>
    <t>Excurvater float</t>
  </si>
  <si>
    <t>Post hole Digger</t>
  </si>
  <si>
    <t>Scoria rock 1m</t>
  </si>
  <si>
    <t>Mini Dingo Auger Minimum Hire (2 hrs) - for stump holes</t>
  </si>
  <si>
    <t>Per Hour</t>
  </si>
  <si>
    <t>Termite Protection *Dawsons Pest Control*</t>
  </si>
  <si>
    <t>Subfloor- Spray under spray</t>
  </si>
  <si>
    <t>Post</t>
  </si>
  <si>
    <t>F5 cypress rough sawn 100mm x 100mm                                      upto 4.2m</t>
  </si>
  <si>
    <t>F5 cypress rough sawn 125mm 125mm                                         upto 4.2m</t>
  </si>
  <si>
    <t>F5 Cypress DAR 90mm X 90mm                                                      upto 4.2m</t>
  </si>
  <si>
    <t>F5 Cypress Dar 115mm X 115mm                                                   upto 4.2m</t>
  </si>
  <si>
    <t xml:space="preserve">F5 Cypress  pine 140 x 140                    DAR                                 upto 4.2m   </t>
  </si>
  <si>
    <t>F5 190 x 190 dressed Cypress                                                       upto 4.2m</t>
  </si>
  <si>
    <t>LOSP H3 Treated post                                                         88 x 88</t>
  </si>
  <si>
    <t>LOSP H3 Treated post                                                       112 x 112</t>
  </si>
  <si>
    <t>LOSP H3 Treated post                                                       135 x 135</t>
  </si>
  <si>
    <t>DAR Laminated H4 treated pine 90mm X 90mm</t>
  </si>
  <si>
    <t>90 X 90 Turned post                                                          2.4 m</t>
  </si>
  <si>
    <t xml:space="preserve">110 x110 Turned post                                          2.4m </t>
  </si>
  <si>
    <t xml:space="preserve">Post base fret work  </t>
  </si>
  <si>
    <t>Extenda Bracket including boot</t>
  </si>
  <si>
    <t>Concrete Stumps 100mm X 100mm                                        Per metre</t>
  </si>
  <si>
    <t>Columns</t>
  </si>
  <si>
    <t>200 mm round hardie columm 2.7 high</t>
  </si>
  <si>
    <t>201 mm round hardie column 4.0 high</t>
  </si>
  <si>
    <t xml:space="preserve"> Pencil round rings Rings</t>
  </si>
  <si>
    <t>Brick Piers</t>
  </si>
  <si>
    <t>Minimum Brick labour</t>
  </si>
  <si>
    <t>Brick per labour Per Metre</t>
  </si>
  <si>
    <t>Brick per labour Per Brick</t>
  </si>
  <si>
    <t>Bricks</t>
  </si>
  <si>
    <t>Brick cleaning Per Thousand</t>
  </si>
  <si>
    <t>Laminated Beams</t>
  </si>
  <si>
    <t>A grade dressing s charge</t>
  </si>
  <si>
    <r>
      <t xml:space="preserve">252 x 60         </t>
    </r>
    <r>
      <rPr>
        <sz val="8"/>
        <rFont val="Arial"/>
        <family val="2"/>
      </rPr>
      <t>at 2.4 m spacing can span 6.2m</t>
    </r>
  </si>
  <si>
    <r>
      <t xml:space="preserve">294 x 60         </t>
    </r>
    <r>
      <rPr>
        <sz val="8"/>
        <rFont val="Arial"/>
        <family val="2"/>
      </rPr>
      <t>at 2.4 m spacing can span 6.2m</t>
    </r>
  </si>
  <si>
    <r>
      <t xml:space="preserve">333 x 60         </t>
    </r>
    <r>
      <rPr>
        <sz val="8"/>
        <rFont val="Arial"/>
        <family val="2"/>
      </rPr>
      <t>at 2.4 m spacing can span 6.8m</t>
    </r>
  </si>
  <si>
    <r>
      <t xml:space="preserve">366 x 60         </t>
    </r>
    <r>
      <rPr>
        <sz val="8"/>
        <rFont val="Arial"/>
        <family val="2"/>
      </rPr>
      <t>at 2.4 m spacing can span 7.4m</t>
    </r>
  </si>
  <si>
    <r>
      <t xml:space="preserve">400 x 60         </t>
    </r>
    <r>
      <rPr>
        <sz val="8"/>
        <rFont val="Arial"/>
        <family val="2"/>
      </rPr>
      <t>at 2.4 m spacing can span 7.4m</t>
    </r>
  </si>
  <si>
    <t>Steel PFC 200</t>
  </si>
  <si>
    <t>Treated Pine  lazer cut    (Demak)</t>
  </si>
  <si>
    <t>Treated Pine 290mm X 45mm</t>
  </si>
  <si>
    <t>Treated Pine 240mm X 45mm</t>
  </si>
  <si>
    <t>Treated Pine 190mm X 45mm</t>
  </si>
  <si>
    <t>Treated Pine 140mm X 45mm</t>
  </si>
  <si>
    <t>Treated Pine 90mm X 45mm</t>
  </si>
  <si>
    <t>Treated pine 90mm x 35mm</t>
  </si>
  <si>
    <t>Treated Pine 70mm X 45mm</t>
  </si>
  <si>
    <t>Treated pine 70mm x 35mm</t>
  </si>
  <si>
    <t>Treated Pine 42mm X 42mm                                       CCA   Dressed  Fingure joined</t>
  </si>
  <si>
    <t>Treated Pine 42mm X 19mm                                       CCA   Dressed Solid</t>
  </si>
  <si>
    <t>Treated pine140mm x 35mm</t>
  </si>
  <si>
    <t>Treated Pine 150mm X 25mm</t>
  </si>
  <si>
    <t>Treated Pine  lazer cut    (Vansteensal Timbers)  for Decks only</t>
  </si>
  <si>
    <t>Treated Pine 42mm X 42mm  -               T/PINE LAMINATED 42X42</t>
  </si>
  <si>
    <t>Treated Pine 42mm X 19mm-                 T/PINE LAMINATED 42X19</t>
  </si>
  <si>
    <t>MGP10 Pine</t>
  </si>
  <si>
    <t>190mm X 45mm          MGP 12</t>
  </si>
  <si>
    <t>140mm X 45mm          MGP 12</t>
  </si>
  <si>
    <t xml:space="preserve">  90mm X 45mm          MGP 12</t>
  </si>
  <si>
    <t>Truss Roof</t>
  </si>
  <si>
    <t>Truss roof per Square Metre</t>
  </si>
  <si>
    <t>POA</t>
  </si>
  <si>
    <t xml:space="preserve">LVL Laminated Beam  </t>
  </si>
  <si>
    <t>Main Beam</t>
  </si>
  <si>
    <t xml:space="preserve">LVL 170 x 45         </t>
  </si>
  <si>
    <t xml:space="preserve">LVL 190 x 45           </t>
  </si>
  <si>
    <t xml:space="preserve">LVL 240 x 45           </t>
  </si>
  <si>
    <t xml:space="preserve">LVL 300 x 45           </t>
  </si>
  <si>
    <t xml:space="preserve">LVL 300 x 63           </t>
  </si>
  <si>
    <t xml:space="preserve">LVL 360 x 45           </t>
  </si>
  <si>
    <t xml:space="preserve">LVL 360 x 63           </t>
  </si>
  <si>
    <t xml:space="preserve">LVL 400 x 45          </t>
  </si>
  <si>
    <t xml:space="preserve">LVL 400 x 63         </t>
  </si>
  <si>
    <t xml:space="preserve">LVL 400 x 75          </t>
  </si>
  <si>
    <t xml:space="preserve">LVL 525 x 75           </t>
  </si>
  <si>
    <t xml:space="preserve">LVL 140 x 45    H2 Treated    </t>
  </si>
  <si>
    <t xml:space="preserve">LVL 170 x 45    H2 Treated  </t>
  </si>
  <si>
    <t xml:space="preserve">LVL 190 x 45    H2 Treated     </t>
  </si>
  <si>
    <t xml:space="preserve">LVL 240 x 45    H2 Treated        </t>
  </si>
  <si>
    <t xml:space="preserve">LVL 300 x 45    H2 Treated          </t>
  </si>
  <si>
    <t xml:space="preserve">LVL 300 x 63    H2 Treated  </t>
  </si>
  <si>
    <t xml:space="preserve">LVL 360 x 45    H2 Treated        </t>
  </si>
  <si>
    <t xml:space="preserve">LVL 360 x 63    H2 Treated  </t>
  </si>
  <si>
    <t xml:space="preserve">LVL 400 x 45    H2 Treated       </t>
  </si>
  <si>
    <t xml:space="preserve">LVL 400 x 63    H2 Treated  </t>
  </si>
  <si>
    <t xml:space="preserve">LVL 400 x 75    H2 Treated  </t>
  </si>
  <si>
    <t xml:space="preserve">LVL 525 x 75    H2 Treated      </t>
  </si>
  <si>
    <t>Rafter</t>
  </si>
  <si>
    <r>
      <t xml:space="preserve">LVL 140 x 45           Max span @900 centres for Sheet &amp; Ceiling is </t>
    </r>
    <r>
      <rPr>
        <b/>
        <sz val="8"/>
        <rFont val="Arial"/>
        <family val="2"/>
      </rPr>
      <t>3600</t>
    </r>
  </si>
  <si>
    <r>
      <t xml:space="preserve">LVL 170 x 45           Max span @900 centres for Sheet &amp; Ceiling is </t>
    </r>
    <r>
      <rPr>
        <b/>
        <sz val="8"/>
        <rFont val="Arial"/>
        <family val="2"/>
      </rPr>
      <t>4400</t>
    </r>
  </si>
  <si>
    <r>
      <t xml:space="preserve">LVL 190 x 45           Max span @900 centres for Sheet &amp; Ceiling is </t>
    </r>
    <r>
      <rPr>
        <b/>
        <sz val="8"/>
        <rFont val="Arial"/>
        <family val="2"/>
      </rPr>
      <t>4900</t>
    </r>
  </si>
  <si>
    <r>
      <t xml:space="preserve">LVL 240 x 45           Max span @900 centres for Sheet &amp; Ceiling is </t>
    </r>
    <r>
      <rPr>
        <b/>
        <sz val="8"/>
        <rFont val="Arial"/>
        <family val="2"/>
      </rPr>
      <t>6100</t>
    </r>
  </si>
  <si>
    <r>
      <t xml:space="preserve">LVL 300 x 45           Max span @900 centres for Sheet &amp; Ceiling is </t>
    </r>
    <r>
      <rPr>
        <b/>
        <sz val="8"/>
        <rFont val="Arial"/>
        <family val="2"/>
      </rPr>
      <t>7200</t>
    </r>
  </si>
  <si>
    <t>Fascia board</t>
  </si>
  <si>
    <t>Demak</t>
  </si>
  <si>
    <t>190 x 32 fascia</t>
  </si>
  <si>
    <t>230 x 32 fascia</t>
  </si>
  <si>
    <t>Metal Fascia with Quad spouting</t>
  </si>
  <si>
    <t>Metal Fascia with Squareline spouting</t>
  </si>
  <si>
    <t>Designer pine</t>
  </si>
  <si>
    <t>TPL</t>
  </si>
  <si>
    <t>Designer Pine 235mm X 42mm                             Pre- Primed</t>
  </si>
  <si>
    <t>Designer Pine 185mm X 42mm                             Pre- Primed</t>
  </si>
  <si>
    <t>Designer Pine 140mm X 42mm                             Pre- Primed</t>
  </si>
  <si>
    <t>Designer Pine 88 mm X 42mm                               Pre- Primed</t>
  </si>
  <si>
    <t>Designer Pine 66mm X 42mm                               Pre- Primed</t>
  </si>
  <si>
    <t>Designer Pine 66mm x 31mm                               Pre- Primed</t>
  </si>
  <si>
    <t>Designer Pine 42mm X 42mm                               Pre- Primed</t>
  </si>
  <si>
    <t xml:space="preserve">  90 x 42        KD Hardwood</t>
  </si>
  <si>
    <t>140 x 42        KD Hardwood</t>
  </si>
  <si>
    <t>190 x 42       KD Hardwood</t>
  </si>
  <si>
    <t>240 x 42        KD Hardwood</t>
  </si>
  <si>
    <t>290 x 42        KD Hardwood</t>
  </si>
  <si>
    <t>Laminated Solid Merbau</t>
  </si>
  <si>
    <t xml:space="preserve">DAR Van -  90 x 42  Laminated  Solid murbua </t>
  </si>
  <si>
    <t xml:space="preserve">DAR Van -140 x 42   Laminated  Solid murbua </t>
  </si>
  <si>
    <t xml:space="preserve">DAR Van -190 x 42   Laminated  Solid murbua </t>
  </si>
  <si>
    <t xml:space="preserve">DAR Van - 240 x 42  Laminated  Solid murbua  </t>
  </si>
  <si>
    <t xml:space="preserve">DAR Van - 290 x 42  Laminated  Solid murbua  </t>
  </si>
  <si>
    <t>Decking Timber</t>
  </si>
  <si>
    <t>Treated Pine 70mm X 22mm</t>
  </si>
  <si>
    <t>Treated Pine 90mm X 19 mm</t>
  </si>
  <si>
    <t>Murbau 70mm X 19mm</t>
  </si>
  <si>
    <t>Murbau 90mm X 19mm</t>
  </si>
  <si>
    <t>Murbau 140mm X 19mm</t>
  </si>
  <si>
    <t>Nail free decking</t>
  </si>
  <si>
    <t>Selected Decking</t>
  </si>
  <si>
    <t xml:space="preserve">Jarrah                                   65 x 19 </t>
  </si>
  <si>
    <t>Wa Karri                               86 x 19</t>
  </si>
  <si>
    <t>Silver top ash                       90 x 22</t>
  </si>
  <si>
    <t xml:space="preserve">Spotted Gum                         90 x 19 </t>
  </si>
  <si>
    <t>Spotted Gum</t>
  </si>
  <si>
    <t xml:space="preserve"> 100 x 42    Solid Spotted Gum</t>
  </si>
  <si>
    <t xml:space="preserve"> 145 x 42   Solid Spotted Gum</t>
  </si>
  <si>
    <t xml:space="preserve"> 190 x 42    Solid Spotted Gum</t>
  </si>
  <si>
    <t xml:space="preserve"> 240 x 42   Solid Spotted Gum </t>
  </si>
  <si>
    <t>290 x 42     Solid Spotted Gum</t>
  </si>
  <si>
    <t>Pine lined Ceilings</t>
  </si>
  <si>
    <t xml:space="preserve">T/Pine Cladding Primed    138 x 18 </t>
  </si>
  <si>
    <t>PINE LINING PRIMED 139 X 12</t>
  </si>
  <si>
    <t>Murch timbers</t>
  </si>
  <si>
    <t>90 x 35 murch</t>
  </si>
  <si>
    <t>Plastering (PM Ceilings)</t>
  </si>
  <si>
    <t>Updated 5/12/23</t>
  </si>
  <si>
    <t>FRL 60/60/60 Fire Check 16mm (ATKAR)</t>
  </si>
  <si>
    <t>Hardiefire insulation   m2</t>
  </si>
  <si>
    <t>Delivery max 150m2</t>
  </si>
  <si>
    <t>Product QTY Per lm</t>
  </si>
  <si>
    <t>FRL 60/60/60 Complete Wall componants (Internal Wall cladding not included)</t>
  </si>
  <si>
    <t>Breathable Wrap</t>
  </si>
  <si>
    <t>B/B</t>
  </si>
  <si>
    <t>Hardie fire  m2</t>
  </si>
  <si>
    <t>90x45 TP lm</t>
  </si>
  <si>
    <t>Hardware</t>
  </si>
  <si>
    <t>2.4 Wall per lm</t>
  </si>
  <si>
    <t>2.7 Wall per lm</t>
  </si>
  <si>
    <t>3.0 Wall per lm</t>
  </si>
  <si>
    <t>3.6 Wall per lm</t>
  </si>
  <si>
    <t>Finial</t>
  </si>
  <si>
    <t>600mm Finial                    F1</t>
  </si>
  <si>
    <t>900mm Finial                    F2</t>
  </si>
  <si>
    <t xml:space="preserve">1200mm Finial                  F3       </t>
  </si>
  <si>
    <t>AC Sheeting</t>
  </si>
  <si>
    <t>AC Sheeting 1800mm X 900mm</t>
  </si>
  <si>
    <t>AC Sheeting 1800mm X 1200mm</t>
  </si>
  <si>
    <t>AC Sheeting 2100mm X 1200mm</t>
  </si>
  <si>
    <t>AC Sheeting 2400mm X 450mm</t>
  </si>
  <si>
    <t>AC Sheeting 2400mm X 600mm</t>
  </si>
  <si>
    <t>AC Sheeting 2400mm X 900mm</t>
  </si>
  <si>
    <t>AC Sheeting 2400mm X 1200mm</t>
  </si>
  <si>
    <t>AC Sheeting 2700mm X 900mm</t>
  </si>
  <si>
    <t>AC Sheeting 2700mm X 1200mm</t>
  </si>
  <si>
    <t>AC Sheeting 3000mm X 900mm</t>
  </si>
  <si>
    <t>AC Sheeting 3000mm X 1200mm</t>
  </si>
  <si>
    <t>AC sheeting per Square Metre                       C152 is 10% wastage</t>
  </si>
  <si>
    <t>AC Joiner Strip</t>
  </si>
  <si>
    <t>AC Heeting 3000 x 1200 6MM</t>
  </si>
  <si>
    <t>6MM CEMENT SHEET m2</t>
  </si>
  <si>
    <t>Stucco</t>
  </si>
  <si>
    <t>Stucco 2400 x 1200</t>
  </si>
  <si>
    <t>Blueboard</t>
  </si>
  <si>
    <t>Blue Board per metre  900 x 3000                 C155 is 10% wastage</t>
  </si>
  <si>
    <t>Hardie text Blue                            3000 x 1200</t>
  </si>
  <si>
    <t>Hardie text Blue                            3000 x 900</t>
  </si>
  <si>
    <t>Hardie text Blue                            2700 x 1200</t>
  </si>
  <si>
    <t>Hardie text Blue                            2700 x 900</t>
  </si>
  <si>
    <t>Hardie text Blue                            2400 x 1200</t>
  </si>
  <si>
    <t>Hardie text Blue                            2400 x 900</t>
  </si>
  <si>
    <t>Hardie text Blue  per m2</t>
  </si>
  <si>
    <t>Weather board &amp; Cement sheet woodgrain</t>
  </si>
  <si>
    <t xml:space="preserve">BGC nuline w/board square edge 4.2x175x14mm                             L/M </t>
  </si>
  <si>
    <t>Baltic pine primed Weather Board  175mm square &amp; Round edge</t>
  </si>
  <si>
    <t>Duro Groove  cladding</t>
  </si>
  <si>
    <t>BGC Duragroove    m2</t>
  </si>
  <si>
    <t>BGC Duragroove  2400 x 1200 x 9mm                                        dgvwg924512</t>
  </si>
  <si>
    <t>Updated 14/7/23</t>
  </si>
  <si>
    <t>BGC Duragroove 2700 x 1200 x 9mm                                         dgvwg927512</t>
  </si>
  <si>
    <t>BGC Duragroove  3000 x 1200 x 9mm                                        dgvwg93012</t>
  </si>
  <si>
    <t>Hardies / Durogroove Horizontal flashing                            3m length</t>
  </si>
  <si>
    <t>Hardies / Durogroove External corner flashing                    3m length</t>
  </si>
  <si>
    <t>Hardies Edge Base trim  -305911                                        3.9m length</t>
  </si>
  <si>
    <t>Undated 14/7/23</t>
  </si>
  <si>
    <t xml:space="preserve">Hardies Edge Base corner </t>
  </si>
  <si>
    <t>Matrix Cavity vent strip PVC                                               3 0m length</t>
  </si>
  <si>
    <t>Hardies Cavity Batten   18x 70 x 3000</t>
  </si>
  <si>
    <t>Hardies Wrap weather barrier 2.75x 30m</t>
  </si>
  <si>
    <t>Skirt &amp; Arch</t>
  </si>
  <si>
    <t>KD Single Bevel Arch 65 x 10</t>
  </si>
  <si>
    <t>KD Single Bevel Arch 42 x 19</t>
  </si>
  <si>
    <t xml:space="preserve">KD Single Bevel Arch 65 x 10  Per door 2100 x 4 + 1.2 *2 </t>
  </si>
  <si>
    <r>
      <t xml:space="preserve">DFEMS00820 External door frames with sills                            </t>
    </r>
    <r>
      <rPr>
        <b/>
        <sz val="8"/>
        <color rgb="FFFF0000"/>
        <rFont val="Arial"/>
        <family val="2"/>
      </rPr>
      <t>Meranti</t>
    </r>
    <r>
      <rPr>
        <sz val="8"/>
        <rFont val="Arial"/>
        <family val="2"/>
      </rPr>
      <t xml:space="preserve"> (Assembled)</t>
    </r>
  </si>
  <si>
    <r>
      <t xml:space="preserve">DFEMS00870 External door frames with sills                            </t>
    </r>
    <r>
      <rPr>
        <b/>
        <sz val="8"/>
        <color rgb="FFFF0000"/>
        <rFont val="Arial"/>
        <family val="2"/>
      </rPr>
      <t>Meranti</t>
    </r>
    <r>
      <rPr>
        <sz val="8"/>
        <rFont val="Arial"/>
        <family val="2"/>
      </rPr>
      <t xml:space="preserve"> (Assembled)</t>
    </r>
  </si>
  <si>
    <r>
      <t xml:space="preserve">MDFDJ120 MDF Internal Door Jam 120mm                                </t>
    </r>
    <r>
      <rPr>
        <b/>
        <sz val="8"/>
        <color rgb="FFFF0000"/>
        <rFont val="Arial"/>
        <family val="2"/>
      </rPr>
      <t>MDF</t>
    </r>
  </si>
  <si>
    <t>External Doors</t>
  </si>
  <si>
    <r>
      <t xml:space="preserve">RMD2040820 </t>
    </r>
    <r>
      <rPr>
        <b/>
        <sz val="8"/>
        <color rgb="FFFF0000"/>
        <rFont val="Arial"/>
        <family val="2"/>
      </rPr>
      <t>Redicote Mas door 720</t>
    </r>
    <r>
      <rPr>
        <sz val="8"/>
        <rFont val="Arial"/>
        <family val="2"/>
      </rPr>
      <t xml:space="preserve"> 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</si>
  <si>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 xml:space="preserve">Redicote Mas door 770 </t>
    </r>
    <r>
      <rPr>
        <sz val="8"/>
        <rFont val="Arial"/>
        <family val="2"/>
      </rPr>
      <t xml:space="preserve">                ( Plain Face)</t>
    </r>
  </si>
  <si>
    <r>
      <t xml:space="preserve">RMD2040820 </t>
    </r>
    <r>
      <rPr>
        <b/>
        <sz val="8"/>
        <color rgb="FFFF0000"/>
        <rFont val="Arial"/>
        <family val="2"/>
      </rPr>
      <t>Redicote Mas door 820</t>
    </r>
    <r>
      <rPr>
        <sz val="8"/>
        <rFont val="Arial"/>
        <family val="2"/>
      </rPr>
      <t xml:space="preserve">                 ( Plain Face)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</si>
  <si>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620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</si>
  <si>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</si>
  <si>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770   </t>
    </r>
    <r>
      <rPr>
        <sz val="8"/>
        <rFont val="Arial"/>
        <family val="2"/>
      </rPr>
      <t xml:space="preserve">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</si>
  <si>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 xml:space="preserve">Fashion door 820 </t>
    </r>
    <r>
      <rPr>
        <sz val="8"/>
        <rFont val="Arial"/>
        <family val="2"/>
      </rPr>
      <t xml:space="preserve">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</si>
  <si>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>Fashion door 870</t>
    </r>
    <r>
      <rPr>
        <sz val="8"/>
        <rFont val="Arial"/>
        <family val="2"/>
      </rPr>
      <t xml:space="preserve">                            ( Oakfield )</t>
    </r>
  </si>
  <si>
    <r>
      <t xml:space="preserve">FD2040520 </t>
    </r>
    <r>
      <rPr>
        <b/>
        <sz val="8"/>
        <color rgb="FFFF0000"/>
        <rFont val="Arial"/>
        <family val="2"/>
      </rPr>
      <t>Fashion door 920</t>
    </r>
    <r>
      <rPr>
        <sz val="8"/>
        <rFont val="Arial"/>
        <family val="2"/>
      </rPr>
      <t xml:space="preserve">                            ( Oakfield )</t>
    </r>
  </si>
  <si>
    <t>JOEY FAST FIX 80 CAVITY UNIT 2040X520-820X90</t>
  </si>
  <si>
    <t xml:space="preserve">Hinges </t>
  </si>
  <si>
    <t xml:space="preserve">LSSBHLP10075 Lockwood S/S Broadbutt hinge L/PIN  </t>
  </si>
  <si>
    <t>Handle</t>
  </si>
  <si>
    <t>Passage door handle                  ( Builders Range )</t>
  </si>
  <si>
    <t>Privacy door handle                    ( Builders Range )</t>
  </si>
  <si>
    <t>Enterance door handle                ( Builders Range )                     PROVISIONAL SUM</t>
  </si>
  <si>
    <t>Aluminium sliding doors</t>
  </si>
  <si>
    <t>Aluminum (200 Series)  - Sliding door 2100 x 1800     2 Panel</t>
  </si>
  <si>
    <t>Aluminum (200 Series)  - Sliding door 2100 x 2100     2 Panel</t>
  </si>
  <si>
    <t>Aluminum (200 Series)  -Sliding door 2100 x 2400     2 Panel</t>
  </si>
  <si>
    <t>Aluminum (200 Series) - Sliding door 2100 x 2700     3 Panel</t>
  </si>
  <si>
    <t>Aluminum (200 Series) - Sliding door 2100 x 3200     3 Panel</t>
  </si>
  <si>
    <t>Aluminum (200 Series)  - Sliding door 2100 x 3600     3 Panel</t>
  </si>
  <si>
    <t>Aluminum (200 Series) - Sliding door 2100 x 3600     4 Panel</t>
  </si>
  <si>
    <t>Aluminum (200 Series) - Sliding door 2100 x 4200     4 Panel</t>
  </si>
  <si>
    <t>Aluminum (200 Series) - Sliding door 2100 x 4800     4 Panel</t>
  </si>
  <si>
    <t>Aluminum (200 Series)  - Sliding door 2100 x 5400     4 Panel</t>
  </si>
  <si>
    <t>Aluminum (200 Series) - Sliding door 2100 x 6000     4 Panel</t>
  </si>
  <si>
    <t>Aluminum - Multi stack door 2100 x 2700     3 Panel</t>
  </si>
  <si>
    <t>ESTIMATE ONLY Multi stack door 2100 x 4200     6 Panel</t>
  </si>
  <si>
    <t>ESTIMATE ONLY Multi stack door 2100 x 4500     6 Panel</t>
  </si>
  <si>
    <t>ESTIMATE ONLY Multi stack door 2100 x 4800     4 Panel</t>
  </si>
  <si>
    <t>ESTIMATE ONLY Multi stack door 2100 x 5400     6 Panel</t>
  </si>
  <si>
    <t>Aluminium Sliding windows  SINGLE GLAZE</t>
  </si>
  <si>
    <t>ESTIMATE ONLY Sliding window  585 x 910         1 Slider              2 panel</t>
  </si>
  <si>
    <t>ESTIMATE ONLY Sliding window  585 x 1210       1 Slider              2 panel</t>
  </si>
  <si>
    <t>ESTIMATE ONLY Sliding window  585 x 1510       1 Slider              2 panel</t>
  </si>
  <si>
    <t>ESTIMATE ONLY Sliding window  585 x 1810       1 Slider              2 panel</t>
  </si>
  <si>
    <t>ESTIMATE ONLY Sliding window  585 x 2110       1 Slider              2 panel</t>
  </si>
  <si>
    <t>ESTIMATE ONLY Sliding window  585 x 2410       2 Slider              3 panel</t>
  </si>
  <si>
    <t>ESTIMATE ONLY Sliding window  585 x 2710       2 Slider              3 panel</t>
  </si>
  <si>
    <t>ESTIMATE ONLY Sliding window  1050 x 660         Fixed</t>
  </si>
  <si>
    <t>ESTIMATE ONLY Sliding window  1050 x 910         1 Slider              2 panel</t>
  </si>
  <si>
    <t>ESTIMATE ONLY Sliding window  1050 x 1210       1 Slider              2 panel</t>
  </si>
  <si>
    <t>ESTIMATE ONLY Sliding window  1050 x 1510       1 Slider              2 panel</t>
  </si>
  <si>
    <t>ESTIMATE ONLY Sliding window  1050 x 1810       1 Slider              2 panel</t>
  </si>
  <si>
    <t>ESTIMATE ONLY Sliding window  1050 x 2110       1 Slider              2 panel</t>
  </si>
  <si>
    <t>ESTIMATE ONLY Sliding window  1050 x 2410       2 Slider              3 panel</t>
  </si>
  <si>
    <t>ESTIMATE ONLY Sliding window  1050 x 2710       2 Slider              3 panel</t>
  </si>
  <si>
    <t>ESTIMATE ONLY Sliding window  1200 x 660         Fixed</t>
  </si>
  <si>
    <t>ESTIMATE ONLY Sliding window  1200 x 910         1 Slider              2 panel</t>
  </si>
  <si>
    <t>ESTIMATE ONLY Sliding window  1200 x 1210       1 Slider              2 panel</t>
  </si>
  <si>
    <t>ESTIMATE ONLY Sliding window  1200x 1510        1 Slider              2 panel</t>
  </si>
  <si>
    <t>ESTIMATE ONLY Sliding window  1200 x 1810       1 Slider              2 panel</t>
  </si>
  <si>
    <t>ESTIMATE ONLY Sliding window  1200 x 2110       1 Slider              2 panel</t>
  </si>
  <si>
    <t>Aluminum (200 Series) - Sliding window  1200 x 2410       2 Slider              3 panel</t>
  </si>
  <si>
    <t>ESTIMATE ONLY Sliding window  1200 x 2710       2 Slider              3 panel</t>
  </si>
  <si>
    <t>ESTIMATE ONLY Sliding window  1400 x 660         Fixed</t>
  </si>
  <si>
    <t>ESTIMATE ONLY Sliding window  1400 x 910         1 Slider              2 panel</t>
  </si>
  <si>
    <t>ESTIMATE ONLY Sliding window  1400 x 1210       1 Slider              2 panel</t>
  </si>
  <si>
    <t>ESTIMATE ONLY Sliding window  1400 x 1510       1 Slider             2 panel</t>
  </si>
  <si>
    <t>ESTIMATE ONLY Sliding window  1400 x 1810       1 Slider              2 panel</t>
  </si>
  <si>
    <t>ESTIMATE ONLY Sliding window  1400 x 2110       1 Slider              2 panel</t>
  </si>
  <si>
    <t>ESTIMATE ONLY Sliding window  1400 x 2410       2 Slider              3 panel</t>
  </si>
  <si>
    <t>ESTIMATE ONLY Sliding window  1400 x 2710       2 Slider              3 panel</t>
  </si>
  <si>
    <t>ESTIMATE ONLY Sliding window  1500 x 660         Fixed</t>
  </si>
  <si>
    <t>ESTIMATE ONLY Sliding window  1500 x 910         1 Slider              2 panel</t>
  </si>
  <si>
    <t>ESTIMATE ONLY Sliding window  1500 x 1210       1 Slider              2 panel</t>
  </si>
  <si>
    <t>ESTIMATE ONLY Sliding window  1500 x 1510       1 Slider             2 panel</t>
  </si>
  <si>
    <t>ESTIMATE ONLY Sliding window  1500 x 1810       1 Slider              2 panel</t>
  </si>
  <si>
    <t>ESTIMATE ONLY Sliding window  1500 x 2110       1 Slider              2 panel</t>
  </si>
  <si>
    <t>ESTIMATE ONLY Sliding window  1500 x 2410       2 Slider              3 panel</t>
  </si>
  <si>
    <t>ESTIMATE ONLY Sliding window  1800 x 660         Fixed                 2 panel</t>
  </si>
  <si>
    <t>ESTIMATE ONLY Sliding window  1800 x 910         1 Slider              3 panel</t>
  </si>
  <si>
    <t>ESTIMATE ONLY Sliding window  1800 x 1210       1 Slider              4 panel</t>
  </si>
  <si>
    <t>ESTIMATE ONLY Sliding window  1800 x 1510       1 Slider              4 panel</t>
  </si>
  <si>
    <t>ESTIMATE ONLY Sliding window  1800 x 1810       1 Slider              4 panel</t>
  </si>
  <si>
    <t>ESTIMATE ONLY Sliding window  1800 x 2110       1 Slider              4 panel</t>
  </si>
  <si>
    <t>ESTIMATE ONLY Sliding window  1800 x 2410       2 Slider              6 panel</t>
  </si>
  <si>
    <t>ESTIMATE ONLY Sliding window  1800 x 2710       2 Slider              6 panel</t>
  </si>
  <si>
    <t>ESTIMATE ONLY Sliding window  2100 x 910         1 Slider              3 panel</t>
  </si>
  <si>
    <t>ESTIMATE ONLY Sliding window  2100 x 1210       1 Slider              4 panel</t>
  </si>
  <si>
    <t>ESTIMATE ONLY Sliding window  2100 x 1510       1 Slider              4 panel</t>
  </si>
  <si>
    <t>ESTIMATE ONLY Sliding window  2100 x 1810       1 Slider              4 panel</t>
  </si>
  <si>
    <t>ESTIMATE ONLY Sliding window  2100 x 2110       1 Slider              4 panel</t>
  </si>
  <si>
    <t>ESTIMATE ONLY Sliding window  2400 x 2410       2 Slider              6 panel</t>
  </si>
  <si>
    <t>ESTIMATE ONLY Sliding window  2700 x 2710       2 Slider              6 panel</t>
  </si>
  <si>
    <t>Surefoot Footing System</t>
  </si>
  <si>
    <t>Contact Neil 9004 5765 - 0400 389 290</t>
  </si>
  <si>
    <t>Engineer - Ross Proud &amp; Accociates - Contact camilo@rossproud.com.au - 5327 7414</t>
  </si>
  <si>
    <t>Surefoot including rods &amp; Stirrup</t>
  </si>
  <si>
    <t>rag bolts x 4 (for Styrrip Plate)</t>
  </si>
  <si>
    <t>Engineering</t>
  </si>
  <si>
    <t>Install Carpenter 2 x Men 1hr per foot</t>
  </si>
  <si>
    <t>Screens</t>
  </si>
  <si>
    <t>Powder coated 2400 x 1200 x 1.6 Custom Metal Screen</t>
  </si>
  <si>
    <t>T/P 19mm Quad beading 5.4 long</t>
  </si>
  <si>
    <t>Delivery                   PICK UP By project manager</t>
  </si>
  <si>
    <t>FLASHING &amp; RIDGES</t>
  </si>
  <si>
    <t xml:space="preserve">Steel mark up </t>
  </si>
  <si>
    <t>250 x 4 f</t>
  </si>
  <si>
    <r>
      <t xml:space="preserve">Barge flashing Colourbond   </t>
    </r>
    <r>
      <rPr>
        <b/>
        <sz val="8"/>
        <color indexed="10"/>
        <rFont val="Arial"/>
        <family val="2"/>
      </rPr>
      <t>for corrigated &amp; Grecca</t>
    </r>
    <r>
      <rPr>
        <sz val="8"/>
        <rFont val="Arial"/>
        <family val="2"/>
      </rPr>
      <t xml:space="preserve"> </t>
    </r>
    <r>
      <rPr>
        <b/>
        <sz val="8"/>
        <color indexed="10"/>
        <rFont val="Arial"/>
        <family val="2"/>
      </rPr>
      <t xml:space="preserve">profile roofs 140 x 75  </t>
    </r>
    <r>
      <rPr>
        <sz val="8"/>
        <rFont val="Arial"/>
        <family val="2"/>
      </rPr>
      <t xml:space="preserve">              </t>
    </r>
  </si>
  <si>
    <t>Updated 14/11/2022</t>
  </si>
  <si>
    <t>400 x 4 f</t>
  </si>
  <si>
    <r>
      <t xml:space="preserve">Barge flashing Colourbond   </t>
    </r>
    <r>
      <rPr>
        <b/>
        <sz val="8"/>
        <color indexed="10"/>
        <rFont val="Arial"/>
        <family val="2"/>
      </rPr>
      <t>for trimdeck , 5rib &amp; cliplock</t>
    </r>
  </si>
  <si>
    <t>200 x 2 f</t>
  </si>
  <si>
    <t>Roll barge flashing colour bond 2.4m</t>
  </si>
  <si>
    <t>350 x 2 f</t>
  </si>
  <si>
    <r>
      <t xml:space="preserve"> Internal Tappered barge flashing      </t>
    </r>
    <r>
      <rPr>
        <b/>
        <sz val="8"/>
        <rFont val="Arial"/>
        <family val="2"/>
      </rPr>
      <t>SEE PHOTO</t>
    </r>
    <r>
      <rPr>
        <sz val="8"/>
        <rFont val="Arial"/>
        <family val="2"/>
      </rPr>
      <t xml:space="preserve">      350g x 2 fold     </t>
    </r>
  </si>
  <si>
    <t>500 x 2 f</t>
  </si>
  <si>
    <r>
      <t>Spouting barge flashing for graded battons</t>
    </r>
    <r>
      <rPr>
        <b/>
        <sz val="8"/>
        <color indexed="10"/>
        <rFont val="Arial"/>
        <family val="2"/>
      </rPr>
      <t xml:space="preserve"> for Trimdeck, 5 Rib &amp; Cliplock profiles</t>
    </r>
  </si>
  <si>
    <t>150 x 2 f</t>
  </si>
  <si>
    <r>
      <t xml:space="preserve">A/c spouting flashing                                              </t>
    </r>
    <r>
      <rPr>
        <b/>
        <sz val="8"/>
        <color indexed="10"/>
        <rFont val="Arial"/>
        <family val="2"/>
      </rPr>
      <t xml:space="preserve">  50x30x50</t>
    </r>
  </si>
  <si>
    <t>250 x 3 f</t>
  </si>
  <si>
    <t>Apron flashing against a brick wall                       250 g x .6x 3 fold</t>
  </si>
  <si>
    <t>450 x 2 f</t>
  </si>
  <si>
    <r>
      <t xml:space="preserve">Step flashing on weather board walls                               </t>
    </r>
    <r>
      <rPr>
        <b/>
        <sz val="8"/>
        <color indexed="10"/>
        <rFont val="Arial"/>
        <family val="2"/>
      </rPr>
      <t xml:space="preserve">  300 x 140 2 fold</t>
    </r>
  </si>
  <si>
    <t>150 x 1 f</t>
  </si>
  <si>
    <r>
      <t xml:space="preserve">Gutter </t>
    </r>
    <r>
      <rPr>
        <b/>
        <sz val="10"/>
        <color indexed="10"/>
        <rFont val="Arial"/>
        <family val="2"/>
      </rPr>
      <t xml:space="preserve">SPLASH BACK </t>
    </r>
    <r>
      <rPr>
        <sz val="10"/>
        <rFont val="Arial"/>
        <family val="2"/>
      </rPr>
      <t>flashing for gables attached to houses only</t>
    </r>
  </si>
  <si>
    <t>Valley flashing</t>
  </si>
  <si>
    <t>200 x 4 f</t>
  </si>
  <si>
    <r>
      <t xml:space="preserve">Timber capping flashing 75 x 45 x 45                                       </t>
    </r>
    <r>
      <rPr>
        <b/>
        <sz val="10"/>
        <color indexed="12"/>
        <rFont val="Arial"/>
        <family val="2"/>
      </rPr>
      <t>SEE PHOTO</t>
    </r>
  </si>
  <si>
    <t>400 x 2 f</t>
  </si>
  <si>
    <t xml:space="preserve">350 x 2 f </t>
  </si>
  <si>
    <t xml:space="preserve">Box spout on brick wall  / Weather board                                </t>
  </si>
  <si>
    <t>Box spout for double pitch verandahs 100 x 200 x 100</t>
  </si>
  <si>
    <t xml:space="preserve">150 x 3 f </t>
  </si>
  <si>
    <t xml:space="preserve">Box Gutter flashing on wall </t>
  </si>
  <si>
    <t>Colour bond Ridge standard</t>
  </si>
  <si>
    <t>Curved Apron &amp; Barge Flashing   PER 1.8m</t>
  </si>
  <si>
    <t>PVC Bullnose cones</t>
  </si>
  <si>
    <t>Pvc Straight flashing</t>
  </si>
  <si>
    <t>Alfresco Flashing</t>
  </si>
  <si>
    <t>850 x 4 f</t>
  </si>
  <si>
    <t>Apron flashing under tile  Colourbond  750 girth 3 fold</t>
  </si>
  <si>
    <t>update 14/10</t>
  </si>
  <si>
    <t>350 x 5 f</t>
  </si>
  <si>
    <t>800 x 3 f</t>
  </si>
  <si>
    <t xml:space="preserve">Alfresco box spout 180 x 245 x 345 C/B </t>
  </si>
  <si>
    <t>100 x 2 f</t>
  </si>
  <si>
    <t>Window - Door flashing</t>
  </si>
  <si>
    <t>300 x 2 f</t>
  </si>
  <si>
    <t>Spouting, Downpipes and Rain Heads</t>
  </si>
  <si>
    <t>Spout</t>
  </si>
  <si>
    <t>Quad Spout Colourbond   slotted</t>
  </si>
  <si>
    <t>EasyFlow   Colourbond   slotted</t>
  </si>
  <si>
    <t>Ogee Colourbond  BHP</t>
  </si>
  <si>
    <t>Ace Mini line  Colobond</t>
  </si>
  <si>
    <t>Ace mini line  Colobond                       MIN HIRE</t>
  </si>
  <si>
    <t>Half round spout  APEX</t>
  </si>
  <si>
    <t>Continuois alluminiam spout</t>
  </si>
  <si>
    <t>Continuois alluminiam spout                MIN  HIRE</t>
  </si>
  <si>
    <t>Clips</t>
  </si>
  <si>
    <t>Quad,Easyflow &amp; Ogee BHP Spout Clips Colour Bond</t>
  </si>
  <si>
    <t>Roundline spout clips</t>
  </si>
  <si>
    <t>Ace Spouting Clips</t>
  </si>
  <si>
    <t>Corners</t>
  </si>
  <si>
    <t>Quad  BHP Cast corner Colourbond</t>
  </si>
  <si>
    <t>Ogee BHP Cast corner Colourbond</t>
  </si>
  <si>
    <t>Half round spout cast brackets</t>
  </si>
  <si>
    <t>EasyFlow End Stops Colourbond</t>
  </si>
  <si>
    <t>Quad Spout End stops  Colourbond</t>
  </si>
  <si>
    <t>Roundline stop ends</t>
  </si>
  <si>
    <t>Downpipes</t>
  </si>
  <si>
    <t>Downpipe 1.8m 100 x 50 Colourbond</t>
  </si>
  <si>
    <t>Downpipe  2.4m  100 x 50 Colourbond</t>
  </si>
  <si>
    <t xml:space="preserve">Downpipe 1.8m  Colourbond 100 x 75 </t>
  </si>
  <si>
    <t>Downpipe 2.4m  Colourbond 100 x 75</t>
  </si>
  <si>
    <t>Offsets</t>
  </si>
  <si>
    <t>Downpipe offset  100mm x 50mm Colourbond</t>
  </si>
  <si>
    <t>Downpipe offset 100mm X 75mm Colourbond</t>
  </si>
  <si>
    <t>Pops</t>
  </si>
  <si>
    <t xml:space="preserve">Pop 100mm X 50mm </t>
  </si>
  <si>
    <t xml:space="preserve">Pop 100mm X 75mm </t>
  </si>
  <si>
    <t>Downpipe Clips</t>
  </si>
  <si>
    <t>Downpipe Clips 100mm X 50mm Colourbond</t>
  </si>
  <si>
    <t>Downpipe Clips 100mm X 75mm Colourbond</t>
  </si>
  <si>
    <t>Rain head</t>
  </si>
  <si>
    <t>2mm Safety Mesh x 50m Rolls</t>
  </si>
  <si>
    <t xml:space="preserve">Aircell Glareshield 1350 x 22.2m </t>
  </si>
  <si>
    <t>Sisal Tuff 456 60m Roll</t>
  </si>
  <si>
    <t>Foil Duroid</t>
  </si>
  <si>
    <t>50mm Building Blanket x 15m Rolls</t>
  </si>
  <si>
    <t>75mm Building Blanket x 10m Rolls</t>
  </si>
  <si>
    <t>Metal Fasica</t>
  </si>
  <si>
    <t>Steel Fascia ULTRA</t>
  </si>
  <si>
    <t>ROOFING</t>
  </si>
  <si>
    <t>Need to update Polycarb BW 9/8</t>
  </si>
  <si>
    <t>Polycarbonate</t>
  </si>
  <si>
    <t>Grecca Polycarbonate                       AMPELITE</t>
  </si>
  <si>
    <t>Updated 1/11/2023</t>
  </si>
  <si>
    <t>Poly carb pearl ice                             AMPELITE</t>
  </si>
  <si>
    <t>5 Rib Polycarbonate                          AMPELITE</t>
  </si>
  <si>
    <t>Corrugated Wonder glass                 AMPELITE</t>
  </si>
  <si>
    <t>5 Rib          Wonder glass                  AMPELITE</t>
  </si>
  <si>
    <t>Lazerlite                                 1000</t>
  </si>
  <si>
    <t>Lazerlite                                 2000 +</t>
  </si>
  <si>
    <t>Colour bond sq rate</t>
  </si>
  <si>
    <t>Lazerlite                                 3000</t>
  </si>
  <si>
    <t>Colourbond</t>
  </si>
  <si>
    <t>Corrugated c/bond per sqm</t>
  </si>
  <si>
    <t>Calculating cell</t>
  </si>
  <si>
    <t>Corrugated c/bond per sqm       Double sided Colour</t>
  </si>
  <si>
    <t>Updated 4/5/2021</t>
  </si>
  <si>
    <t>Corrugated zinc per sqm</t>
  </si>
  <si>
    <t>Bullnose colourbond</t>
  </si>
  <si>
    <t xml:space="preserve">Apdeck BMT 700 BSL     cover zinc                        </t>
  </si>
  <si>
    <t xml:space="preserve">Apdeck BMT 700 BSL     cover colour bond                     </t>
  </si>
  <si>
    <t>clip lock 700 cover clips</t>
  </si>
  <si>
    <t>Purlin Tape 55 x 6x 14m</t>
  </si>
  <si>
    <t>Updated 1/3</t>
  </si>
  <si>
    <t>Tiled Roofs</t>
  </si>
  <si>
    <t>Gross Margin%</t>
  </si>
  <si>
    <t>Tiled roofing (Tiles and Install only) m2</t>
  </si>
  <si>
    <t>Concrete Tiles (Prestige Shingle)</t>
  </si>
  <si>
    <t>Concrete Tiles (Traditional)</t>
  </si>
  <si>
    <t>Teracotta Tiles (Marseille Unglazed)</t>
  </si>
  <si>
    <t>Teracotta Tiles (Glazed)</t>
  </si>
  <si>
    <t>Tiled Roofing Extras Per lm</t>
  </si>
  <si>
    <t>Ridges</t>
  </si>
  <si>
    <t>Hips</t>
  </si>
  <si>
    <t>Valley</t>
  </si>
  <si>
    <t>Gable Bed &amp; Point</t>
  </si>
  <si>
    <t>Extra for tie in to existing roof Labour (Each)</t>
  </si>
  <si>
    <t>S.T.D Safety Handrail 20 lm Minimum Hire</t>
  </si>
  <si>
    <t>Delivery of sand in trailer for cleanliness</t>
  </si>
  <si>
    <t>Twinwall</t>
  </si>
  <si>
    <t>10 mm  twin wall</t>
  </si>
  <si>
    <t xml:space="preserve"> 7 M H bar Mill </t>
  </si>
  <si>
    <t xml:space="preserve"> 6 M H bar Mill </t>
  </si>
  <si>
    <t xml:space="preserve"> 5 M H bar Mill </t>
  </si>
  <si>
    <t xml:space="preserve"> 4 M H bar Mill </t>
  </si>
  <si>
    <t>H bar Mill Coloured</t>
  </si>
  <si>
    <t xml:space="preserve">End cap Mill </t>
  </si>
  <si>
    <t>H Bar Rubber</t>
  </si>
  <si>
    <t>End cap Rubber</t>
  </si>
  <si>
    <t>Clear polycarbonte                     2440 x 1220 x 4.5</t>
  </si>
  <si>
    <t>Lexan XL10 Tinted         2540 x 1220 x 4.5  double sided</t>
  </si>
  <si>
    <t>Off the  roll 320.29</t>
  </si>
  <si>
    <t>PVC</t>
  </si>
  <si>
    <t>PVC Storm Water Pipe 90mm</t>
  </si>
  <si>
    <t>PVC Storm Water Pipe 90mm                Per Metre</t>
  </si>
  <si>
    <t>PVC 90mm 90 Degree fitting</t>
  </si>
  <si>
    <t>PVC 90mm 45 Degree fitting</t>
  </si>
  <si>
    <t>PVC 90mm T Piece Fitting</t>
  </si>
  <si>
    <t>PVC 90mm Slip socket Fitting</t>
  </si>
  <si>
    <t>PVC 100mm X 50mm Adaptor</t>
  </si>
  <si>
    <t>PVC 100mm X 75mm Adaptor</t>
  </si>
  <si>
    <t>Storm water hanging bracket</t>
  </si>
  <si>
    <t>Nails Screws Bolts &amp; Hardware.</t>
  </si>
  <si>
    <t>Quanity</t>
  </si>
  <si>
    <t>Price Per Item</t>
  </si>
  <si>
    <t>Nails</t>
  </si>
  <si>
    <t>90mm Gun Nail</t>
  </si>
  <si>
    <t>50mm Gal Brad Nail</t>
  </si>
  <si>
    <t>30mm Clout</t>
  </si>
  <si>
    <t>50mm Bullet head nail</t>
  </si>
  <si>
    <t>Decking Gal 50mm</t>
  </si>
  <si>
    <t>65mm gal nail</t>
  </si>
  <si>
    <t>50 mm decking gal screw</t>
  </si>
  <si>
    <t>Updated 23/7/2021</t>
  </si>
  <si>
    <t>Fs 35 h -heg  Hanger bracket nails</t>
  </si>
  <si>
    <t>Dyno Bolts</t>
  </si>
  <si>
    <t>95mm X 10mm Dynabolt</t>
  </si>
  <si>
    <t>50mm X 10mm Dynabolt</t>
  </si>
  <si>
    <t>100mm X 10mm Execelior Bolt</t>
  </si>
  <si>
    <t>Type 17 Screws</t>
  </si>
  <si>
    <t>150mm X 14mm Type 17 Tech Screw</t>
  </si>
  <si>
    <t>100mm X 14mm Type 17 Tech Screw</t>
  </si>
  <si>
    <t>40mm X 10mm Styrup Coach Screw</t>
  </si>
  <si>
    <t>Colourbond 50mm Roofing screw</t>
  </si>
  <si>
    <t>2/2/20200</t>
  </si>
  <si>
    <t>65mm Roofing screw</t>
  </si>
  <si>
    <t>50mm Polycarb Roofing Screw</t>
  </si>
  <si>
    <t>Coach Bolts</t>
  </si>
  <si>
    <t>M10 x 120mm Gal Coach Bolt</t>
  </si>
  <si>
    <t>M10 x 140mm Gal Coach Bolt</t>
  </si>
  <si>
    <t>M10mm Gal Washer</t>
  </si>
  <si>
    <t>45mm X 90mm Joist Bracket</t>
  </si>
  <si>
    <t>Tripple Grip Bracket</t>
  </si>
  <si>
    <t>Steel Tie Beam</t>
  </si>
  <si>
    <t>Pool safety Gate Latch&amp; self closing hinges</t>
  </si>
  <si>
    <t>Ant Caps 125mm X 125mm</t>
  </si>
  <si>
    <t>Update 28/7/2021</t>
  </si>
  <si>
    <t>PVC Glue   Half litre</t>
  </si>
  <si>
    <t>PVC Cleaner  half litre</t>
  </si>
  <si>
    <t>Silicone</t>
  </si>
  <si>
    <t>Silicone per metre for back channel</t>
  </si>
  <si>
    <t>Pop Rivets 1/8"  Zinc</t>
  </si>
  <si>
    <t>Pop Rivets 1/8" Colourbond</t>
  </si>
  <si>
    <r>
      <t xml:space="preserve">Extended Fascia Bracket </t>
    </r>
    <r>
      <rPr>
        <b/>
        <sz val="8"/>
        <rFont val="Arial"/>
        <family val="2"/>
      </rPr>
      <t xml:space="preserve"> Heavy Duty</t>
    </r>
  </si>
  <si>
    <t xml:space="preserve">Steel post </t>
  </si>
  <si>
    <t>100 X 100 steel post</t>
  </si>
  <si>
    <t>Gal Dipped</t>
  </si>
  <si>
    <t>Caps</t>
  </si>
  <si>
    <t>Powder coating                        Minimum Hire</t>
  </si>
  <si>
    <t>Powder coating                          Per metre</t>
  </si>
  <si>
    <t>Lead flashing 300 x3000</t>
  </si>
  <si>
    <r>
      <t xml:space="preserve">450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</si>
  <si>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550 round plastic vent </t>
    </r>
    <r>
      <rPr>
        <b/>
        <sz val="9"/>
        <rFont val="Arial"/>
        <family val="2"/>
      </rPr>
      <t xml:space="preserve">                                                 PER END</t>
    </r>
  </si>
  <si>
    <r>
      <t xml:space="preserve">450 x 600 Retangle  plastic vent </t>
    </r>
    <r>
      <rPr>
        <b/>
        <sz val="9"/>
        <rFont val="Arial"/>
        <family val="2"/>
      </rPr>
      <t xml:space="preserve">                               PER END</t>
    </r>
  </si>
  <si>
    <t xml:space="preserve">Breathable Wall Wrap m2 </t>
  </si>
  <si>
    <t>Breathable Wall Wrap 60 lm x 1350mm each</t>
  </si>
  <si>
    <t>Timber Delivery</t>
  </si>
  <si>
    <t>Apex Roofing Delivery</t>
  </si>
  <si>
    <t>Swan direct Spouting Delivery</t>
  </si>
  <si>
    <t>Ampelite delivery</t>
  </si>
  <si>
    <t>Updated 6/9/22</t>
  </si>
  <si>
    <t>Updated 20/4/2021</t>
  </si>
  <si>
    <t>Atkar</t>
  </si>
  <si>
    <t>Mulford plastic</t>
  </si>
  <si>
    <t>Design flow delivery</t>
  </si>
  <si>
    <t>Single Delivery</t>
  </si>
  <si>
    <t>Shade cloth</t>
  </si>
  <si>
    <t>Shade cloth 1.8  @ 70% plm      Top  of the range</t>
  </si>
  <si>
    <t>Shadecloth  3.6 @ 70% plm       Top of the range</t>
  </si>
  <si>
    <t>Shade Cloth Spot fast</t>
  </si>
  <si>
    <t>Hire Equipment</t>
  </si>
  <si>
    <t>Demolishon Saw</t>
  </si>
  <si>
    <t>Tarp Hire per week</t>
  </si>
  <si>
    <t>Hire delivery</t>
  </si>
  <si>
    <t>Gates</t>
  </si>
  <si>
    <t>Updated 17/1/2022</t>
  </si>
  <si>
    <t>Single up to                                             1.2 wide &amp; 1800 high</t>
  </si>
  <si>
    <t>Double up to                                           3.0 wide &amp; 1800 high</t>
  </si>
  <si>
    <t>Capping &amp; Ballastrade</t>
  </si>
  <si>
    <t>Curved Trenched Treated Pine                                         85mm X 42mm    EH11</t>
  </si>
  <si>
    <t>Square Bottom Trenched Treated Pine                             90mm X 45mm</t>
  </si>
  <si>
    <t>Bottom handrail plate                                                         66mm x 31mm   EBR2</t>
  </si>
  <si>
    <t>Treated Pine Trenched 45mm X 45mm</t>
  </si>
  <si>
    <t>Treated Pine Tullip 900mm X 19mm</t>
  </si>
  <si>
    <t>Treated Pine Motif 300mm X 19mm</t>
  </si>
  <si>
    <t>Beading</t>
  </si>
  <si>
    <t>19mm LOSP bead edging</t>
  </si>
  <si>
    <t>19 x 19 square dressed</t>
  </si>
  <si>
    <t>Wire handrail products</t>
  </si>
  <si>
    <t>Turn buckle                                    1 of</t>
  </si>
  <si>
    <t xml:space="preserve">Thimble                                          2 of </t>
  </si>
  <si>
    <t>swags                                            2 of</t>
  </si>
  <si>
    <t>saddle                                           2 of</t>
  </si>
  <si>
    <t>screws                                          4 of</t>
  </si>
  <si>
    <t>Wire                                  per metre</t>
  </si>
  <si>
    <t>12mm Stainless steel dropper made to order with base</t>
  </si>
  <si>
    <t xml:space="preserve">50mm stainless steel pipe                    </t>
  </si>
  <si>
    <t>2" oblong base plate</t>
  </si>
  <si>
    <t>50mm stainless steel pipe cover   45 Degree</t>
  </si>
  <si>
    <t>Full Post</t>
  </si>
  <si>
    <t>Tee peace</t>
  </si>
  <si>
    <t>45 Degree Peace</t>
  </si>
  <si>
    <t>Csunk screws for rail</t>
  </si>
  <si>
    <t>Flooring</t>
  </si>
  <si>
    <t>Yellow tongue flooring 3.6 x 900 including liquid nails</t>
  </si>
  <si>
    <t>30mm Multipanel flooring</t>
  </si>
  <si>
    <t>Compresset sheet</t>
  </si>
  <si>
    <t xml:space="preserve">Compressed sheeting  1800 x 900 </t>
  </si>
  <si>
    <t>Compressed sheeting 10mm foam backing rod</t>
  </si>
  <si>
    <t xml:space="preserve">                                                                                                 Per Metre</t>
  </si>
  <si>
    <t>Calculating Cel</t>
  </si>
  <si>
    <t>Compressed sheet sealant</t>
  </si>
  <si>
    <t>Compressed sheet sealant                                                     Per Metre</t>
  </si>
  <si>
    <t>Calculating Cell</t>
  </si>
  <si>
    <t>Clever Deck Future wood</t>
  </si>
  <si>
    <t>Updated 10/10</t>
  </si>
  <si>
    <t>Camo Joist edge clip</t>
  </si>
  <si>
    <t>Jarrah 70mm X 19mm</t>
  </si>
  <si>
    <t>Cypress Pine Smooth 70mm X 19mm</t>
  </si>
  <si>
    <t>Mark up and Margins</t>
  </si>
  <si>
    <t>Sale commission cap</t>
  </si>
  <si>
    <t>Over sell Cap`</t>
  </si>
  <si>
    <t>Renderer rates</t>
  </si>
  <si>
    <t>Rendering a Column upto 450 wide                                  Per Linial Metre</t>
  </si>
  <si>
    <t>Buy Parepet moulding</t>
  </si>
  <si>
    <t>Install Parepet</t>
  </si>
  <si>
    <t>Minimum hire</t>
  </si>
  <si>
    <t>Sub contract Painter rates</t>
  </si>
  <si>
    <t>10 litre</t>
  </si>
  <si>
    <t>1 Litre</t>
  </si>
  <si>
    <t>per hour</t>
  </si>
  <si>
    <t>per minute</t>
  </si>
  <si>
    <t>Minute allicated for each item</t>
  </si>
  <si>
    <t>Paint per litre</t>
  </si>
  <si>
    <t>.25 Ltre</t>
  </si>
  <si>
    <t>.125Litre</t>
  </si>
  <si>
    <t>.75 Ltre</t>
  </si>
  <si>
    <t>Decking oil</t>
  </si>
  <si>
    <t>Travel</t>
  </si>
  <si>
    <t>Labour</t>
  </si>
  <si>
    <t>Paint</t>
  </si>
  <si>
    <t>Trade</t>
  </si>
  <si>
    <t>Paint Plain Verandah Post                                              Each</t>
  </si>
  <si>
    <t>Paint Turned Verandah Post                                          Each</t>
  </si>
  <si>
    <t>Finial                                                                               Each</t>
  </si>
  <si>
    <t>Gable  per square metre 3 coats                                  m2</t>
  </si>
  <si>
    <t>Skillion per square metre 3 coats                                  m2    Carport -Verandah -Signature range</t>
  </si>
  <si>
    <t>Paint open air pergolas 3 coats                                     m2</t>
  </si>
  <si>
    <t>Gable verandah box spout                                            L/m</t>
  </si>
  <si>
    <t>Gable endfills including Finnial                                       Each</t>
  </si>
  <si>
    <t>Fascia Board                                                    L/m</t>
  </si>
  <si>
    <t>Main Beams         190 x 45                                L/m</t>
  </si>
  <si>
    <t xml:space="preserve">Paint GL-13 beams </t>
  </si>
  <si>
    <t>Paint Gable 90 x 19 feature slate</t>
  </si>
  <si>
    <t>Paint parapet mould</t>
  </si>
  <si>
    <t>Doors</t>
  </si>
  <si>
    <t>Entrance door and jam</t>
  </si>
  <si>
    <t>Aluminium sliding doors jam and arch</t>
  </si>
  <si>
    <t>Oil the stairs per tread</t>
  </si>
  <si>
    <t>Painting gates and fences</t>
  </si>
  <si>
    <t>Balustrade handrail &amp; frete                                           Per Linial Metre</t>
  </si>
  <si>
    <t>Heritage  endfill                                                              Per Linial Metre</t>
  </si>
  <si>
    <t>Wire Hand Rail                                                               Per Linial Metre</t>
  </si>
  <si>
    <t>Timber Slates                                                                 Per Linial Metre</t>
  </si>
  <si>
    <t>Timber slates Stained Murbua                                       Per Linial Metre</t>
  </si>
  <si>
    <t>Paint ceiling                                                                   m2</t>
  </si>
  <si>
    <t>Paint internal wall including archs                                m2</t>
  </si>
  <si>
    <t>Eave lining upto 500 wide                                            L/m</t>
  </si>
  <si>
    <t>Render Painting</t>
  </si>
  <si>
    <t>Base Boards</t>
  </si>
  <si>
    <t>Deck Joist  sub frame not including deck</t>
  </si>
  <si>
    <t>Oil decking</t>
  </si>
  <si>
    <t>Paint plastic lattice screen surrounds                                         Each Screen</t>
  </si>
  <si>
    <t>Paint merbua screens frames                                                     Per Metre</t>
  </si>
  <si>
    <t>Paint frames &amp; oil murbu sreen                                                   Per Metre</t>
  </si>
  <si>
    <t>Prep and paint cement sheet                              m2</t>
  </si>
  <si>
    <t>Prep and paint weatherboard                            Per Squre Metre</t>
  </si>
  <si>
    <t>Paint Duro grove per m2 coats</t>
  </si>
  <si>
    <t>Bulk heads, parapat wallsand Blueboard colyms                       Per metre</t>
  </si>
  <si>
    <t>Tiling</t>
  </si>
  <si>
    <t>Floor tiling upto 600 x 600                              m2</t>
  </si>
  <si>
    <t>Floor tiling upto 900 x 900                              m2</t>
  </si>
  <si>
    <t>Wall tiling Standard</t>
  </si>
  <si>
    <t>Wall tiling Mosiac</t>
  </si>
  <si>
    <t>Lay 800 x 60 bluestone pavers Sawn                               m2</t>
  </si>
  <si>
    <t>Lay Copping pavers                                                        l/m</t>
  </si>
  <si>
    <t>Caulking</t>
  </si>
  <si>
    <t xml:space="preserve">Provisional sum for floor tiles </t>
  </si>
  <si>
    <t xml:space="preserve">Provisional sum for wall  tiles </t>
  </si>
  <si>
    <t>Hebel Panel</t>
  </si>
  <si>
    <t>Power panel 1200 x 600 x 75</t>
  </si>
  <si>
    <t>Power panel 1800 x 600 x 75</t>
  </si>
  <si>
    <t>Power panel 2400 x 600 x 75</t>
  </si>
  <si>
    <t>Power panel 2700 x 600 x 75</t>
  </si>
  <si>
    <t>Power panel 3000 x 600 x 75</t>
  </si>
  <si>
    <t>Power panel 3600 x 600 x 75</t>
  </si>
  <si>
    <t>Plumber rates</t>
  </si>
  <si>
    <t>Min Day  Plumber Labour hire                                      2 Men</t>
  </si>
  <si>
    <t>Plumber Minumum Hire                                                 2 Men</t>
  </si>
  <si>
    <t>Plumber labour                                                             2 Men</t>
  </si>
  <si>
    <t>Plumber Minumum Hire                                                 1 Men</t>
  </si>
  <si>
    <t>Return to site minimum</t>
  </si>
  <si>
    <t>Spouting</t>
  </si>
  <si>
    <t>To remove existing Spout</t>
  </si>
  <si>
    <t xml:space="preserve">Install Box spouting </t>
  </si>
  <si>
    <t>Install Box spouting up on solid wall</t>
  </si>
  <si>
    <t>Alfresco Box spout  200 x 75 x 75 including the 1st 90 x 45 batton</t>
  </si>
  <si>
    <t>Box Spout end Stop for Alfresco Box spouts</t>
  </si>
  <si>
    <t>Install metal fascia</t>
  </si>
  <si>
    <t>Spouting per metre</t>
  </si>
  <si>
    <t>Spouting endstops</t>
  </si>
  <si>
    <t>Spouting corner brackets</t>
  </si>
  <si>
    <t>Squareline corner brackets</t>
  </si>
  <si>
    <t>Spout Hipp end Corner tapping fee</t>
  </si>
  <si>
    <t>Rain head tap in fee</t>
  </si>
  <si>
    <t>Install rainhead &amp; sump</t>
  </si>
  <si>
    <t>Down pipes</t>
  </si>
  <si>
    <r>
      <t xml:space="preserve">Downpipe For a </t>
    </r>
    <r>
      <rPr>
        <b/>
        <sz val="9"/>
        <rFont val="Arial"/>
        <family val="2"/>
      </rPr>
      <t xml:space="preserve">1.8m High  Eave </t>
    </r>
    <r>
      <rPr>
        <sz val="9"/>
        <rFont val="Arial"/>
        <family val="2"/>
      </rPr>
      <t xml:space="preserve">                                 (colourbond)</t>
    </r>
  </si>
  <si>
    <r>
      <t xml:space="preserve">Downpipe For a </t>
    </r>
    <r>
      <rPr>
        <b/>
        <sz val="9"/>
        <rFont val="Arial"/>
        <family val="2"/>
      </rPr>
      <t xml:space="preserve">2.4m High  Eave </t>
    </r>
    <r>
      <rPr>
        <sz val="9"/>
        <rFont val="Arial"/>
        <family val="2"/>
      </rPr>
      <t xml:space="preserve">                                 (colourbond)</t>
    </r>
  </si>
  <si>
    <r>
      <t xml:space="preserve">Downpipe For a </t>
    </r>
    <r>
      <rPr>
        <b/>
        <sz val="9"/>
        <rFont val="Arial"/>
        <family val="2"/>
      </rPr>
      <t>3.0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</si>
  <si>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3.6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</si>
  <si>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4.2 m high eave</t>
    </r>
    <r>
      <rPr>
        <sz val="9"/>
        <rFont val="Arial"/>
        <family val="2"/>
      </rPr>
      <t xml:space="preserve">                                   (colourbond)</t>
    </r>
  </si>
  <si>
    <r>
      <t xml:space="preserve">Downpipe For a </t>
    </r>
    <r>
      <rPr>
        <b/>
        <sz val="9"/>
        <rFont val="Arial"/>
        <family val="2"/>
      </rPr>
      <t>4.8 m high eave</t>
    </r>
    <r>
      <rPr>
        <sz val="9"/>
        <rFont val="Arial"/>
        <family val="2"/>
      </rPr>
      <t xml:space="preserve">                                   (colourbond)</t>
    </r>
  </si>
  <si>
    <t>Upgrade Down pipes</t>
  </si>
  <si>
    <t xml:space="preserve">Upgrade down pipe Labour                          No Eave </t>
  </si>
  <si>
    <t xml:space="preserve">Upgrade down pipe Labour                          With Eave </t>
  </si>
  <si>
    <t>Flashing</t>
  </si>
  <si>
    <t>Install special barge flashings</t>
  </si>
  <si>
    <t>Install barge flashings</t>
  </si>
  <si>
    <r>
      <t xml:space="preserve">Spouting barge flashing       </t>
    </r>
    <r>
      <rPr>
        <b/>
        <sz val="8"/>
        <color indexed="10"/>
        <rFont val="Arial"/>
        <family val="2"/>
      </rPr>
      <t>for corrigated &amp; Grecca profile roofs 140 x 75</t>
    </r>
    <r>
      <rPr>
        <sz val="8"/>
        <rFont val="Arial"/>
        <family val="2"/>
      </rPr>
      <t xml:space="preserve">  </t>
    </r>
  </si>
  <si>
    <r>
      <t xml:space="preserve">Spouting barge flashing       </t>
    </r>
    <r>
      <rPr>
        <b/>
        <sz val="8"/>
        <color indexed="10"/>
        <rFont val="Arial"/>
        <family val="2"/>
      </rPr>
      <t>for trimdeck , 5rib &amp; cliplock</t>
    </r>
  </si>
  <si>
    <r>
      <t xml:space="preserve">Spouting barge flashing for graded battons   </t>
    </r>
    <r>
      <rPr>
        <b/>
        <sz val="8"/>
        <color indexed="10"/>
        <rFont val="Arial"/>
        <family val="2"/>
      </rPr>
      <t xml:space="preserve"> 50 x 30 x 50 zinc</t>
    </r>
  </si>
  <si>
    <t>Step flashing on weather board wall</t>
  </si>
  <si>
    <r>
      <t xml:space="preserve">Timber capping flashing 75 x 45 x 45                                       </t>
    </r>
    <r>
      <rPr>
        <b/>
        <sz val="8"/>
        <color indexed="12"/>
        <rFont val="Arial"/>
        <family val="2"/>
      </rPr>
      <t>SEE PHOTO</t>
    </r>
  </si>
  <si>
    <t>Install Valley Flashing</t>
  </si>
  <si>
    <t>Install Gutter flashing</t>
  </si>
  <si>
    <t>Install facard flashing</t>
  </si>
  <si>
    <t>Lead flashing</t>
  </si>
  <si>
    <t>Install a Apron flashing agaist a brick wall   Per Metre</t>
  </si>
  <si>
    <t>Apron flashing under tile</t>
  </si>
  <si>
    <t>90 x 50 x 50 Barge capping</t>
  </si>
  <si>
    <t>Ridge capping</t>
  </si>
  <si>
    <t>Install ridge capping</t>
  </si>
  <si>
    <t xml:space="preserve">Install ridge capping on hips </t>
  </si>
  <si>
    <t>Install Ridge capes on Gazebo</t>
  </si>
  <si>
    <t>Install a cone ridge on a bullnose</t>
  </si>
  <si>
    <t>Stormwater</t>
  </si>
  <si>
    <t>Storm water location fee</t>
  </si>
  <si>
    <t>Dig &amp; lay stormwater pipe</t>
  </si>
  <si>
    <t>Storm water tank installation</t>
  </si>
  <si>
    <r>
      <t xml:space="preserve">Suspend Storm water under decking or House      </t>
    </r>
    <r>
      <rPr>
        <sz val="9"/>
        <color indexed="10"/>
        <rFont val="Arial"/>
        <family val="2"/>
      </rPr>
      <t>Per metre</t>
    </r>
  </si>
  <si>
    <t>Storm water pit 1000 x 1000x 1000</t>
  </si>
  <si>
    <t>Roofing</t>
  </si>
  <si>
    <r>
      <t xml:space="preserve">Install roof sheet  up        </t>
    </r>
    <r>
      <rPr>
        <b/>
        <sz val="9"/>
        <rFont val="Arial"/>
        <family val="2"/>
      </rPr>
      <t>5    Degrees</t>
    </r>
    <r>
      <rPr>
        <sz val="9"/>
        <rFont val="Arial"/>
        <family val="2"/>
      </rPr>
      <t xml:space="preserve">                 metre square</t>
    </r>
  </si>
  <si>
    <r>
      <t xml:space="preserve">Install roof sheet  up       </t>
    </r>
    <r>
      <rPr>
        <b/>
        <sz val="9"/>
        <rFont val="Arial"/>
        <family val="2"/>
      </rPr>
      <t>25    Degrees</t>
    </r>
    <r>
      <rPr>
        <sz val="9"/>
        <rFont val="Arial"/>
        <family val="2"/>
      </rPr>
      <t xml:space="preserve">                 metre square</t>
    </r>
  </si>
  <si>
    <t>Install A bullnose roofing sheet</t>
  </si>
  <si>
    <t>Install Twin wall</t>
  </si>
  <si>
    <t>Install full poly roof</t>
  </si>
  <si>
    <t>Cut roof sheet</t>
  </si>
  <si>
    <t>Cut roof sheet on a hip                                                     Per metre</t>
  </si>
  <si>
    <t>Cut roof sheet on a Valley                                                Per Metre</t>
  </si>
  <si>
    <t>Install purlin tap</t>
  </si>
  <si>
    <t>Pull up pavers</t>
  </si>
  <si>
    <t>Install Thermal blanket per per metre</t>
  </si>
  <si>
    <t>Installation of White goods</t>
  </si>
  <si>
    <t>Double Flu Range hood</t>
  </si>
  <si>
    <t>Plumbing Connections</t>
  </si>
  <si>
    <t>Gas roughin Min Hire</t>
  </si>
  <si>
    <t>Under slab Works</t>
  </si>
  <si>
    <t>Pic  certificate</t>
  </si>
  <si>
    <t>Sewerage underground</t>
  </si>
  <si>
    <t>Storm water</t>
  </si>
  <si>
    <t xml:space="preserve">Hot cold </t>
  </si>
  <si>
    <t>Machine hire min day hire</t>
  </si>
  <si>
    <t>Rough- In</t>
  </si>
  <si>
    <t xml:space="preserve">Rough in per point </t>
  </si>
  <si>
    <t xml:space="preserve">Gas Rough in </t>
  </si>
  <si>
    <t>Fit Off</t>
  </si>
  <si>
    <t>Fit off Single  point</t>
  </si>
  <si>
    <t xml:space="preserve">Fit off shower </t>
  </si>
  <si>
    <t>BBQ fit off</t>
  </si>
  <si>
    <t>Install toilet</t>
  </si>
  <si>
    <t xml:space="preserve">Install Grecca or corricated polyend fill </t>
  </si>
  <si>
    <t>Roofing Compliance certificate</t>
  </si>
  <si>
    <t>Tap Relocation  Jim plumbing service</t>
  </si>
  <si>
    <t>Percentage Cell</t>
  </si>
  <si>
    <t>Carpenter rates</t>
  </si>
  <si>
    <t>Min Day  Carpenter Labour hire</t>
  </si>
  <si>
    <t>Carpenter Minumum Hire                               2 man</t>
  </si>
  <si>
    <t>Carpenter minumum  Day  Hire                     1 man</t>
  </si>
  <si>
    <t>Carpenter per hour Labour Rate  x 2 men</t>
  </si>
  <si>
    <t>Carpenter per hour Labour Rate  x 1 men</t>
  </si>
  <si>
    <t>Minimum hire for gate &amp; fences</t>
  </si>
  <si>
    <t>Minimum Hire to return to site to install 40 x 19 cornice</t>
  </si>
  <si>
    <t>Labour to remove existing     Per Square Metre</t>
  </si>
  <si>
    <t>Labour to remove decking</t>
  </si>
  <si>
    <t>Labour to remove Eave for alfrescos</t>
  </si>
  <si>
    <t>Cart timber</t>
  </si>
  <si>
    <t>Footing labour</t>
  </si>
  <si>
    <t>Footing Labour for          450 x 450 x 800 Deep  Hand Dig</t>
  </si>
  <si>
    <t>Footing labour to set out and clean holes when machine has been alicated</t>
  </si>
  <si>
    <t>Labour to remove soil from post hole digging m3</t>
  </si>
  <si>
    <t>Labour for additional concrete volume</t>
  </si>
  <si>
    <t>Installing Post</t>
  </si>
  <si>
    <t>Install post &amp; Decking handrail post    90,110 &amp; 125mm</t>
  </si>
  <si>
    <t>Install post &amp; Decking handrail post    140 mm upto 3.6</t>
  </si>
  <si>
    <t>Install post &amp; Decking handrail post    190mm upto 3.6</t>
  </si>
  <si>
    <t xml:space="preserve">Install Stumps </t>
  </si>
  <si>
    <t>Install Gal post for high decks and verandahs</t>
  </si>
  <si>
    <t>Install Column</t>
  </si>
  <si>
    <t xml:space="preserve">Install Exsteda bracket  </t>
  </si>
  <si>
    <t>Nibb post on the wall</t>
  </si>
  <si>
    <t>Box Spouting Labour</t>
  </si>
  <si>
    <t>Install extended facia bracket for box spout detail</t>
  </si>
  <si>
    <t>Install box spout</t>
  </si>
  <si>
    <t>Install box spout onto wall</t>
  </si>
  <si>
    <t xml:space="preserve">Istall box spout when removing house spouting </t>
  </si>
  <si>
    <t>Individual Items</t>
  </si>
  <si>
    <t>Install Fascia board on end fill                                           Per Metre</t>
  </si>
  <si>
    <t>Replace Fascia board on Fasica                                       Per Metre</t>
  </si>
  <si>
    <t>Replace Fascia inclosed box spouts                                 Per Metre</t>
  </si>
  <si>
    <t>Install Timber Tie Beams</t>
  </si>
  <si>
    <t>Install Steel Collar tie</t>
  </si>
  <si>
    <t>Install octagnal fascia bracket</t>
  </si>
  <si>
    <t>Install shadeclothe</t>
  </si>
  <si>
    <t>Install shade batten</t>
  </si>
  <si>
    <t>Install graded batten</t>
  </si>
  <si>
    <t>Install Pine Lining                                                                Per square metre</t>
  </si>
  <si>
    <t>Install Cement sheet Ceiling                                                Per Metre</t>
  </si>
  <si>
    <t>Octaganal Cut out on Straight Gable                                  Large</t>
  </si>
  <si>
    <t>Octaganal Cut out on Straight Gable                                  Small</t>
  </si>
  <si>
    <t>Install main beams</t>
  </si>
  <si>
    <t>Install Ridge beams</t>
  </si>
  <si>
    <t>Install Laminated Beams</t>
  </si>
  <si>
    <t>Install graded batton for Alfrescos</t>
  </si>
  <si>
    <t>Install Fascia cleat</t>
  </si>
  <si>
    <t>Install Batten &amp; Endfill</t>
  </si>
  <si>
    <t>Installing Fret work &amp; Finials</t>
  </si>
  <si>
    <t>Install heritage endfill</t>
  </si>
  <si>
    <t>Install frete work</t>
  </si>
  <si>
    <t>Instal post corner Bracket</t>
  </si>
  <si>
    <t>Install post Bottom fret work</t>
  </si>
  <si>
    <t>Install finials</t>
  </si>
  <si>
    <t>Install Beading</t>
  </si>
  <si>
    <t>Install 40 x 19 Beading</t>
  </si>
  <si>
    <t>Installing Cement  endfills</t>
  </si>
  <si>
    <t>Install cement sheet                                                         Per End Fill</t>
  </si>
  <si>
    <t>Install cement sheet per end Over 6m gable                   Per End fill</t>
  </si>
  <si>
    <t>Install Cement sheet per metre for walls</t>
  </si>
  <si>
    <t>Walls &amp; Ceilings</t>
  </si>
  <si>
    <t>Install cement sheet ceiling per metre</t>
  </si>
  <si>
    <t>Installing ceiling battons</t>
  </si>
  <si>
    <t>Install stucco</t>
  </si>
  <si>
    <r>
      <t xml:space="preserve">Install blue baord                                                                                   </t>
    </r>
    <r>
      <rPr>
        <b/>
        <sz val="8"/>
        <rFont val="Arial"/>
        <family val="2"/>
      </rPr>
      <t>Per square metre</t>
    </r>
  </si>
  <si>
    <t>Install blue board              Single story walls</t>
  </si>
  <si>
    <t>Install blue board for single story walls and heater box</t>
  </si>
  <si>
    <t>Stopping up blue board for render paint</t>
  </si>
  <si>
    <r>
      <t xml:space="preserve">Install Cement  sheet wood grain &amp; Baltic pine Weather Boards         </t>
    </r>
    <r>
      <rPr>
        <b/>
        <sz val="8"/>
        <rFont val="Arial"/>
        <family val="2"/>
      </rPr>
      <t>Per square metre</t>
    </r>
  </si>
  <si>
    <t>Install lattice panel .6,.9,1.2 x 2400 long                             Framed</t>
  </si>
  <si>
    <t>Frame for murbua screens</t>
  </si>
  <si>
    <t>Install a stud wall per metre</t>
  </si>
  <si>
    <t xml:space="preserve">Frame and blue board clad up heater box </t>
  </si>
  <si>
    <t>Install a stud wall frame for a seat</t>
  </si>
  <si>
    <r>
      <t xml:space="preserve">Install blue board bulk head frame and blue board                               </t>
    </r>
    <r>
      <rPr>
        <b/>
        <sz val="8"/>
        <rFont val="Arial"/>
        <family val="2"/>
      </rPr>
      <t xml:space="preserve"> Per Metre</t>
    </r>
  </si>
  <si>
    <r>
      <t xml:space="preserve">Install blue board column Framed and blue board                                 </t>
    </r>
    <r>
      <rPr>
        <b/>
        <sz val="8"/>
        <rFont val="Arial"/>
        <family val="2"/>
      </rPr>
      <t>Each</t>
    </r>
  </si>
  <si>
    <t xml:space="preserve">Hardies Durogroove </t>
  </si>
  <si>
    <t>Install Hardie / Durogroove per sheet</t>
  </si>
  <si>
    <t>Install Hardie / Durogroove Horizontal flashing               3m length</t>
  </si>
  <si>
    <t>Install Hardie / Durogroove Corner  Flashing                    3m length</t>
  </si>
  <si>
    <t>Install Hardies base edge trim with Matrix cavity vent strip     L/M</t>
  </si>
  <si>
    <t>Install Hardies Cavity Batten 18 x 70 x 3m                              Each</t>
  </si>
  <si>
    <t>Install Hardies Wrap weather barrier 2.75 high                                          L/M</t>
  </si>
  <si>
    <t>Install Hebel panel   Upto 3 metre each</t>
  </si>
  <si>
    <t xml:space="preserve">handrails </t>
  </si>
  <si>
    <t>Install ballastrade handrail</t>
  </si>
  <si>
    <t>Instal wire handrail</t>
  </si>
  <si>
    <t>Install 50 mm round steel flange &amp; Cover</t>
  </si>
  <si>
    <t>Instal wire handrail timber top plate</t>
  </si>
  <si>
    <t>install wire dropper</t>
  </si>
  <si>
    <t>Labour per number of runs</t>
  </si>
  <si>
    <t xml:space="preserve">Gates </t>
  </si>
  <si>
    <t>Install gate and trap door</t>
  </si>
  <si>
    <t>Install gate with pickets</t>
  </si>
  <si>
    <t>Install picket fence per metre</t>
  </si>
  <si>
    <t>Gate Self Closing hinges and pool latche</t>
  </si>
  <si>
    <t>Door Labour rates</t>
  </si>
  <si>
    <r>
      <t xml:space="preserve">Install External door frames with sills                         </t>
    </r>
    <r>
      <rPr>
        <b/>
        <sz val="8"/>
        <color rgb="FFFF0000"/>
        <rFont val="Arial"/>
        <family val="2"/>
      </rPr>
      <t>Meranti</t>
    </r>
    <r>
      <rPr>
        <sz val="8"/>
        <rFont val="Arial"/>
        <family val="2"/>
      </rPr>
      <t xml:space="preserve">           (Assembled)</t>
    </r>
  </si>
  <si>
    <r>
      <t xml:space="preserve">Install  MDFDJ120 MDF Door Jam 120mm                   </t>
    </r>
    <r>
      <rPr>
        <b/>
        <sz val="8"/>
        <color rgb="FFFF0000"/>
        <rFont val="Arial"/>
        <family val="2"/>
      </rPr>
      <t>MDF</t>
    </r>
  </si>
  <si>
    <t>Timber &amp; Cavity Doors</t>
  </si>
  <si>
    <t>Hang external door including door furniture</t>
  </si>
  <si>
    <t>Hang internal door including Archs /fit door furniture</t>
  </si>
  <si>
    <t>Install Cavity slider frame</t>
  </si>
  <si>
    <t>Install cavity door including archs /fit door and door furniture</t>
  </si>
  <si>
    <t>Cut in 600 x 600 man hole with Meliamine cover</t>
  </si>
  <si>
    <t>Aluminium doors</t>
  </si>
  <si>
    <t>Install Alluminium Sliding door</t>
  </si>
  <si>
    <t xml:space="preserve">Install Alluminium multi stack door </t>
  </si>
  <si>
    <t>Bi fold Doors</t>
  </si>
  <si>
    <t>Install Bifold doors when lintal work is required</t>
  </si>
  <si>
    <t>Window rates</t>
  </si>
  <si>
    <r>
      <t xml:space="preserve">Install </t>
    </r>
    <r>
      <rPr>
        <b/>
        <sz val="8"/>
        <color rgb="FFFF0000"/>
        <rFont val="Arial"/>
        <family val="2"/>
      </rPr>
      <t>timber</t>
    </r>
    <r>
      <rPr>
        <sz val="8"/>
        <rFont val="Arial"/>
        <family val="2"/>
      </rPr>
      <t xml:space="preserve"> window Plum -Flash under 1.2wide</t>
    </r>
  </si>
  <si>
    <r>
      <t xml:space="preserve">Install </t>
    </r>
    <r>
      <rPr>
        <b/>
        <sz val="8"/>
        <color rgb="FFFF0000"/>
        <rFont val="Arial"/>
        <family val="2"/>
      </rPr>
      <t xml:space="preserve">timber </t>
    </r>
    <r>
      <rPr>
        <sz val="8"/>
        <rFont val="Arial"/>
        <family val="2"/>
      </rPr>
      <t>window Plum -Flash over 1.2 wide</t>
    </r>
  </si>
  <si>
    <r>
      <t xml:space="preserve">Install </t>
    </r>
    <r>
      <rPr>
        <b/>
        <sz val="8"/>
        <color rgb="FFFF0000"/>
        <rFont val="Arial"/>
        <family val="2"/>
      </rPr>
      <t>Aluminium</t>
    </r>
    <r>
      <rPr>
        <sz val="8"/>
        <rFont val="Arial"/>
        <family val="2"/>
      </rPr>
      <t xml:space="preserve"> window Plum -Flash unto 2.7 wide</t>
    </r>
  </si>
  <si>
    <r>
      <t>Install</t>
    </r>
    <r>
      <rPr>
        <b/>
        <sz val="8"/>
        <color rgb="FFFF0000"/>
        <rFont val="Arial"/>
        <family val="2"/>
      </rPr>
      <t xml:space="preserve"> Aluminium</t>
    </r>
    <r>
      <rPr>
        <sz val="8"/>
        <rFont val="Arial"/>
        <family val="2"/>
      </rPr>
      <t xml:space="preserve"> window Plum -Flash over 2.7 wide</t>
    </r>
  </si>
  <si>
    <t>Window/ Door removal</t>
  </si>
  <si>
    <r>
      <t xml:space="preserve">Remove Window/ Door </t>
    </r>
    <r>
      <rPr>
        <b/>
        <sz val="8"/>
        <color rgb="FFFF0000"/>
        <rFont val="Arial"/>
        <family val="2"/>
      </rPr>
      <t>UNDER</t>
    </r>
    <r>
      <rPr>
        <sz val="8"/>
        <rFont val="Arial"/>
        <family val="2"/>
      </rPr>
      <t xml:space="preserve"> 1.2 wide</t>
    </r>
  </si>
  <si>
    <r>
      <t xml:space="preserve">Remove Window/ Door </t>
    </r>
    <r>
      <rPr>
        <b/>
        <sz val="8"/>
        <color rgb="FFFF0000"/>
        <rFont val="Arial"/>
        <family val="2"/>
      </rPr>
      <t>OVER</t>
    </r>
    <r>
      <rPr>
        <sz val="8"/>
        <rFont val="Arial"/>
        <family val="2"/>
      </rPr>
      <t xml:space="preserve"> 1.2 wide</t>
    </r>
  </si>
  <si>
    <t>Skylights  1800 x 900 Garron Skylights</t>
  </si>
  <si>
    <t>Single Assembled 820 Meranti with sill door jam</t>
  </si>
  <si>
    <t>Double Assembled 1640 Meranti with sill door jam</t>
  </si>
  <si>
    <t>Duro Coat 820  1/2 glass Laundry door</t>
  </si>
  <si>
    <t>Solid Per 820 external door</t>
  </si>
  <si>
    <t>Entrance set</t>
  </si>
  <si>
    <t>Flush stop and hinge</t>
  </si>
  <si>
    <t>Install 2400 x 1200 custom Screen including beading</t>
  </si>
  <si>
    <t>Updated 10/9/2021</t>
  </si>
  <si>
    <t>Insatll skirt and Arch</t>
  </si>
  <si>
    <t>Install door arc</t>
  </si>
  <si>
    <t>Install    Single Door Jam &amp; Door</t>
  </si>
  <si>
    <t>Install  Double  Door Jam &amp; Door</t>
  </si>
  <si>
    <t>Install Roller and Panel door Jam</t>
  </si>
  <si>
    <t>Install  Plastic vent</t>
  </si>
  <si>
    <t>Rafter Labour</t>
  </si>
  <si>
    <t>skillion 1.2 to 2.3</t>
  </si>
  <si>
    <t>skillion 2.4 to 3.6</t>
  </si>
  <si>
    <t>skillion 3.7 to 4.2</t>
  </si>
  <si>
    <t>skillion 4.3 to 6</t>
  </si>
  <si>
    <t>Install Gable rafters 3 to 4.2 Meter Width</t>
  </si>
  <si>
    <t>Install Gable rafters 4.8 to 6 Meter Width</t>
  </si>
  <si>
    <t>Install Gable rafters  6.6 to 7.2 Meter Width</t>
  </si>
  <si>
    <t>Install Ridges on a Gazebo</t>
  </si>
  <si>
    <t>if</t>
  </si>
  <si>
    <t>Install hipps and valley</t>
  </si>
  <si>
    <t>Hockey stick rafter</t>
  </si>
  <si>
    <t>Truss roof pitch under 25 degree</t>
  </si>
  <si>
    <t>Install Truss roof m2</t>
  </si>
  <si>
    <r>
      <t xml:space="preserve">Standard </t>
    </r>
    <r>
      <rPr>
        <b/>
        <sz val="8"/>
        <color indexed="10"/>
        <rFont val="Arial"/>
        <family val="2"/>
      </rPr>
      <t xml:space="preserve">3.6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</si>
  <si>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4.2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</si>
  <si>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4.8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</si>
  <si>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5.4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</si>
  <si>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6.0 metre </t>
    </r>
    <r>
      <rPr>
        <sz val="8"/>
        <rFont val="Arial"/>
        <family val="2"/>
      </rPr>
      <t>wide Truss @22.5 Degree</t>
    </r>
  </si>
  <si>
    <r>
      <t xml:space="preserve">Standard </t>
    </r>
    <r>
      <rPr>
        <b/>
        <sz val="8"/>
        <color indexed="10"/>
        <rFont val="Arial"/>
        <family val="2"/>
      </rPr>
      <t xml:space="preserve">6.6 metre </t>
    </r>
    <r>
      <rPr>
        <sz val="8"/>
        <rFont val="Arial"/>
        <family val="2"/>
      </rPr>
      <t>wide Truss @22.5 Degree</t>
    </r>
  </si>
  <si>
    <t>Special Labour Items</t>
  </si>
  <si>
    <t>Laminated beam Allowance</t>
  </si>
  <si>
    <t>Bearer Labour</t>
  </si>
  <si>
    <t>Install Bearer onto concrete slab</t>
  </si>
  <si>
    <t>Install Internal bearers                                              Per Metre</t>
  </si>
  <si>
    <t>Install190 external bearer with joist hanger brackets  bearers                                    Per Metre</t>
  </si>
  <si>
    <t>Wall Cleats labour</t>
  </si>
  <si>
    <t>Install wall cleat</t>
  </si>
  <si>
    <t>Joist bracket on wall cleat</t>
  </si>
  <si>
    <t>Joist instalation Labour</t>
  </si>
  <si>
    <t>Install joist continious span</t>
  </si>
  <si>
    <t>Install joist single span</t>
  </si>
  <si>
    <t>Base Board Installation Labour</t>
  </si>
  <si>
    <t xml:space="preserve">Install 150 x 25 trated pine base boards </t>
  </si>
  <si>
    <t>Decking &amp; Flooring Installation Labour</t>
  </si>
  <si>
    <t>Install 70 &amp; 90 mm wide decking</t>
  </si>
  <si>
    <t>Install 140 mm wide decking</t>
  </si>
  <si>
    <t>Install Modwood Decking</t>
  </si>
  <si>
    <t>Screw down decking per metre</t>
  </si>
  <si>
    <t>Pre drilling &amp; Hand nailing</t>
  </si>
  <si>
    <t xml:space="preserve">Install nail free decking </t>
  </si>
  <si>
    <t>18 mm compressed sheeting</t>
  </si>
  <si>
    <t>Install Yellow tongue</t>
  </si>
  <si>
    <t>Install steps</t>
  </si>
  <si>
    <t>400 mm high</t>
  </si>
  <si>
    <t>600 mm high</t>
  </si>
  <si>
    <t>800 mm high</t>
  </si>
  <si>
    <t>1200 mm high</t>
  </si>
  <si>
    <t>1400 mm high</t>
  </si>
  <si>
    <t>1600 mm high</t>
  </si>
  <si>
    <t>1800 mm high</t>
  </si>
  <si>
    <t xml:space="preserve"> 2000 mm high</t>
  </si>
  <si>
    <t xml:space="preserve"> 2200 mm high</t>
  </si>
  <si>
    <t xml:space="preserve"> 2400 mm high</t>
  </si>
  <si>
    <t>Install Murbua board steps</t>
  </si>
  <si>
    <t xml:space="preserve">Install Farcard </t>
  </si>
  <si>
    <t>Decking Height allowances</t>
  </si>
  <si>
    <t xml:space="preserve">Bin Hire </t>
  </si>
  <si>
    <t>3 Metre Bin  Casey Bin Hire 0418-324726</t>
  </si>
  <si>
    <t>6 Metre Bin  Casey Bin Hire 0418-324726</t>
  </si>
  <si>
    <t>8 Metre Bin  Casey Bin Hire 0418-324726</t>
  </si>
  <si>
    <t>bin permit</t>
  </si>
  <si>
    <t>Tip Fee</t>
  </si>
  <si>
    <t>Asbestos removal</t>
  </si>
  <si>
    <t>SCAFFOLD HIRE</t>
  </si>
  <si>
    <t xml:space="preserve">Scaffold hire  Minimum 2 Day      6 x 6  x  </t>
  </si>
  <si>
    <t xml:space="preserve">Scaffold hire Per day       </t>
  </si>
  <si>
    <t>Guard Rail Hire                   25 m minumin hie</t>
  </si>
  <si>
    <t>Guard rail Hire                   per metre</t>
  </si>
  <si>
    <t xml:space="preserve">LDWP Work platform          20 m Minimum      </t>
  </si>
  <si>
    <t>Deliveries  ( metro area )</t>
  </si>
  <si>
    <t>Misalanious materials</t>
  </si>
  <si>
    <t>Girni lift</t>
  </si>
  <si>
    <t>Updated 11/10/2023</t>
  </si>
  <si>
    <t>Sectional Doors</t>
  </si>
  <si>
    <t>Aluminium Multi stack doors</t>
  </si>
  <si>
    <t xml:space="preserve">MSD 2400 x 5310 </t>
  </si>
  <si>
    <t>MSD 2400 x 4800</t>
  </si>
  <si>
    <t>MSD 2400 x 4500</t>
  </si>
  <si>
    <t>MSD 2400 x 4200</t>
  </si>
  <si>
    <t>MSD 2400 x 3615</t>
  </si>
  <si>
    <t>MSD 2400 x 3174</t>
  </si>
  <si>
    <t>MSD 2400 x 2715</t>
  </si>
  <si>
    <t>MSD 2400 x 2404</t>
  </si>
  <si>
    <t>Aluminum Sliding Doors</t>
  </si>
  <si>
    <t>SD 2400 x 4784</t>
  </si>
  <si>
    <t>SD 2400 x 4196</t>
  </si>
  <si>
    <t>SD 2400 x 3584  4 Lite</t>
  </si>
  <si>
    <t>SD 2400 x 3615  3 Lite</t>
  </si>
  <si>
    <t>SD 2400 x 3174</t>
  </si>
  <si>
    <t>SD 2400 x 2715</t>
  </si>
  <si>
    <t>SD 2400 x 2404</t>
  </si>
  <si>
    <t>SD 2400 x 2110</t>
  </si>
  <si>
    <t>SD 2400 x 1804</t>
  </si>
  <si>
    <t>Alumimum French Doors</t>
  </si>
  <si>
    <t>AFD 2100 x   850</t>
  </si>
  <si>
    <t>AFD 2100 x 1290</t>
  </si>
  <si>
    <t>AFD 2100 x 1490</t>
  </si>
  <si>
    <t>AFD 2100 x 1690</t>
  </si>
  <si>
    <t xml:space="preserve">Alumimum sliding Windows </t>
  </si>
  <si>
    <t>SW 2100 x   910</t>
  </si>
  <si>
    <t>SW 2100 x 1210</t>
  </si>
  <si>
    <t>SW 2100 x 1510</t>
  </si>
  <si>
    <t>SW 2100 x 1810</t>
  </si>
  <si>
    <t>SW 2100 x 2110</t>
  </si>
  <si>
    <t>SW 2100 x 2410</t>
  </si>
  <si>
    <t>SW 2100 x 2710</t>
  </si>
  <si>
    <t>SW 2100 x 3010</t>
  </si>
  <si>
    <t>SW 2400 x   910</t>
  </si>
  <si>
    <t>Hourly rte</t>
  </si>
  <si>
    <t>Brick rate - Client supplies Sand Cement Lime wall ties ETC</t>
  </si>
  <si>
    <t>Brick rate - any brick work over 3.6m high</t>
  </si>
  <si>
    <t>Sills - Per metre</t>
  </si>
  <si>
    <t>Piers - Per Metre</t>
  </si>
  <si>
    <t>Stiffining Piers per metre</t>
  </si>
  <si>
    <t>Install - Door frame</t>
  </si>
  <si>
    <t>Install gables</t>
  </si>
  <si>
    <t>Customised Quotation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</si>
</sst>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%"/>
    <numFmt numFmtId="165" formatCode="0.0%"/>
    <numFmt numFmtId="166" formatCode="_-&quot;$&quot;* #,##0.00_-;\-&quot;$&quot;* #,##0.00_-;_-&quot;$&quot;* &quot;-&quot;??_-;_-@_-"/>
    <numFmt numFmtId="167" formatCode="&quot;$&quot;#,##0.00"/>
    <numFmt numFmtId="168" formatCode="0.0"/>
    <numFmt numFmtId="169" formatCode="&quot;$&quot;#,##0.00;[Red]\-&quot;$&quot;#,##0.00"/>
    <numFmt numFmtId="170" formatCode="_-* #,##0.00_-;\-* #,##0.00_-;_-* &quot;-&quot;??_-;_-@_-"/>
    <numFmt numFmtId="171" formatCode="0.00000%"/>
    <numFmt numFmtId="172" formatCode="#,##0.00_ ;[Red]\-#,##0.00\ "/>
    <numFmt numFmtId="173" formatCode="\$#,##0.00"/>
    <numFmt numFmtId="174" formatCode="&quot;$&quot;#,##0.000"/>
    <numFmt numFmtId="175" formatCode="#,##0.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9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16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sz val="9"/>
      <color rgb="FF0000FF"/>
      <name val="Arial"/>
      <family val="2"/>
    </font>
    <font>
      <sz val="9"/>
      <color rgb="FFFF0000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9"/>
      <color rgb="FF0000FF"/>
      <name val="Arial"/>
      <family val="2"/>
    </font>
    <font>
      <b/>
      <sz val="9"/>
      <color rgb="FF0070C0"/>
      <name val="Arial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4"/>
      <color rgb="FFFF0000"/>
      <name val="Arial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sz val="7"/>
      <name val="Arial"/>
      <family val="2"/>
    </font>
    <font>
      <b/>
      <sz val="11"/>
      <color rgb="FFFF0000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  <font>
      <sz val="8"/>
      <color rgb="FF000000"/>
      <name val="Arial"/>
      <family val="2"/>
    </font>
    <font>
      <b/>
      <sz val="9"/>
      <color indexed="21"/>
      <name val="Arial"/>
      <family val="2"/>
    </font>
    <font>
      <sz val="8"/>
      <color indexed="21"/>
      <name val="Arial"/>
      <family val="2"/>
    </font>
    <font>
      <b/>
      <sz val="8"/>
      <color indexed="12"/>
      <name val="Arial"/>
      <family val="2"/>
    </font>
    <font>
      <b/>
      <sz val="8"/>
      <color indexed="9"/>
      <name val="Arial"/>
      <family val="2"/>
    </font>
    <font>
      <b/>
      <sz val="26"/>
      <name val="Arial"/>
      <family val="2"/>
    </font>
    <font>
      <b/>
      <u/>
      <sz val="10"/>
      <color indexed="12"/>
      <name val="Arial"/>
      <family val="2"/>
    </font>
    <font>
      <b/>
      <sz val="10"/>
      <color indexed="16"/>
      <name val="Arial"/>
      <family val="2"/>
    </font>
    <font>
      <b/>
      <sz val="8"/>
      <color indexed="16"/>
      <name val="Arial"/>
      <family val="2"/>
    </font>
    <font>
      <b/>
      <sz val="10"/>
      <color indexed="12"/>
      <name val="Arial"/>
      <family val="2"/>
    </font>
    <font>
      <b/>
      <sz val="20"/>
      <color indexed="10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8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10"/>
      <name val="Tahoma"/>
      <family val="2"/>
    </font>
    <font>
      <b/>
      <sz val="18"/>
      <name val="Arial"/>
      <family val="2"/>
    </font>
    <font>
      <b/>
      <sz val="10"/>
      <color rgb="FF0000FF"/>
      <name val="Arial"/>
      <family val="2"/>
    </font>
    <font>
      <b/>
      <sz val="8"/>
      <color rgb="FF0000FF"/>
      <name val="Arial"/>
      <family val="2"/>
    </font>
    <font>
      <sz val="9"/>
      <color rgb="FF000000"/>
      <name val="Arial"/>
      <family val="2"/>
    </font>
    <font>
      <b/>
      <sz val="8"/>
      <color theme="6"/>
      <name val="Arial"/>
      <family val="2"/>
    </font>
    <font>
      <b/>
      <i/>
      <sz val="24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15C8DB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14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indexed="64"/>
      </bottom>
      <diagonal/>
    </border>
    <border>
      <left/>
      <right/>
      <top style="thick">
        <color rgb="FFFF0000"/>
      </top>
      <bottom style="thick">
        <color indexed="64"/>
      </bottom>
      <diagonal/>
    </border>
    <border>
      <left/>
      <right style="thick">
        <color indexed="64"/>
      </right>
      <top style="thick">
        <color rgb="FFFF0000"/>
      </top>
      <bottom style="thick">
        <color indexed="64"/>
      </bottom>
      <diagonal/>
    </border>
    <border>
      <left/>
      <right style="thick">
        <color rgb="FFFF0000"/>
      </right>
      <top style="thick">
        <color rgb="FFFF0000"/>
      </top>
      <bottom style="thin">
        <color auto="1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/>
      <right style="thick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ck">
        <color indexed="64"/>
      </right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942">
    <xf numFmtId="0" fontId="0" fillId="0" borderId="0" xfId="0"/>
    <xf numFmtId="0" fontId="1" fillId="0" borderId="1" xfId="1" applyBorder="1" applyAlignment="1" applyProtection="1">
      <alignment horizontal="center"/>
      <protection locked="0"/>
    </xf>
    <xf numFmtId="0" fontId="1" fillId="0" borderId="0" xfId="1" applyProtection="1">
      <protection hidden="1"/>
    </xf>
    <xf numFmtId="0" fontId="1" fillId="0" borderId="0" xfId="1" applyProtection="1">
      <protection locked="0"/>
    </xf>
    <xf numFmtId="0" fontId="1" fillId="0" borderId="0" xfId="1" applyAlignment="1" applyProtection="1">
      <alignment horizontal="center"/>
      <protection hidden="1"/>
    </xf>
    <xf numFmtId="0" fontId="1" fillId="0" borderId="15" xfId="1" applyBorder="1" applyProtection="1">
      <protection hidden="1"/>
    </xf>
    <xf numFmtId="0" fontId="6" fillId="0" borderId="16" xfId="1" applyFont="1" applyBorder="1" applyProtection="1">
      <protection hidden="1"/>
    </xf>
    <xf numFmtId="0" fontId="4" fillId="0" borderId="16" xfId="1" applyFont="1" applyBorder="1" applyProtection="1">
      <protection hidden="1"/>
    </xf>
    <xf numFmtId="0" fontId="1" fillId="0" borderId="0" xfId="1" applyAlignment="1" applyProtection="1">
      <alignment horizontal="center"/>
      <protection locked="0"/>
    </xf>
    <xf numFmtId="0" fontId="1" fillId="0" borderId="23" xfId="1" applyBorder="1" applyAlignment="1" applyProtection="1">
      <alignment horizontal="center"/>
      <protection hidden="1"/>
    </xf>
    <xf numFmtId="0" fontId="1" fillId="0" borderId="3" xfId="1" applyBorder="1" applyProtection="1">
      <protection hidden="1"/>
    </xf>
    <xf numFmtId="0" fontId="16" fillId="0" borderId="3" xfId="1" applyFont="1" applyBorder="1" applyProtection="1">
      <protection hidden="1"/>
    </xf>
    <xf numFmtId="0" fontId="16" fillId="0" borderId="17" xfId="1" applyFont="1" applyBorder="1" applyProtection="1">
      <protection hidden="1"/>
    </xf>
    <xf numFmtId="0" fontId="1" fillId="0" borderId="0" xfId="1"/>
    <xf numFmtId="0" fontId="1" fillId="0" borderId="16" xfId="1" applyBorder="1"/>
    <xf numFmtId="167" fontId="16" fillId="0" borderId="3" xfId="1" applyNumberFormat="1" applyFont="1" applyBorder="1" applyProtection="1">
      <protection hidden="1"/>
    </xf>
    <xf numFmtId="167" fontId="16" fillId="0" borderId="17" xfId="1" applyNumberFormat="1" applyFont="1" applyBorder="1" applyProtection="1">
      <protection hidden="1"/>
    </xf>
    <xf numFmtId="0" fontId="19" fillId="0" borderId="3" xfId="1" applyFont="1" applyBorder="1" applyProtection="1">
      <protection hidden="1"/>
    </xf>
    <xf numFmtId="0" fontId="20" fillId="9" borderId="24" xfId="1" applyFont="1" applyFill="1" applyBorder="1" applyAlignment="1" applyProtection="1">
      <alignment wrapText="1"/>
      <protection hidden="1"/>
    </xf>
    <xf numFmtId="0" fontId="20" fillId="9" borderId="25" xfId="1" applyFont="1" applyFill="1" applyBorder="1" applyAlignment="1" applyProtection="1">
      <alignment wrapText="1"/>
      <protection hidden="1"/>
    </xf>
    <xf numFmtId="0" fontId="20" fillId="9" borderId="26" xfId="1" applyFont="1" applyFill="1" applyBorder="1" applyAlignment="1" applyProtection="1">
      <alignment wrapText="1"/>
      <protection hidden="1"/>
    </xf>
    <xf numFmtId="0" fontId="16" fillId="9" borderId="27" xfId="1" applyFont="1" applyFill="1" applyBorder="1" applyAlignment="1" applyProtection="1">
      <alignment wrapText="1"/>
      <protection hidden="1"/>
    </xf>
    <xf numFmtId="0" fontId="1" fillId="0" borderId="23" xfId="1" applyBorder="1" applyAlignment="1" applyProtection="1">
      <alignment horizontal="center"/>
      <protection locked="0"/>
    </xf>
    <xf numFmtId="0" fontId="13" fillId="0" borderId="16" xfId="1" applyFont="1" applyBorder="1" applyAlignment="1" applyProtection="1">
      <alignment horizontal="center"/>
      <protection locked="0"/>
    </xf>
    <xf numFmtId="0" fontId="17" fillId="10" borderId="3" xfId="1" applyFont="1" applyFill="1" applyBorder="1" applyProtection="1">
      <protection hidden="1"/>
    </xf>
    <xf numFmtId="167" fontId="17" fillId="0" borderId="3" xfId="1" applyNumberFormat="1" applyFont="1" applyBorder="1" applyProtection="1">
      <protection hidden="1"/>
    </xf>
    <xf numFmtId="167" fontId="19" fillId="0" borderId="3" xfId="1" applyNumberFormat="1" applyFont="1" applyBorder="1" applyProtection="1">
      <protection hidden="1"/>
    </xf>
    <xf numFmtId="0" fontId="16" fillId="9" borderId="28" xfId="1" applyFont="1" applyFill="1" applyBorder="1" applyProtection="1">
      <protection hidden="1"/>
    </xf>
    <xf numFmtId="0" fontId="16" fillId="9" borderId="4" xfId="1" applyFont="1" applyFill="1" applyBorder="1" applyAlignment="1" applyProtection="1">
      <alignment horizontal="center"/>
      <protection hidden="1"/>
    </xf>
    <xf numFmtId="0" fontId="16" fillId="9" borderId="4" xfId="1" applyFont="1" applyFill="1" applyBorder="1" applyProtection="1">
      <protection hidden="1"/>
    </xf>
    <xf numFmtId="0" fontId="16" fillId="9" borderId="4" xfId="1" applyFont="1" applyFill="1" applyBorder="1" applyProtection="1">
      <protection locked="0"/>
    </xf>
    <xf numFmtId="0" fontId="16" fillId="9" borderId="4" xfId="1" applyFont="1" applyFill="1" applyBorder="1" applyAlignment="1" applyProtection="1">
      <alignment horizontal="center"/>
      <protection locked="0"/>
    </xf>
    <xf numFmtId="0" fontId="16" fillId="9" borderId="29" xfId="1" applyFont="1" applyFill="1" applyBorder="1" applyProtection="1">
      <protection locked="0"/>
    </xf>
    <xf numFmtId="0" fontId="13" fillId="0" borderId="23" xfId="1" applyFont="1" applyBorder="1" applyAlignment="1" applyProtection="1">
      <alignment horizontal="center"/>
      <protection locked="0"/>
    </xf>
    <xf numFmtId="0" fontId="23" fillId="0" borderId="3" xfId="1" applyFont="1" applyBorder="1" applyProtection="1">
      <protection hidden="1"/>
    </xf>
    <xf numFmtId="0" fontId="16" fillId="9" borderId="30" xfId="1" applyFont="1" applyFill="1" applyBorder="1" applyProtection="1">
      <protection hidden="1"/>
    </xf>
    <xf numFmtId="0" fontId="16" fillId="9" borderId="3" xfId="1" applyFont="1" applyFill="1" applyBorder="1" applyAlignment="1" applyProtection="1">
      <alignment horizontal="center"/>
      <protection hidden="1"/>
    </xf>
    <xf numFmtId="0" fontId="16" fillId="9" borderId="3" xfId="1" applyFont="1" applyFill="1" applyBorder="1" applyProtection="1">
      <protection hidden="1"/>
    </xf>
    <xf numFmtId="0" fontId="16" fillId="9" borderId="3" xfId="1" applyFont="1" applyFill="1" applyBorder="1" applyProtection="1">
      <protection locked="0"/>
    </xf>
    <xf numFmtId="0" fontId="17" fillId="0" borderId="3" xfId="1" applyFont="1" applyBorder="1" applyProtection="1">
      <protection hidden="1"/>
    </xf>
    <xf numFmtId="167" fontId="24" fillId="0" borderId="3" xfId="1" applyNumberFormat="1" applyFont="1" applyBorder="1" applyProtection="1">
      <protection hidden="1"/>
    </xf>
    <xf numFmtId="0" fontId="17" fillId="0" borderId="3" xfId="1" applyFont="1" applyBorder="1" applyProtection="1">
      <protection locked="0"/>
    </xf>
    <xf numFmtId="0" fontId="16" fillId="9" borderId="30" xfId="1" applyFont="1" applyFill="1" applyBorder="1" applyProtection="1">
      <protection locked="0"/>
    </xf>
    <xf numFmtId="0" fontId="17" fillId="0" borderId="0" xfId="1" applyFont="1" applyProtection="1">
      <protection hidden="1"/>
    </xf>
    <xf numFmtId="0" fontId="16" fillId="9" borderId="29" xfId="1" applyFont="1" applyFill="1" applyBorder="1" applyProtection="1">
      <protection hidden="1"/>
    </xf>
    <xf numFmtId="167" fontId="17" fillId="11" borderId="3" xfId="1" applyNumberFormat="1" applyFont="1" applyFill="1" applyBorder="1" applyProtection="1">
      <protection hidden="1"/>
    </xf>
    <xf numFmtId="0" fontId="16" fillId="9" borderId="31" xfId="1" applyFont="1" applyFill="1" applyBorder="1" applyProtection="1">
      <protection hidden="1"/>
    </xf>
    <xf numFmtId="0" fontId="16" fillId="9" borderId="32" xfId="1" applyFont="1" applyFill="1" applyBorder="1" applyProtection="1">
      <protection hidden="1"/>
    </xf>
    <xf numFmtId="0" fontId="16" fillId="9" borderId="32" xfId="1" applyFont="1" applyFill="1" applyBorder="1" applyProtection="1">
      <protection locked="0"/>
    </xf>
    <xf numFmtId="167" fontId="16" fillId="9" borderId="32" xfId="1" applyNumberFormat="1" applyFont="1" applyFill="1" applyBorder="1" applyProtection="1">
      <protection locked="0"/>
    </xf>
    <xf numFmtId="4" fontId="16" fillId="9" borderId="33" xfId="1" applyNumberFormat="1" applyFont="1" applyFill="1" applyBorder="1" applyProtection="1">
      <protection locked="0"/>
    </xf>
    <xf numFmtId="167" fontId="17" fillId="0" borderId="3" xfId="1" applyNumberFormat="1" applyFont="1" applyBorder="1" applyProtection="1">
      <protection locked="0"/>
    </xf>
    <xf numFmtId="0" fontId="26" fillId="0" borderId="3" xfId="1" applyFont="1" applyBorder="1" applyProtection="1">
      <protection hidden="1"/>
    </xf>
    <xf numFmtId="168" fontId="17" fillId="0" borderId="3" xfId="1" applyNumberFormat="1" applyFont="1" applyBorder="1" applyAlignment="1" applyProtection="1">
      <alignment horizontal="center"/>
      <protection hidden="1"/>
    </xf>
    <xf numFmtId="1" fontId="17" fillId="2" borderId="3" xfId="1" applyNumberFormat="1" applyFont="1" applyFill="1" applyBorder="1" applyAlignment="1" applyProtection="1">
      <alignment horizontal="center"/>
      <protection hidden="1"/>
    </xf>
    <xf numFmtId="1" fontId="17" fillId="0" borderId="3" xfId="1" applyNumberFormat="1" applyFont="1" applyBorder="1" applyAlignment="1" applyProtection="1">
      <alignment horizontal="center"/>
      <protection hidden="1"/>
    </xf>
    <xf numFmtId="0" fontId="27" fillId="0" borderId="3" xfId="1" applyFont="1" applyBorder="1" applyProtection="1">
      <protection hidden="1"/>
    </xf>
    <xf numFmtId="0" fontId="17" fillId="12" borderId="3" xfId="1" applyFont="1" applyFill="1" applyBorder="1" applyProtection="1">
      <protection locked="0"/>
    </xf>
    <xf numFmtId="0" fontId="1" fillId="13" borderId="3" xfId="1" applyFill="1" applyBorder="1" applyProtection="1">
      <protection locked="0"/>
    </xf>
    <xf numFmtId="0" fontId="17" fillId="0" borderId="2" xfId="1" applyFont="1" applyBorder="1" applyProtection="1">
      <protection hidden="1"/>
    </xf>
    <xf numFmtId="0" fontId="28" fillId="0" borderId="3" xfId="1" applyFont="1" applyBorder="1" applyProtection="1">
      <protection hidden="1"/>
    </xf>
    <xf numFmtId="167" fontId="29" fillId="0" borderId="3" xfId="1" applyNumberFormat="1" applyFont="1" applyBorder="1" applyProtection="1">
      <protection hidden="1"/>
    </xf>
    <xf numFmtId="0" fontId="17" fillId="14" borderId="3" xfId="1" applyFont="1" applyFill="1" applyBorder="1" applyProtection="1">
      <protection hidden="1"/>
    </xf>
    <xf numFmtId="0" fontId="18" fillId="0" borderId="3" xfId="1" applyFont="1" applyBorder="1" applyProtection="1">
      <protection locked="0"/>
    </xf>
    <xf numFmtId="0" fontId="18" fillId="0" borderId="3" xfId="1" applyFont="1" applyBorder="1" applyProtection="1">
      <protection hidden="1"/>
    </xf>
    <xf numFmtId="0" fontId="3" fillId="0" borderId="23" xfId="2" applyNumberFormat="1" applyBorder="1" applyAlignment="1" applyProtection="1">
      <alignment horizontal="center"/>
      <protection locked="0"/>
    </xf>
    <xf numFmtId="0" fontId="17" fillId="12" borderId="3" xfId="1" applyFont="1" applyFill="1" applyBorder="1" applyProtection="1">
      <protection hidden="1"/>
    </xf>
    <xf numFmtId="0" fontId="3" fillId="0" borderId="0" xfId="2" applyNumberFormat="1" applyAlignment="1" applyProtection="1">
      <alignment horizontal="center"/>
      <protection locked="0"/>
    </xf>
    <xf numFmtId="0" fontId="3" fillId="0" borderId="0" xfId="2" applyNumberFormat="1" applyAlignment="1" applyProtection="1">
      <alignment horizontal="center"/>
    </xf>
    <xf numFmtId="0" fontId="22" fillId="0" borderId="3" xfId="1" applyFont="1" applyBorder="1" applyProtection="1">
      <protection hidden="1"/>
    </xf>
    <xf numFmtId="167" fontId="30" fillId="0" borderId="3" xfId="1" applyNumberFormat="1" applyFont="1" applyBorder="1" applyProtection="1">
      <protection locked="0"/>
    </xf>
    <xf numFmtId="167" fontId="16" fillId="0" borderId="3" xfId="1" applyNumberFormat="1" applyFont="1" applyBorder="1"/>
    <xf numFmtId="0" fontId="16" fillId="0" borderId="0" xfId="1" applyFont="1" applyProtection="1">
      <protection locked="0"/>
    </xf>
    <xf numFmtId="0" fontId="17" fillId="15" borderId="3" xfId="1" applyFont="1" applyFill="1" applyBorder="1" applyProtection="1">
      <protection hidden="1"/>
    </xf>
    <xf numFmtId="0" fontId="3" fillId="3" borderId="23" xfId="2" applyNumberFormat="1" applyFill="1" applyBorder="1" applyAlignment="1" applyProtection="1">
      <alignment horizontal="center"/>
      <protection locked="0"/>
    </xf>
    <xf numFmtId="0" fontId="17" fillId="3" borderId="3" xfId="1" applyFont="1" applyFill="1" applyBorder="1" applyProtection="1">
      <protection hidden="1"/>
    </xf>
    <xf numFmtId="167" fontId="16" fillId="3" borderId="3" xfId="1" applyNumberFormat="1" applyFont="1" applyFill="1" applyBorder="1"/>
    <xf numFmtId="167" fontId="16" fillId="3" borderId="3" xfId="1" applyNumberFormat="1" applyFont="1" applyFill="1" applyBorder="1" applyProtection="1">
      <protection hidden="1"/>
    </xf>
    <xf numFmtId="167" fontId="29" fillId="3" borderId="3" xfId="1" applyNumberFormat="1" applyFont="1" applyFill="1" applyBorder="1" applyProtection="1">
      <protection hidden="1"/>
    </xf>
    <xf numFmtId="0" fontId="21" fillId="0" borderId="7" xfId="1" applyFont="1" applyBorder="1" applyProtection="1">
      <protection hidden="1"/>
    </xf>
    <xf numFmtId="167" fontId="15" fillId="0" borderId="3" xfId="1" applyNumberFormat="1" applyFont="1" applyBorder="1" applyProtection="1">
      <protection hidden="1"/>
    </xf>
    <xf numFmtId="167" fontId="1" fillId="0" borderId="0" xfId="1" applyNumberFormat="1" applyProtection="1">
      <protection locked="0"/>
    </xf>
    <xf numFmtId="167" fontId="16" fillId="0" borderId="3" xfId="1" applyNumberFormat="1" applyFont="1" applyBorder="1" applyProtection="1">
      <protection locked="0"/>
    </xf>
    <xf numFmtId="0" fontId="13" fillId="15" borderId="3" xfId="1" applyFont="1" applyFill="1" applyBorder="1" applyProtection="1">
      <protection hidden="1"/>
    </xf>
    <xf numFmtId="0" fontId="13" fillId="0" borderId="3" xfId="1" applyFont="1" applyBorder="1" applyProtection="1">
      <protection hidden="1"/>
    </xf>
    <xf numFmtId="0" fontId="27" fillId="0" borderId="3" xfId="1" applyFont="1" applyBorder="1" applyProtection="1">
      <protection locked="0"/>
    </xf>
    <xf numFmtId="167" fontId="16" fillId="0" borderId="6" xfId="1" applyNumberFormat="1" applyFont="1" applyBorder="1" applyProtection="1">
      <protection hidden="1"/>
    </xf>
    <xf numFmtId="167" fontId="16" fillId="0" borderId="21" xfId="1" applyNumberFormat="1" applyFont="1" applyBorder="1" applyProtection="1">
      <protection hidden="1"/>
    </xf>
    <xf numFmtId="167" fontId="15" fillId="0" borderId="6" xfId="1" applyNumberFormat="1" applyFont="1" applyBorder="1" applyProtection="1">
      <protection hidden="1"/>
    </xf>
    <xf numFmtId="167" fontId="16" fillId="0" borderId="0" xfId="1" applyNumberFormat="1" applyFont="1" applyProtection="1">
      <protection locked="0"/>
    </xf>
    <xf numFmtId="0" fontId="3" fillId="0" borderId="1" xfId="2" applyNumberFormat="1" applyBorder="1" applyAlignment="1" applyProtection="1">
      <alignment horizontal="center"/>
    </xf>
    <xf numFmtId="0" fontId="1" fillId="0" borderId="35" xfId="1" applyBorder="1" applyAlignment="1">
      <alignment horizontal="center"/>
    </xf>
    <xf numFmtId="167" fontId="16" fillId="13" borderId="4" xfId="1" applyNumberFormat="1" applyFont="1" applyFill="1" applyBorder="1" applyProtection="1">
      <protection locked="0"/>
    </xf>
    <xf numFmtId="0" fontId="1" fillId="0" borderId="36" xfId="1" applyBorder="1" applyAlignment="1">
      <alignment horizontal="center"/>
    </xf>
    <xf numFmtId="167" fontId="16" fillId="13" borderId="3" xfId="1" applyNumberFormat="1" applyFont="1" applyFill="1" applyBorder="1" applyProtection="1">
      <protection locked="0"/>
    </xf>
    <xf numFmtId="3" fontId="1" fillId="0" borderId="37" xfId="1" applyNumberFormat="1" applyBorder="1" applyAlignment="1" applyProtection="1">
      <alignment horizontal="center"/>
      <protection hidden="1"/>
    </xf>
    <xf numFmtId="0" fontId="13" fillId="0" borderId="38" xfId="1" applyFont="1" applyBorder="1" applyProtection="1">
      <protection hidden="1"/>
    </xf>
    <xf numFmtId="167" fontId="16" fillId="0" borderId="7" xfId="1" applyNumberFormat="1" applyFont="1" applyBorder="1" applyProtection="1">
      <protection hidden="1"/>
    </xf>
    <xf numFmtId="0" fontId="17" fillId="3" borderId="39" xfId="1" applyFont="1" applyFill="1" applyBorder="1" applyProtection="1">
      <protection hidden="1"/>
    </xf>
    <xf numFmtId="4" fontId="16" fillId="3" borderId="7" xfId="1" applyNumberFormat="1" applyFont="1" applyFill="1" applyBorder="1" applyProtection="1">
      <protection hidden="1"/>
    </xf>
    <xf numFmtId="167" fontId="16" fillId="3" borderId="2" xfId="1" applyNumberFormat="1" applyFont="1" applyFill="1" applyBorder="1" applyProtection="1">
      <protection hidden="1"/>
    </xf>
    <xf numFmtId="167" fontId="15" fillId="3" borderId="3" xfId="1" applyNumberFormat="1" applyFont="1" applyFill="1" applyBorder="1" applyProtection="1">
      <protection hidden="1"/>
    </xf>
    <xf numFmtId="0" fontId="21" fillId="0" borderId="6" xfId="1" applyFont="1" applyBorder="1" applyProtection="1">
      <protection hidden="1"/>
    </xf>
    <xf numFmtId="0" fontId="16" fillId="0" borderId="3" xfId="1" applyFont="1" applyBorder="1" applyProtection="1">
      <protection locked="0"/>
    </xf>
    <xf numFmtId="167" fontId="16" fillId="0" borderId="2" xfId="1" applyNumberFormat="1" applyFont="1" applyBorder="1" applyProtection="1">
      <protection hidden="1"/>
    </xf>
    <xf numFmtId="167" fontId="1" fillId="13" borderId="3" xfId="1" applyNumberFormat="1" applyFill="1" applyBorder="1" applyProtection="1">
      <protection locked="0"/>
    </xf>
    <xf numFmtId="0" fontId="16" fillId="0" borderId="2" xfId="1" applyFont="1" applyBorder="1" applyProtection="1">
      <protection hidden="1"/>
    </xf>
    <xf numFmtId="0" fontId="31" fillId="0" borderId="3" xfId="1" applyFont="1" applyBorder="1" applyAlignment="1" applyProtection="1">
      <alignment vertical="center"/>
      <protection hidden="1"/>
    </xf>
    <xf numFmtId="167" fontId="32" fillId="5" borderId="3" xfId="1" applyNumberFormat="1" applyFont="1" applyFill="1" applyBorder="1" applyProtection="1">
      <protection locked="0"/>
    </xf>
    <xf numFmtId="167" fontId="33" fillId="0" borderId="3" xfId="1" applyNumberFormat="1" applyFont="1" applyBorder="1" applyProtection="1">
      <protection hidden="1"/>
    </xf>
    <xf numFmtId="0" fontId="1" fillId="0" borderId="0" xfId="1" applyAlignment="1">
      <alignment horizontal="center"/>
    </xf>
    <xf numFmtId="169" fontId="15" fillId="0" borderId="3" xfId="1" applyNumberFormat="1" applyFont="1" applyBorder="1" applyProtection="1">
      <protection hidden="1"/>
    </xf>
    <xf numFmtId="0" fontId="21" fillId="0" borderId="3" xfId="1" applyFont="1" applyBorder="1" applyProtection="1">
      <protection hidden="1"/>
    </xf>
    <xf numFmtId="0" fontId="16" fillId="0" borderId="0" xfId="1" applyFont="1"/>
    <xf numFmtId="0" fontId="16" fillId="0" borderId="13" xfId="1" applyFont="1" applyBorder="1"/>
    <xf numFmtId="0" fontId="16" fillId="0" borderId="41" xfId="1" applyFont="1" applyBorder="1"/>
    <xf numFmtId="0" fontId="16" fillId="0" borderId="42" xfId="1" applyFont="1" applyBorder="1"/>
    <xf numFmtId="0" fontId="16" fillId="0" borderId="43" xfId="1" applyFont="1" applyBorder="1"/>
    <xf numFmtId="0" fontId="16" fillId="0" borderId="44" xfId="1" applyFont="1" applyBorder="1"/>
    <xf numFmtId="0" fontId="16" fillId="0" borderId="45" xfId="1" applyFont="1" applyBorder="1"/>
    <xf numFmtId="0" fontId="16" fillId="0" borderId="46" xfId="1" applyFont="1" applyBorder="1"/>
    <xf numFmtId="0" fontId="16" fillId="0" borderId="47" xfId="1" applyFont="1" applyBorder="1" applyAlignment="1">
      <alignment horizontal="left"/>
    </xf>
    <xf numFmtId="0" fontId="16" fillId="0" borderId="48" xfId="1" applyFont="1" applyBorder="1"/>
    <xf numFmtId="0" fontId="16" fillId="0" borderId="49" xfId="1" applyFont="1" applyBorder="1"/>
    <xf numFmtId="0" fontId="16" fillId="0" borderId="47" xfId="1" applyFont="1" applyBorder="1"/>
    <xf numFmtId="0" fontId="30" fillId="0" borderId="50" xfId="1" applyFont="1" applyBorder="1"/>
    <xf numFmtId="0" fontId="16" fillId="0" borderId="50" xfId="1" applyFont="1" applyBorder="1"/>
    <xf numFmtId="0" fontId="16" fillId="0" borderId="14" xfId="1" applyFont="1" applyBorder="1"/>
    <xf numFmtId="0" fontId="16" fillId="0" borderId="16" xfId="1" applyFont="1" applyBorder="1"/>
    <xf numFmtId="0" fontId="16" fillId="0" borderId="17" xfId="1" applyFont="1" applyBorder="1"/>
    <xf numFmtId="0" fontId="16" fillId="0" borderId="22" xfId="1" applyFont="1" applyBorder="1"/>
    <xf numFmtId="3" fontId="16" fillId="0" borderId="3" xfId="1" applyNumberFormat="1" applyFont="1" applyBorder="1" applyProtection="1">
      <protection hidden="1"/>
    </xf>
    <xf numFmtId="0" fontId="16" fillId="0" borderId="52" xfId="1" applyFont="1" applyBorder="1"/>
    <xf numFmtId="0" fontId="18" fillId="3" borderId="3" xfId="1" applyFont="1" applyFill="1" applyBorder="1" applyProtection="1">
      <protection hidden="1"/>
    </xf>
    <xf numFmtId="0" fontId="13" fillId="15" borderId="2" xfId="1" applyFont="1" applyFill="1" applyBorder="1" applyProtection="1">
      <protection hidden="1"/>
    </xf>
    <xf numFmtId="0" fontId="1" fillId="3" borderId="23" xfId="1" applyFill="1" applyBorder="1" applyAlignment="1" applyProtection="1">
      <alignment horizontal="center"/>
      <protection locked="0"/>
    </xf>
    <xf numFmtId="0" fontId="17" fillId="3" borderId="2" xfId="1" applyFont="1" applyFill="1" applyBorder="1" applyProtection="1">
      <protection hidden="1"/>
    </xf>
    <xf numFmtId="0" fontId="22" fillId="0" borderId="2" xfId="1" applyFont="1" applyBorder="1" applyProtection="1">
      <protection hidden="1"/>
    </xf>
    <xf numFmtId="0" fontId="6" fillId="0" borderId="16" xfId="1" applyFont="1" applyBorder="1" applyAlignment="1" applyProtection="1">
      <alignment horizontal="center"/>
      <protection locked="0"/>
    </xf>
    <xf numFmtId="0" fontId="3" fillId="0" borderId="23" xfId="2" applyNumberFormat="1" applyFill="1" applyBorder="1" applyAlignment="1" applyProtection="1">
      <alignment horizontal="center"/>
      <protection locked="0"/>
    </xf>
    <xf numFmtId="0" fontId="1" fillId="0" borderId="3" xfId="1" applyBorder="1" applyProtection="1">
      <protection locked="0"/>
    </xf>
    <xf numFmtId="167" fontId="33" fillId="0" borderId="3" xfId="1" applyNumberFormat="1" applyFont="1" applyBorder="1" applyProtection="1">
      <protection locked="0"/>
    </xf>
    <xf numFmtId="0" fontId="17" fillId="16" borderId="3" xfId="1" applyFont="1" applyFill="1" applyBorder="1" applyProtection="1">
      <protection hidden="1"/>
    </xf>
    <xf numFmtId="0" fontId="17" fillId="0" borderId="6" xfId="1" applyFont="1" applyBorder="1" applyProtection="1">
      <protection hidden="1"/>
    </xf>
    <xf numFmtId="3" fontId="6" fillId="3" borderId="3" xfId="1" applyNumberFormat="1" applyFont="1" applyFill="1" applyBorder="1" applyAlignment="1" applyProtection="1">
      <alignment horizontal="center"/>
      <protection hidden="1"/>
    </xf>
    <xf numFmtId="167" fontId="16" fillId="11" borderId="3" xfId="1" applyNumberFormat="1" applyFont="1" applyFill="1" applyBorder="1" applyProtection="1">
      <protection hidden="1"/>
    </xf>
    <xf numFmtId="0" fontId="34" fillId="0" borderId="0" xfId="1" applyFont="1" applyAlignment="1" applyProtection="1">
      <alignment horizontal="center" wrapText="1"/>
      <protection locked="0"/>
    </xf>
    <xf numFmtId="0" fontId="3" fillId="0" borderId="0" xfId="2" applyNumberFormat="1" applyBorder="1" applyAlignment="1" applyProtection="1">
      <alignment horizontal="center"/>
      <protection locked="0"/>
    </xf>
    <xf numFmtId="0" fontId="1" fillId="0" borderId="16" xfId="1" applyBorder="1" applyProtection="1">
      <protection hidden="1"/>
    </xf>
    <xf numFmtId="0" fontId="1" fillId="3" borderId="0" xfId="1" applyFill="1" applyAlignment="1" applyProtection="1">
      <alignment horizontal="center"/>
      <protection locked="0"/>
    </xf>
    <xf numFmtId="4" fontId="16" fillId="3" borderId="3" xfId="1" applyNumberFormat="1" applyFont="1" applyFill="1" applyBorder="1" applyProtection="1">
      <protection hidden="1"/>
    </xf>
    <xf numFmtId="49" fontId="1" fillId="0" borderId="3" xfId="1" applyNumberFormat="1" applyBorder="1"/>
    <xf numFmtId="0" fontId="1" fillId="0" borderId="3" xfId="1" applyBorder="1" applyAlignment="1">
      <alignment horizontal="center"/>
    </xf>
    <xf numFmtId="0" fontId="17" fillId="0" borderId="4" xfId="1" applyFont="1" applyBorder="1" applyProtection="1">
      <protection hidden="1"/>
    </xf>
    <xf numFmtId="167" fontId="16" fillId="0" borderId="4" xfId="1" applyNumberFormat="1" applyFont="1" applyBorder="1" applyProtection="1">
      <protection hidden="1"/>
    </xf>
    <xf numFmtId="167" fontId="16" fillId="0" borderId="52" xfId="1" applyNumberFormat="1" applyFont="1" applyBorder="1" applyProtection="1">
      <protection hidden="1"/>
    </xf>
    <xf numFmtId="0" fontId="1" fillId="11" borderId="3" xfId="1" applyFill="1" applyBorder="1" applyAlignment="1">
      <alignment horizontal="center"/>
    </xf>
    <xf numFmtId="0" fontId="1" fillId="13" borderId="3" xfId="1" applyFill="1" applyBorder="1" applyAlignment="1" applyProtection="1">
      <alignment horizontal="center"/>
      <protection locked="0"/>
    </xf>
    <xf numFmtId="0" fontId="1" fillId="13" borderId="0" xfId="1" applyFill="1" applyProtection="1">
      <protection locked="0"/>
    </xf>
    <xf numFmtId="0" fontId="1" fillId="13" borderId="2" xfId="1" applyFill="1" applyBorder="1" applyAlignment="1" applyProtection="1">
      <alignment horizontal="center"/>
      <protection locked="0"/>
    </xf>
    <xf numFmtId="0" fontId="3" fillId="0" borderId="1" xfId="2" applyNumberFormat="1" applyBorder="1" applyAlignment="1" applyProtection="1">
      <alignment horizontal="center"/>
      <protection locked="0"/>
    </xf>
    <xf numFmtId="4" fontId="16" fillId="0" borderId="3" xfId="1" applyNumberFormat="1" applyFont="1" applyBorder="1" applyProtection="1">
      <protection hidden="1"/>
    </xf>
    <xf numFmtId="167" fontId="17" fillId="0" borderId="6" xfId="1" applyNumberFormat="1" applyFont="1" applyBorder="1" applyProtection="1">
      <protection hidden="1"/>
    </xf>
    <xf numFmtId="167" fontId="17" fillId="0" borderId="0" xfId="1" applyNumberFormat="1" applyFont="1" applyProtection="1">
      <protection hidden="1"/>
    </xf>
    <xf numFmtId="4" fontId="29" fillId="0" borderId="3" xfId="1" applyNumberFormat="1" applyFont="1" applyBorder="1" applyProtection="1">
      <protection hidden="1"/>
    </xf>
    <xf numFmtId="167" fontId="16" fillId="0" borderId="0" xfId="1" applyNumberFormat="1" applyFont="1" applyProtection="1">
      <protection hidden="1"/>
    </xf>
    <xf numFmtId="0" fontId="1" fillId="14" borderId="56" xfId="1" applyFill="1" applyBorder="1" applyProtection="1">
      <protection locked="0"/>
    </xf>
    <xf numFmtId="0" fontId="17" fillId="0" borderId="3" xfId="1" applyFont="1" applyBorder="1" applyAlignment="1" applyProtection="1">
      <alignment horizontal="left"/>
      <protection hidden="1"/>
    </xf>
    <xf numFmtId="167" fontId="16" fillId="14" borderId="15" xfId="1" applyNumberFormat="1" applyFont="1" applyFill="1" applyBorder="1" applyProtection="1">
      <protection hidden="1"/>
    </xf>
    <xf numFmtId="0" fontId="1" fillId="14" borderId="15" xfId="1" applyFill="1" applyBorder="1"/>
    <xf numFmtId="167" fontId="16" fillId="0" borderId="57" xfId="1" applyNumberFormat="1" applyFont="1" applyBorder="1" applyProtection="1">
      <protection hidden="1"/>
    </xf>
    <xf numFmtId="0" fontId="1" fillId="14" borderId="15" xfId="1" applyFill="1" applyBorder="1" applyProtection="1">
      <protection locked="0"/>
    </xf>
    <xf numFmtId="167" fontId="1" fillId="14" borderId="55" xfId="1" applyNumberFormat="1" applyFill="1" applyBorder="1" applyProtection="1">
      <protection locked="0"/>
    </xf>
    <xf numFmtId="0" fontId="6" fillId="9" borderId="9" xfId="1" applyFont="1" applyFill="1" applyBorder="1" applyAlignment="1" applyProtection="1">
      <alignment horizontal="center"/>
      <protection hidden="1"/>
    </xf>
    <xf numFmtId="0" fontId="35" fillId="0" borderId="2" xfId="1" applyFont="1" applyBorder="1" applyProtection="1">
      <protection hidden="1"/>
    </xf>
    <xf numFmtId="0" fontId="1" fillId="8" borderId="58" xfId="1" applyFill="1" applyBorder="1" applyProtection="1">
      <protection locked="0"/>
    </xf>
    <xf numFmtId="0" fontId="1" fillId="8" borderId="15" xfId="1" applyFill="1" applyBorder="1" applyProtection="1">
      <protection locked="0"/>
    </xf>
    <xf numFmtId="0" fontId="2" fillId="0" borderId="0" xfId="1" applyFont="1" applyProtection="1">
      <protection locked="0"/>
    </xf>
    <xf numFmtId="0" fontId="1" fillId="8" borderId="55" xfId="1" applyFill="1" applyBorder="1" applyProtection="1">
      <protection locked="0"/>
    </xf>
    <xf numFmtId="167" fontId="36" fillId="0" borderId="3" xfId="1" applyNumberFormat="1" applyFont="1" applyBorder="1" applyProtection="1">
      <protection hidden="1"/>
    </xf>
    <xf numFmtId="0" fontId="2" fillId="0" borderId="0" xfId="1" applyFont="1"/>
    <xf numFmtId="0" fontId="26" fillId="0" borderId="3" xfId="1" applyFont="1" applyBorder="1" applyAlignment="1" applyProtection="1">
      <alignment horizontal="left"/>
      <protection hidden="1"/>
    </xf>
    <xf numFmtId="0" fontId="1" fillId="14" borderId="58" xfId="1" applyFill="1" applyBorder="1" applyProtection="1">
      <protection locked="0"/>
    </xf>
    <xf numFmtId="0" fontId="3" fillId="18" borderId="1" xfId="2" applyNumberFormat="1" applyFill="1" applyBorder="1" applyAlignment="1" applyProtection="1">
      <alignment horizontal="center"/>
      <protection locked="0"/>
    </xf>
    <xf numFmtId="167" fontId="32" fillId="0" borderId="3" xfId="1" applyNumberFormat="1" applyFont="1" applyBorder="1" applyProtection="1">
      <protection hidden="1"/>
    </xf>
    <xf numFmtId="0" fontId="37" fillId="0" borderId="3" xfId="1" applyFont="1" applyBorder="1" applyProtection="1">
      <protection hidden="1"/>
    </xf>
    <xf numFmtId="0" fontId="22" fillId="0" borderId="7" xfId="1" applyFont="1" applyBorder="1" applyProtection="1">
      <protection hidden="1"/>
    </xf>
    <xf numFmtId="4" fontId="29" fillId="0" borderId="7" xfId="1" applyNumberFormat="1" applyFont="1" applyBorder="1" applyProtection="1">
      <protection hidden="1"/>
    </xf>
    <xf numFmtId="0" fontId="1" fillId="0" borderId="6" xfId="1" applyBorder="1" applyAlignment="1">
      <alignment horizontal="center"/>
    </xf>
    <xf numFmtId="0" fontId="16" fillId="0" borderId="0" xfId="1" applyFont="1" applyProtection="1">
      <protection hidden="1"/>
    </xf>
    <xf numFmtId="0" fontId="38" fillId="0" borderId="3" xfId="1" applyFont="1" applyBorder="1"/>
    <xf numFmtId="0" fontId="38" fillId="0" borderId="0" xfId="1" applyFont="1"/>
    <xf numFmtId="0" fontId="3" fillId="0" borderId="6" xfId="2" applyNumberFormat="1" applyBorder="1" applyAlignment="1" applyProtection="1">
      <alignment horizontal="center"/>
      <protection locked="0"/>
    </xf>
    <xf numFmtId="167" fontId="17" fillId="0" borderId="0" xfId="1" applyNumberFormat="1" applyFont="1" applyAlignment="1" applyProtection="1">
      <alignment horizontal="center"/>
      <protection locked="0"/>
    </xf>
    <xf numFmtId="167" fontId="16" fillId="0" borderId="0" xfId="1" applyNumberFormat="1" applyFont="1" applyAlignment="1" applyProtection="1">
      <alignment horizontal="center"/>
      <protection hidden="1"/>
    </xf>
    <xf numFmtId="0" fontId="16" fillId="0" borderId="0" xfId="1" applyFont="1" applyAlignment="1" applyProtection="1">
      <alignment horizont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1" fillId="19" borderId="3" xfId="1" applyFill="1" applyBorder="1" applyAlignment="1">
      <alignment horizontal="center"/>
    </xf>
    <xf numFmtId="0" fontId="1" fillId="19" borderId="0" xfId="1" applyFill="1" applyAlignment="1">
      <alignment horizontal="center"/>
    </xf>
    <xf numFmtId="0" fontId="27" fillId="0" borderId="2" xfId="1" applyFont="1" applyBorder="1" applyProtection="1">
      <protection hidden="1"/>
    </xf>
    <xf numFmtId="0" fontId="5" fillId="14" borderId="1" xfId="1" applyFont="1" applyFill="1" applyBorder="1" applyAlignment="1" applyProtection="1">
      <alignment horizontal="center"/>
      <protection locked="0"/>
    </xf>
    <xf numFmtId="0" fontId="17" fillId="14" borderId="2" xfId="1" applyFont="1" applyFill="1" applyBorder="1" applyProtection="1">
      <protection hidden="1"/>
    </xf>
    <xf numFmtId="167" fontId="16" fillId="14" borderId="3" xfId="1" applyNumberFormat="1" applyFont="1" applyFill="1" applyBorder="1" applyProtection="1">
      <protection hidden="1"/>
    </xf>
    <xf numFmtId="167" fontId="15" fillId="14" borderId="3" xfId="1" applyNumberFormat="1" applyFont="1" applyFill="1" applyBorder="1" applyProtection="1">
      <protection hidden="1"/>
    </xf>
    <xf numFmtId="0" fontId="21" fillId="0" borderId="2" xfId="1" applyFont="1" applyBorder="1" applyProtection="1">
      <protection hidden="1"/>
    </xf>
    <xf numFmtId="0" fontId="17" fillId="0" borderId="2" xfId="1" applyFont="1" applyBorder="1" applyAlignment="1" applyProtection="1">
      <alignment horizontal="left"/>
      <protection hidden="1"/>
    </xf>
    <xf numFmtId="0" fontId="27" fillId="0" borderId="7" xfId="1" applyFont="1" applyBorder="1" applyProtection="1">
      <protection locked="0"/>
    </xf>
    <xf numFmtId="167" fontId="37" fillId="0" borderId="7" xfId="1" applyNumberFormat="1" applyFont="1" applyBorder="1" applyAlignment="1" applyProtection="1">
      <alignment horizontal="center"/>
      <protection hidden="1"/>
    </xf>
    <xf numFmtId="167" fontId="29" fillId="0" borderId="7" xfId="1" applyNumberFormat="1" applyFont="1" applyBorder="1" applyProtection="1">
      <protection hidden="1"/>
    </xf>
    <xf numFmtId="0" fontId="1" fillId="8" borderId="3" xfId="1" applyFill="1" applyBorder="1" applyAlignment="1" applyProtection="1">
      <alignment horizontal="center"/>
      <protection locked="0"/>
    </xf>
    <xf numFmtId="0" fontId="17" fillId="20" borderId="59" xfId="1" applyFont="1" applyFill="1" applyBorder="1" applyProtection="1">
      <protection locked="0" hidden="1"/>
    </xf>
    <xf numFmtId="167" fontId="16" fillId="0" borderId="59" xfId="1" applyNumberFormat="1" applyFont="1" applyBorder="1" applyProtection="1">
      <protection locked="0" hidden="1"/>
    </xf>
    <xf numFmtId="167" fontId="29" fillId="0" borderId="3" xfId="1" applyNumberFormat="1" applyFont="1" applyBorder="1" applyProtection="1">
      <protection locked="0"/>
    </xf>
    <xf numFmtId="0" fontId="1" fillId="8" borderId="3" xfId="1" applyFill="1" applyBorder="1" applyProtection="1">
      <protection locked="0"/>
    </xf>
    <xf numFmtId="167" fontId="1" fillId="0" borderId="3" xfId="1" applyNumberFormat="1" applyBorder="1" applyProtection="1">
      <protection locked="0"/>
    </xf>
    <xf numFmtId="0" fontId="17" fillId="20" borderId="3" xfId="1" applyFont="1" applyFill="1" applyBorder="1" applyProtection="1">
      <protection locked="0" hidden="1"/>
    </xf>
    <xf numFmtId="167" fontId="16" fillId="0" borderId="3" xfId="1" applyNumberFormat="1" applyFont="1" applyBorder="1" applyProtection="1">
      <protection locked="0" hidden="1"/>
    </xf>
    <xf numFmtId="0" fontId="1" fillId="8" borderId="0" xfId="1" applyFill="1" applyAlignment="1" applyProtection="1">
      <alignment horizontal="center"/>
      <protection locked="0"/>
    </xf>
    <xf numFmtId="0" fontId="8" fillId="0" borderId="1" xfId="2" applyNumberFormat="1" applyFont="1" applyBorder="1" applyAlignment="1" applyProtection="1">
      <alignment horizontal="center"/>
      <protection locked="0"/>
    </xf>
    <xf numFmtId="0" fontId="3" fillId="0" borderId="1" xfId="2" applyNumberFormat="1" applyBorder="1" applyAlignment="1" applyProtection="1">
      <alignment horizontal="right"/>
      <protection locked="0"/>
    </xf>
    <xf numFmtId="0" fontId="3" fillId="0" borderId="1" xfId="2" applyBorder="1" applyAlignment="1" applyProtection="1">
      <alignment horizontal="right"/>
      <protection locked="0"/>
    </xf>
    <xf numFmtId="0" fontId="17" fillId="2" borderId="7" xfId="1" applyFont="1" applyFill="1" applyBorder="1" applyProtection="1">
      <protection locked="0" hidden="1"/>
    </xf>
    <xf numFmtId="167" fontId="16" fillId="2" borderId="3" xfId="1" applyNumberFormat="1" applyFont="1" applyFill="1" applyBorder="1" applyProtection="1">
      <protection locked="0" hidden="1"/>
    </xf>
    <xf numFmtId="167" fontId="16" fillId="2" borderId="3" xfId="1" applyNumberFormat="1" applyFont="1" applyFill="1" applyBorder="1" applyProtection="1">
      <protection hidden="1"/>
    </xf>
    <xf numFmtId="167" fontId="29" fillId="2" borderId="3" xfId="1" applyNumberFormat="1" applyFont="1" applyFill="1" applyBorder="1" applyProtection="1">
      <protection locked="0"/>
    </xf>
    <xf numFmtId="167" fontId="16" fillId="2" borderId="3" xfId="1" applyNumberFormat="1" applyFont="1" applyFill="1" applyBorder="1" applyProtection="1">
      <protection locked="0"/>
    </xf>
    <xf numFmtId="0" fontId="27" fillId="0" borderId="3" xfId="1" applyFont="1" applyBorder="1" applyProtection="1">
      <protection locked="0" hidden="1"/>
    </xf>
    <xf numFmtId="167" fontId="16" fillId="0" borderId="4" xfId="1" applyNumberFormat="1" applyFont="1" applyBorder="1" applyProtection="1">
      <protection locked="0" hidden="1"/>
    </xf>
    <xf numFmtId="167" fontId="29" fillId="0" borderId="4" xfId="1" applyNumberFormat="1" applyFont="1" applyBorder="1" applyProtection="1">
      <protection hidden="1"/>
    </xf>
    <xf numFmtId="0" fontId="1" fillId="0" borderId="1" xfId="1" applyBorder="1" applyAlignment="1" applyProtection="1">
      <alignment horizontal="right"/>
      <protection locked="0"/>
    </xf>
    <xf numFmtId="0" fontId="39" fillId="0" borderId="3" xfId="1" applyFont="1" applyBorder="1" applyProtection="1">
      <protection hidden="1"/>
    </xf>
    <xf numFmtId="4" fontId="40" fillId="0" borderId="60" xfId="1" applyNumberFormat="1" applyFont="1" applyBorder="1" applyProtection="1">
      <protection hidden="1"/>
    </xf>
    <xf numFmtId="167" fontId="16" fillId="0" borderId="60" xfId="1" applyNumberFormat="1" applyFont="1" applyBorder="1" applyProtection="1">
      <protection hidden="1"/>
    </xf>
    <xf numFmtId="167" fontId="41" fillId="0" borderId="60" xfId="1" applyNumberFormat="1" applyFont="1" applyBorder="1" applyProtection="1">
      <protection hidden="1"/>
    </xf>
    <xf numFmtId="4" fontId="40" fillId="0" borderId="61" xfId="1" applyNumberFormat="1" applyFont="1" applyBorder="1" applyProtection="1">
      <protection hidden="1"/>
    </xf>
    <xf numFmtId="167" fontId="16" fillId="0" borderId="61" xfId="1" applyNumberFormat="1" applyFont="1" applyBorder="1" applyProtection="1">
      <protection hidden="1"/>
    </xf>
    <xf numFmtId="0" fontId="16" fillId="0" borderId="62" xfId="1" applyFont="1" applyBorder="1" applyProtection="1">
      <protection locked="0"/>
    </xf>
    <xf numFmtId="167" fontId="30" fillId="0" borderId="61" xfId="1" applyNumberFormat="1" applyFont="1" applyBorder="1" applyProtection="1">
      <protection hidden="1"/>
    </xf>
    <xf numFmtId="4" fontId="40" fillId="0" borderId="19" xfId="1" applyNumberFormat="1" applyFont="1" applyBorder="1" applyProtection="1">
      <protection hidden="1"/>
    </xf>
    <xf numFmtId="167" fontId="16" fillId="0" borderId="19" xfId="1" applyNumberFormat="1" applyFont="1" applyBorder="1" applyProtection="1">
      <protection hidden="1"/>
    </xf>
    <xf numFmtId="167" fontId="15" fillId="0" borderId="19" xfId="1" applyNumberFormat="1" applyFont="1" applyBorder="1" applyProtection="1">
      <protection hidden="1"/>
    </xf>
    <xf numFmtId="167" fontId="16" fillId="0" borderId="63" xfId="1" applyNumberFormat="1" applyFont="1" applyBorder="1" applyProtection="1">
      <protection hidden="1"/>
    </xf>
    <xf numFmtId="0" fontId="16" fillId="0" borderId="4" xfId="1" applyFont="1" applyBorder="1" applyProtection="1">
      <protection hidden="1"/>
    </xf>
    <xf numFmtId="0" fontId="13" fillId="0" borderId="6" xfId="1" applyFont="1" applyBorder="1" applyProtection="1">
      <protection hidden="1"/>
    </xf>
    <xf numFmtId="0" fontId="1" fillId="0" borderId="1" xfId="1" applyBorder="1" applyAlignment="1" applyProtection="1">
      <alignment horizontal="right"/>
      <protection hidden="1"/>
    </xf>
    <xf numFmtId="0" fontId="18" fillId="0" borderId="6" xfId="1" applyFont="1" applyBorder="1" applyProtection="1">
      <protection locked="0"/>
    </xf>
    <xf numFmtId="167" fontId="14" fillId="0" borderId="2" xfId="1" applyNumberFormat="1" applyFont="1" applyBorder="1" applyProtection="1">
      <protection hidden="1"/>
    </xf>
    <xf numFmtId="0" fontId="18" fillId="0" borderId="6" xfId="1" applyFont="1" applyBorder="1" applyProtection="1">
      <protection hidden="1"/>
    </xf>
    <xf numFmtId="169" fontId="16" fillId="0" borderId="3" xfId="1" applyNumberFormat="1" applyFont="1" applyBorder="1" applyProtection="1">
      <protection hidden="1"/>
    </xf>
    <xf numFmtId="169" fontId="29" fillId="0" borderId="3" xfId="1" applyNumberFormat="1" applyFont="1" applyBorder="1" applyProtection="1">
      <protection hidden="1"/>
    </xf>
    <xf numFmtId="0" fontId="6" fillId="0" borderId="3" xfId="1" applyFont="1" applyBorder="1" applyProtection="1">
      <protection hidden="1"/>
    </xf>
    <xf numFmtId="0" fontId="6" fillId="0" borderId="17" xfId="1" applyFont="1" applyBorder="1" applyProtection="1">
      <protection hidden="1"/>
    </xf>
    <xf numFmtId="0" fontId="1" fillId="0" borderId="17" xfId="1" applyBorder="1" applyProtection="1">
      <protection locked="0"/>
    </xf>
    <xf numFmtId="0" fontId="1" fillId="14" borderId="1" xfId="1" applyFill="1" applyBorder="1" applyAlignment="1" applyProtection="1">
      <alignment horizontal="center"/>
      <protection locked="0"/>
    </xf>
    <xf numFmtId="0" fontId="17" fillId="0" borderId="7" xfId="1" applyFont="1" applyBorder="1" applyProtection="1">
      <protection hidden="1"/>
    </xf>
    <xf numFmtId="0" fontId="1" fillId="0" borderId="1" xfId="1" applyBorder="1" applyProtection="1">
      <protection locked="0"/>
    </xf>
    <xf numFmtId="0" fontId="1" fillId="14" borderId="0" xfId="1" applyFill="1" applyAlignment="1" applyProtection="1">
      <alignment horizontal="center"/>
      <protection locked="0"/>
    </xf>
    <xf numFmtId="0" fontId="6" fillId="17" borderId="1" xfId="1" applyFont="1" applyFill="1" applyBorder="1" applyAlignment="1" applyProtection="1">
      <alignment horizontal="center"/>
      <protection hidden="1"/>
    </xf>
    <xf numFmtId="0" fontId="44" fillId="0" borderId="3" xfId="2" applyFont="1" applyFill="1" applyBorder="1" applyAlignment="1" applyProtection="1">
      <protection locked="0"/>
    </xf>
    <xf numFmtId="0" fontId="30" fillId="0" borderId="3" xfId="1" applyFont="1" applyBorder="1" applyProtection="1">
      <protection locked="0"/>
    </xf>
    <xf numFmtId="0" fontId="45" fillId="0" borderId="3" xfId="1" applyFont="1" applyBorder="1" applyProtection="1">
      <protection hidden="1"/>
    </xf>
    <xf numFmtId="167" fontId="46" fillId="0" borderId="64" xfId="1" applyNumberFormat="1" applyFont="1" applyBorder="1" applyProtection="1">
      <protection hidden="1"/>
    </xf>
    <xf numFmtId="0" fontId="1" fillId="13" borderId="2" xfId="1" applyFill="1" applyBorder="1" applyProtection="1">
      <protection locked="0"/>
    </xf>
    <xf numFmtId="167" fontId="6" fillId="0" borderId="3" xfId="1" applyNumberFormat="1" applyFont="1" applyBorder="1" applyProtection="1">
      <protection hidden="1"/>
    </xf>
    <xf numFmtId="167" fontId="46" fillId="0" borderId="7" xfId="1" applyNumberFormat="1" applyFont="1" applyBorder="1" applyProtection="1">
      <protection hidden="1"/>
    </xf>
    <xf numFmtId="0" fontId="1" fillId="0" borderId="66" xfId="1" applyBorder="1" applyAlignment="1" applyProtection="1">
      <alignment horizontal="center"/>
      <protection locked="0"/>
    </xf>
    <xf numFmtId="167" fontId="46" fillId="0" borderId="3" xfId="1" applyNumberFormat="1" applyFont="1" applyBorder="1" applyProtection="1">
      <protection hidden="1"/>
    </xf>
    <xf numFmtId="4" fontId="46" fillId="0" borderId="7" xfId="1" applyNumberFormat="1" applyFont="1" applyBorder="1" applyProtection="1">
      <protection hidden="1"/>
    </xf>
    <xf numFmtId="0" fontId="1" fillId="21" borderId="67" xfId="1" applyFill="1" applyBorder="1"/>
    <xf numFmtId="4" fontId="1" fillId="0" borderId="66" xfId="1" applyNumberFormat="1" applyBorder="1"/>
    <xf numFmtId="166" fontId="0" fillId="22" borderId="68" xfId="4" applyFont="1" applyFill="1" applyBorder="1" applyProtection="1"/>
    <xf numFmtId="167" fontId="1" fillId="22" borderId="68" xfId="1" applyNumberFormat="1" applyFill="1" applyBorder="1"/>
    <xf numFmtId="0" fontId="47" fillId="0" borderId="3" xfId="1" applyFont="1" applyBorder="1" applyProtection="1">
      <protection hidden="1"/>
    </xf>
    <xf numFmtId="3" fontId="16" fillId="0" borderId="3" xfId="1" applyNumberFormat="1" applyFont="1" applyBorder="1" applyAlignment="1" applyProtection="1">
      <alignment horizontal="center"/>
      <protection hidden="1"/>
    </xf>
    <xf numFmtId="4" fontId="1" fillId="0" borderId="1" xfId="1" applyNumberFormat="1" applyBorder="1" applyAlignment="1" applyProtection="1">
      <alignment horizontal="right"/>
      <protection hidden="1"/>
    </xf>
    <xf numFmtId="0" fontId="3" fillId="0" borderId="1" xfId="2" applyBorder="1" applyAlignment="1" applyProtection="1">
      <alignment horizontal="right"/>
      <protection locked="0" hidden="1"/>
    </xf>
    <xf numFmtId="0" fontId="1" fillId="13" borderId="7" xfId="1" applyFill="1" applyBorder="1" applyProtection="1">
      <protection locked="0"/>
    </xf>
    <xf numFmtId="167" fontId="1" fillId="13" borderId="69" xfId="1" applyNumberFormat="1" applyFill="1" applyBorder="1" applyProtection="1">
      <protection locked="0"/>
    </xf>
    <xf numFmtId="0" fontId="1" fillId="13" borderId="70" xfId="1" applyFill="1" applyBorder="1" applyProtection="1">
      <protection locked="0"/>
    </xf>
    <xf numFmtId="167" fontId="1" fillId="13" borderId="72" xfId="1" applyNumberFormat="1" applyFill="1" applyBorder="1" applyProtection="1">
      <protection locked="0"/>
    </xf>
    <xf numFmtId="0" fontId="1" fillId="3" borderId="1" xfId="1" applyFill="1" applyBorder="1" applyAlignment="1" applyProtection="1">
      <alignment horizontal="right"/>
      <protection locked="0"/>
    </xf>
    <xf numFmtId="0" fontId="1" fillId="3" borderId="3" xfId="1" applyFill="1" applyBorder="1" applyProtection="1">
      <protection hidden="1"/>
    </xf>
    <xf numFmtId="167" fontId="33" fillId="7" borderId="3" xfId="1" applyNumberFormat="1" applyFont="1" applyFill="1" applyBorder="1" applyProtection="1">
      <protection locked="0"/>
    </xf>
    <xf numFmtId="167" fontId="6" fillId="3" borderId="3" xfId="1" applyNumberFormat="1" applyFont="1" applyFill="1" applyBorder="1" applyProtection="1">
      <protection hidden="1"/>
    </xf>
    <xf numFmtId="3" fontId="33" fillId="7" borderId="3" xfId="1" applyNumberFormat="1" applyFont="1" applyFill="1" applyBorder="1" applyAlignment="1" applyProtection="1">
      <alignment horizontal="center"/>
      <protection locked="0"/>
    </xf>
    <xf numFmtId="3" fontId="16" fillId="3" borderId="3" xfId="1" applyNumberFormat="1" applyFont="1" applyFill="1" applyBorder="1" applyAlignment="1" applyProtection="1">
      <alignment horizontal="center"/>
      <protection locked="0"/>
    </xf>
    <xf numFmtId="0" fontId="9" fillId="7" borderId="3" xfId="1" applyFont="1" applyFill="1" applyBorder="1" applyProtection="1">
      <protection locked="0"/>
    </xf>
    <xf numFmtId="0" fontId="1" fillId="2" borderId="3" xfId="1" applyFill="1" applyBorder="1" applyProtection="1">
      <protection locked="0"/>
    </xf>
    <xf numFmtId="0" fontId="10" fillId="3" borderId="3" xfId="1" applyFont="1" applyFill="1" applyBorder="1" applyProtection="1">
      <protection hidden="1"/>
    </xf>
    <xf numFmtId="0" fontId="1" fillId="14" borderId="3" xfId="1" applyFill="1" applyBorder="1" applyProtection="1">
      <protection hidden="1"/>
    </xf>
    <xf numFmtId="10" fontId="16" fillId="14" borderId="3" xfId="1" applyNumberFormat="1" applyFont="1" applyFill="1" applyBorder="1" applyAlignment="1" applyProtection="1">
      <alignment horizontal="center"/>
      <protection hidden="1"/>
    </xf>
    <xf numFmtId="167" fontId="16" fillId="8" borderId="3" xfId="4" applyNumberFormat="1" applyFont="1" applyFill="1" applyBorder="1" applyAlignment="1" applyProtection="1">
      <alignment horizontal="center"/>
    </xf>
    <xf numFmtId="10" fontId="30" fillId="2" borderId="3" xfId="1" applyNumberFormat="1" applyFont="1" applyFill="1" applyBorder="1" applyProtection="1">
      <protection locked="0"/>
    </xf>
    <xf numFmtId="167" fontId="33" fillId="2" borderId="3" xfId="1" applyNumberFormat="1" applyFont="1" applyFill="1" applyBorder="1" applyProtection="1">
      <protection hidden="1"/>
    </xf>
    <xf numFmtId="0" fontId="1" fillId="13" borderId="74" xfId="1" applyFill="1" applyBorder="1" applyProtection="1">
      <protection locked="0"/>
    </xf>
    <xf numFmtId="167" fontId="33" fillId="3" borderId="3" xfId="1" applyNumberFormat="1" applyFont="1" applyFill="1" applyBorder="1" applyProtection="1">
      <protection hidden="1"/>
    </xf>
    <xf numFmtId="0" fontId="1" fillId="13" borderId="75" xfId="1" applyFill="1" applyBorder="1" applyProtection="1">
      <protection locked="0"/>
    </xf>
    <xf numFmtId="167" fontId="1" fillId="13" borderId="76" xfId="1" applyNumberFormat="1" applyFill="1" applyBorder="1" applyProtection="1">
      <protection locked="0"/>
    </xf>
    <xf numFmtId="0" fontId="1" fillId="13" borderId="78" xfId="1" applyFill="1" applyBorder="1" applyProtection="1">
      <protection locked="0"/>
    </xf>
    <xf numFmtId="167" fontId="1" fillId="13" borderId="19" xfId="1" applyNumberFormat="1" applyFill="1" applyBorder="1" applyProtection="1">
      <protection locked="0"/>
    </xf>
    <xf numFmtId="0" fontId="1" fillId="0" borderId="0" xfId="1" applyAlignment="1" applyProtection="1">
      <alignment horizontal="center" vertical="center" wrapText="1"/>
      <protection locked="0"/>
    </xf>
    <xf numFmtId="167" fontId="42" fillId="0" borderId="3" xfId="1" applyNumberFormat="1" applyFont="1" applyBorder="1" applyAlignment="1" applyProtection="1">
      <alignment horizontal="center"/>
      <protection hidden="1"/>
    </xf>
    <xf numFmtId="166" fontId="0" fillId="0" borderId="0" xfId="4" applyFont="1" applyBorder="1" applyProtection="1">
      <protection locked="0"/>
    </xf>
    <xf numFmtId="0" fontId="1" fillId="13" borderId="4" xfId="1" applyFill="1" applyBorder="1" applyProtection="1">
      <protection locked="0"/>
    </xf>
    <xf numFmtId="0" fontId="1" fillId="0" borderId="39" xfId="1" applyBorder="1" applyAlignment="1" applyProtection="1">
      <alignment horizontal="right"/>
      <protection locked="0"/>
    </xf>
    <xf numFmtId="0" fontId="4" fillId="0" borderId="3" xfId="1" applyFont="1" applyBorder="1" applyProtection="1">
      <protection hidden="1"/>
    </xf>
    <xf numFmtId="167" fontId="12" fillId="0" borderId="3" xfId="1" applyNumberFormat="1" applyFont="1" applyBorder="1" applyAlignment="1" applyProtection="1">
      <alignment horizontal="center"/>
      <protection hidden="1"/>
    </xf>
    <xf numFmtId="167" fontId="16" fillId="17" borderId="3" xfId="1" applyNumberFormat="1" applyFont="1" applyFill="1" applyBorder="1" applyProtection="1">
      <protection hidden="1"/>
    </xf>
    <xf numFmtId="0" fontId="4" fillId="0" borderId="38" xfId="1" applyFont="1" applyBorder="1" applyAlignment="1" applyProtection="1">
      <alignment horizontal="center" vertical="center"/>
      <protection hidden="1"/>
    </xf>
    <xf numFmtId="0" fontId="1" fillId="0" borderId="15" xfId="1" applyBorder="1" applyProtection="1">
      <protection locked="0"/>
    </xf>
    <xf numFmtId="167" fontId="12" fillId="0" borderId="2" xfId="1" applyNumberFormat="1" applyFont="1" applyBorder="1" applyAlignment="1" applyProtection="1">
      <alignment horizontal="center"/>
      <protection hidden="1"/>
    </xf>
    <xf numFmtId="167" fontId="16" fillId="0" borderId="3" xfId="1" applyNumberFormat="1" applyFont="1" applyBorder="1" applyAlignment="1" applyProtection="1">
      <alignment horizontal="center"/>
      <protection hidden="1"/>
    </xf>
    <xf numFmtId="4" fontId="12" fillId="0" borderId="0" xfId="1" applyNumberFormat="1" applyFont="1" applyAlignment="1" applyProtection="1">
      <alignment horizontal="center"/>
      <protection hidden="1"/>
    </xf>
    <xf numFmtId="4" fontId="16" fillId="0" borderId="0" xfId="1" applyNumberFormat="1" applyFont="1" applyProtection="1">
      <protection hidden="1"/>
    </xf>
    <xf numFmtId="0" fontId="4" fillId="0" borderId="0" xfId="1" applyFont="1" applyAlignment="1" applyProtection="1">
      <alignment horizontal="center" vertical="center"/>
      <protection locked="0"/>
    </xf>
    <xf numFmtId="167" fontId="4" fillId="0" borderId="0" xfId="1" applyNumberFormat="1" applyFont="1" applyProtection="1">
      <protection locked="0"/>
    </xf>
    <xf numFmtId="167" fontId="1" fillId="0" borderId="82" xfId="1" applyNumberFormat="1" applyBorder="1" applyProtection="1">
      <protection locked="0"/>
    </xf>
    <xf numFmtId="167" fontId="16" fillId="0" borderId="0" xfId="1" applyNumberFormat="1" applyFont="1" applyAlignment="1" applyProtection="1">
      <alignment horizontal="center"/>
      <protection locked="0"/>
    </xf>
    <xf numFmtId="167" fontId="16" fillId="0" borderId="83" xfId="1" applyNumberFormat="1" applyFont="1" applyBorder="1" applyAlignment="1" applyProtection="1">
      <alignment horizontal="center"/>
      <protection locked="0"/>
    </xf>
    <xf numFmtId="0" fontId="1" fillId="14" borderId="3" xfId="1" applyFill="1" applyBorder="1"/>
    <xf numFmtId="167" fontId="16" fillId="0" borderId="85" xfId="1" applyNumberFormat="1" applyFont="1" applyBorder="1" applyProtection="1">
      <protection hidden="1"/>
    </xf>
    <xf numFmtId="167" fontId="16" fillId="0" borderId="79" xfId="1" applyNumberFormat="1" applyFont="1" applyBorder="1" applyProtection="1">
      <protection hidden="1"/>
    </xf>
    <xf numFmtId="0" fontId="1" fillId="0" borderId="86" xfId="1" applyBorder="1" applyProtection="1">
      <protection locked="0"/>
    </xf>
    <xf numFmtId="0" fontId="1" fillId="0" borderId="55" xfId="1" applyBorder="1" applyProtection="1">
      <protection locked="0"/>
    </xf>
    <xf numFmtId="167" fontId="16" fillId="0" borderId="65" xfId="1" applyNumberFormat="1" applyFont="1" applyBorder="1" applyProtection="1">
      <protection hidden="1"/>
    </xf>
    <xf numFmtId="167" fontId="16" fillId="0" borderId="9" xfId="1" applyNumberFormat="1" applyFont="1" applyBorder="1" applyProtection="1">
      <protection hidden="1"/>
    </xf>
    <xf numFmtId="167" fontId="16" fillId="0" borderId="88" xfId="1" applyNumberFormat="1" applyFont="1" applyBorder="1" applyProtection="1">
      <protection hidden="1"/>
    </xf>
    <xf numFmtId="167" fontId="16" fillId="0" borderId="11" xfId="1" applyNumberFormat="1" applyFont="1" applyBorder="1" applyProtection="1">
      <protection hidden="1"/>
    </xf>
    <xf numFmtId="0" fontId="1" fillId="0" borderId="0" xfId="1" applyAlignment="1" applyProtection="1">
      <alignment horizontal="right"/>
      <protection locked="0"/>
    </xf>
    <xf numFmtId="0" fontId="6" fillId="0" borderId="0" xfId="1" applyFont="1" applyAlignment="1" applyProtection="1">
      <alignment horizontal="center"/>
      <protection locked="0"/>
    </xf>
    <xf numFmtId="167" fontId="30" fillId="0" borderId="88" xfId="1" applyNumberFormat="1" applyFont="1" applyBorder="1" applyProtection="1">
      <protection hidden="1"/>
    </xf>
    <xf numFmtId="167" fontId="30" fillId="0" borderId="11" xfId="1" applyNumberFormat="1" applyFont="1" applyBorder="1" applyProtection="1">
      <protection hidden="1"/>
    </xf>
    <xf numFmtId="166" fontId="0" fillId="0" borderId="0" xfId="4" applyFont="1" applyFill="1" applyBorder="1" applyAlignment="1" applyProtection="1">
      <alignment horizontal="center" vertical="center"/>
    </xf>
    <xf numFmtId="167" fontId="10" fillId="14" borderId="0" xfId="1" applyNumberFormat="1" applyFont="1" applyFill="1" applyProtection="1">
      <protection locked="0"/>
    </xf>
    <xf numFmtId="166" fontId="1" fillId="0" borderId="0" xfId="4" applyFont="1" applyFill="1" applyBorder="1" applyAlignment="1" applyProtection="1">
      <alignment horizontal="center" vertical="center"/>
      <protection hidden="1"/>
    </xf>
    <xf numFmtId="0" fontId="1" fillId="0" borderId="7" xfId="1" applyBorder="1" applyProtection="1">
      <protection locked="0"/>
    </xf>
    <xf numFmtId="10" fontId="16" fillId="0" borderId="0" xfId="1" applyNumberFormat="1" applyFont="1" applyProtection="1">
      <protection locked="0"/>
    </xf>
    <xf numFmtId="0" fontId="1" fillId="0" borderId="89" xfId="1" applyBorder="1" applyProtection="1">
      <protection locked="0"/>
    </xf>
    <xf numFmtId="0" fontId="1" fillId="0" borderId="59" xfId="1" applyBorder="1" applyProtection="1">
      <protection locked="0"/>
    </xf>
    <xf numFmtId="0" fontId="1" fillId="0" borderId="59" xfId="1" applyBorder="1" applyAlignment="1" applyProtection="1">
      <alignment horizontal="center"/>
      <protection locked="0"/>
    </xf>
    <xf numFmtId="0" fontId="1" fillId="0" borderId="90" xfId="1" applyBorder="1" applyProtection="1">
      <protection locked="0"/>
    </xf>
    <xf numFmtId="0" fontId="2" fillId="0" borderId="0" xfId="1" applyFont="1" applyAlignment="1" applyProtection="1">
      <alignment horizontal="right"/>
      <protection locked="0"/>
    </xf>
    <xf numFmtId="0" fontId="1" fillId="0" borderId="91" xfId="1" applyBorder="1" applyProtection="1">
      <protection locked="0"/>
    </xf>
    <xf numFmtId="0" fontId="1" fillId="0" borderId="3" xfId="1" applyBorder="1" applyAlignment="1" applyProtection="1">
      <alignment horizontal="center"/>
      <protection locked="0"/>
    </xf>
    <xf numFmtId="10" fontId="1" fillId="0" borderId="3" xfId="1" applyNumberFormat="1" applyBorder="1" applyProtection="1">
      <protection locked="0"/>
    </xf>
    <xf numFmtId="0" fontId="1" fillId="0" borderId="92" xfId="1" applyBorder="1" applyProtection="1">
      <protection locked="0"/>
    </xf>
    <xf numFmtId="0" fontId="1" fillId="2" borderId="91" xfId="1" applyFill="1" applyBorder="1" applyProtection="1">
      <protection locked="0"/>
    </xf>
    <xf numFmtId="167" fontId="1" fillId="0" borderId="92" xfId="1" applyNumberFormat="1" applyBorder="1" applyProtection="1">
      <protection locked="0"/>
    </xf>
    <xf numFmtId="0" fontId="1" fillId="21" borderId="91" xfId="1" applyFill="1" applyBorder="1" applyProtection="1">
      <protection locked="0"/>
    </xf>
    <xf numFmtId="0" fontId="1" fillId="16" borderId="91" xfId="1" applyFill="1" applyBorder="1" applyProtection="1">
      <protection locked="0"/>
    </xf>
    <xf numFmtId="0" fontId="6" fillId="0" borderId="89" xfId="1" applyFont="1" applyBorder="1" applyAlignment="1" applyProtection="1">
      <alignment horizontal="center"/>
      <protection locked="0"/>
    </xf>
    <xf numFmtId="167" fontId="1" fillId="0" borderId="59" xfId="1" applyNumberFormat="1" applyBorder="1" applyProtection="1">
      <protection locked="0"/>
    </xf>
    <xf numFmtId="167" fontId="16" fillId="0" borderId="59" xfId="1" applyNumberFormat="1" applyFont="1" applyBorder="1" applyProtection="1">
      <protection locked="0"/>
    </xf>
    <xf numFmtId="167" fontId="16" fillId="0" borderId="90" xfId="1" applyNumberFormat="1" applyFont="1" applyBorder="1" applyProtection="1">
      <protection locked="0"/>
    </xf>
    <xf numFmtId="0" fontId="1" fillId="23" borderId="91" xfId="1" applyFill="1" applyBorder="1" applyProtection="1">
      <protection locked="0"/>
    </xf>
    <xf numFmtId="0" fontId="42" fillId="0" borderId="91" xfId="1" applyFont="1" applyBorder="1" applyAlignment="1" applyProtection="1">
      <alignment horizontal="center"/>
      <protection locked="0"/>
    </xf>
    <xf numFmtId="167" fontId="16" fillId="0" borderId="92" xfId="1" applyNumberFormat="1" applyFont="1" applyBorder="1" applyProtection="1">
      <protection locked="0"/>
    </xf>
    <xf numFmtId="0" fontId="1" fillId="24" borderId="91" xfId="1" applyFill="1" applyBorder="1" applyProtection="1">
      <protection locked="0"/>
    </xf>
    <xf numFmtId="167" fontId="6" fillId="0" borderId="3" xfId="1" applyNumberFormat="1" applyFont="1" applyBorder="1" applyProtection="1">
      <protection locked="0"/>
    </xf>
    <xf numFmtId="167" fontId="30" fillId="0" borderId="92" xfId="1" applyNumberFormat="1" applyFont="1" applyBorder="1" applyProtection="1">
      <protection locked="0"/>
    </xf>
    <xf numFmtId="0" fontId="11" fillId="0" borderId="0" xfId="1" applyFont="1" applyAlignment="1" applyProtection="1">
      <alignment horizontal="right"/>
      <protection locked="0"/>
    </xf>
    <xf numFmtId="167" fontId="42" fillId="0" borderId="91" xfId="1" applyNumberFormat="1" applyFont="1" applyBorder="1" applyAlignment="1" applyProtection="1">
      <alignment horizontal="center"/>
      <protection locked="0"/>
    </xf>
    <xf numFmtId="10" fontId="16" fillId="0" borderId="3" xfId="1" applyNumberFormat="1" applyFont="1" applyBorder="1" applyProtection="1">
      <protection locked="0"/>
    </xf>
    <xf numFmtId="40" fontId="16" fillId="0" borderId="3" xfId="1" applyNumberFormat="1" applyFont="1" applyBorder="1" applyProtection="1">
      <protection locked="0"/>
    </xf>
    <xf numFmtId="0" fontId="1" fillId="0" borderId="93" xfId="1" applyBorder="1" applyProtection="1">
      <protection locked="0"/>
    </xf>
    <xf numFmtId="0" fontId="1" fillId="0" borderId="94" xfId="1" applyBorder="1" applyProtection="1">
      <protection locked="0"/>
    </xf>
    <xf numFmtId="0" fontId="1" fillId="0" borderId="94" xfId="1" applyBorder="1" applyAlignment="1" applyProtection="1">
      <alignment horizontal="center"/>
      <protection locked="0"/>
    </xf>
    <xf numFmtId="167" fontId="1" fillId="0" borderId="94" xfId="1" applyNumberFormat="1" applyBorder="1" applyProtection="1">
      <protection locked="0"/>
    </xf>
    <xf numFmtId="167" fontId="1" fillId="0" borderId="95" xfId="1" applyNumberFormat="1" applyBorder="1" applyProtection="1">
      <protection locked="0"/>
    </xf>
    <xf numFmtId="0" fontId="11" fillId="0" borderId="91" xfId="1" applyFont="1" applyBorder="1" applyProtection="1">
      <protection locked="0"/>
    </xf>
    <xf numFmtId="4" fontId="1" fillId="0" borderId="3" xfId="1" applyNumberFormat="1" applyBorder="1" applyProtection="1">
      <protection locked="0"/>
    </xf>
    <xf numFmtId="4" fontId="16" fillId="0" borderId="3" xfId="1" applyNumberFormat="1" applyFont="1" applyBorder="1" applyProtection="1">
      <protection locked="0"/>
    </xf>
    <xf numFmtId="167" fontId="14" fillId="0" borderId="92" xfId="1" applyNumberFormat="1" applyFont="1" applyBorder="1" applyProtection="1">
      <protection locked="0"/>
    </xf>
    <xf numFmtId="167" fontId="14" fillId="0" borderId="0" xfId="1" applyNumberFormat="1" applyFont="1" applyProtection="1">
      <protection locked="0"/>
    </xf>
    <xf numFmtId="0" fontId="1" fillId="0" borderId="4" xfId="1" applyBorder="1" applyProtection="1">
      <protection locked="0"/>
    </xf>
    <xf numFmtId="0" fontId="11" fillId="0" borderId="0" xfId="1" applyFont="1" applyAlignment="1" applyProtection="1">
      <alignment horizontal="right"/>
      <protection hidden="1"/>
    </xf>
    <xf numFmtId="167" fontId="42" fillId="0" borderId="91" xfId="1" applyNumberFormat="1" applyFont="1" applyBorder="1" applyAlignment="1" applyProtection="1">
      <alignment horizontal="center"/>
      <protection hidden="1"/>
    </xf>
    <xf numFmtId="0" fontId="1" fillId="0" borderId="0" xfId="1" applyAlignment="1" applyProtection="1">
      <alignment horizontal="right"/>
      <protection hidden="1"/>
    </xf>
    <xf numFmtId="0" fontId="6" fillId="0" borderId="91" xfId="1" applyFont="1" applyBorder="1" applyAlignment="1" applyProtection="1">
      <alignment horizontal="center"/>
      <protection hidden="1"/>
    </xf>
    <xf numFmtId="0" fontId="16" fillId="0" borderId="0" xfId="1" applyFont="1" applyAlignment="1" applyProtection="1">
      <alignment horizontal="left" wrapText="1"/>
      <protection hidden="1"/>
    </xf>
    <xf numFmtId="167" fontId="6" fillId="0" borderId="91" xfId="1" applyNumberFormat="1" applyFont="1" applyBorder="1" applyAlignment="1" applyProtection="1">
      <alignment horizontal="center"/>
      <protection hidden="1"/>
    </xf>
    <xf numFmtId="0" fontId="1" fillId="0" borderId="0" xfId="1" applyAlignment="1" applyProtection="1">
      <alignment horizontal="left"/>
      <protection hidden="1"/>
    </xf>
    <xf numFmtId="167" fontId="42" fillId="0" borderId="0" xfId="1" applyNumberFormat="1" applyFont="1" applyAlignment="1" applyProtection="1">
      <alignment horizontal="center"/>
      <protection hidden="1"/>
    </xf>
    <xf numFmtId="0" fontId="16" fillId="0" borderId="0" xfId="1" applyFont="1" applyAlignment="1" applyProtection="1">
      <alignment wrapText="1"/>
      <protection hidden="1"/>
    </xf>
    <xf numFmtId="167" fontId="16" fillId="0" borderId="0" xfId="1" applyNumberFormat="1" applyFont="1" applyAlignment="1" applyProtection="1">
      <alignment horizontal="right"/>
      <protection hidden="1"/>
    </xf>
    <xf numFmtId="0" fontId="50" fillId="0" borderId="3" xfId="1" applyFont="1" applyBorder="1" applyAlignment="1" applyProtection="1">
      <alignment horizontal="center" vertical="center"/>
      <protection locked="0"/>
    </xf>
    <xf numFmtId="166" fontId="16" fillId="0" borderId="0" xfId="4" applyFont="1" applyFill="1" applyBorder="1" applyAlignment="1" applyProtection="1">
      <alignment horizontal="right"/>
      <protection hidden="1"/>
    </xf>
    <xf numFmtId="167" fontId="4" fillId="0" borderId="91" xfId="1" applyNumberFormat="1" applyFont="1" applyBorder="1" applyAlignment="1" applyProtection="1">
      <alignment horizontal="center"/>
      <protection locked="0"/>
    </xf>
    <xf numFmtId="0" fontId="51" fillId="0" borderId="3" xfId="1" applyFont="1" applyBorder="1" applyProtection="1">
      <protection locked="0"/>
    </xf>
    <xf numFmtId="167" fontId="50" fillId="0" borderId="3" xfId="1" applyNumberFormat="1" applyFont="1" applyBorder="1" applyProtection="1">
      <protection locked="0"/>
    </xf>
    <xf numFmtId="0" fontId="4" fillId="0" borderId="93" xfId="1" applyFont="1" applyBorder="1" applyAlignment="1" applyProtection="1">
      <alignment horizontal="center"/>
      <protection locked="0"/>
    </xf>
    <xf numFmtId="167" fontId="50" fillId="0" borderId="94" xfId="1" applyNumberFormat="1" applyFont="1" applyBorder="1" applyProtection="1">
      <protection locked="0"/>
    </xf>
    <xf numFmtId="10" fontId="16" fillId="0" borderId="94" xfId="1" applyNumberFormat="1" applyFont="1" applyBorder="1" applyProtection="1">
      <protection locked="0"/>
    </xf>
    <xf numFmtId="167" fontId="16" fillId="0" borderId="94" xfId="1" applyNumberFormat="1" applyFont="1" applyBorder="1" applyProtection="1">
      <protection locked="0"/>
    </xf>
    <xf numFmtId="167" fontId="16" fillId="0" borderId="95" xfId="1" applyNumberFormat="1" applyFont="1" applyBorder="1" applyProtection="1">
      <protection locked="0"/>
    </xf>
    <xf numFmtId="0" fontId="4" fillId="0" borderId="0" xfId="1" applyFont="1" applyAlignment="1" applyProtection="1">
      <alignment horizontal="center"/>
      <protection locked="0"/>
    </xf>
    <xf numFmtId="167" fontId="15" fillId="0" borderId="0" xfId="1" applyNumberFormat="1" applyFont="1" applyProtection="1">
      <protection locked="0"/>
    </xf>
    <xf numFmtId="0" fontId="4" fillId="0" borderId="89" xfId="1" applyFont="1" applyBorder="1" applyAlignment="1" applyProtection="1">
      <alignment horizontal="center"/>
      <protection locked="0"/>
    </xf>
    <xf numFmtId="0" fontId="4" fillId="0" borderId="91" xfId="1" applyFont="1" applyBorder="1" applyAlignment="1" applyProtection="1">
      <alignment horizontal="center"/>
      <protection locked="0"/>
    </xf>
    <xf numFmtId="167" fontId="1" fillId="9" borderId="3" xfId="1" applyNumberFormat="1" applyFill="1" applyBorder="1" applyProtection="1">
      <protection locked="0"/>
    </xf>
    <xf numFmtId="167" fontId="1" fillId="0" borderId="0" xfId="1" applyNumberFormat="1" applyAlignment="1" applyProtection="1">
      <alignment horizontal="right"/>
      <protection locked="0"/>
    </xf>
    <xf numFmtId="167" fontId="1" fillId="2" borderId="3" xfId="1" applyNumberFormat="1" applyFill="1" applyBorder="1" applyProtection="1">
      <protection locked="0"/>
    </xf>
    <xf numFmtId="169" fontId="1" fillId="0" borderId="92" xfId="1" applyNumberFormat="1" applyBorder="1" applyProtection="1">
      <protection locked="0"/>
    </xf>
    <xf numFmtId="0" fontId="1" fillId="0" borderId="95" xfId="1" applyBorder="1" applyProtection="1">
      <protection locked="0"/>
    </xf>
    <xf numFmtId="167" fontId="1" fillId="0" borderId="23" xfId="1" applyNumberFormat="1" applyBorder="1" applyProtection="1">
      <protection locked="0"/>
    </xf>
    <xf numFmtId="0" fontId="1" fillId="0" borderId="23" xfId="1" applyBorder="1" applyProtection="1">
      <protection locked="0"/>
    </xf>
    <xf numFmtId="0" fontId="1" fillId="0" borderId="2" xfId="1" applyBorder="1" applyProtection="1">
      <protection locked="0"/>
    </xf>
    <xf numFmtId="0" fontId="1" fillId="0" borderId="23" xfId="1" applyBorder="1" applyProtection="1">
      <protection locked="0" hidden="1"/>
    </xf>
    <xf numFmtId="168" fontId="1" fillId="0" borderId="0" xfId="1" applyNumberFormat="1" applyAlignment="1" applyProtection="1">
      <alignment horizontal="center"/>
      <protection locked="0"/>
    </xf>
    <xf numFmtId="0" fontId="18" fillId="0" borderId="4" xfId="1" applyFont="1" applyBorder="1" applyProtection="1">
      <protection hidden="1"/>
    </xf>
    <xf numFmtId="0" fontId="13" fillId="15" borderId="16" xfId="1" applyFont="1" applyFill="1" applyBorder="1" applyAlignment="1" applyProtection="1">
      <alignment horizontal="center"/>
      <protection locked="0"/>
    </xf>
    <xf numFmtId="0" fontId="16" fillId="3" borderId="3" xfId="1" applyFont="1" applyFill="1" applyBorder="1" applyProtection="1">
      <protection hidden="1"/>
    </xf>
    <xf numFmtId="0" fontId="6" fillId="3" borderId="3" xfId="1" applyFont="1" applyFill="1" applyBorder="1" applyProtection="1">
      <protection hidden="1"/>
    </xf>
    <xf numFmtId="0" fontId="1" fillId="0" borderId="23" xfId="1" applyBorder="1" applyAlignment="1" applyProtection="1">
      <alignment horizontal="center"/>
      <protection locked="0" hidden="1"/>
    </xf>
    <xf numFmtId="1" fontId="6" fillId="17" borderId="16" xfId="1" applyNumberFormat="1" applyFont="1" applyFill="1" applyBorder="1" applyAlignment="1" applyProtection="1">
      <alignment horizontal="center"/>
      <protection locked="0"/>
    </xf>
    <xf numFmtId="1" fontId="6" fillId="3" borderId="23" xfId="1" applyNumberFormat="1" applyFont="1" applyFill="1" applyBorder="1" applyAlignment="1" applyProtection="1">
      <alignment horizontal="center"/>
      <protection locked="0"/>
    </xf>
    <xf numFmtId="0" fontId="13" fillId="25" borderId="16" xfId="1" applyFont="1" applyFill="1" applyBorder="1" applyAlignment="1" applyProtection="1">
      <alignment horizontal="center"/>
      <protection locked="0"/>
    </xf>
    <xf numFmtId="168" fontId="16" fillId="25" borderId="3" xfId="1" applyNumberFormat="1" applyFont="1" applyFill="1" applyBorder="1" applyProtection="1">
      <protection hidden="1"/>
    </xf>
    <xf numFmtId="170" fontId="16" fillId="3" borderId="0" xfId="5" applyFont="1" applyFill="1" applyProtection="1">
      <protection locked="0"/>
    </xf>
    <xf numFmtId="0" fontId="1" fillId="0" borderId="97" xfId="1" applyBorder="1" applyProtection="1">
      <protection locked="0" hidden="1"/>
    </xf>
    <xf numFmtId="167" fontId="6" fillId="0" borderId="17" xfId="1" applyNumberFormat="1" applyFont="1" applyBorder="1" applyProtection="1">
      <protection hidden="1"/>
    </xf>
    <xf numFmtId="0" fontId="1" fillId="0" borderId="0" xfId="1" applyProtection="1">
      <protection locked="0" hidden="1"/>
    </xf>
    <xf numFmtId="0" fontId="6" fillId="0" borderId="101" xfId="1" applyFont="1" applyBorder="1" applyProtection="1">
      <protection hidden="1"/>
    </xf>
    <xf numFmtId="0" fontId="5" fillId="0" borderId="102" xfId="1" applyFont="1" applyBorder="1" applyProtection="1">
      <protection hidden="1"/>
    </xf>
    <xf numFmtId="0" fontId="6" fillId="0" borderId="0" xfId="1" applyFont="1" applyProtection="1">
      <protection hidden="1"/>
    </xf>
    <xf numFmtId="0" fontId="16" fillId="0" borderId="0" xfId="1" applyFont="1" applyAlignment="1" applyProtection="1">
      <alignment horizontal="center"/>
      <protection hidden="1"/>
    </xf>
    <xf numFmtId="0" fontId="1" fillId="0" borderId="13" xfId="1" applyBorder="1" applyProtection="1">
      <protection hidden="1"/>
    </xf>
    <xf numFmtId="0" fontId="16" fillId="10" borderId="3" xfId="1" applyFont="1" applyFill="1" applyBorder="1" applyProtection="1">
      <protection hidden="1"/>
    </xf>
    <xf numFmtId="0" fontId="30" fillId="0" borderId="3" xfId="1" applyFont="1" applyBorder="1" applyProtection="1">
      <protection hidden="1"/>
    </xf>
    <xf numFmtId="0" fontId="30" fillId="0" borderId="2" xfId="1" applyFont="1" applyBorder="1" applyProtection="1">
      <protection hidden="1"/>
    </xf>
    <xf numFmtId="167" fontId="1" fillId="0" borderId="0" xfId="1" applyNumberFormat="1"/>
    <xf numFmtId="167" fontId="1" fillId="0" borderId="0" xfId="1" applyNumberFormat="1" applyProtection="1">
      <protection hidden="1"/>
    </xf>
    <xf numFmtId="0" fontId="1" fillId="0" borderId="3" xfId="1" applyBorder="1"/>
    <xf numFmtId="0" fontId="16" fillId="0" borderId="3" xfId="1" applyFont="1" applyBorder="1"/>
    <xf numFmtId="0" fontId="1" fillId="0" borderId="17" xfId="1" applyBorder="1"/>
    <xf numFmtId="167" fontId="16" fillId="0" borderId="0" xfId="1" applyNumberFormat="1" applyFont="1"/>
    <xf numFmtId="0" fontId="16" fillId="0" borderId="16" xfId="1" applyFont="1" applyBorder="1" applyProtection="1">
      <protection hidden="1"/>
    </xf>
    <xf numFmtId="0" fontId="16" fillId="0" borderId="7" xfId="1" applyFont="1" applyBorder="1" applyProtection="1">
      <protection hidden="1"/>
    </xf>
    <xf numFmtId="0" fontId="1" fillId="0" borderId="7" xfId="1" applyBorder="1" applyProtection="1">
      <protection hidden="1"/>
    </xf>
    <xf numFmtId="0" fontId="16" fillId="0" borderId="19" xfId="1" applyFont="1" applyBorder="1" applyProtection="1">
      <protection hidden="1"/>
    </xf>
    <xf numFmtId="0" fontId="1" fillId="0" borderId="2" xfId="1" applyBorder="1" applyProtection="1">
      <protection hidden="1"/>
    </xf>
    <xf numFmtId="0" fontId="16" fillId="0" borderId="91" xfId="1" applyFont="1" applyBorder="1" applyProtection="1">
      <protection hidden="1"/>
    </xf>
    <xf numFmtId="0" fontId="16" fillId="0" borderId="103" xfId="1" applyFont="1" applyBorder="1" applyProtection="1">
      <protection hidden="1"/>
    </xf>
    <xf numFmtId="0" fontId="16" fillId="0" borderId="109" xfId="1" applyFont="1" applyBorder="1" applyProtection="1">
      <protection hidden="1"/>
    </xf>
    <xf numFmtId="0" fontId="16" fillId="0" borderId="102" xfId="1" applyFont="1" applyBorder="1" applyProtection="1">
      <protection hidden="1"/>
    </xf>
    <xf numFmtId="10" fontId="16" fillId="3" borderId="6" xfId="1" applyNumberFormat="1" applyFont="1" applyFill="1" applyBorder="1" applyProtection="1">
      <protection hidden="1"/>
    </xf>
    <xf numFmtId="0" fontId="6" fillId="0" borderId="6" xfId="1" applyFont="1" applyBorder="1" applyProtection="1">
      <protection hidden="1"/>
    </xf>
    <xf numFmtId="0" fontId="30" fillId="0" borderId="16" xfId="1" applyFont="1" applyBorder="1" applyProtection="1">
      <protection hidden="1"/>
    </xf>
    <xf numFmtId="0" fontId="16" fillId="0" borderId="6" xfId="1" applyFont="1" applyBorder="1" applyProtection="1">
      <protection hidden="1"/>
    </xf>
    <xf numFmtId="0" fontId="37" fillId="0" borderId="16" xfId="1" applyFont="1" applyBorder="1" applyProtection="1">
      <protection hidden="1"/>
    </xf>
    <xf numFmtId="0" fontId="16" fillId="0" borderId="20" xfId="1" applyFont="1" applyBorder="1" applyProtection="1">
      <protection hidden="1"/>
    </xf>
    <xf numFmtId="167" fontId="16" fillId="0" borderId="110" xfId="1" applyNumberFormat="1" applyFont="1" applyBorder="1" applyProtection="1">
      <protection hidden="1"/>
    </xf>
    <xf numFmtId="0" fontId="37" fillId="0" borderId="101" xfId="1" applyFont="1" applyBorder="1" applyProtection="1">
      <protection hidden="1"/>
    </xf>
    <xf numFmtId="167" fontId="16" fillId="0" borderId="103" xfId="1" applyNumberFormat="1" applyFont="1" applyBorder="1" applyProtection="1">
      <protection hidden="1"/>
    </xf>
    <xf numFmtId="167" fontId="16" fillId="0" borderId="109" xfId="1" applyNumberFormat="1" applyFont="1" applyBorder="1" applyProtection="1">
      <protection hidden="1"/>
    </xf>
    <xf numFmtId="167" fontId="16" fillId="0" borderId="102" xfId="1" applyNumberFormat="1" applyFont="1" applyBorder="1" applyProtection="1">
      <protection hidden="1"/>
    </xf>
    <xf numFmtId="0" fontId="16" fillId="0" borderId="104" xfId="1" applyFont="1" applyBorder="1" applyProtection="1">
      <protection hidden="1"/>
    </xf>
    <xf numFmtId="167" fontId="16" fillId="0" borderId="105" xfId="1" applyNumberFormat="1" applyFont="1" applyBorder="1" applyProtection="1">
      <protection hidden="1"/>
    </xf>
    <xf numFmtId="167" fontId="16" fillId="0" borderId="111" xfId="1" applyNumberFormat="1" applyFont="1" applyBorder="1" applyProtection="1">
      <protection hidden="1"/>
    </xf>
    <xf numFmtId="167" fontId="16" fillId="0" borderId="106" xfId="1" applyNumberFormat="1" applyFont="1" applyBorder="1" applyProtection="1">
      <protection hidden="1"/>
    </xf>
    <xf numFmtId="0" fontId="16" fillId="0" borderId="51" xfId="1" applyFont="1" applyBorder="1" applyProtection="1">
      <protection hidden="1"/>
    </xf>
    <xf numFmtId="167" fontId="16" fillId="0" borderId="5" xfId="1" applyNumberFormat="1" applyFont="1" applyBorder="1" applyProtection="1">
      <protection hidden="1"/>
    </xf>
    <xf numFmtId="0" fontId="4" fillId="0" borderId="0" xfId="1" applyFont="1" applyProtection="1">
      <protection hidden="1"/>
    </xf>
    <xf numFmtId="0" fontId="4" fillId="0" borderId="0" xfId="1" applyFont="1" applyAlignment="1">
      <alignment horizontal="center"/>
    </xf>
    <xf numFmtId="167" fontId="1" fillId="0" borderId="0" xfId="1" applyNumberFormat="1" applyAlignment="1">
      <alignment horizontal="center"/>
    </xf>
    <xf numFmtId="0" fontId="1" fillId="0" borderId="0" xfId="1" applyAlignment="1">
      <alignment horizontal="right"/>
    </xf>
    <xf numFmtId="9" fontId="16" fillId="0" borderId="3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167" fontId="1" fillId="0" borderId="0" xfId="1" applyNumberFormat="1" applyAlignment="1">
      <alignment horizontal="left"/>
    </xf>
    <xf numFmtId="167" fontId="16" fillId="9" borderId="3" xfId="1" applyNumberFormat="1" applyFont="1" applyFill="1" applyBorder="1" applyProtection="1">
      <protection hidden="1"/>
    </xf>
    <xf numFmtId="171" fontId="1" fillId="0" borderId="0" xfId="1" applyNumberFormat="1" applyProtection="1">
      <protection hidden="1"/>
    </xf>
    <xf numFmtId="169" fontId="16" fillId="0" borderId="0" xfId="1" applyNumberFormat="1" applyFont="1" applyProtection="1">
      <protection hidden="1"/>
    </xf>
    <xf numFmtId="167" fontId="16" fillId="9" borderId="19" xfId="1" applyNumberFormat="1" applyFont="1" applyFill="1" applyBorder="1" applyProtection="1">
      <protection hidden="1"/>
    </xf>
    <xf numFmtId="10" fontId="16" fillId="0" borderId="3" xfId="1" applyNumberFormat="1" applyFont="1" applyBorder="1" applyProtection="1">
      <protection hidden="1"/>
    </xf>
    <xf numFmtId="9" fontId="16" fillId="0" borderId="0" xfId="1" applyNumberFormat="1" applyFont="1" applyProtection="1">
      <protection hidden="1"/>
    </xf>
    <xf numFmtId="164" fontId="16" fillId="9" borderId="0" xfId="1" applyNumberFormat="1" applyFont="1" applyFill="1" applyProtection="1">
      <protection hidden="1"/>
    </xf>
    <xf numFmtId="167" fontId="16" fillId="18" borderId="3" xfId="1" applyNumberFormat="1" applyFont="1" applyFill="1" applyBorder="1" applyProtection="1">
      <protection hidden="1"/>
    </xf>
    <xf numFmtId="0" fontId="16" fillId="0" borderId="113" xfId="1" applyFont="1" applyBorder="1" applyProtection="1">
      <protection hidden="1"/>
    </xf>
    <xf numFmtId="166" fontId="1" fillId="0" borderId="0" xfId="4" applyFont="1" applyFill="1" applyBorder="1" applyProtection="1">
      <protection hidden="1"/>
    </xf>
    <xf numFmtId="0" fontId="37" fillId="0" borderId="113" xfId="1" applyFont="1" applyBorder="1" applyProtection="1">
      <protection hidden="1"/>
    </xf>
    <xf numFmtId="0" fontId="37" fillId="0" borderId="91" xfId="1" applyFont="1" applyBorder="1" applyProtection="1">
      <protection hidden="1"/>
    </xf>
    <xf numFmtId="0" fontId="30" fillId="0" borderId="114" xfId="1" applyFont="1" applyBorder="1" applyProtection="1">
      <protection hidden="1"/>
    </xf>
    <xf numFmtId="167" fontId="16" fillId="18" borderId="7" xfId="1" applyNumberFormat="1" applyFont="1" applyFill="1" applyBorder="1" applyProtection="1">
      <protection hidden="1"/>
    </xf>
    <xf numFmtId="0" fontId="1" fillId="0" borderId="91" xfId="1" applyBorder="1"/>
    <xf numFmtId="0" fontId="30" fillId="0" borderId="91" xfId="1" applyFont="1" applyBorder="1" applyProtection="1">
      <protection hidden="1"/>
    </xf>
    <xf numFmtId="172" fontId="16" fillId="0" borderId="0" xfId="1" applyNumberFormat="1" applyFont="1" applyProtection="1">
      <protection hidden="1"/>
    </xf>
    <xf numFmtId="0" fontId="17" fillId="0" borderId="16" xfId="1" applyFont="1" applyBorder="1" applyProtection="1">
      <protection hidden="1"/>
    </xf>
    <xf numFmtId="9" fontId="16" fillId="8" borderId="3" xfId="1" applyNumberFormat="1" applyFont="1" applyFill="1" applyBorder="1" applyProtection="1">
      <protection hidden="1"/>
    </xf>
    <xf numFmtId="10" fontId="16" fillId="14" borderId="3" xfId="1" applyNumberFormat="1" applyFont="1" applyFill="1" applyBorder="1" applyProtection="1">
      <protection hidden="1"/>
    </xf>
    <xf numFmtId="14" fontId="1" fillId="0" borderId="0" xfId="1" applyNumberFormat="1" applyProtection="1">
      <protection hidden="1"/>
    </xf>
    <xf numFmtId="169" fontId="1" fillId="0" borderId="0" xfId="1" applyNumberFormat="1"/>
    <xf numFmtId="167" fontId="16" fillId="11" borderId="7" xfId="1" applyNumberFormat="1" applyFont="1" applyFill="1" applyBorder="1" applyProtection="1">
      <protection hidden="1"/>
    </xf>
    <xf numFmtId="0" fontId="60" fillId="0" borderId="101" xfId="1" applyFont="1" applyBorder="1" applyProtection="1">
      <protection hidden="1"/>
    </xf>
    <xf numFmtId="0" fontId="37" fillId="0" borderId="51" xfId="1" applyFont="1" applyBorder="1" applyProtection="1">
      <protection hidden="1"/>
    </xf>
    <xf numFmtId="165" fontId="16" fillId="14" borderId="0" xfId="1" applyNumberFormat="1" applyFont="1" applyFill="1" applyProtection="1">
      <protection hidden="1"/>
    </xf>
    <xf numFmtId="171" fontId="1" fillId="0" borderId="0" xfId="1" applyNumberFormat="1" applyAlignment="1" applyProtection="1">
      <alignment horizontal="center"/>
      <protection hidden="1"/>
    </xf>
    <xf numFmtId="0" fontId="60" fillId="0" borderId="16" xfId="1" applyFont="1" applyBorder="1" applyProtection="1">
      <protection hidden="1"/>
    </xf>
    <xf numFmtId="14" fontId="16" fillId="0" borderId="0" xfId="1" applyNumberFormat="1" applyFont="1" applyProtection="1">
      <protection hidden="1"/>
    </xf>
    <xf numFmtId="0" fontId="1" fillId="0" borderId="110" xfId="1" applyBorder="1" applyProtection="1">
      <protection hidden="1"/>
    </xf>
    <xf numFmtId="0" fontId="1" fillId="0" borderId="21" xfId="1" applyBorder="1" applyProtection="1">
      <protection hidden="1"/>
    </xf>
    <xf numFmtId="14" fontId="1" fillId="0" borderId="0" xfId="1" applyNumberFormat="1" applyAlignment="1" applyProtection="1">
      <alignment horizontal="center"/>
      <protection hidden="1"/>
    </xf>
    <xf numFmtId="167" fontId="16" fillId="18" borderId="2" xfId="1" applyNumberFormat="1" applyFont="1" applyFill="1" applyBorder="1" applyProtection="1">
      <protection hidden="1"/>
    </xf>
    <xf numFmtId="0" fontId="61" fillId="0" borderId="0" xfId="1" applyFont="1"/>
    <xf numFmtId="0" fontId="16" fillId="0" borderId="101" xfId="1" applyFont="1" applyBorder="1" applyProtection="1">
      <protection hidden="1"/>
    </xf>
    <xf numFmtId="10" fontId="15" fillId="3" borderId="3" xfId="1" applyNumberFormat="1" applyFont="1" applyFill="1" applyBorder="1" applyProtection="1">
      <protection hidden="1"/>
    </xf>
    <xf numFmtId="167" fontId="16" fillId="5" borderId="105" xfId="1" applyNumberFormat="1" applyFont="1" applyFill="1" applyBorder="1" applyProtection="1">
      <protection hidden="1"/>
    </xf>
    <xf numFmtId="167" fontId="16" fillId="5" borderId="4" xfId="1" applyNumberFormat="1" applyFont="1" applyFill="1" applyBorder="1" applyProtection="1">
      <protection hidden="1"/>
    </xf>
    <xf numFmtId="167" fontId="16" fillId="5" borderId="5" xfId="1" applyNumberFormat="1" applyFont="1" applyFill="1" applyBorder="1" applyProtection="1">
      <protection hidden="1"/>
    </xf>
    <xf numFmtId="167" fontId="16" fillId="5" borderId="52" xfId="1" applyNumberFormat="1" applyFont="1" applyFill="1" applyBorder="1" applyProtection="1">
      <protection hidden="1"/>
    </xf>
    <xf numFmtId="167" fontId="16" fillId="5" borderId="3" xfId="1" applyNumberFormat="1" applyFont="1" applyFill="1" applyBorder="1" applyProtection="1">
      <protection hidden="1"/>
    </xf>
    <xf numFmtId="167" fontId="16" fillId="5" borderId="6" xfId="1" applyNumberFormat="1" applyFont="1" applyFill="1" applyBorder="1" applyProtection="1">
      <protection hidden="1"/>
    </xf>
    <xf numFmtId="167" fontId="16" fillId="5" borderId="17" xfId="1" applyNumberFormat="1" applyFont="1" applyFill="1" applyBorder="1" applyProtection="1">
      <protection hidden="1"/>
    </xf>
    <xf numFmtId="166" fontId="16" fillId="0" borderId="3" xfId="4" applyFont="1" applyFill="1" applyBorder="1" applyProtection="1">
      <protection hidden="1"/>
    </xf>
    <xf numFmtId="0" fontId="1" fillId="0" borderId="17" xfId="1" applyBorder="1" applyProtection="1">
      <protection hidden="1"/>
    </xf>
    <xf numFmtId="10" fontId="16" fillId="8" borderId="0" xfId="1" applyNumberFormat="1" applyFont="1" applyFill="1" applyProtection="1">
      <protection hidden="1"/>
    </xf>
    <xf numFmtId="167" fontId="16" fillId="9" borderId="7" xfId="1" applyNumberFormat="1" applyFont="1" applyFill="1" applyBorder="1" applyProtection="1">
      <protection hidden="1"/>
    </xf>
    <xf numFmtId="0" fontId="16" fillId="14" borderId="0" xfId="1" applyFont="1" applyFill="1" applyAlignment="1">
      <alignment horizontal="center"/>
    </xf>
    <xf numFmtId="0" fontId="16" fillId="0" borderId="0" xfId="1" applyFont="1" applyAlignment="1">
      <alignment horizontal="center"/>
    </xf>
    <xf numFmtId="167" fontId="16" fillId="18" borderId="3" xfId="1" applyNumberFormat="1" applyFont="1" applyFill="1" applyBorder="1"/>
    <xf numFmtId="173" fontId="1" fillId="0" borderId="3" xfId="1" applyNumberFormat="1" applyBorder="1"/>
    <xf numFmtId="0" fontId="37" fillId="0" borderId="3" xfId="1" applyFont="1" applyBorder="1"/>
    <xf numFmtId="167" fontId="16" fillId="14" borderId="7" xfId="1" applyNumberFormat="1" applyFont="1" applyFill="1" applyBorder="1" applyProtection="1">
      <protection hidden="1"/>
    </xf>
    <xf numFmtId="167" fontId="16" fillId="8" borderId="0" xfId="1" applyNumberFormat="1" applyFont="1" applyFill="1" applyAlignment="1">
      <alignment horizontal="center"/>
    </xf>
    <xf numFmtId="0" fontId="16" fillId="8" borderId="0" xfId="1" applyFont="1" applyFill="1" applyAlignment="1">
      <alignment horizontal="center"/>
    </xf>
    <xf numFmtId="0" fontId="37" fillId="0" borderId="7" xfId="1" applyFont="1" applyBorder="1" applyProtection="1">
      <protection hidden="1"/>
    </xf>
    <xf numFmtId="16" fontId="1" fillId="0" borderId="0" xfId="1" applyNumberFormat="1" applyProtection="1">
      <protection hidden="1"/>
    </xf>
    <xf numFmtId="16" fontId="16" fillId="0" borderId="0" xfId="1" applyNumberFormat="1" applyFont="1" applyProtection="1">
      <protection hidden="1"/>
    </xf>
    <xf numFmtId="0" fontId="37" fillId="0" borderId="4" xfId="1" applyFont="1" applyBorder="1" applyProtection="1">
      <protection hidden="1"/>
    </xf>
    <xf numFmtId="0" fontId="33" fillId="0" borderId="3" xfId="1" applyFont="1" applyBorder="1" applyProtection="1">
      <protection hidden="1"/>
    </xf>
    <xf numFmtId="167" fontId="16" fillId="8" borderId="7" xfId="1" applyNumberFormat="1" applyFont="1" applyFill="1" applyBorder="1" applyProtection="1">
      <protection hidden="1"/>
    </xf>
    <xf numFmtId="0" fontId="16" fillId="0" borderId="38" xfId="1" applyFont="1" applyBorder="1" applyProtection="1">
      <protection hidden="1"/>
    </xf>
    <xf numFmtId="0" fontId="1" fillId="0" borderId="115" xfId="1" applyBorder="1"/>
    <xf numFmtId="0" fontId="30" fillId="0" borderId="101" xfId="1" applyFont="1" applyBorder="1" applyProtection="1">
      <protection hidden="1"/>
    </xf>
    <xf numFmtId="10" fontId="16" fillId="0" borderId="103" xfId="1" applyNumberFormat="1" applyFont="1" applyBorder="1" applyProtection="1">
      <protection hidden="1"/>
    </xf>
    <xf numFmtId="0" fontId="1" fillId="0" borderId="23" xfId="1" applyBorder="1"/>
    <xf numFmtId="49" fontId="16" fillId="0" borderId="16" xfId="1" applyNumberFormat="1" applyFont="1" applyBorder="1"/>
    <xf numFmtId="169" fontId="16" fillId="0" borderId="3" xfId="1" applyNumberFormat="1" applyFont="1" applyBorder="1" applyAlignment="1" applyProtection="1">
      <alignment horizontal="center"/>
      <protection locked="0"/>
    </xf>
    <xf numFmtId="169" fontId="16" fillId="9" borderId="3" xfId="1" applyNumberFormat="1" applyFont="1" applyFill="1" applyBorder="1" applyAlignment="1" applyProtection="1">
      <alignment horizontal="center"/>
      <protection locked="0"/>
    </xf>
    <xf numFmtId="169" fontId="16" fillId="11" borderId="3" xfId="1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/>
    <xf numFmtId="0" fontId="1" fillId="0" borderId="116" xfId="1" applyBorder="1"/>
    <xf numFmtId="0" fontId="1" fillId="0" borderId="101" xfId="1" applyBorder="1" applyProtection="1">
      <protection hidden="1"/>
    </xf>
    <xf numFmtId="0" fontId="1" fillId="0" borderId="103" xfId="1" applyBorder="1" applyProtection="1">
      <protection hidden="1"/>
    </xf>
    <xf numFmtId="0" fontId="1" fillId="0" borderId="102" xfId="1" applyBorder="1" applyProtection="1">
      <protection hidden="1"/>
    </xf>
    <xf numFmtId="0" fontId="62" fillId="0" borderId="16" xfId="1" applyFont="1" applyBorder="1" applyProtection="1">
      <protection hidden="1"/>
    </xf>
    <xf numFmtId="4" fontId="16" fillId="10" borderId="101" xfId="1" applyNumberFormat="1" applyFont="1" applyFill="1" applyBorder="1" applyProtection="1">
      <protection hidden="1"/>
    </xf>
    <xf numFmtId="0" fontId="1" fillId="0" borderId="104" xfId="1" applyBorder="1" applyProtection="1">
      <protection hidden="1"/>
    </xf>
    <xf numFmtId="4" fontId="16" fillId="10" borderId="16" xfId="1" applyNumberFormat="1" applyFont="1" applyFill="1" applyBorder="1" applyProtection="1">
      <protection hidden="1"/>
    </xf>
    <xf numFmtId="169" fontId="16" fillId="10" borderId="17" xfId="1" applyNumberFormat="1" applyFont="1" applyFill="1" applyBorder="1" applyAlignment="1" applyProtection="1">
      <alignment horizontal="center" wrapText="1"/>
      <protection hidden="1"/>
    </xf>
    <xf numFmtId="0" fontId="30" fillId="0" borderId="112" xfId="1" applyFont="1" applyBorder="1" applyProtection="1">
      <protection hidden="1"/>
    </xf>
    <xf numFmtId="167" fontId="16" fillId="7" borderId="4" xfId="1" applyNumberFormat="1" applyFont="1" applyFill="1" applyBorder="1" applyProtection="1">
      <protection hidden="1"/>
    </xf>
    <xf numFmtId="167" fontId="16" fillId="10" borderId="16" xfId="1" applyNumberFormat="1" applyFont="1" applyFill="1" applyBorder="1" applyProtection="1">
      <protection hidden="1"/>
    </xf>
    <xf numFmtId="167" fontId="16" fillId="7" borderId="3" xfId="1" applyNumberFormat="1" applyFont="1" applyFill="1" applyBorder="1" applyProtection="1">
      <protection hidden="1"/>
    </xf>
    <xf numFmtId="169" fontId="16" fillId="7" borderId="17" xfId="1" applyNumberFormat="1" applyFont="1" applyFill="1" applyBorder="1" applyProtection="1">
      <protection hidden="1"/>
    </xf>
    <xf numFmtId="169" fontId="16" fillId="10" borderId="17" xfId="1" applyNumberFormat="1" applyFont="1" applyFill="1" applyBorder="1" applyProtection="1">
      <protection hidden="1"/>
    </xf>
    <xf numFmtId="167" fontId="16" fillId="10" borderId="104" xfId="1" applyNumberFormat="1" applyFont="1" applyFill="1" applyBorder="1" applyProtection="1">
      <protection hidden="1"/>
    </xf>
    <xf numFmtId="169" fontId="16" fillId="14" borderId="106" xfId="1" applyNumberFormat="1" applyFont="1" applyFill="1" applyBorder="1" applyProtection="1">
      <protection hidden="1"/>
    </xf>
    <xf numFmtId="0" fontId="37" fillId="0" borderId="117" xfId="1" applyFont="1" applyBorder="1" applyProtection="1">
      <protection hidden="1"/>
    </xf>
    <xf numFmtId="167" fontId="16" fillId="0" borderId="118" xfId="1" applyNumberFormat="1" applyFont="1" applyBorder="1" applyProtection="1">
      <protection hidden="1"/>
    </xf>
    <xf numFmtId="167" fontId="16" fillId="0" borderId="119" xfId="1" applyNumberFormat="1" applyFont="1" applyBorder="1" applyProtection="1">
      <protection hidden="1"/>
    </xf>
    <xf numFmtId="167" fontId="16" fillId="0" borderId="120" xfId="1" applyNumberFormat="1" applyFont="1" applyBorder="1" applyProtection="1">
      <protection hidden="1"/>
    </xf>
    <xf numFmtId="0" fontId="4" fillId="0" borderId="56" xfId="1" applyFont="1" applyBorder="1" applyAlignment="1" applyProtection="1">
      <alignment horizontal="center"/>
      <protection hidden="1"/>
    </xf>
    <xf numFmtId="0" fontId="1" fillId="0" borderId="121" xfId="1" applyBorder="1" applyProtection="1">
      <protection hidden="1"/>
    </xf>
    <xf numFmtId="9" fontId="24" fillId="0" borderId="121" xfId="3" applyFont="1" applyFill="1" applyBorder="1" applyAlignment="1" applyProtection="1">
      <alignment horizontal="center"/>
      <protection hidden="1"/>
    </xf>
    <xf numFmtId="0" fontId="16" fillId="29" borderId="113" xfId="1" applyFont="1" applyFill="1" applyBorder="1" applyProtection="1">
      <protection hidden="1"/>
    </xf>
    <xf numFmtId="0" fontId="16" fillId="28" borderId="113" xfId="1" applyFont="1" applyFill="1" applyBorder="1" applyProtection="1">
      <protection hidden="1"/>
    </xf>
    <xf numFmtId="0" fontId="37" fillId="0" borderId="113" xfId="1" applyFont="1" applyBorder="1" applyAlignment="1" applyProtection="1">
      <alignment horizontal="right"/>
      <protection hidden="1"/>
    </xf>
    <xf numFmtId="0" fontId="16" fillId="28" borderId="7" xfId="1" applyFont="1" applyFill="1" applyBorder="1" applyAlignment="1" applyProtection="1">
      <alignment horizontal="center"/>
      <protection hidden="1"/>
    </xf>
    <xf numFmtId="0" fontId="16" fillId="29" borderId="7" xfId="1" applyFont="1" applyFill="1" applyBorder="1" applyAlignment="1" applyProtection="1">
      <alignment horizontal="center"/>
      <protection hidden="1"/>
    </xf>
    <xf numFmtId="3" fontId="16" fillId="14" borderId="16" xfId="1" applyNumberFormat="1" applyFont="1" applyFill="1" applyBorder="1" applyAlignment="1" applyProtection="1">
      <alignment horizontal="center"/>
      <protection hidden="1"/>
    </xf>
    <xf numFmtId="167" fontId="16" fillId="14" borderId="17" xfId="1" applyNumberFormat="1" applyFont="1" applyFill="1" applyBorder="1" applyProtection="1">
      <protection hidden="1"/>
    </xf>
    <xf numFmtId="167" fontId="16" fillId="0" borderId="16" xfId="1" applyNumberFormat="1" applyFont="1" applyBorder="1" applyProtection="1">
      <protection hidden="1"/>
    </xf>
    <xf numFmtId="0" fontId="16" fillId="14" borderId="16" xfId="1" applyFont="1" applyFill="1" applyBorder="1" applyAlignment="1" applyProtection="1">
      <alignment horizontal="center"/>
      <protection hidden="1"/>
    </xf>
    <xf numFmtId="167" fontId="16" fillId="10" borderId="3" xfId="1" applyNumberFormat="1" applyFont="1" applyFill="1" applyBorder="1" applyProtection="1">
      <protection hidden="1"/>
    </xf>
    <xf numFmtId="0" fontId="16" fillId="0" borderId="106" xfId="1" applyFont="1" applyBorder="1" applyProtection="1">
      <protection hidden="1"/>
    </xf>
    <xf numFmtId="0" fontId="30" fillId="0" borderId="4" xfId="1" applyFont="1" applyBorder="1" applyProtection="1">
      <protection hidden="1"/>
    </xf>
    <xf numFmtId="167" fontId="16" fillId="0" borderId="122" xfId="1" applyNumberFormat="1" applyFont="1" applyBorder="1" applyProtection="1">
      <protection hidden="1"/>
    </xf>
    <xf numFmtId="167" fontId="16" fillId="0" borderId="58" xfId="1" applyNumberFormat="1" applyFont="1" applyBorder="1" applyProtection="1">
      <protection hidden="1"/>
    </xf>
    <xf numFmtId="0" fontId="16" fillId="0" borderId="107" xfId="1" applyFont="1" applyBorder="1" applyAlignment="1" applyProtection="1">
      <alignment horizontal="center"/>
      <protection hidden="1"/>
    </xf>
    <xf numFmtId="0" fontId="16" fillId="0" borderId="103" xfId="1" applyFont="1" applyBorder="1" applyAlignment="1" applyProtection="1">
      <alignment horizontal="center"/>
      <protection hidden="1"/>
    </xf>
    <xf numFmtId="169" fontId="16" fillId="0" borderId="102" xfId="1" applyNumberFormat="1" applyFont="1" applyBorder="1" applyAlignment="1" applyProtection="1">
      <alignment horizontal="center"/>
      <protection hidden="1"/>
    </xf>
    <xf numFmtId="167" fontId="16" fillId="0" borderId="1" xfId="1" applyNumberFormat="1" applyFont="1" applyBorder="1" applyProtection="1">
      <protection hidden="1"/>
    </xf>
    <xf numFmtId="167" fontId="16" fillId="0" borderId="15" xfId="1" applyNumberFormat="1" applyFont="1" applyBorder="1" applyProtection="1">
      <protection hidden="1"/>
    </xf>
    <xf numFmtId="169" fontId="16" fillId="0" borderId="17" xfId="1" applyNumberFormat="1" applyFont="1" applyBorder="1" applyProtection="1">
      <protection hidden="1"/>
    </xf>
    <xf numFmtId="174" fontId="16" fillId="0" borderId="15" xfId="1" applyNumberFormat="1" applyFont="1" applyBorder="1" applyProtection="1">
      <protection hidden="1"/>
    </xf>
    <xf numFmtId="167" fontId="16" fillId="10" borderId="2" xfId="1" applyNumberFormat="1" applyFont="1" applyFill="1" applyBorder="1" applyProtection="1">
      <protection hidden="1"/>
    </xf>
    <xf numFmtId="167" fontId="16" fillId="9" borderId="2" xfId="1" applyNumberFormat="1" applyFont="1" applyFill="1" applyBorder="1" applyProtection="1">
      <protection hidden="1"/>
    </xf>
    <xf numFmtId="0" fontId="30" fillId="0" borderId="113" xfId="1" applyFont="1" applyBorder="1" applyProtection="1">
      <protection hidden="1"/>
    </xf>
    <xf numFmtId="0" fontId="1" fillId="0" borderId="1" xfId="1" applyBorder="1"/>
    <xf numFmtId="0" fontId="1" fillId="0" borderId="53" xfId="1" applyBorder="1"/>
    <xf numFmtId="167" fontId="16" fillId="26" borderId="3" xfId="1" applyNumberFormat="1" applyFont="1" applyFill="1" applyBorder="1" applyProtection="1">
      <protection hidden="1"/>
    </xf>
    <xf numFmtId="167" fontId="16" fillId="26" borderId="2" xfId="1" applyNumberFormat="1" applyFont="1" applyFill="1" applyBorder="1" applyProtection="1">
      <protection hidden="1"/>
    </xf>
    <xf numFmtId="167" fontId="16" fillId="10" borderId="38" xfId="1" applyNumberFormat="1" applyFont="1" applyFill="1" applyBorder="1" applyProtection="1">
      <protection hidden="1"/>
    </xf>
    <xf numFmtId="169" fontId="16" fillId="0" borderId="21" xfId="1" applyNumberFormat="1" applyFont="1" applyBorder="1" applyProtection="1">
      <protection hidden="1"/>
    </xf>
    <xf numFmtId="167" fontId="16" fillId="10" borderId="7" xfId="1" applyNumberFormat="1" applyFont="1" applyFill="1" applyBorder="1" applyProtection="1">
      <protection hidden="1"/>
    </xf>
    <xf numFmtId="167" fontId="16" fillId="0" borderId="38" xfId="1" applyNumberFormat="1" applyFont="1" applyBorder="1" applyProtection="1">
      <protection hidden="1"/>
    </xf>
    <xf numFmtId="0" fontId="30" fillId="0" borderId="20" xfId="1" applyFont="1" applyBorder="1" applyProtection="1">
      <protection hidden="1"/>
    </xf>
    <xf numFmtId="167" fontId="16" fillId="0" borderId="55" xfId="1" applyNumberFormat="1" applyFont="1" applyBorder="1" applyProtection="1">
      <protection hidden="1"/>
    </xf>
    <xf numFmtId="167" fontId="16" fillId="0" borderId="108" xfId="1" applyNumberFormat="1" applyFont="1" applyBorder="1" applyProtection="1">
      <protection hidden="1"/>
    </xf>
    <xf numFmtId="0" fontId="16" fillId="0" borderId="105" xfId="1" applyFont="1" applyBorder="1" applyProtection="1">
      <protection hidden="1"/>
    </xf>
    <xf numFmtId="169" fontId="16" fillId="0" borderId="106" xfId="1" applyNumberFormat="1" applyFont="1" applyBorder="1" applyProtection="1">
      <protection hidden="1"/>
    </xf>
    <xf numFmtId="167" fontId="16" fillId="17" borderId="7" xfId="1" applyNumberFormat="1" applyFont="1" applyFill="1" applyBorder="1" applyProtection="1">
      <protection hidden="1"/>
    </xf>
    <xf numFmtId="0" fontId="1" fillId="0" borderId="6" xfId="1" applyBorder="1" applyProtection="1">
      <protection hidden="1"/>
    </xf>
    <xf numFmtId="0" fontId="7" fillId="0" borderId="16" xfId="1" applyFont="1" applyBorder="1" applyProtection="1">
      <protection hidden="1"/>
    </xf>
    <xf numFmtId="0" fontId="16" fillId="0" borderId="3" xfId="1" applyFont="1" applyBorder="1" applyAlignment="1" applyProtection="1">
      <alignment horizontal="left"/>
      <protection hidden="1"/>
    </xf>
    <xf numFmtId="0" fontId="37" fillId="0" borderId="2" xfId="1" applyFont="1" applyBorder="1" applyProtection="1">
      <protection hidden="1"/>
    </xf>
    <xf numFmtId="0" fontId="16" fillId="0" borderId="78" xfId="1" applyFont="1" applyBorder="1" applyProtection="1">
      <protection hidden="1"/>
    </xf>
    <xf numFmtId="167" fontId="16" fillId="27" borderId="0" xfId="1" applyNumberFormat="1" applyFont="1" applyFill="1"/>
    <xf numFmtId="0" fontId="1" fillId="27" borderId="0" xfId="1" applyFill="1" applyProtection="1">
      <protection hidden="1"/>
    </xf>
    <xf numFmtId="167" fontId="16" fillId="27" borderId="3" xfId="1" applyNumberFormat="1" applyFont="1" applyFill="1" applyBorder="1" applyProtection="1">
      <protection hidden="1"/>
    </xf>
    <xf numFmtId="167" fontId="16" fillId="10" borderId="19" xfId="1" applyNumberFormat="1" applyFont="1" applyFill="1" applyBorder="1" applyProtection="1">
      <protection hidden="1"/>
    </xf>
    <xf numFmtId="0" fontId="16" fillId="0" borderId="16" xfId="1" applyFont="1" applyBorder="1" applyAlignment="1" applyProtection="1">
      <alignment horizontal="left"/>
      <protection locked="0"/>
    </xf>
    <xf numFmtId="167" fontId="16" fillId="6" borderId="17" xfId="1" applyNumberFormat="1" applyFont="1" applyFill="1" applyBorder="1" applyProtection="1">
      <protection locked="0"/>
    </xf>
    <xf numFmtId="0" fontId="16" fillId="0" borderId="0" xfId="1" applyFont="1" applyAlignment="1" applyProtection="1">
      <alignment horizontal="left"/>
      <protection locked="0"/>
    </xf>
    <xf numFmtId="167" fontId="16" fillId="6" borderId="0" xfId="1" applyNumberFormat="1" applyFont="1" applyFill="1" applyProtection="1">
      <protection locked="0"/>
    </xf>
    <xf numFmtId="0" fontId="16" fillId="0" borderId="80" xfId="1" applyFont="1" applyBorder="1" applyProtection="1">
      <protection locked="0"/>
    </xf>
    <xf numFmtId="167" fontId="16" fillId="0" borderId="80" xfId="1" applyNumberFormat="1" applyFont="1" applyBorder="1" applyProtection="1">
      <protection locked="0"/>
    </xf>
    <xf numFmtId="10" fontId="16" fillId="0" borderId="80" xfId="1" applyNumberFormat="1" applyFont="1" applyBorder="1" applyProtection="1">
      <protection locked="0"/>
    </xf>
    <xf numFmtId="0" fontId="6" fillId="0" borderId="51" xfId="1" applyFont="1" applyBorder="1" applyProtection="1">
      <protection hidden="1"/>
    </xf>
    <xf numFmtId="10" fontId="16" fillId="0" borderId="0" xfId="1" applyNumberFormat="1" applyFont="1" applyProtection="1">
      <protection hidden="1"/>
    </xf>
    <xf numFmtId="10" fontId="16" fillId="0" borderId="109" xfId="1" applyNumberFormat="1" applyFont="1" applyBorder="1" applyProtection="1">
      <protection hidden="1"/>
    </xf>
    <xf numFmtId="4" fontId="16" fillId="0" borderId="102" xfId="1" applyNumberFormat="1" applyFont="1" applyBorder="1" applyProtection="1">
      <protection hidden="1"/>
    </xf>
    <xf numFmtId="0" fontId="16" fillId="0" borderId="123" xfId="1" applyFont="1" applyBorder="1" applyProtection="1">
      <protection hidden="1"/>
    </xf>
    <xf numFmtId="167" fontId="16" fillId="7" borderId="56" xfId="1" applyNumberFormat="1" applyFont="1" applyFill="1" applyBorder="1" applyProtection="1">
      <protection hidden="1"/>
    </xf>
    <xf numFmtId="167" fontId="16" fillId="0" borderId="56" xfId="1" applyNumberFormat="1" applyFont="1" applyBorder="1" applyProtection="1">
      <protection hidden="1"/>
    </xf>
    <xf numFmtId="0" fontId="16" fillId="0" borderId="3" xfId="1" applyFont="1" applyBorder="1" applyAlignment="1" applyProtection="1">
      <alignment horizontal="center" vertical="center"/>
      <protection hidden="1"/>
    </xf>
    <xf numFmtId="167" fontId="16" fillId="0" borderId="6" xfId="1" applyNumberFormat="1" applyFont="1" applyBorder="1" applyAlignment="1" applyProtection="1">
      <alignment horizontal="center"/>
      <protection hidden="1"/>
    </xf>
    <xf numFmtId="167" fontId="16" fillId="0" borderId="17" xfId="1" applyNumberFormat="1" applyFont="1" applyBorder="1" applyAlignment="1" applyProtection="1">
      <alignment horizontal="center"/>
      <protection hidden="1"/>
    </xf>
    <xf numFmtId="0" fontId="1" fillId="0" borderId="16" xfId="1" applyBorder="1" applyAlignment="1" applyProtection="1">
      <alignment horizontal="center"/>
      <protection hidden="1"/>
    </xf>
    <xf numFmtId="175" fontId="16" fillId="0" borderId="3" xfId="1" applyNumberFormat="1" applyFont="1" applyBorder="1" applyAlignment="1" applyProtection="1">
      <alignment horizontal="center" vertical="center"/>
      <protection hidden="1"/>
    </xf>
    <xf numFmtId="175" fontId="16" fillId="9" borderId="3" xfId="1" applyNumberFormat="1" applyFont="1" applyFill="1" applyBorder="1" applyAlignment="1" applyProtection="1">
      <alignment horizontal="center"/>
      <protection hidden="1"/>
    </xf>
    <xf numFmtId="175" fontId="16" fillId="2" borderId="3" xfId="1" applyNumberFormat="1" applyFont="1" applyFill="1" applyBorder="1" applyAlignment="1" applyProtection="1">
      <alignment horizontal="center"/>
      <protection hidden="1"/>
    </xf>
    <xf numFmtId="175" fontId="16" fillId="0" borderId="3" xfId="1" applyNumberFormat="1" applyFont="1" applyBorder="1" applyAlignment="1" applyProtection="1">
      <alignment horizontal="center"/>
      <protection hidden="1"/>
    </xf>
    <xf numFmtId="0" fontId="16" fillId="9" borderId="16" xfId="1" applyFont="1" applyFill="1" applyBorder="1" applyProtection="1">
      <protection hidden="1"/>
    </xf>
    <xf numFmtId="169" fontId="16" fillId="0" borderId="3" xfId="1" applyNumberFormat="1" applyFont="1" applyBorder="1" applyAlignment="1" applyProtection="1">
      <alignment horizontal="center" vertical="center"/>
      <protection hidden="1"/>
    </xf>
    <xf numFmtId="167" fontId="16" fillId="0" borderId="20" xfId="1" applyNumberFormat="1" applyFont="1" applyBorder="1" applyProtection="1">
      <protection hidden="1"/>
    </xf>
    <xf numFmtId="169" fontId="16" fillId="0" borderId="7" xfId="1" applyNumberFormat="1" applyFont="1" applyBorder="1" applyAlignment="1" applyProtection="1">
      <alignment horizontal="center" vertical="center"/>
      <protection hidden="1"/>
    </xf>
    <xf numFmtId="169" fontId="16" fillId="0" borderId="105" xfId="1" applyNumberFormat="1" applyFont="1" applyBorder="1" applyAlignment="1" applyProtection="1">
      <alignment horizontal="center" vertical="center"/>
      <protection hidden="1"/>
    </xf>
    <xf numFmtId="169" fontId="16" fillId="0" borderId="0" xfId="1" applyNumberFormat="1" applyFont="1" applyAlignment="1" applyProtection="1">
      <alignment horizontal="center" vertical="center"/>
      <protection hidden="1"/>
    </xf>
    <xf numFmtId="0" fontId="35" fillId="0" borderId="101" xfId="1" applyFont="1" applyBorder="1" applyProtection="1">
      <protection hidden="1"/>
    </xf>
    <xf numFmtId="167" fontId="16" fillId="0" borderId="80" xfId="1" applyNumberFormat="1" applyFont="1" applyBorder="1" applyProtection="1">
      <protection hidden="1"/>
    </xf>
    <xf numFmtId="0" fontId="16" fillId="0" borderId="13" xfId="1" applyFont="1" applyBorder="1" applyProtection="1">
      <protection hidden="1"/>
    </xf>
    <xf numFmtId="0" fontId="1" fillId="0" borderId="122" xfId="1" applyBorder="1" applyProtection="1">
      <protection hidden="1"/>
    </xf>
    <xf numFmtId="0" fontId="16" fillId="0" borderId="115" xfId="1" applyFont="1" applyBorder="1" applyProtection="1">
      <protection hidden="1"/>
    </xf>
    <xf numFmtId="167" fontId="16" fillId="0" borderId="2" xfId="1" applyNumberFormat="1" applyFont="1" applyBorder="1" applyAlignment="1" applyProtection="1">
      <alignment horizontal="center"/>
      <protection hidden="1"/>
    </xf>
    <xf numFmtId="10" fontId="16" fillId="3" borderId="3" xfId="1" applyNumberFormat="1" applyFont="1" applyFill="1" applyBorder="1" applyProtection="1">
      <protection hidden="1"/>
    </xf>
    <xf numFmtId="0" fontId="1" fillId="0" borderId="1" xfId="1" applyBorder="1" applyProtection="1">
      <protection hidden="1"/>
    </xf>
    <xf numFmtId="0" fontId="16" fillId="0" borderId="23" xfId="1" applyFont="1" applyBorder="1" applyProtection="1">
      <protection hidden="1"/>
    </xf>
    <xf numFmtId="167" fontId="16" fillId="0" borderId="123" xfId="1" applyNumberFormat="1" applyFont="1" applyBorder="1" applyProtection="1">
      <protection hidden="1"/>
    </xf>
    <xf numFmtId="167" fontId="16" fillId="0" borderId="13" xfId="1" applyNumberFormat="1" applyFont="1" applyBorder="1" applyProtection="1">
      <protection hidden="1"/>
    </xf>
    <xf numFmtId="0" fontId="16" fillId="0" borderId="100" xfId="1" applyFont="1" applyBorder="1" applyAlignment="1" applyProtection="1">
      <alignment horizontal="center" vertical="center"/>
      <protection hidden="1"/>
    </xf>
    <xf numFmtId="167" fontId="16" fillId="0" borderId="112" xfId="1" applyNumberFormat="1" applyFont="1" applyBorder="1" applyProtection="1">
      <protection hidden="1"/>
    </xf>
    <xf numFmtId="2" fontId="16" fillId="0" borderId="52" xfId="1" applyNumberFormat="1" applyFont="1" applyBorder="1" applyAlignment="1" applyProtection="1">
      <alignment horizontal="center" vertical="center"/>
      <protection hidden="1"/>
    </xf>
    <xf numFmtId="2" fontId="16" fillId="0" borderId="17" xfId="1" applyNumberFormat="1" applyFont="1" applyBorder="1" applyAlignment="1" applyProtection="1">
      <alignment horizontal="center" vertical="center"/>
      <protection hidden="1"/>
    </xf>
    <xf numFmtId="0" fontId="4" fillId="0" borderId="2" xfId="1" applyFont="1" applyBorder="1" applyProtection="1">
      <protection hidden="1"/>
    </xf>
    <xf numFmtId="0" fontId="1" fillId="10" borderId="1" xfId="1" applyFill="1" applyBorder="1" applyProtection="1">
      <protection hidden="1"/>
    </xf>
    <xf numFmtId="169" fontId="16" fillId="0" borderId="2" xfId="1" applyNumberFormat="1" applyFont="1" applyBorder="1" applyProtection="1">
      <protection hidden="1"/>
    </xf>
    <xf numFmtId="2" fontId="16" fillId="0" borderId="17" xfId="1" applyNumberFormat="1" applyFont="1" applyBorder="1" applyAlignment="1" applyProtection="1">
      <alignment horizontal="center"/>
      <protection hidden="1"/>
    </xf>
    <xf numFmtId="167" fontId="16" fillId="9" borderId="0" xfId="1" applyNumberFormat="1" applyFont="1" applyFill="1"/>
    <xf numFmtId="0" fontId="1" fillId="0" borderId="15" xfId="1" applyBorder="1"/>
    <xf numFmtId="2" fontId="16" fillId="0" borderId="63" xfId="1" applyNumberFormat="1" applyFont="1" applyBorder="1" applyAlignment="1" applyProtection="1">
      <alignment horizontal="center"/>
      <protection hidden="1"/>
    </xf>
    <xf numFmtId="0" fontId="60" fillId="0" borderId="3" xfId="1" applyFont="1" applyBorder="1" applyProtection="1">
      <protection hidden="1"/>
    </xf>
    <xf numFmtId="0" fontId="1" fillId="0" borderId="6" xfId="1" applyBorder="1"/>
    <xf numFmtId="0" fontId="1" fillId="0" borderId="2" xfId="1" applyBorder="1"/>
    <xf numFmtId="167" fontId="16" fillId="11" borderId="2" xfId="1" applyNumberFormat="1" applyFont="1" applyFill="1" applyBorder="1" applyProtection="1">
      <protection hidden="1"/>
    </xf>
    <xf numFmtId="2" fontId="16" fillId="0" borderId="6" xfId="1" applyNumberFormat="1" applyFont="1" applyBorder="1" applyAlignment="1" applyProtection="1">
      <alignment horizontal="center"/>
      <protection hidden="1"/>
    </xf>
    <xf numFmtId="167" fontId="16" fillId="9" borderId="3" xfId="1" applyNumberFormat="1" applyFont="1" applyFill="1" applyBorder="1"/>
    <xf numFmtId="0" fontId="16" fillId="0" borderId="6" xfId="1" applyFont="1" applyBorder="1"/>
    <xf numFmtId="0" fontId="16" fillId="0" borderId="3" xfId="1" applyFont="1" applyBorder="1" applyAlignment="1">
      <alignment horizontal="center"/>
    </xf>
    <xf numFmtId="0" fontId="1" fillId="0" borderId="58" xfId="1" applyBorder="1" applyProtection="1">
      <protection hidden="1"/>
    </xf>
    <xf numFmtId="0" fontId="16" fillId="0" borderId="107" xfId="1" applyFont="1" applyBorder="1" applyProtection="1">
      <protection hidden="1"/>
    </xf>
    <xf numFmtId="2" fontId="16" fillId="0" borderId="102" xfId="1" applyNumberFormat="1" applyFont="1" applyBorder="1" applyAlignment="1" applyProtection="1">
      <alignment horizontal="center"/>
      <protection hidden="1"/>
    </xf>
    <xf numFmtId="0" fontId="1" fillId="0" borderId="55" xfId="1" applyBorder="1" applyProtection="1">
      <protection hidden="1"/>
    </xf>
    <xf numFmtId="0" fontId="16" fillId="0" borderId="108" xfId="1" applyFont="1" applyBorder="1" applyProtection="1">
      <protection hidden="1"/>
    </xf>
    <xf numFmtId="2" fontId="16" fillId="0" borderId="106" xfId="1" applyNumberFormat="1" applyFont="1" applyBorder="1" applyAlignment="1" applyProtection="1">
      <alignment horizontal="center"/>
      <protection hidden="1"/>
    </xf>
    <xf numFmtId="0" fontId="60" fillId="0" borderId="51" xfId="1" applyFont="1" applyBorder="1" applyProtection="1">
      <protection hidden="1"/>
    </xf>
    <xf numFmtId="0" fontId="1" fillId="0" borderId="50" xfId="1" applyBorder="1" applyProtection="1">
      <protection hidden="1"/>
    </xf>
    <xf numFmtId="0" fontId="16" fillId="0" borderId="112" xfId="1" applyFont="1" applyBorder="1" applyProtection="1">
      <protection hidden="1"/>
    </xf>
    <xf numFmtId="2" fontId="16" fillId="0" borderId="52" xfId="1" applyNumberFormat="1" applyFont="1" applyBorder="1" applyAlignment="1" applyProtection="1">
      <alignment horizontal="center"/>
      <protection hidden="1"/>
    </xf>
    <xf numFmtId="0" fontId="1" fillId="0" borderId="124" xfId="1" applyBorder="1" applyProtection="1">
      <protection hidden="1"/>
    </xf>
    <xf numFmtId="0" fontId="1" fillId="10" borderId="0" xfId="1" applyFill="1" applyProtection="1">
      <protection hidden="1"/>
    </xf>
    <xf numFmtId="2" fontId="16" fillId="0" borderId="0" xfId="1" applyNumberFormat="1" applyFont="1" applyAlignment="1" applyProtection="1">
      <alignment horizontal="center"/>
      <protection hidden="1"/>
    </xf>
    <xf numFmtId="1" fontId="16" fillId="0" borderId="0" xfId="1" applyNumberFormat="1" applyFont="1" applyAlignment="1" applyProtection="1">
      <alignment horizontal="center"/>
      <protection hidden="1"/>
    </xf>
    <xf numFmtId="0" fontId="6" fillId="0" borderId="115" xfId="1" applyFont="1" applyBorder="1" applyProtection="1">
      <protection hidden="1"/>
    </xf>
    <xf numFmtId="167" fontId="16" fillId="0" borderId="123" xfId="1" applyNumberFormat="1" applyFont="1" applyBorder="1" applyAlignment="1" applyProtection="1">
      <alignment horizontal="center"/>
      <protection hidden="1"/>
    </xf>
    <xf numFmtId="10" fontId="16" fillId="3" borderId="123" xfId="1" applyNumberFormat="1" applyFont="1" applyFill="1" applyBorder="1" applyProtection="1">
      <protection hidden="1"/>
    </xf>
    <xf numFmtId="0" fontId="1" fillId="0" borderId="80" xfId="1" applyBorder="1" applyProtection="1">
      <protection hidden="1"/>
    </xf>
    <xf numFmtId="0" fontId="16" fillId="0" borderId="98" xfId="1" applyFont="1" applyBorder="1" applyProtection="1">
      <protection hidden="1"/>
    </xf>
    <xf numFmtId="10" fontId="16" fillId="0" borderId="4" xfId="1" applyNumberFormat="1" applyFont="1" applyBorder="1" applyProtection="1">
      <protection hidden="1"/>
    </xf>
    <xf numFmtId="10" fontId="16" fillId="0" borderId="5" xfId="1" applyNumberFormat="1" applyFont="1" applyBorder="1" applyProtection="1">
      <protection hidden="1"/>
    </xf>
    <xf numFmtId="0" fontId="16" fillId="0" borderId="18" xfId="1" applyFont="1" applyBorder="1" applyProtection="1">
      <protection hidden="1"/>
    </xf>
    <xf numFmtId="10" fontId="16" fillId="0" borderId="6" xfId="1" applyNumberFormat="1" applyFont="1" applyBorder="1" applyProtection="1">
      <protection hidden="1"/>
    </xf>
    <xf numFmtId="0" fontId="16" fillId="0" borderId="0" xfId="1" applyFont="1" applyAlignment="1" applyProtection="1">
      <alignment horizontal="center" vertical="center"/>
      <protection hidden="1"/>
    </xf>
    <xf numFmtId="169" fontId="16" fillId="0" borderId="103" xfId="1" applyNumberFormat="1" applyFont="1" applyBorder="1" applyProtection="1">
      <protection hidden="1"/>
    </xf>
    <xf numFmtId="4" fontId="16" fillId="0" borderId="103" xfId="1" applyNumberFormat="1" applyFont="1" applyBorder="1" applyProtection="1">
      <protection hidden="1"/>
    </xf>
    <xf numFmtId="168" fontId="16" fillId="0" borderId="103" xfId="1" applyNumberFormat="1" applyFont="1" applyBorder="1" applyAlignment="1" applyProtection="1">
      <alignment horizontal="center"/>
      <protection hidden="1"/>
    </xf>
    <xf numFmtId="169" fontId="16" fillId="0" borderId="4" xfId="1" applyNumberFormat="1" applyFont="1" applyBorder="1" applyProtection="1">
      <protection hidden="1"/>
    </xf>
    <xf numFmtId="4" fontId="16" fillId="0" borderId="4" xfId="1" applyNumberFormat="1" applyFont="1" applyBorder="1" applyProtection="1">
      <protection hidden="1"/>
    </xf>
    <xf numFmtId="168" fontId="16" fillId="0" borderId="4" xfId="1" applyNumberFormat="1" applyFont="1" applyBorder="1" applyAlignment="1" applyProtection="1">
      <alignment horizontal="center"/>
      <protection hidden="1"/>
    </xf>
    <xf numFmtId="0" fontId="1" fillId="10" borderId="121" xfId="1" applyFill="1" applyBorder="1" applyProtection="1">
      <protection hidden="1"/>
    </xf>
    <xf numFmtId="167" fontId="16" fillId="10" borderId="4" xfId="1" applyNumberFormat="1" applyFont="1" applyFill="1" applyBorder="1" applyProtection="1">
      <protection hidden="1"/>
    </xf>
    <xf numFmtId="0" fontId="6" fillId="0" borderId="2" xfId="1" applyFont="1" applyBorder="1" applyProtection="1">
      <protection hidden="1"/>
    </xf>
    <xf numFmtId="1" fontId="16" fillId="9" borderId="3" xfId="1" applyNumberFormat="1" applyFont="1" applyFill="1" applyBorder="1" applyAlignment="1" applyProtection="1">
      <alignment horizontal="center"/>
      <protection hidden="1"/>
    </xf>
    <xf numFmtId="1" fontId="16" fillId="9" borderId="4" xfId="1" applyNumberFormat="1" applyFont="1" applyFill="1" applyBorder="1" applyAlignment="1" applyProtection="1">
      <alignment horizontal="center"/>
      <protection hidden="1"/>
    </xf>
    <xf numFmtId="168" fontId="16" fillId="9" borderId="4" xfId="1" applyNumberFormat="1" applyFont="1" applyFill="1" applyBorder="1" applyAlignment="1" applyProtection="1">
      <alignment horizontal="center"/>
      <protection hidden="1"/>
    </xf>
    <xf numFmtId="0" fontId="1" fillId="9" borderId="0" xfId="1" applyFill="1"/>
    <xf numFmtId="1" fontId="16" fillId="0" borderId="3" xfId="1" applyNumberFormat="1" applyFont="1" applyBorder="1" applyAlignment="1" applyProtection="1">
      <alignment horizontal="center"/>
      <protection hidden="1"/>
    </xf>
    <xf numFmtId="1" fontId="16" fillId="6" borderId="3" xfId="1" applyNumberFormat="1" applyFont="1" applyFill="1" applyBorder="1" applyAlignment="1" applyProtection="1">
      <alignment horizontal="center"/>
      <protection hidden="1"/>
    </xf>
    <xf numFmtId="1" fontId="16" fillId="0" borderId="4" xfId="1" applyNumberFormat="1" applyFont="1" applyBorder="1" applyAlignment="1" applyProtection="1">
      <alignment horizontal="center"/>
      <protection hidden="1"/>
    </xf>
    <xf numFmtId="1" fontId="16" fillId="6" borderId="4" xfId="1" applyNumberFormat="1" applyFont="1" applyFill="1" applyBorder="1" applyAlignment="1" applyProtection="1">
      <alignment horizontal="center"/>
      <protection hidden="1"/>
    </xf>
    <xf numFmtId="169" fontId="16" fillId="0" borderId="7" xfId="1" applyNumberFormat="1" applyFont="1" applyBorder="1" applyProtection="1">
      <protection hidden="1"/>
    </xf>
    <xf numFmtId="1" fontId="16" fillId="0" borderId="7" xfId="1" applyNumberFormat="1" applyFont="1" applyBorder="1" applyAlignment="1" applyProtection="1">
      <alignment horizontal="center"/>
      <protection hidden="1"/>
    </xf>
    <xf numFmtId="2" fontId="16" fillId="0" borderId="3" xfId="1" applyNumberFormat="1" applyFont="1" applyBorder="1" applyAlignment="1" applyProtection="1">
      <alignment horizontal="center"/>
      <protection hidden="1"/>
    </xf>
    <xf numFmtId="2" fontId="16" fillId="0" borderId="7" xfId="1" applyNumberFormat="1" applyFont="1" applyBorder="1" applyAlignment="1" applyProtection="1">
      <alignment horizontal="center"/>
      <protection hidden="1"/>
    </xf>
    <xf numFmtId="167" fontId="16" fillId="0" borderId="6" xfId="1" applyNumberFormat="1" applyFont="1" applyBorder="1"/>
    <xf numFmtId="167" fontId="1" fillId="0" borderId="3" xfId="1" applyNumberFormat="1" applyBorder="1"/>
    <xf numFmtId="0" fontId="16" fillId="0" borderId="78" xfId="1" applyFont="1" applyBorder="1"/>
    <xf numFmtId="0" fontId="6" fillId="0" borderId="78" xfId="1" applyFont="1" applyBorder="1" applyProtection="1">
      <protection hidden="1"/>
    </xf>
    <xf numFmtId="0" fontId="1" fillId="0" borderId="121" xfId="1" applyBorder="1"/>
    <xf numFmtId="1" fontId="16" fillId="7" borderId="3" xfId="1" applyNumberFormat="1" applyFont="1" applyFill="1" applyBorder="1" applyAlignment="1" applyProtection="1">
      <alignment horizontal="center"/>
      <protection hidden="1"/>
    </xf>
    <xf numFmtId="0" fontId="1" fillId="0" borderId="66" xfId="1" applyBorder="1" applyProtection="1">
      <protection hidden="1"/>
    </xf>
    <xf numFmtId="1" fontId="16" fillId="2" borderId="3" xfId="1" applyNumberFormat="1" applyFont="1" applyFill="1" applyBorder="1" applyAlignment="1" applyProtection="1">
      <alignment horizontal="center"/>
      <protection hidden="1"/>
    </xf>
    <xf numFmtId="0" fontId="9" fillId="11" borderId="0" xfId="1" applyFont="1" applyFill="1"/>
    <xf numFmtId="0" fontId="1" fillId="11" borderId="0" xfId="1" applyFill="1"/>
    <xf numFmtId="0" fontId="1" fillId="0" borderId="18" xfId="1" applyBorder="1" applyProtection="1">
      <protection hidden="1"/>
    </xf>
    <xf numFmtId="167" fontId="16" fillId="0" borderId="18" xfId="1" applyNumberFormat="1" applyFont="1" applyBorder="1" applyProtection="1">
      <protection hidden="1"/>
    </xf>
    <xf numFmtId="0" fontId="37" fillId="0" borderId="20" xfId="1" applyFont="1" applyBorder="1" applyProtection="1">
      <protection hidden="1"/>
    </xf>
    <xf numFmtId="0" fontId="37" fillId="9" borderId="101" xfId="1" applyFont="1" applyFill="1" applyBorder="1" applyProtection="1">
      <protection hidden="1"/>
    </xf>
    <xf numFmtId="167" fontId="16" fillId="9" borderId="103" xfId="1" applyNumberFormat="1" applyFont="1" applyFill="1" applyBorder="1" applyProtection="1">
      <protection hidden="1"/>
    </xf>
    <xf numFmtId="167" fontId="16" fillId="9" borderId="109" xfId="1" applyNumberFormat="1" applyFont="1" applyFill="1" applyBorder="1" applyProtection="1">
      <protection hidden="1"/>
    </xf>
    <xf numFmtId="167" fontId="16" fillId="9" borderId="102" xfId="1" applyNumberFormat="1" applyFont="1" applyFill="1" applyBorder="1" applyProtection="1">
      <protection hidden="1"/>
    </xf>
    <xf numFmtId="0" fontId="1" fillId="9" borderId="56" xfId="1" applyFill="1" applyBorder="1" applyProtection="1">
      <protection hidden="1"/>
    </xf>
    <xf numFmtId="0" fontId="16" fillId="9" borderId="107" xfId="1" applyFont="1" applyFill="1" applyBorder="1" applyProtection="1">
      <protection hidden="1"/>
    </xf>
    <xf numFmtId="169" fontId="16" fillId="9" borderId="103" xfId="1" applyNumberFormat="1" applyFont="1" applyFill="1" applyBorder="1" applyProtection="1">
      <protection hidden="1"/>
    </xf>
    <xf numFmtId="1" fontId="16" fillId="9" borderId="102" xfId="1" applyNumberFormat="1" applyFont="1" applyFill="1" applyBorder="1" applyAlignment="1" applyProtection="1">
      <alignment horizontal="center"/>
      <protection hidden="1"/>
    </xf>
    <xf numFmtId="167" fontId="16" fillId="9" borderId="6" xfId="1" applyNumberFormat="1" applyFont="1" applyFill="1" applyBorder="1" applyProtection="1">
      <protection hidden="1"/>
    </xf>
    <xf numFmtId="167" fontId="16" fillId="9" borderId="17" xfId="1" applyNumberFormat="1" applyFont="1" applyFill="1" applyBorder="1" applyProtection="1">
      <protection hidden="1"/>
    </xf>
    <xf numFmtId="0" fontId="1" fillId="9" borderId="121" xfId="1" applyFill="1" applyBorder="1" applyProtection="1">
      <protection hidden="1"/>
    </xf>
    <xf numFmtId="0" fontId="16" fillId="9" borderId="2" xfId="1" applyFont="1" applyFill="1" applyBorder="1" applyProtection="1">
      <protection hidden="1"/>
    </xf>
    <xf numFmtId="169" fontId="16" fillId="9" borderId="3" xfId="1" applyNumberFormat="1" applyFont="1" applyFill="1" applyBorder="1" applyProtection="1">
      <protection hidden="1"/>
    </xf>
    <xf numFmtId="0" fontId="37" fillId="9" borderId="16" xfId="1" applyFont="1" applyFill="1" applyBorder="1" applyProtection="1">
      <protection hidden="1"/>
    </xf>
    <xf numFmtId="1" fontId="16" fillId="9" borderId="7" xfId="1" applyNumberFormat="1" applyFont="1" applyFill="1" applyBorder="1" applyAlignment="1" applyProtection="1">
      <alignment horizontal="center"/>
      <protection hidden="1"/>
    </xf>
    <xf numFmtId="1" fontId="16" fillId="0" borderId="102" xfId="1" applyNumberFormat="1" applyFont="1" applyBorder="1" applyAlignment="1" applyProtection="1">
      <alignment horizontal="center"/>
      <protection hidden="1"/>
    </xf>
    <xf numFmtId="1" fontId="16" fillId="0" borderId="17" xfId="1" applyNumberFormat="1" applyFont="1" applyBorder="1" applyAlignment="1" applyProtection="1">
      <alignment horizontal="center"/>
      <protection hidden="1"/>
    </xf>
    <xf numFmtId="168" fontId="16" fillId="0" borderId="17" xfId="1" applyNumberFormat="1" applyFont="1" applyBorder="1" applyAlignment="1" applyProtection="1">
      <alignment horizontal="center"/>
      <protection hidden="1"/>
    </xf>
    <xf numFmtId="169" fontId="16" fillId="0" borderId="105" xfId="1" applyNumberFormat="1" applyFont="1" applyBorder="1" applyProtection="1">
      <protection hidden="1"/>
    </xf>
    <xf numFmtId="1" fontId="16" fillId="0" borderId="106" xfId="1" applyNumberFormat="1" applyFont="1" applyBorder="1" applyAlignment="1" applyProtection="1">
      <alignment horizontal="center"/>
      <protection hidden="1"/>
    </xf>
    <xf numFmtId="0" fontId="6" fillId="0" borderId="3" xfId="1" applyFont="1" applyBorder="1"/>
    <xf numFmtId="0" fontId="1" fillId="0" borderId="34" xfId="1" applyBorder="1"/>
    <xf numFmtId="0" fontId="1" fillId="0" borderId="34" xfId="1" applyBorder="1" applyProtection="1">
      <protection hidden="1"/>
    </xf>
    <xf numFmtId="167" fontId="1" fillId="3" borderId="0" xfId="1" applyNumberFormat="1" applyFill="1"/>
    <xf numFmtId="0" fontId="18" fillId="0" borderId="2" xfId="1" applyFont="1" applyBorder="1" applyProtection="1">
      <protection hidden="1"/>
    </xf>
    <xf numFmtId="167" fontId="16" fillId="10" borderId="17" xfId="1" applyNumberFormat="1" applyFont="1" applyFill="1" applyBorder="1" applyProtection="1">
      <protection hidden="1"/>
    </xf>
    <xf numFmtId="0" fontId="16" fillId="0" borderId="16" xfId="1" applyFont="1" applyBorder="1" applyAlignment="1" applyProtection="1">
      <alignment horizontal="left"/>
      <protection hidden="1"/>
    </xf>
    <xf numFmtId="165" fontId="1" fillId="0" borderId="0" xfId="1" applyNumberFormat="1" applyProtection="1">
      <protection hidden="1"/>
    </xf>
    <xf numFmtId="168" fontId="16" fillId="0" borderId="3" xfId="1" applyNumberFormat="1" applyFont="1" applyBorder="1" applyAlignment="1" applyProtection="1">
      <alignment horizontal="center"/>
      <protection hidden="1"/>
    </xf>
    <xf numFmtId="1" fontId="16" fillId="0" borderId="105" xfId="1" applyNumberFormat="1" applyFont="1" applyBorder="1" applyAlignment="1" applyProtection="1">
      <alignment horizontal="center"/>
      <protection hidden="1"/>
    </xf>
    <xf numFmtId="10" fontId="16" fillId="27" borderId="103" xfId="1" applyNumberFormat="1" applyFont="1" applyFill="1" applyBorder="1" applyProtection="1">
      <protection hidden="1"/>
    </xf>
    <xf numFmtId="0" fontId="17" fillId="0" borderId="16" xfId="1" applyFont="1" applyBorder="1"/>
    <xf numFmtId="167" fontId="16" fillId="6" borderId="3" xfId="1" applyNumberFormat="1" applyFont="1" applyFill="1" applyBorder="1" applyProtection="1">
      <protection hidden="1"/>
    </xf>
    <xf numFmtId="0" fontId="6" fillId="0" borderId="104" xfId="1" applyFont="1" applyBorder="1" applyProtection="1">
      <protection hidden="1"/>
    </xf>
    <xf numFmtId="0" fontId="59" fillId="0" borderId="101" xfId="1" applyFont="1" applyBorder="1" applyProtection="1">
      <protection hidden="1"/>
    </xf>
    <xf numFmtId="0" fontId="5" fillId="0" borderId="103" xfId="1" applyFont="1" applyBorder="1" applyProtection="1">
      <protection hidden="1"/>
    </xf>
    <xf numFmtId="10" fontId="5" fillId="0" borderId="103" xfId="1" applyNumberFormat="1" applyFont="1" applyBorder="1" applyProtection="1">
      <protection hidden="1"/>
    </xf>
    <xf numFmtId="0" fontId="5" fillId="0" borderId="3" xfId="1" applyFont="1" applyBorder="1" applyProtection="1">
      <protection hidden="1"/>
    </xf>
    <xf numFmtId="0" fontId="5" fillId="0" borderId="17" xfId="1" applyFont="1" applyBorder="1" applyProtection="1">
      <protection hidden="1"/>
    </xf>
    <xf numFmtId="168" fontId="16" fillId="0" borderId="0" xfId="1" applyNumberFormat="1" applyFont="1" applyAlignment="1" applyProtection="1">
      <alignment horizontal="center"/>
      <protection hidden="1"/>
    </xf>
    <xf numFmtId="0" fontId="59" fillId="0" borderId="16" xfId="1" applyFont="1" applyBorder="1" applyProtection="1">
      <protection hidden="1"/>
    </xf>
    <xf numFmtId="0" fontId="59" fillId="0" borderId="20" xfId="1" applyFont="1" applyBorder="1" applyProtection="1">
      <protection hidden="1"/>
    </xf>
    <xf numFmtId="0" fontId="1" fillId="0" borderId="20" xfId="1" applyBorder="1" applyProtection="1">
      <protection hidden="1"/>
    </xf>
    <xf numFmtId="167" fontId="16" fillId="0" borderId="7" xfId="1" applyNumberFormat="1" applyFont="1" applyBorder="1" applyAlignment="1" applyProtection="1">
      <alignment horizontal="center"/>
      <protection hidden="1"/>
    </xf>
    <xf numFmtId="167" fontId="16" fillId="0" borderId="125" xfId="1" applyNumberFormat="1" applyFont="1" applyBorder="1" applyProtection="1">
      <protection hidden="1"/>
    </xf>
    <xf numFmtId="167" fontId="16" fillId="0" borderId="125" xfId="1" applyNumberFormat="1" applyFont="1" applyBorder="1" applyAlignment="1" applyProtection="1">
      <alignment horizontal="center"/>
      <protection hidden="1"/>
    </xf>
    <xf numFmtId="167" fontId="16" fillId="0" borderId="103" xfId="1" applyNumberFormat="1" applyFont="1" applyBorder="1" applyAlignment="1" applyProtection="1">
      <alignment horizontal="center"/>
      <protection hidden="1"/>
    </xf>
    <xf numFmtId="0" fontId="1" fillId="0" borderId="104" xfId="1" applyBorder="1"/>
    <xf numFmtId="167" fontId="16" fillId="0" borderId="105" xfId="1" applyNumberFormat="1" applyFont="1" applyBorder="1" applyAlignment="1" applyProtection="1">
      <alignment horizontal="center"/>
      <protection hidden="1"/>
    </xf>
    <xf numFmtId="167" fontId="16" fillId="0" borderId="103" xfId="1" applyNumberFormat="1" applyFont="1" applyBorder="1"/>
    <xf numFmtId="4" fontId="16" fillId="0" borderId="3" xfId="1" applyNumberFormat="1" applyFont="1" applyBorder="1"/>
    <xf numFmtId="167" fontId="16" fillId="0" borderId="105" xfId="1" applyNumberFormat="1" applyFont="1" applyBorder="1"/>
    <xf numFmtId="0" fontId="6" fillId="0" borderId="0" xfId="1" applyFont="1"/>
    <xf numFmtId="0" fontId="18" fillId="0" borderId="0" xfId="1" applyFont="1" applyProtection="1">
      <protection hidden="1"/>
    </xf>
    <xf numFmtId="0" fontId="16" fillId="0" borderId="0" xfId="1" applyFont="1" applyAlignment="1" applyProtection="1">
      <alignment horizontal="left"/>
      <protection hidden="1"/>
    </xf>
    <xf numFmtId="0" fontId="1" fillId="0" borderId="115" xfId="1" applyBorder="1" applyAlignment="1" applyProtection="1">
      <alignment horizontal="right"/>
      <protection locked="0"/>
    </xf>
    <xf numFmtId="0" fontId="1" fillId="0" borderId="54" xfId="1" applyBorder="1" applyAlignment="1" applyProtection="1">
      <alignment horizontal="center"/>
      <protection hidden="1"/>
    </xf>
    <xf numFmtId="167" fontId="14" fillId="4" borderId="0" xfId="1" applyNumberFormat="1" applyFont="1" applyFill="1" applyProtection="1">
      <protection hidden="1"/>
    </xf>
    <xf numFmtId="0" fontId="63" fillId="30" borderId="0" xfId="1" applyFont="1" applyFill="1" applyAlignment="1" applyProtection="1">
      <alignment horizontal="center" vertical="center"/>
      <protection hidden="1"/>
    </xf>
    <xf numFmtId="0" fontId="3" fillId="0" borderId="6" xfId="2" applyNumberFormat="1" applyBorder="1" applyAlignment="1" applyProtection="1">
      <alignment horizontal="center"/>
    </xf>
    <xf numFmtId="0" fontId="1" fillId="0" borderId="6" xfId="1" applyBorder="1" applyProtection="1">
      <protection locked="0"/>
    </xf>
    <xf numFmtId="0" fontId="30" fillId="0" borderId="126" xfId="1" applyFont="1" applyBorder="1"/>
    <xf numFmtId="167" fontId="30" fillId="0" borderId="107" xfId="1" applyNumberFormat="1" applyFont="1" applyBorder="1"/>
    <xf numFmtId="0" fontId="16" fillId="0" borderId="2" xfId="1" applyFont="1" applyBorder="1"/>
    <xf numFmtId="0" fontId="16" fillId="0" borderId="108" xfId="1" applyFont="1" applyBorder="1"/>
    <xf numFmtId="0" fontId="16" fillId="0" borderId="112" xfId="1" applyFont="1" applyBorder="1"/>
    <xf numFmtId="0" fontId="30" fillId="0" borderId="2" xfId="1" applyFont="1" applyBorder="1"/>
    <xf numFmtId="0" fontId="1" fillId="0" borderId="127" xfId="1" applyBorder="1" applyProtection="1">
      <protection locked="0"/>
    </xf>
    <xf numFmtId="0" fontId="4" fillId="0" borderId="0" xfId="1" applyFont="1" applyAlignment="1" applyProtection="1">
      <alignment vertical="center"/>
      <protection locked="0"/>
    </xf>
    <xf numFmtId="0" fontId="18" fillId="0" borderId="128" xfId="1" applyFont="1" applyBorder="1" applyProtection="1">
      <protection locked="0"/>
    </xf>
    <xf numFmtId="167" fontId="16" fillId="0" borderId="59" xfId="1" applyNumberFormat="1" applyFont="1" applyBorder="1" applyProtection="1">
      <protection hidden="1"/>
    </xf>
    <xf numFmtId="167" fontId="16" fillId="0" borderId="90" xfId="1" applyNumberFormat="1" applyFont="1" applyBorder="1" applyProtection="1">
      <protection hidden="1"/>
    </xf>
    <xf numFmtId="0" fontId="13" fillId="0" borderId="91" xfId="1" applyFont="1" applyBorder="1" applyAlignment="1">
      <alignment horizontal="center"/>
    </xf>
    <xf numFmtId="167" fontId="16" fillId="0" borderId="92" xfId="1" applyNumberFormat="1" applyFont="1" applyBorder="1" applyProtection="1">
      <protection hidden="1"/>
    </xf>
    <xf numFmtId="0" fontId="13" fillId="0" borderId="91" xfId="1" applyFont="1" applyBorder="1" applyAlignment="1" applyProtection="1">
      <alignment horizontal="center"/>
      <protection locked="0"/>
    </xf>
    <xf numFmtId="0" fontId="13" fillId="0" borderId="129" xfId="1" applyFont="1" applyBorder="1" applyAlignment="1" applyProtection="1">
      <alignment horizontal="center"/>
      <protection locked="0"/>
    </xf>
    <xf numFmtId="0" fontId="25" fillId="5" borderId="91" xfId="1" applyFont="1" applyFill="1" applyBorder="1" applyAlignment="1" applyProtection="1">
      <alignment horizontal="center"/>
      <protection locked="0"/>
    </xf>
    <xf numFmtId="0" fontId="13" fillId="11" borderId="91" xfId="1" applyFont="1" applyFill="1" applyBorder="1" applyAlignment="1" applyProtection="1">
      <alignment horizontal="center"/>
      <protection hidden="1"/>
    </xf>
    <xf numFmtId="0" fontId="13" fillId="2" borderId="91" xfId="1" applyFont="1" applyFill="1" applyBorder="1" applyAlignment="1" applyProtection="1">
      <alignment horizontal="center"/>
      <protection locked="0"/>
    </xf>
    <xf numFmtId="0" fontId="13" fillId="0" borderId="91" xfId="1" applyFont="1" applyBorder="1" applyAlignment="1" applyProtection="1">
      <alignment horizontal="center"/>
      <protection hidden="1"/>
    </xf>
    <xf numFmtId="0" fontId="13" fillId="3" borderId="91" xfId="1" applyFont="1" applyFill="1" applyBorder="1" applyAlignment="1" applyProtection="1">
      <alignment horizontal="center"/>
      <protection locked="0"/>
    </xf>
    <xf numFmtId="167" fontId="16" fillId="3" borderId="92" xfId="1" applyNumberFormat="1" applyFont="1" applyFill="1" applyBorder="1" applyProtection="1">
      <protection hidden="1"/>
    </xf>
    <xf numFmtId="0" fontId="16" fillId="0" borderId="83" xfId="1" applyFont="1" applyBorder="1" applyProtection="1">
      <protection locked="0"/>
    </xf>
    <xf numFmtId="167" fontId="16" fillId="0" borderId="130" xfId="1" applyNumberFormat="1" applyFont="1" applyBorder="1" applyProtection="1">
      <protection hidden="1"/>
    </xf>
    <xf numFmtId="0" fontId="16" fillId="0" borderId="92" xfId="1" applyFont="1" applyBorder="1" applyProtection="1">
      <protection locked="0"/>
    </xf>
    <xf numFmtId="0" fontId="16" fillId="0" borderId="92" xfId="1" applyFont="1" applyBorder="1" applyProtection="1">
      <protection hidden="1"/>
    </xf>
    <xf numFmtId="0" fontId="1" fillId="0" borderId="82" xfId="1" applyBorder="1" applyAlignment="1">
      <alignment horizontal="center"/>
    </xf>
    <xf numFmtId="167" fontId="29" fillId="0" borderId="92" xfId="1" applyNumberFormat="1" applyFont="1" applyBorder="1" applyProtection="1">
      <protection hidden="1"/>
    </xf>
    <xf numFmtId="0" fontId="1" fillId="0" borderId="82" xfId="1" applyBorder="1" applyProtection="1">
      <protection locked="0"/>
    </xf>
    <xf numFmtId="0" fontId="22" fillId="0" borderId="0" xfId="1" applyFont="1" applyProtection="1">
      <protection hidden="1"/>
    </xf>
    <xf numFmtId="0" fontId="16" fillId="0" borderId="131" xfId="1" applyFont="1" applyBorder="1" applyProtection="1">
      <protection locked="0"/>
    </xf>
    <xf numFmtId="1" fontId="6" fillId="0" borderId="132" xfId="1" applyNumberFormat="1" applyFont="1" applyBorder="1" applyAlignment="1" applyProtection="1">
      <alignment horizontal="center"/>
      <protection locked="0"/>
    </xf>
    <xf numFmtId="0" fontId="13" fillId="15" borderId="0" xfId="1" applyFont="1" applyFill="1" applyProtection="1">
      <protection hidden="1"/>
    </xf>
    <xf numFmtId="0" fontId="6" fillId="0" borderId="91" xfId="1" applyFont="1" applyBorder="1" applyAlignment="1" applyProtection="1">
      <alignment horizontal="center"/>
      <protection locked="0"/>
    </xf>
    <xf numFmtId="0" fontId="6" fillId="0" borderId="129" xfId="1" applyFont="1" applyBorder="1" applyAlignment="1" applyProtection="1">
      <alignment horizontal="center"/>
      <protection locked="0"/>
    </xf>
    <xf numFmtId="0" fontId="6" fillId="0" borderId="91" xfId="1" applyFont="1" applyBorder="1" applyAlignment="1">
      <alignment horizontal="center"/>
    </xf>
    <xf numFmtId="0" fontId="6" fillId="3" borderId="91" xfId="1" applyFont="1" applyFill="1" applyBorder="1" applyAlignment="1" applyProtection="1">
      <alignment horizontal="center"/>
      <protection locked="0"/>
    </xf>
    <xf numFmtId="0" fontId="4" fillId="0" borderId="91" xfId="1" applyFont="1" applyBorder="1" applyAlignment="1">
      <alignment horizontal="center"/>
    </xf>
    <xf numFmtId="0" fontId="6" fillId="17" borderId="91" xfId="1" applyFont="1" applyFill="1" applyBorder="1" applyAlignment="1" applyProtection="1">
      <alignment horizontal="center"/>
      <protection hidden="1"/>
    </xf>
    <xf numFmtId="0" fontId="6" fillId="2" borderId="91" xfId="1" applyFont="1" applyFill="1" applyBorder="1" applyAlignment="1" applyProtection="1">
      <alignment horizontal="center"/>
      <protection hidden="1"/>
    </xf>
    <xf numFmtId="168" fontId="6" fillId="3" borderId="91" xfId="1" applyNumberFormat="1" applyFont="1" applyFill="1" applyBorder="1" applyAlignment="1" applyProtection="1">
      <alignment horizontal="center"/>
      <protection locked="0"/>
    </xf>
    <xf numFmtId="1" fontId="6" fillId="0" borderId="91" xfId="1" applyNumberFormat="1" applyFont="1" applyBorder="1" applyAlignment="1" applyProtection="1">
      <alignment horizontal="center"/>
      <protection locked="0"/>
    </xf>
    <xf numFmtId="0" fontId="6" fillId="0" borderId="114" xfId="1" applyFont="1" applyBorder="1" applyAlignment="1">
      <alignment horizontal="center"/>
    </xf>
    <xf numFmtId="0" fontId="6" fillId="0" borderId="133" xfId="1" applyFont="1" applyBorder="1" applyAlignment="1">
      <alignment horizontal="center"/>
    </xf>
    <xf numFmtId="0" fontId="26" fillId="0" borderId="103" xfId="1" applyFont="1" applyBorder="1" applyProtection="1">
      <protection locked="0"/>
    </xf>
    <xf numFmtId="167" fontId="16" fillId="0" borderId="134" xfId="1" applyNumberFormat="1" applyFont="1" applyBorder="1" applyProtection="1">
      <protection hidden="1"/>
    </xf>
    <xf numFmtId="0" fontId="6" fillId="11" borderId="91" xfId="1" applyFont="1" applyFill="1" applyBorder="1" applyAlignment="1" applyProtection="1">
      <alignment horizontal="center"/>
      <protection hidden="1"/>
    </xf>
    <xf numFmtId="0" fontId="6" fillId="0" borderId="135" xfId="1" applyFont="1" applyBorder="1" applyAlignment="1">
      <alignment horizontal="center"/>
    </xf>
    <xf numFmtId="0" fontId="17" fillId="0" borderId="105" xfId="1" applyFont="1" applyBorder="1" applyProtection="1">
      <protection hidden="1"/>
    </xf>
    <xf numFmtId="167" fontId="16" fillId="0" borderId="136" xfId="1" applyNumberFormat="1" applyFont="1" applyBorder="1" applyProtection="1">
      <protection hidden="1"/>
    </xf>
    <xf numFmtId="0" fontId="6" fillId="0" borderId="137" xfId="1" applyFont="1" applyBorder="1" applyAlignment="1">
      <alignment horizontal="center"/>
    </xf>
    <xf numFmtId="167" fontId="16" fillId="0" borderId="138" xfId="1" applyNumberFormat="1" applyFont="1" applyBorder="1" applyProtection="1">
      <protection hidden="1"/>
    </xf>
    <xf numFmtId="0" fontId="6" fillId="0" borderId="139" xfId="1" applyFont="1" applyBorder="1" applyAlignment="1" applyProtection="1">
      <alignment horizontal="center"/>
      <protection hidden="1"/>
    </xf>
    <xf numFmtId="0" fontId="6" fillId="0" borderId="140" xfId="1" applyFont="1" applyBorder="1" applyAlignment="1" applyProtection="1">
      <alignment horizontal="center"/>
      <protection hidden="1"/>
    </xf>
    <xf numFmtId="0" fontId="6" fillId="0" borderId="141" xfId="1" applyFont="1" applyBorder="1" applyAlignment="1" applyProtection="1">
      <alignment horizontal="center"/>
      <protection hidden="1"/>
    </xf>
    <xf numFmtId="1" fontId="6" fillId="3" borderId="91" xfId="1" applyNumberFormat="1" applyFont="1" applyFill="1" applyBorder="1" applyAlignment="1" applyProtection="1">
      <alignment horizontal="center"/>
      <protection locked="0"/>
    </xf>
    <xf numFmtId="0" fontId="18" fillId="0" borderId="0" xfId="1" applyFont="1" applyProtection="1">
      <protection locked="0"/>
    </xf>
    <xf numFmtId="0" fontId="6" fillId="10" borderId="91" xfId="1" applyFont="1" applyFill="1" applyBorder="1" applyAlignment="1" applyProtection="1">
      <alignment horizontal="center"/>
      <protection locked="0"/>
    </xf>
    <xf numFmtId="0" fontId="6" fillId="2" borderId="91" xfId="1" applyFont="1" applyFill="1" applyBorder="1" applyAlignment="1">
      <alignment horizontal="center"/>
    </xf>
    <xf numFmtId="0" fontId="6" fillId="0" borderId="114" xfId="1" applyFont="1" applyBorder="1" applyAlignment="1" applyProtection="1">
      <alignment horizontal="center"/>
      <protection locked="0"/>
    </xf>
    <xf numFmtId="0" fontId="6" fillId="11" borderId="114" xfId="1" applyFont="1" applyFill="1" applyBorder="1" applyAlignment="1" applyProtection="1">
      <alignment horizontal="center"/>
      <protection locked="0"/>
    </xf>
    <xf numFmtId="0" fontId="37" fillId="0" borderId="91" xfId="1" applyFont="1" applyBorder="1" applyAlignment="1" applyProtection="1">
      <alignment horizontal="center"/>
      <protection locked="0"/>
    </xf>
    <xf numFmtId="167" fontId="36" fillId="0" borderId="92" xfId="1" applyNumberFormat="1" applyFont="1" applyBorder="1" applyProtection="1">
      <protection hidden="1"/>
    </xf>
    <xf numFmtId="0" fontId="4" fillId="6" borderId="91" xfId="1" applyFont="1" applyFill="1" applyBorder="1" applyAlignment="1" applyProtection="1">
      <alignment horizontal="center"/>
      <protection locked="0"/>
    </xf>
    <xf numFmtId="168" fontId="4" fillId="6" borderId="91" xfId="1" applyNumberFormat="1" applyFont="1" applyFill="1" applyBorder="1" applyAlignment="1">
      <alignment horizontal="center"/>
    </xf>
    <xf numFmtId="0" fontId="30" fillId="3" borderId="91" xfId="1" applyFont="1" applyFill="1" applyBorder="1" applyAlignment="1">
      <alignment horizontal="center"/>
    </xf>
    <xf numFmtId="167" fontId="14" fillId="0" borderId="92" xfId="1" applyNumberFormat="1" applyFont="1" applyBorder="1" applyProtection="1">
      <protection hidden="1"/>
    </xf>
    <xf numFmtId="0" fontId="30" fillId="0" borderId="91" xfId="1" applyFont="1" applyBorder="1" applyAlignment="1">
      <alignment horizontal="center"/>
    </xf>
    <xf numFmtId="0" fontId="6" fillId="14" borderId="91" xfId="1" applyFont="1" applyFill="1" applyBorder="1" applyAlignment="1">
      <alignment horizontal="center"/>
    </xf>
    <xf numFmtId="167" fontId="14" fillId="14" borderId="92" xfId="1" applyNumberFormat="1" applyFont="1" applyFill="1" applyBorder="1" applyProtection="1">
      <protection hidden="1"/>
    </xf>
    <xf numFmtId="0" fontId="1" fillId="0" borderId="83" xfId="1" applyBorder="1" applyProtection="1">
      <protection locked="0"/>
    </xf>
    <xf numFmtId="0" fontId="6" fillId="2" borderId="91" xfId="1" applyFont="1" applyFill="1" applyBorder="1" applyAlignment="1" applyProtection="1">
      <alignment horizontal="center"/>
      <protection locked="0"/>
    </xf>
    <xf numFmtId="0" fontId="37" fillId="0" borderId="114" xfId="1" applyFont="1" applyBorder="1" applyAlignment="1" applyProtection="1">
      <alignment horizontal="center"/>
      <protection locked="0"/>
    </xf>
    <xf numFmtId="167" fontId="16" fillId="0" borderId="142" xfId="1" applyNumberFormat="1" applyFont="1" applyBorder="1" applyProtection="1">
      <protection hidden="1"/>
    </xf>
    <xf numFmtId="167" fontId="16" fillId="2" borderId="142" xfId="1" applyNumberFormat="1" applyFont="1" applyFill="1" applyBorder="1" applyProtection="1">
      <protection hidden="1"/>
    </xf>
    <xf numFmtId="0" fontId="6" fillId="0" borderId="137" xfId="1" applyFont="1" applyBorder="1" applyAlignment="1" applyProtection="1">
      <alignment horizontal="center"/>
      <protection locked="0"/>
    </xf>
    <xf numFmtId="167" fontId="16" fillId="0" borderId="143" xfId="1" applyNumberFormat="1" applyFont="1" applyBorder="1" applyProtection="1">
      <protection hidden="1"/>
    </xf>
    <xf numFmtId="167" fontId="16" fillId="0" borderId="144" xfId="1" applyNumberFormat="1" applyFont="1" applyBorder="1" applyProtection="1">
      <protection hidden="1"/>
    </xf>
    <xf numFmtId="167" fontId="16" fillId="0" borderId="145" xfId="1" applyNumberFormat="1" applyFont="1" applyBorder="1" applyProtection="1">
      <protection hidden="1"/>
    </xf>
    <xf numFmtId="0" fontId="4" fillId="0" borderId="91" xfId="1" applyFont="1" applyBorder="1" applyAlignment="1" applyProtection="1">
      <alignment horizontal="center"/>
      <protection hidden="1"/>
    </xf>
    <xf numFmtId="0" fontId="16" fillId="0" borderId="138" xfId="1" applyFont="1" applyBorder="1" applyProtection="1">
      <protection hidden="1"/>
    </xf>
    <xf numFmtId="4" fontId="6" fillId="3" borderId="91" xfId="1" applyNumberFormat="1" applyFont="1" applyFill="1" applyBorder="1" applyAlignment="1" applyProtection="1">
      <alignment horizontal="center"/>
      <protection locked="0"/>
    </xf>
    <xf numFmtId="4" fontId="6" fillId="5" borderId="91" xfId="1" applyNumberFormat="1" applyFont="1" applyFill="1" applyBorder="1" applyAlignment="1" applyProtection="1">
      <alignment horizontal="center"/>
      <protection locked="0"/>
    </xf>
    <xf numFmtId="2" fontId="6" fillId="17" borderId="91" xfId="1" applyNumberFormat="1" applyFont="1" applyFill="1" applyBorder="1" applyAlignment="1" applyProtection="1">
      <alignment horizontal="center"/>
      <protection hidden="1"/>
    </xf>
    <xf numFmtId="2" fontId="6" fillId="0" borderId="91" xfId="1" applyNumberFormat="1" applyFont="1" applyBorder="1" applyAlignment="1" applyProtection="1">
      <alignment horizontal="center"/>
      <protection hidden="1"/>
    </xf>
    <xf numFmtId="4" fontId="42" fillId="0" borderId="91" xfId="1" applyNumberFormat="1" applyFont="1" applyBorder="1" applyAlignment="1" applyProtection="1">
      <alignment horizontal="center"/>
      <protection locked="0"/>
    </xf>
    <xf numFmtId="2" fontId="6" fillId="3" borderId="91" xfId="1" applyNumberFormat="1" applyFont="1" applyFill="1" applyBorder="1" applyAlignment="1" applyProtection="1">
      <alignment horizontal="center"/>
      <protection locked="0"/>
    </xf>
    <xf numFmtId="0" fontId="6" fillId="0" borderId="92" xfId="1" applyFont="1" applyBorder="1" applyProtection="1">
      <protection hidden="1"/>
    </xf>
    <xf numFmtId="1" fontId="6" fillId="2" borderId="91" xfId="1" applyNumberFormat="1" applyFont="1" applyFill="1" applyBorder="1" applyAlignment="1" applyProtection="1">
      <alignment horizontal="center"/>
      <protection locked="0"/>
    </xf>
    <xf numFmtId="1" fontId="6" fillId="2" borderId="91" xfId="1" applyNumberFormat="1" applyFont="1" applyFill="1" applyBorder="1" applyAlignment="1" applyProtection="1">
      <alignment horizontal="center"/>
      <protection hidden="1"/>
    </xf>
    <xf numFmtId="0" fontId="4" fillId="3" borderId="91" xfId="1" applyFont="1" applyFill="1" applyBorder="1" applyAlignment="1" applyProtection="1">
      <alignment horizontal="center"/>
      <protection locked="0"/>
    </xf>
    <xf numFmtId="0" fontId="4" fillId="3" borderId="82" xfId="1" applyFont="1" applyFill="1" applyBorder="1" applyAlignment="1" applyProtection="1">
      <alignment horizontal="center"/>
      <protection locked="0"/>
    </xf>
    <xf numFmtId="4" fontId="6" fillId="0" borderId="91" xfId="1" applyNumberFormat="1" applyFont="1" applyBorder="1" applyAlignment="1" applyProtection="1">
      <alignment horizontal="center"/>
      <protection locked="0"/>
    </xf>
    <xf numFmtId="167" fontId="46" fillId="0" borderId="146" xfId="1" applyNumberFormat="1" applyFont="1" applyBorder="1" applyProtection="1">
      <protection hidden="1"/>
    </xf>
    <xf numFmtId="167" fontId="46" fillId="0" borderId="130" xfId="1" applyNumberFormat="1" applyFont="1" applyBorder="1" applyProtection="1">
      <protection hidden="1"/>
    </xf>
    <xf numFmtId="167" fontId="16" fillId="2" borderId="0" xfId="1" applyNumberFormat="1" applyFont="1" applyFill="1" applyProtection="1">
      <protection locked="0"/>
    </xf>
    <xf numFmtId="0" fontId="6" fillId="6" borderId="91" xfId="1" applyFont="1" applyFill="1" applyBorder="1" applyAlignment="1" applyProtection="1">
      <alignment horizontal="center"/>
      <protection hidden="1"/>
    </xf>
    <xf numFmtId="3" fontId="16" fillId="3" borderId="91" xfId="1" applyNumberFormat="1" applyFont="1" applyFill="1" applyBorder="1" applyAlignment="1" applyProtection="1">
      <alignment horizontal="center"/>
      <protection locked="0"/>
    </xf>
    <xf numFmtId="0" fontId="1" fillId="2" borderId="0" xfId="1" applyFill="1" applyProtection="1">
      <protection locked="0"/>
    </xf>
    <xf numFmtId="167" fontId="16" fillId="0" borderId="129" xfId="1" applyNumberFormat="1" applyFont="1" applyBorder="1" applyAlignment="1" applyProtection="1">
      <alignment horizontal="center"/>
      <protection hidden="1"/>
    </xf>
    <xf numFmtId="167" fontId="14" fillId="4" borderId="129" xfId="1" applyNumberFormat="1" applyFont="1" applyFill="1" applyBorder="1" applyAlignment="1" applyProtection="1">
      <alignment horizontal="center"/>
      <protection locked="0"/>
    </xf>
    <xf numFmtId="167" fontId="16" fillId="0" borderId="129" xfId="1" applyNumberFormat="1" applyFont="1" applyBorder="1" applyAlignment="1" applyProtection="1">
      <alignment horizontal="left"/>
      <protection locked="0"/>
    </xf>
    <xf numFmtId="4" fontId="16" fillId="0" borderId="92" xfId="1" applyNumberFormat="1" applyFont="1" applyBorder="1" applyProtection="1">
      <protection hidden="1"/>
    </xf>
    <xf numFmtId="0" fontId="1" fillId="0" borderId="45" xfId="1" applyBorder="1" applyProtection="1">
      <protection locked="0"/>
    </xf>
    <xf numFmtId="0" fontId="1" fillId="0" borderId="88" xfId="1" applyBorder="1" applyProtection="1">
      <protection locked="0"/>
    </xf>
    <xf numFmtId="4" fontId="12" fillId="0" borderId="94" xfId="1" applyNumberFormat="1" applyFont="1" applyBorder="1" applyAlignment="1" applyProtection="1">
      <alignment horizontal="center"/>
      <protection hidden="1"/>
    </xf>
    <xf numFmtId="167" fontId="16" fillId="0" borderId="94" xfId="1" applyNumberFormat="1" applyFont="1" applyBorder="1" applyProtection="1">
      <protection hidden="1"/>
    </xf>
    <xf numFmtId="4" fontId="16" fillId="0" borderId="94" xfId="1" applyNumberFormat="1" applyFont="1" applyBorder="1" applyProtection="1">
      <protection hidden="1"/>
    </xf>
    <xf numFmtId="4" fontId="16" fillId="0" borderId="95" xfId="1" applyNumberFormat="1" applyFont="1" applyBorder="1" applyProtection="1">
      <protection hidden="1"/>
    </xf>
    <xf numFmtId="0" fontId="63" fillId="30" borderId="0" xfId="1" applyFont="1" applyFill="1" applyAlignment="1" applyProtection="1">
      <alignment vertical="center"/>
      <protection hidden="1"/>
    </xf>
    <xf numFmtId="167" fontId="1" fillId="0" borderId="12" xfId="1" applyNumberFormat="1" applyBorder="1" applyAlignment="1" applyProtection="1">
      <alignment horizontal="left"/>
      <protection hidden="1"/>
    </xf>
    <xf numFmtId="167" fontId="1" fillId="0" borderId="88" xfId="1" applyNumberFormat="1" applyBorder="1" applyAlignment="1" applyProtection="1">
      <alignment horizontal="left"/>
      <protection hidden="1"/>
    </xf>
    <xf numFmtId="167" fontId="1" fillId="2" borderId="0" xfId="1" applyNumberFormat="1" applyFill="1" applyAlignment="1" applyProtection="1">
      <alignment horizontal="center"/>
      <protection locked="0"/>
    </xf>
    <xf numFmtId="0" fontId="1" fillId="2" borderId="0" xfId="1" applyFill="1" applyAlignment="1" applyProtection="1">
      <alignment horizontal="center"/>
      <protection locked="0"/>
    </xf>
    <xf numFmtId="0" fontId="52" fillId="0" borderId="56" xfId="1" applyFont="1" applyBorder="1" applyAlignment="1" applyProtection="1">
      <alignment horizontal="center" vertical="center"/>
      <protection hidden="1"/>
    </xf>
    <xf numFmtId="0" fontId="52" fillId="0" borderId="96" xfId="1" applyFont="1" applyBorder="1" applyAlignment="1" applyProtection="1">
      <alignment horizontal="center" vertical="center"/>
      <protection hidden="1"/>
    </xf>
    <xf numFmtId="167" fontId="49" fillId="3" borderId="81" xfId="1" applyNumberFormat="1" applyFont="1" applyFill="1" applyBorder="1" applyAlignment="1" applyProtection="1">
      <alignment horizontal="center" vertical="center"/>
      <protection locked="0"/>
    </xf>
    <xf numFmtId="167" fontId="49" fillId="3" borderId="84" xfId="1" applyNumberFormat="1" applyFont="1" applyFill="1" applyBorder="1" applyAlignment="1" applyProtection="1">
      <alignment horizontal="center" vertical="center"/>
      <protection locked="0"/>
    </xf>
    <xf numFmtId="167" fontId="49" fillId="3" borderId="87" xfId="1" applyNumberFormat="1" applyFont="1" applyFill="1" applyBorder="1" applyAlignment="1" applyProtection="1">
      <alignment horizontal="center" vertical="center"/>
      <protection locked="0"/>
    </xf>
    <xf numFmtId="167" fontId="1" fillId="0" borderId="10" xfId="1" applyNumberFormat="1" applyBorder="1" applyAlignment="1" applyProtection="1">
      <alignment horizontal="left"/>
      <protection hidden="1"/>
    </xf>
    <xf numFmtId="167" fontId="1" fillId="0" borderId="85" xfId="1" applyNumberFormat="1" applyBorder="1" applyAlignment="1" applyProtection="1">
      <alignment horizontal="left"/>
      <protection hidden="1"/>
    </xf>
    <xf numFmtId="167" fontId="1" fillId="0" borderId="8" xfId="1" applyNumberFormat="1" applyBorder="1" applyAlignment="1" applyProtection="1">
      <alignment horizontal="center"/>
      <protection hidden="1"/>
    </xf>
    <xf numFmtId="167" fontId="1" fillId="0" borderId="65" xfId="1" applyNumberFormat="1" applyBorder="1" applyAlignment="1" applyProtection="1">
      <alignment horizontal="center"/>
      <protection hidden="1"/>
    </xf>
    <xf numFmtId="167" fontId="1" fillId="0" borderId="8" xfId="1" applyNumberFormat="1" applyBorder="1" applyAlignment="1" applyProtection="1">
      <alignment horizontal="left"/>
      <protection hidden="1"/>
    </xf>
    <xf numFmtId="167" fontId="1" fillId="0" borderId="65" xfId="1" applyNumberFormat="1" applyBorder="1" applyAlignment="1" applyProtection="1">
      <alignment horizontal="left"/>
      <protection hidden="1"/>
    </xf>
    <xf numFmtId="0" fontId="1" fillId="0" borderId="71" xfId="1" applyBorder="1" applyAlignment="1" applyProtection="1">
      <alignment horizontal="center" vertical="center" wrapText="1"/>
      <protection locked="0"/>
    </xf>
    <xf numFmtId="0" fontId="1" fillId="0" borderId="73" xfId="1" applyBorder="1" applyAlignment="1" applyProtection="1">
      <alignment horizontal="center" vertical="center" wrapText="1"/>
      <protection locked="0"/>
    </xf>
    <xf numFmtId="0" fontId="1" fillId="0" borderId="77" xfId="1" applyBorder="1" applyAlignment="1" applyProtection="1">
      <alignment horizontal="center" vertical="center" wrapText="1"/>
      <protection locked="0"/>
    </xf>
    <xf numFmtId="0" fontId="43" fillId="0" borderId="7" xfId="1" applyFont="1" applyBorder="1" applyAlignment="1" applyProtection="1">
      <alignment horizontal="center" vertical="center"/>
      <protection locked="0"/>
    </xf>
    <xf numFmtId="0" fontId="43" fillId="0" borderId="4" xfId="1" applyFont="1" applyBorder="1" applyAlignment="1" applyProtection="1">
      <alignment horizontal="center" vertical="center"/>
      <protection locked="0"/>
    </xf>
    <xf numFmtId="0" fontId="4" fillId="0" borderId="8" xfId="1" applyFont="1" applyBorder="1" applyAlignment="1" applyProtection="1">
      <alignment horizontal="center"/>
      <protection locked="0"/>
    </xf>
    <xf numFmtId="0" fontId="4" fillId="0" borderId="65" xfId="1" applyFont="1" applyBorder="1" applyAlignment="1" applyProtection="1">
      <alignment horizontal="center"/>
      <protection locked="0"/>
    </xf>
    <xf numFmtId="0" fontId="4" fillId="0" borderId="46" xfId="1" applyFont="1" applyBorder="1" applyAlignment="1" applyProtection="1">
      <alignment horizontal="center"/>
      <protection locked="0"/>
    </xf>
    <xf numFmtId="167" fontId="48" fillId="10" borderId="79" xfId="1" applyNumberFormat="1" applyFont="1" applyFill="1" applyBorder="1" applyAlignment="1" applyProtection="1">
      <alignment horizontal="center" vertical="center"/>
      <protection hidden="1"/>
    </xf>
    <xf numFmtId="167" fontId="48" fillId="10" borderId="66" xfId="1" applyNumberFormat="1" applyFont="1" applyFill="1" applyBorder="1" applyAlignment="1" applyProtection="1">
      <alignment horizontal="center" vertical="center"/>
      <protection hidden="1"/>
    </xf>
    <xf numFmtId="167" fontId="48" fillId="10" borderId="11" xfId="1" applyNumberFormat="1" applyFont="1" applyFill="1" applyBorder="1" applyAlignment="1" applyProtection="1">
      <alignment horizontal="center" vertical="center"/>
      <protection hidden="1"/>
    </xf>
    <xf numFmtId="167" fontId="4" fillId="0" borderId="8" xfId="1" applyNumberFormat="1" applyFont="1" applyBorder="1" applyAlignment="1" applyProtection="1">
      <alignment horizontal="center"/>
      <protection locked="0"/>
    </xf>
    <xf numFmtId="167" fontId="4" fillId="0" borderId="65" xfId="1" applyNumberFormat="1" applyFont="1" applyBorder="1" applyAlignment="1" applyProtection="1">
      <alignment horizontal="center"/>
      <protection locked="0"/>
    </xf>
    <xf numFmtId="167" fontId="4" fillId="0" borderId="46" xfId="1" applyNumberFormat="1" applyFont="1" applyBorder="1" applyAlignment="1" applyProtection="1">
      <alignment horizontal="center"/>
      <protection locked="0"/>
    </xf>
    <xf numFmtId="167" fontId="16" fillId="0" borderId="123" xfId="1" applyNumberFormat="1" applyFont="1" applyBorder="1" applyAlignment="1" applyProtection="1">
      <alignment horizontal="center"/>
      <protection hidden="1"/>
    </xf>
    <xf numFmtId="0" fontId="16" fillId="0" borderId="56" xfId="1" applyFont="1" applyBorder="1" applyAlignment="1" applyProtection="1">
      <alignment horizontal="center" vertical="center"/>
      <protection hidden="1"/>
    </xf>
    <xf numFmtId="0" fontId="16" fillId="0" borderId="96" xfId="1" applyFont="1" applyBorder="1" applyAlignment="1" applyProtection="1">
      <alignment horizontal="center" vertical="center"/>
      <protection hidden="1"/>
    </xf>
    <xf numFmtId="0" fontId="16" fillId="0" borderId="0" xfId="1" applyFont="1" applyAlignment="1" applyProtection="1">
      <alignment horizontal="center" vertical="center"/>
      <protection hidden="1"/>
    </xf>
    <xf numFmtId="0" fontId="58" fillId="3" borderId="98" xfId="1" applyFont="1" applyFill="1" applyBorder="1" applyAlignment="1" applyProtection="1">
      <alignment horizontal="center" vertical="center"/>
      <protection hidden="1"/>
    </xf>
    <xf numFmtId="0" fontId="58" fillId="3" borderId="80" xfId="1" applyFont="1" applyFill="1" applyBorder="1" applyAlignment="1" applyProtection="1">
      <alignment horizontal="center" vertical="center"/>
      <protection hidden="1"/>
    </xf>
    <xf numFmtId="0" fontId="58" fillId="3" borderId="99" xfId="1" applyFont="1" applyFill="1" applyBorder="1" applyAlignment="1" applyProtection="1">
      <alignment horizontal="center" vertical="center"/>
      <protection hidden="1"/>
    </xf>
    <xf numFmtId="0" fontId="58" fillId="3" borderId="40" xfId="1" applyFont="1" applyFill="1" applyBorder="1" applyAlignment="1" applyProtection="1">
      <alignment horizontal="center" vertical="center"/>
      <protection hidden="1"/>
    </xf>
    <xf numFmtId="0" fontId="58" fillId="3" borderId="13" xfId="1" applyFont="1" applyFill="1" applyBorder="1" applyAlignment="1" applyProtection="1">
      <alignment horizontal="center" vertical="center"/>
      <protection hidden="1"/>
    </xf>
    <xf numFmtId="0" fontId="58" fillId="3" borderId="100" xfId="1" applyFont="1" applyFill="1" applyBorder="1" applyAlignment="1" applyProtection="1">
      <alignment horizontal="center" vertical="center"/>
      <protection hidden="1"/>
    </xf>
    <xf numFmtId="169" fontId="16" fillId="0" borderId="0" xfId="1" applyNumberFormat="1" applyFont="1" applyAlignment="1" applyProtection="1">
      <alignment horizontal="center"/>
      <protection hidden="1"/>
    </xf>
    <xf numFmtId="169" fontId="16" fillId="10" borderId="102" xfId="1" applyNumberFormat="1" applyFont="1" applyFill="1" applyBorder="1" applyAlignment="1" applyProtection="1">
      <alignment horizontal="center" wrapText="1"/>
      <protection hidden="1"/>
    </xf>
    <xf numFmtId="169" fontId="16" fillId="10" borderId="17" xfId="1" applyNumberFormat="1" applyFont="1" applyFill="1" applyBorder="1" applyAlignment="1" applyProtection="1">
      <alignment horizontal="center" wrapText="1"/>
      <protection hidden="1"/>
    </xf>
    <xf numFmtId="0" fontId="16" fillId="0" borderId="123" xfId="1" applyFont="1" applyBorder="1" applyAlignment="1" applyProtection="1">
      <alignment horizontal="center" vertical="center"/>
      <protection hidden="1"/>
    </xf>
    <xf numFmtId="167" fontId="16" fillId="3" borderId="6" xfId="1" applyNumberFormat="1" applyFont="1" applyFill="1" applyBorder="1" applyAlignment="1" applyProtection="1">
      <alignment horizontal="center"/>
      <protection hidden="1"/>
    </xf>
    <xf numFmtId="167" fontId="16" fillId="3" borderId="2" xfId="1" applyNumberFormat="1" applyFont="1" applyFill="1" applyBorder="1" applyAlignment="1" applyProtection="1">
      <alignment horizontal="center"/>
      <protection hidden="1"/>
    </xf>
  </cellXfs>
  <cellStyles count="6">
    <cellStyle name="Comma 2" xfId="5" xr:uid="{6D2051B9-839D-4814-8085-FE00D2C479CA}"/>
    <cellStyle name="Currency 2" xfId="4" xr:uid="{87AE7211-1776-4316-A74D-EE859FBA9638}"/>
    <cellStyle name="Hyperlink" xfId="2" builtinId="8"/>
    <cellStyle name="Normal" xfId="0" builtinId="0"/>
    <cellStyle name="Normal 2" xfId="1" xr:uid="{F771DABC-F67D-4012-B9E5-B9413D94E6B4}"/>
    <cellStyle name="Percent 2" xfId="3" xr:uid="{B2C4BEFC-A4CF-45B7-B61B-EB820D5B1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428625</xdr:colOff>
      <xdr:row>361</xdr:row>
      <xdr:rowOff>104775</xdr:rowOff>
    </xdr:from>
    <xdr:ext cx="76200" cy="200025"/>
    <xdr:sp macro="" textlink="">
      <xdr:nvSpPr>
        <xdr:cNvPr id="2" name="Text Box 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1506200" y="608838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660</xdr:row>
          <xdr:rowOff>0</xdr:rowOff>
        </xdr:from>
        <xdr:to>
          <xdr:col>47</xdr:col>
          <xdr:colOff>76200</xdr:colOff>
          <xdr:row>661</xdr:row>
          <xdr:rowOff>28575</xdr:rowOff>
        </xdr:to>
        <xdr:sp macro="" textlink="">
          <xdr:nvSpPr>
            <xdr:cNvPr id="2049" name="CbBGC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660</xdr:row>
          <xdr:rowOff>0</xdr:rowOff>
        </xdr:from>
        <xdr:to>
          <xdr:col>47</xdr:col>
          <xdr:colOff>76200</xdr:colOff>
          <xdr:row>661</xdr:row>
          <xdr:rowOff>28575</xdr:rowOff>
        </xdr:to>
        <xdr:sp macro="" textlink="">
          <xdr:nvSpPr>
            <xdr:cNvPr id="2050" name="CbBGC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660</xdr:row>
          <xdr:rowOff>0</xdr:rowOff>
        </xdr:from>
        <xdr:to>
          <xdr:col>47</xdr:col>
          <xdr:colOff>76200</xdr:colOff>
          <xdr:row>661</xdr:row>
          <xdr:rowOff>28575</xdr:rowOff>
        </xdr:to>
        <xdr:sp macro="" textlink="">
          <xdr:nvSpPr>
            <xdr:cNvPr id="2051" name="CbBGC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660</xdr:row>
          <xdr:rowOff>114300</xdr:rowOff>
        </xdr:from>
        <xdr:to>
          <xdr:col>47</xdr:col>
          <xdr:colOff>76200</xdr:colOff>
          <xdr:row>661</xdr:row>
          <xdr:rowOff>152400</xdr:rowOff>
        </xdr:to>
        <xdr:sp macro="" textlink="">
          <xdr:nvSpPr>
            <xdr:cNvPr id="2052" name="CbBGC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678</xdr:row>
          <xdr:rowOff>19050</xdr:rowOff>
        </xdr:from>
        <xdr:to>
          <xdr:col>47</xdr:col>
          <xdr:colOff>76200</xdr:colOff>
          <xdr:row>679</xdr:row>
          <xdr:rowOff>57150</xdr:rowOff>
        </xdr:to>
        <xdr:sp macro="" textlink="">
          <xdr:nvSpPr>
            <xdr:cNvPr id="2053" name="CbBGC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4</xdr:col>
          <xdr:colOff>561975</xdr:colOff>
          <xdr:row>0</xdr:row>
          <xdr:rowOff>0</xdr:rowOff>
        </xdr:to>
        <xdr:sp macro="" textlink="">
          <xdr:nvSpPr>
            <xdr:cNvPr id="2054" name="Save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561975</xdr:colOff>
          <xdr:row>0</xdr:row>
          <xdr:rowOff>0</xdr:rowOff>
        </xdr:to>
        <xdr:sp macro="" textlink="">
          <xdr:nvSpPr>
            <xdr:cNvPr id="2055" name="Spec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0</xdr:rowOff>
        </xdr:from>
        <xdr:to>
          <xdr:col>2</xdr:col>
          <xdr:colOff>781050</xdr:colOff>
          <xdr:row>0</xdr:row>
          <xdr:rowOff>0</xdr:rowOff>
        </xdr:to>
        <xdr:sp macro="" textlink="">
          <xdr:nvSpPr>
            <xdr:cNvPr id="2056" name="Qpreamb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1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image" Target="../media/image5.emf"/><Relationship Id="rId2" Type="http://schemas.openxmlformats.org/officeDocument/2006/relationships/printerSettings" Target="../printerSettings/printerSettings1.bin"/><Relationship Id="rId16" Type="http://schemas.openxmlformats.org/officeDocument/2006/relationships/control" Target="../activeX/activeX8.xml"/><Relationship Id="rId1" Type="http://schemas.openxmlformats.org/officeDocument/2006/relationships/hyperlink" Target="file:///\\server\Images\Project%20Items\Saftey%20rail.JPG" TargetMode="External"/><Relationship Id="rId6" Type="http://schemas.openxmlformats.org/officeDocument/2006/relationships/image" Target="../media/image1.emf"/><Relationship Id="rId11" Type="http://schemas.openxmlformats.org/officeDocument/2006/relationships/image" Target="../media/image2.emf"/><Relationship Id="rId5" Type="http://schemas.openxmlformats.org/officeDocument/2006/relationships/control" Target="../activeX/activeX1.xml"/><Relationship Id="rId15" Type="http://schemas.openxmlformats.org/officeDocument/2006/relationships/image" Target="../media/image4.emf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43C64-24A8-4696-B88D-5D62CE3AFCD7}">
  <sheetPr codeName="Sheet3">
    <tabColor theme="7" tint="0.39997558519241921"/>
  </sheetPr>
  <dimension ref="A1:AR3514"/>
  <sheetViews>
    <sheetView showZeros="0" tabSelected="1" topLeftCell="A44" zoomScale="90" zoomScaleNormal="90" workbookViewId="0">
      <selection activeCell="K49" sqref="K49"/>
    </sheetView>
  </sheetViews>
  <sheetFormatPr defaultColWidth="9.140625" defaultRowHeight="12.75" x14ac:dyDescent="0.2"/>
  <cols>
    <col min="1" max="1" width="10.28515625" style="3" bestFit="1" customWidth="1"/>
    <col min="2" max="2" width="12" style="3" customWidth="1"/>
    <col min="3" max="3" width="70.140625" style="3" customWidth="1"/>
    <col min="4" max="4" width="12.28515625" style="3" bestFit="1" customWidth="1"/>
    <col min="5" max="5" width="11.5703125" style="3" bestFit="1" customWidth="1"/>
    <col min="6" max="6" width="10.85546875" style="3" customWidth="1"/>
    <col min="7" max="7" width="11.85546875" style="3" customWidth="1"/>
    <col min="8" max="8" width="10.85546875" style="3" customWidth="1"/>
    <col min="9" max="9" width="16.28515625" style="3" customWidth="1"/>
    <col min="10" max="10" width="10.7109375" style="3" customWidth="1"/>
    <col min="11" max="11" width="52.140625" style="3" customWidth="1"/>
    <col min="12" max="12" width="28.28515625" style="3" customWidth="1"/>
    <col min="13" max="13" width="21.42578125" style="3" customWidth="1"/>
    <col min="14" max="14" width="17" style="8" customWidth="1"/>
    <col min="15" max="15" width="11.140625" style="58" customWidth="1"/>
    <col min="16" max="16" width="9.140625" style="58" customWidth="1"/>
    <col min="17" max="17" width="13.140625" style="3" customWidth="1"/>
    <col min="18" max="18" width="9.140625" style="3" customWidth="1"/>
    <col min="19" max="19" width="13.5703125" style="3" customWidth="1"/>
    <col min="20" max="23" width="9.140625" style="3" customWidth="1"/>
    <col min="24" max="24" width="7.5703125" style="3" customWidth="1"/>
    <col min="25" max="42" width="9.140625" style="3" customWidth="1"/>
    <col min="43" max="43" width="9.85546875" style="3" bestFit="1" customWidth="1"/>
    <col min="44" max="49" width="9.140625" style="3" customWidth="1"/>
    <col min="50" max="16384" width="9.140625" style="3"/>
  </cols>
  <sheetData>
    <row r="1" spans="1:20" ht="30" x14ac:dyDescent="0.2">
      <c r="C1" s="896" t="s">
        <v>1820</v>
      </c>
      <c r="D1" s="896"/>
      <c r="E1" s="896"/>
      <c r="F1" s="896"/>
      <c r="G1" s="189"/>
      <c r="H1" s="189"/>
      <c r="I1" s="13"/>
      <c r="J1" s="13"/>
      <c r="L1" s="8"/>
      <c r="M1" s="8"/>
      <c r="O1" s="3"/>
      <c r="P1" s="3"/>
    </row>
    <row r="2" spans="1:20" ht="12.75" customHeight="1" x14ac:dyDescent="0.2">
      <c r="C2" s="896"/>
      <c r="D2" s="896"/>
      <c r="E2" s="896"/>
      <c r="F2" s="896"/>
      <c r="G2" s="784"/>
      <c r="H2" s="784"/>
      <c r="I2" s="13"/>
      <c r="J2" s="13"/>
      <c r="L2" s="8"/>
      <c r="M2" s="8"/>
      <c r="O2" s="3"/>
      <c r="P2" s="3"/>
    </row>
    <row r="3" spans="1:20" ht="30" x14ac:dyDescent="0.2">
      <c r="C3" s="785"/>
      <c r="D3" s="785"/>
      <c r="E3" s="785"/>
      <c r="F3" s="785"/>
      <c r="G3" s="784"/>
      <c r="H3" s="784"/>
      <c r="I3" s="13"/>
      <c r="J3" s="13"/>
      <c r="L3" s="8"/>
      <c r="M3" s="8"/>
      <c r="O3" s="3"/>
      <c r="P3" s="3"/>
    </row>
    <row r="4" spans="1:20" customFormat="1" ht="15.75" thickBot="1" x14ac:dyDescent="0.3"/>
    <row r="5" spans="1:20" ht="13.5" thickBot="1" x14ac:dyDescent="0.25">
      <c r="A5" s="783"/>
      <c r="B5" s="337"/>
      <c r="C5" s="796" t="s">
        <v>3</v>
      </c>
      <c r="D5" s="797"/>
      <c r="E5" s="797"/>
      <c r="F5" s="797"/>
      <c r="G5" s="797"/>
      <c r="H5" s="798"/>
      <c r="I5" s="13"/>
      <c r="J5" s="13"/>
      <c r="L5" s="8"/>
      <c r="M5" s="8"/>
      <c r="O5" s="3"/>
      <c r="P5" s="3"/>
    </row>
    <row r="6" spans="1:20" ht="21.75" customHeight="1" thickTop="1" thickBot="1" x14ac:dyDescent="0.35">
      <c r="A6" s="9"/>
      <c r="B6" s="799"/>
      <c r="C6" s="17" t="s">
        <v>4</v>
      </c>
      <c r="D6" s="15"/>
      <c r="E6" s="15"/>
      <c r="F6" s="15"/>
      <c r="G6" s="15"/>
      <c r="H6" s="800"/>
      <c r="I6" s="13"/>
      <c r="J6" s="13"/>
      <c r="L6" s="8"/>
      <c r="M6" s="8"/>
      <c r="N6" s="18" t="s">
        <v>5</v>
      </c>
      <c r="O6" s="19"/>
      <c r="P6" s="19"/>
      <c r="Q6" s="19"/>
      <c r="R6" s="20"/>
      <c r="S6" s="21" t="s">
        <v>6</v>
      </c>
    </row>
    <row r="7" spans="1:20" ht="13.5" thickTop="1" x14ac:dyDescent="0.2">
      <c r="A7" s="22"/>
      <c r="B7" s="801">
        <v>1</v>
      </c>
      <c r="C7" s="24" t="s">
        <v>7</v>
      </c>
      <c r="D7" s="25">
        <f>prices!F80*3</f>
        <v>43.679999999999993</v>
      </c>
      <c r="E7" s="25">
        <f>D7*B7</f>
        <v>43.679999999999993</v>
      </c>
      <c r="F7" s="26">
        <f>prices!F1157*B7</f>
        <v>64</v>
      </c>
      <c r="G7" s="15"/>
      <c r="H7" s="800"/>
      <c r="I7" s="13"/>
      <c r="J7" s="13"/>
      <c r="L7" s="8"/>
      <c r="M7" s="8"/>
      <c r="N7" s="27" t="s">
        <v>8</v>
      </c>
      <c r="O7" s="28" t="s">
        <v>9</v>
      </c>
      <c r="P7" s="29">
        <v>0.16200000000000001</v>
      </c>
      <c r="Q7" s="30">
        <f>P7*B9</f>
        <v>0.16200000000000001</v>
      </c>
      <c r="R7" s="31">
        <f>IF(B17+B9+B12+B13+B14+B15+B16+B10&gt;0.1,1,0)</f>
        <v>1</v>
      </c>
      <c r="S7" s="32">
        <f>(Q7*2)*B9</f>
        <v>0.32400000000000001</v>
      </c>
    </row>
    <row r="8" spans="1:20" x14ac:dyDescent="0.2">
      <c r="A8" s="22"/>
      <c r="B8" s="802"/>
      <c r="C8" s="34" t="s">
        <v>4</v>
      </c>
      <c r="D8" s="25"/>
      <c r="E8" s="25"/>
      <c r="F8" s="26"/>
      <c r="G8" s="15"/>
      <c r="H8" s="800"/>
      <c r="I8" s="13"/>
      <c r="J8" s="13"/>
      <c r="L8" s="8"/>
      <c r="M8" s="8"/>
      <c r="N8" s="35" t="s">
        <v>10</v>
      </c>
      <c r="O8" s="36" t="s">
        <v>9</v>
      </c>
      <c r="P8" s="37">
        <v>0.159</v>
      </c>
      <c r="Q8" s="38">
        <f>P8*B12</f>
        <v>0.159</v>
      </c>
      <c r="R8" s="38"/>
      <c r="S8" s="32">
        <f>(Q8*2)*B12</f>
        <v>0.318</v>
      </c>
    </row>
    <row r="9" spans="1:20" x14ac:dyDescent="0.2">
      <c r="A9" s="22"/>
      <c r="B9" s="801">
        <v>1</v>
      </c>
      <c r="C9" s="39" t="s">
        <v>11</v>
      </c>
      <c r="D9" s="40"/>
      <c r="E9" s="41"/>
      <c r="F9" s="26">
        <f>prices!F1157*Quotation!B9</f>
        <v>64</v>
      </c>
      <c r="G9" s="15"/>
      <c r="H9" s="800"/>
      <c r="I9" s="13"/>
      <c r="J9" s="13"/>
      <c r="L9" s="8"/>
      <c r="M9" s="8"/>
      <c r="N9" s="42" t="s">
        <v>12</v>
      </c>
      <c r="O9" s="36" t="s">
        <v>9</v>
      </c>
      <c r="P9" s="38">
        <v>0.191</v>
      </c>
      <c r="Q9" s="38">
        <f>P9*B13</f>
        <v>0.191</v>
      </c>
      <c r="R9" s="38"/>
      <c r="S9" s="32">
        <f>(Q9*2)*B13</f>
        <v>0.38200000000000001</v>
      </c>
    </row>
    <row r="10" spans="1:20" x14ac:dyDescent="0.2">
      <c r="A10" s="22"/>
      <c r="B10" s="801">
        <v>1</v>
      </c>
      <c r="C10" s="39" t="s">
        <v>13</v>
      </c>
      <c r="D10" s="40"/>
      <c r="E10" s="25"/>
      <c r="F10" s="26">
        <f>prices!F1158*Quotation!B10</f>
        <v>128</v>
      </c>
      <c r="G10" s="15"/>
      <c r="H10" s="800"/>
      <c r="I10" s="13"/>
      <c r="J10" s="13"/>
      <c r="L10" s="8"/>
      <c r="M10" s="8"/>
      <c r="N10" s="42" t="s">
        <v>14</v>
      </c>
      <c r="O10" s="36" t="s">
        <v>9</v>
      </c>
      <c r="P10" s="38">
        <v>0.23799999999999999</v>
      </c>
      <c r="Q10" s="38">
        <f>P10*B14</f>
        <v>0.23799999999999999</v>
      </c>
      <c r="R10" s="38"/>
      <c r="S10" s="32">
        <f>(Q10*2)*B14</f>
        <v>0.47599999999999998</v>
      </c>
      <c r="T10" s="43"/>
    </row>
    <row r="11" spans="1:20" x14ac:dyDescent="0.2">
      <c r="A11" s="22"/>
      <c r="B11" s="801"/>
      <c r="C11" s="34" t="s">
        <v>15</v>
      </c>
      <c r="D11" s="40"/>
      <c r="E11" s="25"/>
      <c r="F11" s="26"/>
      <c r="G11" s="15"/>
      <c r="H11" s="800"/>
      <c r="I11" s="13"/>
      <c r="J11" s="13"/>
      <c r="L11" s="8"/>
      <c r="M11" s="8"/>
      <c r="N11" s="42" t="s">
        <v>16</v>
      </c>
      <c r="O11" s="36" t="s">
        <v>9</v>
      </c>
      <c r="P11" s="38">
        <v>0.28599999999999998</v>
      </c>
      <c r="Q11" s="38">
        <f>P11*B15</f>
        <v>0.28599999999999998</v>
      </c>
      <c r="R11" s="38"/>
      <c r="S11" s="32">
        <f>(Q11*2)*B15</f>
        <v>0.57199999999999995</v>
      </c>
      <c r="T11" s="43"/>
    </row>
    <row r="12" spans="1:20" x14ac:dyDescent="0.2">
      <c r="A12" s="22"/>
      <c r="B12" s="801">
        <v>1</v>
      </c>
      <c r="C12" s="39" t="s">
        <v>17</v>
      </c>
      <c r="D12" s="40"/>
      <c r="E12" s="41"/>
      <c r="F12" s="26">
        <f>prices!F1159*Quotation!B12</f>
        <v>21.333333333333332</v>
      </c>
      <c r="G12" s="15"/>
      <c r="H12" s="800"/>
      <c r="I12" s="13"/>
      <c r="J12" s="13"/>
      <c r="L12" s="8"/>
      <c r="M12" s="8"/>
      <c r="N12" s="42" t="s">
        <v>18</v>
      </c>
      <c r="O12" s="36" t="s">
        <v>9</v>
      </c>
      <c r="P12" s="38">
        <v>0.318</v>
      </c>
      <c r="Q12" s="38">
        <f>P12*B16</f>
        <v>0.318</v>
      </c>
      <c r="R12" s="38"/>
      <c r="S12" s="32">
        <f>(Q12*2)*B16</f>
        <v>0.63600000000000001</v>
      </c>
    </row>
    <row r="13" spans="1:20" x14ac:dyDescent="0.2">
      <c r="A13" s="22"/>
      <c r="B13" s="801">
        <v>1</v>
      </c>
      <c r="C13" s="39" t="s">
        <v>19</v>
      </c>
      <c r="D13" s="40"/>
      <c r="E13" s="41"/>
      <c r="F13" s="26">
        <f>prices!F1159*Quotation!B13</f>
        <v>21.333333333333332</v>
      </c>
      <c r="G13" s="15"/>
      <c r="H13" s="800"/>
      <c r="I13" s="13"/>
      <c r="J13" s="13"/>
      <c r="L13" s="8"/>
      <c r="M13" s="8"/>
      <c r="N13" s="35" t="s">
        <v>20</v>
      </c>
      <c r="O13" s="36" t="s">
        <v>9</v>
      </c>
      <c r="P13" s="37">
        <v>0.28799999999999998</v>
      </c>
      <c r="Q13" s="38">
        <f>P13*B10</f>
        <v>0.28799999999999998</v>
      </c>
      <c r="R13" s="37"/>
      <c r="S13" s="32">
        <f>(Q13*2)*B10</f>
        <v>0.57599999999999996</v>
      </c>
      <c r="T13" s="43"/>
    </row>
    <row r="14" spans="1:20" x14ac:dyDescent="0.2">
      <c r="A14" s="22"/>
      <c r="B14" s="801">
        <v>1</v>
      </c>
      <c r="C14" s="39" t="s">
        <v>21</v>
      </c>
      <c r="D14" s="40"/>
      <c r="E14" s="41"/>
      <c r="F14" s="26">
        <f>prices!F1159*Quotation!B14</f>
        <v>21.333333333333332</v>
      </c>
      <c r="G14" s="15"/>
      <c r="H14" s="800"/>
      <c r="I14" s="13"/>
      <c r="J14" s="13"/>
      <c r="L14" s="8"/>
      <c r="M14" s="8"/>
      <c r="N14" s="42"/>
      <c r="O14" s="38"/>
      <c r="P14" s="38"/>
      <c r="Q14" s="38"/>
      <c r="R14" s="38"/>
      <c r="S14" s="32"/>
      <c r="T14" s="43"/>
    </row>
    <row r="15" spans="1:20" x14ac:dyDescent="0.2">
      <c r="A15" s="22"/>
      <c r="B15" s="801">
        <v>1</v>
      </c>
      <c r="C15" s="39" t="s">
        <v>21</v>
      </c>
      <c r="D15" s="40"/>
      <c r="E15" s="41"/>
      <c r="F15" s="26">
        <f>prices!F1159*Quotation!B15</f>
        <v>21.333333333333332</v>
      </c>
      <c r="G15" s="15"/>
      <c r="H15" s="800"/>
      <c r="I15" s="13"/>
      <c r="J15" s="13"/>
      <c r="L15" s="8"/>
      <c r="M15" s="8"/>
      <c r="N15" s="35"/>
      <c r="O15" s="37"/>
      <c r="P15" s="37"/>
      <c r="Q15" s="37"/>
      <c r="R15" s="37"/>
      <c r="S15" s="44"/>
      <c r="T15" s="43"/>
    </row>
    <row r="16" spans="1:20" x14ac:dyDescent="0.2">
      <c r="A16" s="22"/>
      <c r="B16" s="801">
        <v>1</v>
      </c>
      <c r="C16" s="39" t="s">
        <v>22</v>
      </c>
      <c r="D16" s="40"/>
      <c r="E16" s="41"/>
      <c r="F16" s="26">
        <f>prices!F1159*Quotation!B16</f>
        <v>21.333333333333332</v>
      </c>
      <c r="G16" s="15"/>
      <c r="H16" s="800"/>
      <c r="I16" s="13"/>
      <c r="J16" s="13"/>
      <c r="L16" s="8"/>
      <c r="M16" s="8"/>
      <c r="N16" s="35"/>
      <c r="O16" s="37"/>
      <c r="P16" s="37"/>
      <c r="Q16" s="37"/>
      <c r="R16" s="37"/>
      <c r="S16" s="44"/>
      <c r="T16" s="43"/>
    </row>
    <row r="17" spans="1:20" ht="13.5" thickBot="1" x14ac:dyDescent="0.25">
      <c r="A17" s="22"/>
      <c r="B17" s="801"/>
      <c r="C17" s="39" t="s">
        <v>23</v>
      </c>
      <c r="D17" s="45">
        <f>prices!F82</f>
        <v>480</v>
      </c>
      <c r="E17" s="25">
        <f>D17*B17</f>
        <v>0</v>
      </c>
      <c r="F17" s="26">
        <f>prices!F1161*Quotation!B17</f>
        <v>0</v>
      </c>
      <c r="G17" s="15"/>
      <c r="H17" s="800"/>
      <c r="I17" s="13"/>
      <c r="J17" s="13"/>
      <c r="L17" s="8"/>
      <c r="M17" s="8"/>
      <c r="N17" s="46"/>
      <c r="O17" s="47" t="s">
        <v>24</v>
      </c>
      <c r="P17" s="47"/>
      <c r="Q17" s="48">
        <f>SUM(Q7:Q16)</f>
        <v>1.6420000000000001</v>
      </c>
      <c r="R17" s="49">
        <f>Q17*prices!F82</f>
        <v>788.16000000000008</v>
      </c>
      <c r="S17" s="50">
        <f>SUM(S7:S16)</f>
        <v>3.2840000000000003</v>
      </c>
    </row>
    <row r="18" spans="1:20" ht="13.5" thickTop="1" x14ac:dyDescent="0.2">
      <c r="A18" s="22"/>
      <c r="B18" s="801"/>
      <c r="C18" s="39"/>
      <c r="D18" s="40"/>
      <c r="E18" s="25"/>
      <c r="F18" s="26"/>
      <c r="G18" s="15"/>
      <c r="H18" s="800"/>
      <c r="I18" s="13"/>
      <c r="J18" s="13"/>
      <c r="L18" s="8"/>
      <c r="M18" s="8"/>
      <c r="O18" s="3"/>
      <c r="P18" s="3"/>
      <c r="T18" s="43"/>
    </row>
    <row r="19" spans="1:20" x14ac:dyDescent="0.2">
      <c r="A19" s="22"/>
      <c r="B19" s="803">
        <f>IF(B9+B10+B12+B13+B14+B15+B16+B17&gt;0.01,1,0)</f>
        <v>1</v>
      </c>
      <c r="C19" s="39" t="s">
        <v>25</v>
      </c>
      <c r="D19" s="25">
        <f>R17*R7</f>
        <v>788.16000000000008</v>
      </c>
      <c r="E19" s="51">
        <f>IF(D19&lt;prices!F81,prices!F81,D19)*B19</f>
        <v>788.16000000000008</v>
      </c>
      <c r="F19" s="26"/>
      <c r="G19" s="15"/>
      <c r="H19" s="800"/>
      <c r="I19" s="13"/>
      <c r="J19" s="13"/>
      <c r="L19" s="8"/>
      <c r="M19" s="8"/>
      <c r="O19" s="3"/>
      <c r="P19" s="3"/>
      <c r="T19" s="43"/>
    </row>
    <row r="20" spans="1:20" x14ac:dyDescent="0.2">
      <c r="A20" s="22"/>
      <c r="B20" s="804">
        <f>IF(B12+B13+B14+B15+B16+B10+B9&gt;0.1,1,0)</f>
        <v>1</v>
      </c>
      <c r="C20" s="52" t="str">
        <f>IF(B20&gt;0.1,"Mini dingo post hole digger has been allicated",0)</f>
        <v>Mini dingo post hole digger has been allicated</v>
      </c>
      <c r="D20" s="25"/>
      <c r="E20" s="51">
        <f>prices!F136*Quotation!B20</f>
        <v>640</v>
      </c>
      <c r="F20" s="26"/>
      <c r="G20" s="15"/>
      <c r="H20" s="800"/>
      <c r="I20" s="13"/>
      <c r="J20" s="13"/>
      <c r="L20" s="8"/>
      <c r="M20" s="8"/>
      <c r="O20" s="3"/>
      <c r="P20" s="3"/>
      <c r="T20" s="43"/>
    </row>
    <row r="21" spans="1:20" x14ac:dyDescent="0.2">
      <c r="A21" s="22"/>
      <c r="B21" s="804">
        <f>IF(B20&gt;0.1,1,0)</f>
        <v>1</v>
      </c>
      <c r="C21" s="39" t="s">
        <v>26</v>
      </c>
      <c r="D21" s="53">
        <f>S17</f>
        <v>3.2840000000000003</v>
      </c>
      <c r="E21" s="51"/>
      <c r="F21" s="26">
        <f>(prices!F1160*Quotation!D21)*B21</f>
        <v>420.35200000000003</v>
      </c>
      <c r="G21" s="15"/>
      <c r="H21" s="800"/>
      <c r="I21" s="13"/>
      <c r="J21" s="13"/>
      <c r="L21" s="8"/>
      <c r="M21" s="8"/>
      <c r="O21" s="3"/>
      <c r="P21" s="3"/>
      <c r="T21" s="43"/>
    </row>
    <row r="22" spans="1:20" x14ac:dyDescent="0.2">
      <c r="A22" s="22"/>
      <c r="B22" s="805">
        <f>IF(B21&gt;0.1,1,0)</f>
        <v>1</v>
      </c>
      <c r="C22" s="52">
        <f>IF(D22&gt;0.1,"Waste bin 3m has been allicted including bin permit",0)</f>
        <v>0</v>
      </c>
      <c r="D22" s="54">
        <f>IF(D21&lt;3.1,1,0)</f>
        <v>0</v>
      </c>
      <c r="E22" s="51">
        <f>(prices!F1429+prices!F1432)*B22</f>
        <v>1248</v>
      </c>
      <c r="F22" s="26"/>
      <c r="G22" s="15"/>
      <c r="H22" s="800"/>
      <c r="I22" s="13"/>
      <c r="J22" s="13"/>
      <c r="L22" s="8"/>
      <c r="M22" s="8"/>
      <c r="O22" s="3"/>
      <c r="P22" s="3"/>
      <c r="T22" s="43"/>
    </row>
    <row r="23" spans="1:20" x14ac:dyDescent="0.2">
      <c r="A23" s="22"/>
      <c r="B23" s="801"/>
      <c r="C23" s="52" t="str">
        <f>IF(D21&gt;3.1,"Waste bin 6m has been allicted including bin permit",0)</f>
        <v>Waste bin 6m has been allicted including bin permit</v>
      </c>
      <c r="D23" s="54">
        <f>IF(D21&gt;3.1,1,0)</f>
        <v>1</v>
      </c>
      <c r="E23" s="51">
        <f>(prices!F1430+prices!F1432)*Quotation!B22</f>
        <v>1440</v>
      </c>
      <c r="F23" s="26"/>
      <c r="G23" s="15"/>
      <c r="H23" s="800"/>
      <c r="I23" s="13"/>
      <c r="J23" s="13"/>
      <c r="L23" s="8"/>
      <c r="M23" s="8"/>
      <c r="O23" s="3"/>
      <c r="P23" s="3"/>
      <c r="T23" s="43"/>
    </row>
    <row r="24" spans="1:20" x14ac:dyDescent="0.2">
      <c r="A24" s="22"/>
      <c r="B24" s="801"/>
      <c r="C24" s="52"/>
      <c r="D24" s="55"/>
      <c r="E24" s="51"/>
      <c r="F24" s="26"/>
      <c r="G24" s="15"/>
      <c r="H24" s="800"/>
      <c r="I24" s="13"/>
      <c r="J24" s="13"/>
      <c r="L24" s="8"/>
      <c r="M24" s="8"/>
      <c r="O24" s="3"/>
      <c r="P24" s="3"/>
      <c r="T24" s="43"/>
    </row>
    <row r="25" spans="1:20" x14ac:dyDescent="0.2">
      <c r="A25" s="22"/>
      <c r="B25" s="801"/>
      <c r="C25" s="56" t="s">
        <v>27</v>
      </c>
      <c r="D25" s="55"/>
      <c r="E25" s="51"/>
      <c r="F25" s="26"/>
      <c r="G25" s="15"/>
      <c r="H25" s="800"/>
      <c r="I25" s="13"/>
      <c r="J25" s="13"/>
      <c r="L25" s="8"/>
      <c r="M25" s="8"/>
      <c r="O25" s="3"/>
      <c r="P25" s="3"/>
      <c r="T25" s="43"/>
    </row>
    <row r="26" spans="1:20" x14ac:dyDescent="0.2">
      <c r="A26" s="22"/>
      <c r="B26" s="801">
        <v>1</v>
      </c>
      <c r="C26" s="57" t="s">
        <v>28</v>
      </c>
      <c r="D26" s="15">
        <f>INDEX(prices!$F$86:$F$95,MATCH(Quotation!C26,prices!$B$86:$B$95,0))</f>
        <v>24.32</v>
      </c>
      <c r="E26" s="15">
        <f>D26*B26</f>
        <v>24.32</v>
      </c>
      <c r="F26" s="15" t="e">
        <f>INDEX(prices!$F$1142:$F$1423,MATCH(Quotation!E26,prices!$F$1142:$F$1423,0))</f>
        <v>#N/A</v>
      </c>
      <c r="G26" s="15"/>
      <c r="H26" s="800"/>
      <c r="I26" s="13"/>
      <c r="J26" s="13"/>
    </row>
    <row r="27" spans="1:20" x14ac:dyDescent="0.2">
      <c r="A27" s="22"/>
      <c r="B27" s="801">
        <v>1</v>
      </c>
      <c r="C27" s="57" t="s">
        <v>29</v>
      </c>
      <c r="D27" s="15">
        <f>INDEX(prices!$F$86:$F$95,MATCH(Quotation!C27,prices!$B$86:$B$95,0))</f>
        <v>64</v>
      </c>
      <c r="E27" s="15">
        <f t="shared" ref="E27:E30" si="0">D27*B27</f>
        <v>64</v>
      </c>
      <c r="F27" s="15">
        <f>INDEX(prices!$F$1142:$F$1423,MATCH(Quotation!E27,prices!$F$1142:$F$1423,0))</f>
        <v>64</v>
      </c>
      <c r="G27" s="15"/>
      <c r="H27" s="800"/>
      <c r="I27" s="13"/>
      <c r="J27" s="13"/>
      <c r="L27" s="8"/>
      <c r="M27" s="8"/>
      <c r="O27" s="3"/>
      <c r="P27" s="3"/>
      <c r="T27" s="43"/>
    </row>
    <row r="28" spans="1:20" x14ac:dyDescent="0.2">
      <c r="A28" s="22"/>
      <c r="B28" s="801">
        <v>1</v>
      </c>
      <c r="C28" s="57" t="s">
        <v>30</v>
      </c>
      <c r="D28" s="15">
        <f>INDEX(prices!$F$86:$F$95,MATCH(Quotation!C28,prices!$B$86:$B$95,0))</f>
        <v>26.639999999999997</v>
      </c>
      <c r="E28" s="15">
        <f t="shared" si="0"/>
        <v>26.639999999999997</v>
      </c>
      <c r="F28" s="15" t="e">
        <f>INDEX(prices!$F$1142:$F$1423,MATCH(Quotation!E28,prices!$F$1142:$F$1423,0))</f>
        <v>#N/A</v>
      </c>
      <c r="G28" s="15"/>
      <c r="H28" s="800"/>
      <c r="I28" s="13"/>
      <c r="J28" s="13"/>
      <c r="L28" s="8"/>
      <c r="M28" s="8"/>
      <c r="O28" s="3"/>
      <c r="P28" s="3"/>
      <c r="T28" s="43"/>
    </row>
    <row r="29" spans="1:20" x14ac:dyDescent="0.2">
      <c r="A29" s="22"/>
      <c r="B29" s="801">
        <v>1</v>
      </c>
      <c r="C29" s="57" t="s">
        <v>31</v>
      </c>
      <c r="D29" s="15">
        <f>INDEX(prices!$F$86:$F$95,MATCH(Quotation!C29,prices!$B$86:$B$95,0))</f>
        <v>28.639999999999997</v>
      </c>
      <c r="E29" s="15">
        <f t="shared" si="0"/>
        <v>28.639999999999997</v>
      </c>
      <c r="F29" s="15" t="e">
        <f>INDEX(prices!$F$1142:$F$1423,MATCH(Quotation!E29,prices!$F$1142:$F$1423,0))</f>
        <v>#N/A</v>
      </c>
      <c r="G29" s="15"/>
      <c r="H29" s="800"/>
      <c r="I29" s="13"/>
      <c r="J29" s="13"/>
      <c r="L29" s="8"/>
      <c r="M29" s="8"/>
      <c r="O29" s="3"/>
      <c r="P29" s="3"/>
      <c r="T29" s="43"/>
    </row>
    <row r="30" spans="1:20" x14ac:dyDescent="0.2">
      <c r="A30" s="22"/>
      <c r="B30" s="801">
        <v>1</v>
      </c>
      <c r="C30" s="57" t="s">
        <v>32</v>
      </c>
      <c r="D30" s="15">
        <f>INDEX(prices!$F$86:$F$95,MATCH(Quotation!C30,prices!$B$86:$B$95,0))</f>
        <v>160</v>
      </c>
      <c r="E30" s="15">
        <f t="shared" si="0"/>
        <v>160</v>
      </c>
      <c r="F30" s="15" t="e">
        <f>INDEX(prices!$F$1142:$F$1423,MATCH(Quotation!E30,prices!$F$1142:$F$1423,0))</f>
        <v>#N/A</v>
      </c>
      <c r="G30" s="15"/>
      <c r="H30" s="800"/>
      <c r="I30" s="13"/>
      <c r="J30" s="13"/>
      <c r="L30" s="8"/>
      <c r="M30" s="8"/>
      <c r="O30" s="3"/>
      <c r="P30" s="3"/>
      <c r="T30" s="43"/>
    </row>
    <row r="31" spans="1:20" x14ac:dyDescent="0.2">
      <c r="A31" s="22"/>
      <c r="B31" s="801"/>
      <c r="C31" s="52"/>
      <c r="D31" s="55"/>
      <c r="E31" s="51"/>
      <c r="F31" s="26"/>
      <c r="G31" s="15"/>
      <c r="H31" s="800"/>
      <c r="I31" s="13"/>
      <c r="J31" s="13"/>
      <c r="L31" s="8"/>
      <c r="M31" s="8"/>
      <c r="O31" s="3"/>
      <c r="P31" s="3"/>
      <c r="T31" s="43"/>
    </row>
    <row r="32" spans="1:20" x14ac:dyDescent="0.2">
      <c r="A32" s="22"/>
      <c r="B32" s="801"/>
      <c r="C32" s="52"/>
      <c r="D32" s="55"/>
      <c r="E32" s="51"/>
      <c r="F32" s="26"/>
      <c r="G32" s="15"/>
      <c r="H32" s="800"/>
      <c r="I32" s="13"/>
      <c r="J32" s="13"/>
      <c r="L32" s="8"/>
      <c r="M32" s="8"/>
      <c r="O32" s="3"/>
      <c r="P32" s="3"/>
      <c r="T32" s="43"/>
    </row>
    <row r="33" spans="1:20" x14ac:dyDescent="0.2">
      <c r="A33" s="22"/>
      <c r="B33" s="801"/>
      <c r="C33" s="52"/>
      <c r="D33" s="55"/>
      <c r="E33" s="51"/>
      <c r="F33" s="26"/>
      <c r="G33" s="15"/>
      <c r="H33" s="800"/>
      <c r="I33" s="13"/>
      <c r="J33" s="13"/>
      <c r="L33" s="8"/>
      <c r="M33" s="8"/>
      <c r="O33" s="3"/>
      <c r="P33" s="3"/>
      <c r="T33" s="43"/>
    </row>
    <row r="34" spans="1:20" x14ac:dyDescent="0.2">
      <c r="A34" s="22"/>
      <c r="B34" s="801"/>
      <c r="C34" s="52"/>
      <c r="D34" s="55"/>
      <c r="E34" s="51"/>
      <c r="F34" s="26"/>
      <c r="G34" s="15"/>
      <c r="H34" s="800"/>
      <c r="I34" s="13"/>
      <c r="J34" s="13"/>
      <c r="L34" s="8"/>
      <c r="M34" s="8"/>
      <c r="O34" s="3"/>
      <c r="P34" s="3"/>
      <c r="T34" s="43"/>
    </row>
    <row r="35" spans="1:20" x14ac:dyDescent="0.2">
      <c r="A35" s="22"/>
      <c r="B35" s="801"/>
      <c r="C35" s="52"/>
      <c r="D35" s="55"/>
      <c r="E35" s="51"/>
      <c r="F35" s="26"/>
      <c r="G35" s="15"/>
      <c r="H35" s="800"/>
      <c r="I35" s="13"/>
      <c r="J35" s="13"/>
      <c r="L35" s="8"/>
      <c r="M35" s="8"/>
      <c r="O35" s="3"/>
      <c r="P35" s="3"/>
      <c r="T35" s="43"/>
    </row>
    <row r="36" spans="1:20" x14ac:dyDescent="0.2">
      <c r="A36" s="22"/>
      <c r="B36" s="801"/>
      <c r="C36" s="52"/>
      <c r="D36" s="55"/>
      <c r="E36" s="51"/>
      <c r="F36" s="26"/>
      <c r="G36" s="15"/>
      <c r="H36" s="800"/>
      <c r="I36" s="13"/>
      <c r="J36" s="13"/>
      <c r="L36" s="8"/>
      <c r="M36" s="8"/>
      <c r="O36" s="3"/>
      <c r="P36" s="3"/>
      <c r="T36" s="43"/>
    </row>
    <row r="37" spans="1:20" x14ac:dyDescent="0.2">
      <c r="A37" s="22"/>
      <c r="B37" s="801"/>
      <c r="C37" s="52"/>
      <c r="D37" s="55"/>
      <c r="E37" s="51"/>
      <c r="F37" s="26"/>
      <c r="G37" s="15"/>
      <c r="H37" s="800"/>
      <c r="I37" s="13"/>
      <c r="J37" s="13"/>
      <c r="L37" s="8"/>
      <c r="M37" s="8"/>
      <c r="O37" s="3"/>
      <c r="P37" s="3"/>
      <c r="T37" s="43"/>
    </row>
    <row r="38" spans="1:20" x14ac:dyDescent="0.2">
      <c r="A38" s="22"/>
      <c r="B38" s="801"/>
      <c r="C38" s="52"/>
      <c r="D38" s="55"/>
      <c r="E38" s="51"/>
      <c r="F38" s="26"/>
      <c r="G38" s="15"/>
      <c r="H38" s="800"/>
      <c r="I38" s="13"/>
      <c r="J38" s="13"/>
      <c r="L38" s="8"/>
      <c r="M38" s="8"/>
      <c r="O38" s="3"/>
      <c r="P38" s="3"/>
      <c r="T38" s="43"/>
    </row>
    <row r="39" spans="1:20" x14ac:dyDescent="0.2">
      <c r="A39" s="22"/>
      <c r="B39" s="801"/>
      <c r="C39" s="52"/>
      <c r="D39" s="55"/>
      <c r="E39" s="51"/>
      <c r="F39" s="26"/>
      <c r="G39" s="15"/>
      <c r="H39" s="800"/>
      <c r="I39" s="13"/>
      <c r="J39" s="13"/>
      <c r="L39" s="8"/>
      <c r="M39" s="8"/>
      <c r="O39" s="3"/>
      <c r="P39" s="3"/>
      <c r="T39" s="43"/>
    </row>
    <row r="40" spans="1:20" x14ac:dyDescent="0.2">
      <c r="A40" s="22"/>
      <c r="B40" s="801"/>
      <c r="C40" s="52"/>
      <c r="D40" s="55"/>
      <c r="E40" s="51"/>
      <c r="F40" s="26"/>
      <c r="G40" s="15"/>
      <c r="H40" s="800"/>
      <c r="I40" s="13"/>
      <c r="J40" s="13"/>
      <c r="L40" s="8"/>
      <c r="M40" s="8"/>
      <c r="O40" s="3"/>
      <c r="P40" s="3"/>
      <c r="T40" s="43"/>
    </row>
    <row r="41" spans="1:20" x14ac:dyDescent="0.2">
      <c r="A41" s="22"/>
      <c r="B41" s="801"/>
      <c r="C41" s="52"/>
      <c r="D41" s="55"/>
      <c r="E41" s="51"/>
      <c r="F41" s="26"/>
      <c r="G41" s="15"/>
      <c r="H41" s="800"/>
      <c r="I41" s="13"/>
      <c r="J41" s="13"/>
      <c r="L41" s="8"/>
      <c r="M41" s="8"/>
      <c r="O41" s="3"/>
      <c r="P41" s="3"/>
      <c r="T41" s="43"/>
    </row>
    <row r="42" spans="1:20" x14ac:dyDescent="0.2">
      <c r="A42" s="65"/>
      <c r="B42" s="801">
        <v>1</v>
      </c>
      <c r="C42" s="59" t="s">
        <v>33</v>
      </c>
      <c r="D42" s="25">
        <f>prices!F89+prices!F763*2+prices!F768*4+prices!F775*4</f>
        <v>28.748799999999996</v>
      </c>
      <c r="E42" s="25">
        <f>D42*B42</f>
        <v>28.748799999999996</v>
      </c>
      <c r="F42" s="26">
        <f>prices!F1163*B42</f>
        <v>21.333333333333332</v>
      </c>
      <c r="G42" s="15"/>
      <c r="H42" s="800"/>
      <c r="I42" s="13"/>
      <c r="J42" s="13"/>
      <c r="M42" s="8"/>
      <c r="O42" s="3"/>
      <c r="P42" s="3"/>
    </row>
    <row r="43" spans="1:20" x14ac:dyDescent="0.2">
      <c r="A43" s="65"/>
      <c r="B43" s="801">
        <v>1</v>
      </c>
      <c r="C43" s="59" t="s">
        <v>34</v>
      </c>
      <c r="D43" s="25">
        <f>prices!F90+prices!F763*2+prices!F768*4+prices!F775*4</f>
        <v>30.748799999999996</v>
      </c>
      <c r="E43" s="25">
        <f>D43*B43</f>
        <v>30.748799999999996</v>
      </c>
      <c r="F43" s="26">
        <f>prices!F1163*B43</f>
        <v>21.333333333333332</v>
      </c>
      <c r="G43" s="15"/>
      <c r="H43" s="800"/>
      <c r="I43" s="13"/>
      <c r="J43" s="13"/>
      <c r="M43" s="8"/>
      <c r="O43" s="3"/>
      <c r="P43" s="3"/>
    </row>
    <row r="44" spans="1:20" x14ac:dyDescent="0.2">
      <c r="A44" s="65"/>
      <c r="B44" s="801">
        <v>1</v>
      </c>
      <c r="C44" s="59" t="s">
        <v>35</v>
      </c>
      <c r="D44" s="25">
        <f>prices!F87</f>
        <v>24.32</v>
      </c>
      <c r="E44" s="25">
        <f>D44*B44</f>
        <v>24.32</v>
      </c>
      <c r="F44" s="26">
        <f>prices!F1163*B44</f>
        <v>21.333333333333332</v>
      </c>
      <c r="G44" s="15"/>
      <c r="H44" s="800"/>
      <c r="I44" s="13"/>
      <c r="J44" s="13"/>
      <c r="M44" s="8"/>
      <c r="O44" s="3"/>
      <c r="P44" s="3"/>
    </row>
    <row r="45" spans="1:20" x14ac:dyDescent="0.2">
      <c r="A45" s="22"/>
      <c r="B45" s="801">
        <v>1</v>
      </c>
      <c r="C45" s="59" t="s">
        <v>36</v>
      </c>
      <c r="D45" s="25">
        <f>prices!F1174</f>
        <v>96</v>
      </c>
      <c r="E45" s="25"/>
      <c r="F45" s="26">
        <f>D45*B45</f>
        <v>96</v>
      </c>
      <c r="G45" s="15"/>
      <c r="H45" s="800"/>
      <c r="I45" s="13"/>
      <c r="J45" s="13"/>
      <c r="M45" s="8"/>
      <c r="O45" s="3"/>
      <c r="P45" s="3"/>
    </row>
    <row r="46" spans="1:20" x14ac:dyDescent="0.2">
      <c r="A46" s="22"/>
      <c r="B46" s="801"/>
      <c r="C46" s="59" t="s">
        <v>37</v>
      </c>
      <c r="D46" s="25">
        <f>prices!F1147</f>
        <v>128</v>
      </c>
      <c r="E46" s="25"/>
      <c r="F46" s="26">
        <f>D46*B46</f>
        <v>0</v>
      </c>
      <c r="G46" s="15"/>
      <c r="H46" s="800"/>
      <c r="I46" s="13"/>
      <c r="J46" s="13"/>
      <c r="M46" s="8"/>
      <c r="O46" s="3"/>
      <c r="P46" s="3"/>
    </row>
    <row r="47" spans="1:20" x14ac:dyDescent="0.2">
      <c r="A47" s="22"/>
      <c r="B47" s="801"/>
      <c r="C47" s="60" t="s">
        <v>38</v>
      </c>
      <c r="D47" s="25"/>
      <c r="E47" s="25"/>
      <c r="F47" s="26"/>
      <c r="G47" s="15"/>
      <c r="H47" s="800"/>
      <c r="I47" s="13"/>
      <c r="J47" s="13"/>
      <c r="M47" s="8"/>
      <c r="O47" s="3"/>
      <c r="P47" s="3"/>
    </row>
    <row r="48" spans="1:20" x14ac:dyDescent="0.2">
      <c r="A48" s="22"/>
      <c r="B48" s="801">
        <v>0</v>
      </c>
      <c r="C48" s="39" t="s">
        <v>39</v>
      </c>
      <c r="D48" s="15">
        <f>prices!F576+prices!F577</f>
        <v>317.60000000000002</v>
      </c>
      <c r="E48" s="15">
        <f>D48*B48</f>
        <v>0</v>
      </c>
      <c r="F48" s="61">
        <f>prices!F579*Quotation!B48</f>
        <v>0</v>
      </c>
      <c r="G48" s="15"/>
      <c r="H48" s="800"/>
      <c r="I48" s="13"/>
      <c r="J48" s="13"/>
      <c r="M48" s="8"/>
      <c r="O48" s="3"/>
      <c r="P48" s="3"/>
    </row>
    <row r="49" spans="1:16" x14ac:dyDescent="0.2">
      <c r="A49" s="22"/>
      <c r="B49" s="806"/>
      <c r="C49" s="62" t="s">
        <v>40</v>
      </c>
      <c r="D49" s="15">
        <f>prices!F578</f>
        <v>1056</v>
      </c>
      <c r="E49" s="15">
        <f>IF(B48&gt;0.01,D49,0)</f>
        <v>0</v>
      </c>
      <c r="F49" s="61"/>
      <c r="G49" s="15"/>
      <c r="H49" s="800"/>
      <c r="I49" s="13"/>
      <c r="J49" s="13"/>
      <c r="M49" s="8"/>
      <c r="O49" s="3"/>
      <c r="P49" s="3"/>
    </row>
    <row r="50" spans="1:16" x14ac:dyDescent="0.2">
      <c r="A50" s="22"/>
      <c r="B50" s="806"/>
      <c r="C50" s="62" t="s">
        <v>41</v>
      </c>
      <c r="D50" s="15">
        <f>prices!F575</f>
        <v>160</v>
      </c>
      <c r="E50" s="15">
        <f>IF(B48&gt;0.01,D50,0)</f>
        <v>0</v>
      </c>
      <c r="F50" s="61"/>
      <c r="G50" s="15"/>
      <c r="H50" s="800"/>
      <c r="I50" s="13"/>
      <c r="J50" s="13"/>
      <c r="M50" s="8"/>
      <c r="O50" s="3"/>
      <c r="P50" s="3"/>
    </row>
    <row r="51" spans="1:16" x14ac:dyDescent="0.2">
      <c r="A51" s="22"/>
      <c r="B51" s="801"/>
      <c r="C51" s="39"/>
      <c r="D51" s="15"/>
      <c r="E51" s="15"/>
      <c r="F51" s="61"/>
      <c r="G51" s="15"/>
      <c r="H51" s="800"/>
      <c r="I51" s="13"/>
      <c r="J51" s="13"/>
      <c r="M51" s="8"/>
      <c r="O51" s="3"/>
      <c r="P51" s="3"/>
    </row>
    <row r="52" spans="1:16" x14ac:dyDescent="0.2">
      <c r="A52" s="22"/>
      <c r="B52" s="799"/>
      <c r="C52" s="39"/>
      <c r="D52" s="15"/>
      <c r="E52" s="15"/>
      <c r="F52" s="61"/>
      <c r="G52" s="15"/>
      <c r="H52" s="800"/>
      <c r="I52" s="13"/>
      <c r="J52" s="13"/>
      <c r="M52" s="8"/>
      <c r="O52" s="3"/>
      <c r="P52" s="3"/>
    </row>
    <row r="53" spans="1:16" x14ac:dyDescent="0.2">
      <c r="A53" s="22"/>
      <c r="B53" s="799"/>
      <c r="C53" s="63" t="s">
        <v>42</v>
      </c>
      <c r="D53" s="15"/>
      <c r="E53" s="15"/>
      <c r="F53" s="61"/>
      <c r="G53" s="15"/>
      <c r="H53" s="800"/>
      <c r="I53" s="13"/>
      <c r="J53" s="13"/>
      <c r="M53" s="8"/>
      <c r="O53" s="3"/>
      <c r="P53" s="3"/>
    </row>
    <row r="54" spans="1:16" x14ac:dyDescent="0.2">
      <c r="A54" s="22"/>
      <c r="B54" s="799"/>
      <c r="C54" s="64" t="s">
        <v>43</v>
      </c>
      <c r="D54" s="15"/>
      <c r="E54" s="15"/>
      <c r="F54" s="61"/>
      <c r="G54" s="15"/>
      <c r="H54" s="800"/>
      <c r="I54" s="13"/>
      <c r="J54" s="13"/>
      <c r="M54" s="8"/>
      <c r="O54" s="3"/>
      <c r="P54" s="3"/>
    </row>
    <row r="55" spans="1:16" x14ac:dyDescent="0.2">
      <c r="A55" s="22"/>
      <c r="B55" s="801"/>
      <c r="C55" s="39" t="s">
        <v>44</v>
      </c>
      <c r="D55" s="15">
        <f>prices!F152*3.6+prices!F773*2+prices!F775*2+prices!F753*3</f>
        <v>95.329456000000008</v>
      </c>
      <c r="E55" s="15">
        <f>D55*B55</f>
        <v>0</v>
      </c>
      <c r="F55" s="61">
        <f>prices!F1175*B55</f>
        <v>0</v>
      </c>
      <c r="G55" s="15"/>
      <c r="H55" s="800"/>
      <c r="I55" s="13"/>
      <c r="J55" s="13"/>
      <c r="M55" s="8"/>
      <c r="O55" s="3"/>
      <c r="P55" s="3"/>
    </row>
    <row r="56" spans="1:16" x14ac:dyDescent="0.2">
      <c r="A56" s="22"/>
      <c r="B56" s="801"/>
      <c r="C56" s="39" t="s">
        <v>45</v>
      </c>
      <c r="D56" s="15">
        <f>prices!F153*3.6+prices!F774*2+prices!F775*2+prices!F753*3</f>
        <v>147.52657600000001</v>
      </c>
      <c r="E56" s="15">
        <f t="shared" ref="E56:E71" si="1">D56*B56</f>
        <v>0</v>
      </c>
      <c r="F56" s="61">
        <f>prices!F1175*B56</f>
        <v>0</v>
      </c>
      <c r="G56" s="15"/>
      <c r="H56" s="800"/>
      <c r="I56" s="13"/>
      <c r="J56" s="13"/>
      <c r="M56" s="8"/>
      <c r="O56" s="3"/>
      <c r="P56" s="3"/>
    </row>
    <row r="57" spans="1:16" x14ac:dyDescent="0.2">
      <c r="A57" s="22"/>
      <c r="B57" s="801"/>
      <c r="C57" s="39" t="s">
        <v>46</v>
      </c>
      <c r="D57" s="15">
        <f>prices!F154*3.6+prices!F773*2+prices!F775*2+prices!F753*3</f>
        <v>105.52465599999999</v>
      </c>
      <c r="E57" s="15">
        <f t="shared" si="1"/>
        <v>0</v>
      </c>
      <c r="F57" s="61">
        <f>prices!F1175*B57</f>
        <v>0</v>
      </c>
      <c r="G57" s="15"/>
      <c r="H57" s="800"/>
      <c r="I57" s="13"/>
      <c r="J57" s="13"/>
      <c r="M57" s="8"/>
      <c r="O57" s="3"/>
      <c r="P57" s="3"/>
    </row>
    <row r="58" spans="1:16" x14ac:dyDescent="0.2">
      <c r="A58" s="22"/>
      <c r="B58" s="801"/>
      <c r="C58" s="39" t="s">
        <v>47</v>
      </c>
      <c r="D58" s="15">
        <f>prices!F155*3.6+prices!F774*2+prices!F775*2+prices!F753*3</f>
        <v>177.881776</v>
      </c>
      <c r="E58" s="15">
        <f t="shared" si="1"/>
        <v>0</v>
      </c>
      <c r="F58" s="61">
        <f>prices!F1175*B58</f>
        <v>0</v>
      </c>
      <c r="G58" s="15"/>
      <c r="H58" s="800"/>
      <c r="I58" s="13"/>
      <c r="J58" s="13"/>
      <c r="M58" s="8"/>
      <c r="O58" s="3"/>
      <c r="P58" s="3"/>
    </row>
    <row r="59" spans="1:16" x14ac:dyDescent="0.2">
      <c r="A59" s="65"/>
      <c r="B59" s="801"/>
      <c r="C59" s="39" t="s">
        <v>48</v>
      </c>
      <c r="D59" s="15">
        <f>prices!F156*4.2+prices!F774*2+prices!F775*2+prices!F753*3</f>
        <v>364.9377760000001</v>
      </c>
      <c r="E59" s="15">
        <f>D59*B59</f>
        <v>0</v>
      </c>
      <c r="F59" s="61">
        <f>prices!F1176*B59</f>
        <v>0</v>
      </c>
      <c r="G59" s="15"/>
      <c r="H59" s="800"/>
      <c r="I59" s="13"/>
      <c r="J59" s="13"/>
      <c r="M59" s="8"/>
      <c r="O59" s="3"/>
      <c r="P59" s="3"/>
    </row>
    <row r="60" spans="1:16" x14ac:dyDescent="0.2">
      <c r="A60" s="65"/>
      <c r="B60" s="801"/>
      <c r="C60" s="39" t="s">
        <v>49</v>
      </c>
      <c r="D60" s="15">
        <f>prices!F157*4.8+prices!F774*2+prices!F775*2+prices!F753*3</f>
        <v>1.4529759999999998</v>
      </c>
      <c r="E60" s="15">
        <f t="shared" si="1"/>
        <v>0</v>
      </c>
      <c r="F60" s="61">
        <f>prices!F1177*B60</f>
        <v>0</v>
      </c>
      <c r="G60" s="15"/>
      <c r="H60" s="800"/>
      <c r="I60" s="13"/>
      <c r="J60" s="13"/>
      <c r="M60" s="8"/>
      <c r="O60" s="3"/>
      <c r="P60" s="3"/>
    </row>
    <row r="61" spans="1:16" x14ac:dyDescent="0.2">
      <c r="A61" s="22"/>
      <c r="B61" s="801"/>
      <c r="C61" s="59" t="s">
        <v>50</v>
      </c>
      <c r="D61" s="15">
        <f>prices!F158*3.6+prices!F774*2+prices!F775*2+prices!F753*3</f>
        <v>142.63057600000002</v>
      </c>
      <c r="E61" s="15">
        <f>D61*B61</f>
        <v>0</v>
      </c>
      <c r="F61" s="61">
        <f>prices!F1175*B61</f>
        <v>0</v>
      </c>
      <c r="G61" s="15"/>
      <c r="H61" s="800"/>
      <c r="I61" s="13"/>
      <c r="J61" s="13"/>
      <c r="M61" s="8"/>
      <c r="O61" s="3"/>
      <c r="P61" s="3"/>
    </row>
    <row r="62" spans="1:16" x14ac:dyDescent="0.2">
      <c r="A62" s="22"/>
      <c r="B62" s="801"/>
      <c r="C62" s="59" t="s">
        <v>51</v>
      </c>
      <c r="D62" s="15">
        <f>prices!F159*3.6+prices!F774*2+prices!F775*2+prices!F753*3</f>
        <v>318.25297600000005</v>
      </c>
      <c r="E62" s="15">
        <f>D62*B62</f>
        <v>0</v>
      </c>
      <c r="F62" s="61">
        <f>prices!F1175*B62</f>
        <v>0</v>
      </c>
      <c r="G62" s="15"/>
      <c r="H62" s="800"/>
      <c r="I62" s="13"/>
      <c r="J62" s="13"/>
      <c r="M62" s="8"/>
      <c r="O62" s="3"/>
      <c r="P62" s="3"/>
    </row>
    <row r="63" spans="1:16" x14ac:dyDescent="0.2">
      <c r="A63" s="22"/>
      <c r="B63" s="801"/>
      <c r="C63" s="59" t="s">
        <v>52</v>
      </c>
      <c r="D63" s="15">
        <f>prices!F160*3.6+prices!F774*2+prices!F775*2+prices!F753*3</f>
        <v>430.51537600000006</v>
      </c>
      <c r="E63" s="15">
        <f>D63*B63</f>
        <v>0</v>
      </c>
      <c r="F63" s="61">
        <f>prices!F1176*B63</f>
        <v>0</v>
      </c>
      <c r="G63" s="15"/>
      <c r="H63" s="800"/>
      <c r="I63" s="13"/>
      <c r="J63" s="13"/>
      <c r="M63" s="8"/>
      <c r="O63" s="3"/>
      <c r="P63" s="3"/>
    </row>
    <row r="64" spans="1:16" x14ac:dyDescent="0.2">
      <c r="A64" s="65"/>
      <c r="B64" s="802"/>
      <c r="C64" s="66" t="s">
        <v>53</v>
      </c>
      <c r="D64" s="15">
        <f>prices!F161*3.6+prices!F773*2+prices!F775*2+prices!F753*3</f>
        <v>181.959856</v>
      </c>
      <c r="E64" s="15">
        <f t="shared" si="1"/>
        <v>0</v>
      </c>
      <c r="F64" s="61">
        <f>prices!F1175*B64</f>
        <v>0</v>
      </c>
      <c r="G64" s="15"/>
      <c r="H64" s="800"/>
      <c r="I64" s="13"/>
      <c r="J64" s="13"/>
      <c r="M64" s="8"/>
      <c r="O64" s="3"/>
      <c r="P64" s="3"/>
    </row>
    <row r="65" spans="1:16" x14ac:dyDescent="0.2">
      <c r="A65" s="67"/>
      <c r="B65" s="801"/>
      <c r="C65" s="39" t="s">
        <v>54</v>
      </c>
      <c r="D65" s="15">
        <f>prices!F162+prices!F773*2+prices!F775*2+prices!F753*3</f>
        <v>1.3262560000000001</v>
      </c>
      <c r="E65" s="15">
        <f t="shared" si="1"/>
        <v>0</v>
      </c>
      <c r="F65" s="61">
        <f>prices!F1175*B65</f>
        <v>0</v>
      </c>
      <c r="G65" s="15"/>
      <c r="H65" s="800"/>
      <c r="I65" s="13"/>
      <c r="J65" s="13"/>
      <c r="M65" s="8"/>
      <c r="O65" s="3"/>
      <c r="P65" s="3"/>
    </row>
    <row r="66" spans="1:16" x14ac:dyDescent="0.2">
      <c r="A66" s="65"/>
      <c r="B66" s="801"/>
      <c r="C66" s="39" t="s">
        <v>55</v>
      </c>
      <c r="D66" s="15">
        <f>prices!F163+prices!F774*2+prices!F775*2+prices!F753*3</f>
        <v>1.4529759999999998</v>
      </c>
      <c r="E66" s="15">
        <f t="shared" si="1"/>
        <v>0</v>
      </c>
      <c r="F66" s="61">
        <f>prices!F1175*B66</f>
        <v>0</v>
      </c>
      <c r="G66" s="15"/>
      <c r="H66" s="800"/>
      <c r="I66" s="13"/>
      <c r="J66" s="13"/>
      <c r="M66" s="8"/>
      <c r="O66" s="3"/>
      <c r="P66" s="3"/>
    </row>
    <row r="67" spans="1:16" x14ac:dyDescent="0.2">
      <c r="A67" s="68"/>
      <c r="B67" s="801"/>
      <c r="C67" s="39" t="s">
        <v>56</v>
      </c>
      <c r="D67" s="15">
        <f>prices!F165</f>
        <v>0</v>
      </c>
      <c r="E67" s="15">
        <f t="shared" si="1"/>
        <v>0</v>
      </c>
      <c r="F67" s="61">
        <f>prices!F1220*Quotation!B67</f>
        <v>0</v>
      </c>
      <c r="G67" s="15"/>
      <c r="H67" s="800"/>
      <c r="I67" s="13"/>
      <c r="J67" s="13"/>
      <c r="M67" s="8"/>
      <c r="O67" s="3"/>
      <c r="P67" s="3"/>
    </row>
    <row r="68" spans="1:16" x14ac:dyDescent="0.2">
      <c r="A68" s="65"/>
      <c r="B68" s="801"/>
      <c r="C68" s="39" t="s">
        <v>57</v>
      </c>
      <c r="D68" s="15">
        <f>prices!F164</f>
        <v>0</v>
      </c>
      <c r="E68" s="15">
        <f t="shared" si="1"/>
        <v>0</v>
      </c>
      <c r="F68" s="61">
        <f>prices!F1221*Quotation!B68</f>
        <v>0</v>
      </c>
      <c r="G68" s="15"/>
      <c r="H68" s="800"/>
      <c r="I68" s="13"/>
      <c r="J68" s="13"/>
      <c r="M68" s="8"/>
      <c r="O68" s="3"/>
      <c r="P68" s="3"/>
    </row>
    <row r="69" spans="1:16" x14ac:dyDescent="0.2">
      <c r="A69" s="65"/>
      <c r="B69" s="801"/>
      <c r="C69" s="39" t="s">
        <v>58</v>
      </c>
      <c r="D69" s="15">
        <f>prices!F155*1.5</f>
        <v>73.512</v>
      </c>
      <c r="E69" s="15">
        <f t="shared" si="1"/>
        <v>0</v>
      </c>
      <c r="F69" s="61">
        <f>prices!F1182*Quotation!B69</f>
        <v>0</v>
      </c>
      <c r="G69" s="15"/>
      <c r="H69" s="800"/>
      <c r="I69" s="13"/>
      <c r="J69" s="13"/>
      <c r="M69" s="8"/>
      <c r="O69" s="3"/>
      <c r="P69" s="3"/>
    </row>
    <row r="70" spans="1:16" x14ac:dyDescent="0.2">
      <c r="A70" s="65"/>
      <c r="B70" s="801"/>
      <c r="C70" s="39" t="s">
        <v>59</v>
      </c>
      <c r="D70" s="15">
        <f>prices!F161*0.6+prices!I762*2+prices!I773*2+prices!I775*2</f>
        <v>31.465599999999998</v>
      </c>
      <c r="E70" s="15">
        <f t="shared" si="1"/>
        <v>0</v>
      </c>
      <c r="F70" s="61">
        <f>prices!F1182*Quotation!B70</f>
        <v>0</v>
      </c>
      <c r="G70" s="15"/>
      <c r="H70" s="800"/>
      <c r="I70" s="13"/>
      <c r="J70" s="13"/>
      <c r="M70" s="8"/>
      <c r="O70" s="3"/>
      <c r="P70" s="3"/>
    </row>
    <row r="71" spans="1:16" x14ac:dyDescent="0.2">
      <c r="A71" s="65"/>
      <c r="B71" s="801"/>
      <c r="C71" s="69" t="s">
        <v>60</v>
      </c>
      <c r="D71" s="70">
        <v>1</v>
      </c>
      <c r="E71" s="15">
        <f t="shared" si="1"/>
        <v>0</v>
      </c>
      <c r="F71" s="61">
        <f>prices!F1176*B71</f>
        <v>0</v>
      </c>
      <c r="G71" s="15"/>
      <c r="H71" s="800"/>
      <c r="I71" s="13"/>
      <c r="J71" s="13"/>
      <c r="M71" s="8"/>
      <c r="O71" s="3"/>
      <c r="P71" s="3"/>
    </row>
    <row r="72" spans="1:16" x14ac:dyDescent="0.2">
      <c r="A72" s="65"/>
      <c r="B72" s="801"/>
      <c r="C72" s="64" t="s">
        <v>61</v>
      </c>
      <c r="D72" s="70"/>
      <c r="E72" s="15"/>
      <c r="F72" s="61"/>
      <c r="G72" s="15"/>
      <c r="H72" s="800"/>
      <c r="I72" s="13"/>
      <c r="J72" s="13"/>
      <c r="M72" s="8"/>
      <c r="O72" s="3"/>
      <c r="P72" s="3"/>
    </row>
    <row r="73" spans="1:16" x14ac:dyDescent="0.2">
      <c r="A73" s="65"/>
      <c r="B73" s="801"/>
      <c r="C73" s="39" t="s">
        <v>62</v>
      </c>
      <c r="D73" s="71">
        <f>prices!F790*3.6+prices!F773*2</f>
        <v>188.32640000000001</v>
      </c>
      <c r="E73" s="15">
        <f>D73*B73</f>
        <v>0</v>
      </c>
      <c r="F73" s="61">
        <f>prices!F1175*B73</f>
        <v>0</v>
      </c>
      <c r="G73" s="15"/>
      <c r="H73" s="800"/>
      <c r="I73" s="13"/>
      <c r="J73" s="13"/>
      <c r="M73" s="8"/>
      <c r="O73" s="3"/>
      <c r="P73" s="3"/>
    </row>
    <row r="74" spans="1:16" x14ac:dyDescent="0.2">
      <c r="A74" s="22"/>
      <c r="B74" s="801"/>
      <c r="C74" s="39" t="s">
        <v>63</v>
      </c>
      <c r="D74" s="15">
        <f>prices!F790+prices!F791</f>
        <v>52</v>
      </c>
      <c r="E74" s="15">
        <f>D74*B74</f>
        <v>0</v>
      </c>
      <c r="F74" s="72"/>
      <c r="G74" s="15"/>
      <c r="H74" s="800"/>
      <c r="I74" s="13"/>
      <c r="J74" s="13"/>
      <c r="M74" s="8"/>
      <c r="O74" s="3"/>
      <c r="P74" s="3"/>
    </row>
    <row r="75" spans="1:16" x14ac:dyDescent="0.2">
      <c r="A75" s="65"/>
      <c r="B75" s="801"/>
      <c r="C75" s="73" t="s">
        <v>64</v>
      </c>
      <c r="D75" s="71"/>
      <c r="E75" s="15"/>
      <c r="F75" s="61">
        <f>prices!F1179*Quotation!B75</f>
        <v>0</v>
      </c>
      <c r="G75" s="15"/>
      <c r="H75" s="800"/>
      <c r="I75" s="13"/>
      <c r="J75" s="13"/>
      <c r="M75" s="8"/>
      <c r="O75" s="3"/>
      <c r="P75" s="3"/>
    </row>
    <row r="76" spans="1:16" x14ac:dyDescent="0.2">
      <c r="A76" s="65"/>
      <c r="B76" s="801"/>
      <c r="C76" s="39" t="s">
        <v>65</v>
      </c>
      <c r="D76" s="71">
        <f>prices!F794</f>
        <v>8.9599999999999991</v>
      </c>
      <c r="E76" s="15">
        <f>IF(B76=0,0,IF(B76*D76&lt;prices!F793,prices!F793,B76*D76))</f>
        <v>0</v>
      </c>
      <c r="F76" s="61"/>
      <c r="G76" s="15"/>
      <c r="H76" s="800"/>
      <c r="I76" s="13"/>
      <c r="J76" s="13"/>
      <c r="M76" s="8"/>
      <c r="O76" s="3"/>
      <c r="P76" s="3"/>
    </row>
    <row r="77" spans="1:16" x14ac:dyDescent="0.2">
      <c r="A77" s="74"/>
      <c r="B77" s="807">
        <f>IF(B76&gt;0.1,1,0)</f>
        <v>0</v>
      </c>
      <c r="C77" s="75" t="s">
        <v>66</v>
      </c>
      <c r="D77" s="76">
        <f>prices!F806</f>
        <v>192</v>
      </c>
      <c r="E77" s="77">
        <f>D77*B76</f>
        <v>0</v>
      </c>
      <c r="F77" s="78"/>
      <c r="G77" s="77"/>
      <c r="H77" s="808"/>
      <c r="I77" s="13"/>
      <c r="J77" s="13"/>
      <c r="M77" s="8"/>
      <c r="O77" s="3"/>
      <c r="P77" s="3"/>
    </row>
    <row r="78" spans="1:16" x14ac:dyDescent="0.2">
      <c r="A78" s="65"/>
      <c r="B78" s="801"/>
      <c r="C78" s="39"/>
      <c r="D78" s="71"/>
      <c r="E78" s="15"/>
      <c r="F78" s="61"/>
      <c r="G78" s="15"/>
      <c r="H78" s="800"/>
      <c r="I78" s="13"/>
      <c r="J78" s="13"/>
      <c r="M78" s="8"/>
      <c r="O78" s="3"/>
      <c r="P78" s="3"/>
    </row>
    <row r="79" spans="1:16" x14ac:dyDescent="0.2">
      <c r="A79" s="22"/>
      <c r="B79" s="799"/>
      <c r="C79" s="63" t="s">
        <v>67</v>
      </c>
      <c r="D79" s="15"/>
      <c r="E79" s="15"/>
      <c r="F79" s="61"/>
      <c r="G79" s="15"/>
      <c r="H79" s="800"/>
      <c r="I79" s="13"/>
      <c r="J79" s="13"/>
      <c r="M79" s="8"/>
      <c r="O79" s="3"/>
      <c r="P79" s="3"/>
    </row>
    <row r="80" spans="1:16" x14ac:dyDescent="0.2">
      <c r="A80" s="22"/>
      <c r="B80" s="799"/>
      <c r="C80" s="64"/>
      <c r="D80" s="15"/>
      <c r="E80" s="15"/>
      <c r="F80" s="61"/>
      <c r="G80" s="15"/>
      <c r="H80" s="800"/>
      <c r="I80" s="13"/>
      <c r="J80" s="13"/>
      <c r="M80" s="8"/>
      <c r="O80" s="3"/>
      <c r="P80" s="3"/>
    </row>
    <row r="81" spans="1:16" ht="12" customHeight="1" x14ac:dyDescent="0.2">
      <c r="A81" s="65"/>
      <c r="B81" s="801"/>
      <c r="C81" s="39" t="s">
        <v>68</v>
      </c>
      <c r="D81" s="15">
        <f>prices!F166+prices!F783</f>
        <v>166.88</v>
      </c>
      <c r="E81" s="15">
        <f>D81*B81</f>
        <v>0</v>
      </c>
      <c r="F81" s="61">
        <f>prices!F1181*B81</f>
        <v>0</v>
      </c>
      <c r="G81" s="15"/>
      <c r="H81" s="800"/>
      <c r="I81" s="13"/>
      <c r="J81" s="13"/>
      <c r="M81" s="8"/>
      <c r="O81" s="3"/>
      <c r="P81" s="3"/>
    </row>
    <row r="82" spans="1:16" x14ac:dyDescent="0.2">
      <c r="A82" s="8"/>
      <c r="B82" s="342"/>
      <c r="C82" s="43"/>
      <c r="D82" s="72"/>
      <c r="E82" s="72"/>
      <c r="F82" s="72"/>
      <c r="G82" s="72"/>
      <c r="H82" s="809"/>
      <c r="J82" s="13"/>
      <c r="M82" s="8"/>
      <c r="O82" s="3"/>
      <c r="P82" s="3"/>
    </row>
    <row r="83" spans="1:16" x14ac:dyDescent="0.2">
      <c r="A83" s="22"/>
      <c r="B83" s="799"/>
      <c r="C83" s="39"/>
      <c r="D83" s="15"/>
      <c r="E83" s="15"/>
      <c r="F83" s="61"/>
      <c r="G83" s="15"/>
      <c r="H83" s="800"/>
      <c r="I83" s="13"/>
      <c r="J83" s="13"/>
      <c r="M83" s="8"/>
      <c r="O83" s="3"/>
      <c r="P83" s="3"/>
    </row>
    <row r="84" spans="1:16" x14ac:dyDescent="0.2">
      <c r="A84" s="22"/>
      <c r="B84" s="799"/>
      <c r="C84" s="63" t="s">
        <v>69</v>
      </c>
      <c r="D84" s="15"/>
      <c r="E84" s="15"/>
      <c r="F84" s="61"/>
      <c r="G84" s="15"/>
      <c r="H84" s="800"/>
      <c r="I84" s="13"/>
      <c r="J84" s="13"/>
      <c r="M84" s="8"/>
      <c r="O84" s="3"/>
      <c r="P84" s="3"/>
    </row>
    <row r="85" spans="1:16" x14ac:dyDescent="0.2">
      <c r="A85" s="65"/>
      <c r="B85" s="799"/>
      <c r="C85" s="79" t="s">
        <v>70</v>
      </c>
      <c r="D85" s="15"/>
      <c r="E85" s="15"/>
      <c r="F85" s="61"/>
      <c r="G85" s="15"/>
      <c r="H85" s="800"/>
      <c r="I85" s="13"/>
      <c r="J85" s="13"/>
      <c r="M85" s="8"/>
      <c r="O85" s="3"/>
      <c r="P85" s="3"/>
    </row>
    <row r="86" spans="1:16" x14ac:dyDescent="0.2">
      <c r="A86" s="65"/>
      <c r="B86" s="801"/>
      <c r="C86" s="39" t="s">
        <v>71</v>
      </c>
      <c r="D86" s="15">
        <f>prices!F200+prices!F200+prices!F201</f>
        <v>116.57599999999999</v>
      </c>
      <c r="E86" s="15">
        <f>B86*D86</f>
        <v>0</v>
      </c>
      <c r="F86" s="61">
        <f>prices!F1247*Quotation!B86</f>
        <v>0</v>
      </c>
      <c r="G86" s="80"/>
      <c r="H86" s="800">
        <v>0</v>
      </c>
      <c r="I86" s="13"/>
      <c r="J86" s="13"/>
      <c r="M86" s="8"/>
      <c r="O86" s="3"/>
      <c r="P86" s="3"/>
    </row>
    <row r="87" spans="1:16" x14ac:dyDescent="0.2">
      <c r="A87" s="65"/>
      <c r="B87" s="801"/>
      <c r="C87" s="39" t="s">
        <v>72</v>
      </c>
      <c r="D87" s="15">
        <f>prices!F171+prices!F173+prices!F173+E55+E43</f>
        <v>255.74879999999999</v>
      </c>
      <c r="E87" s="15">
        <f>D87*B87</f>
        <v>0</v>
      </c>
      <c r="F87" s="61">
        <f>prices!F1180*B87</f>
        <v>0</v>
      </c>
      <c r="G87" s="15"/>
      <c r="H87" s="800"/>
      <c r="I87" s="13"/>
      <c r="J87" s="13"/>
      <c r="M87" s="8"/>
      <c r="O87" s="3"/>
      <c r="P87" s="3"/>
    </row>
    <row r="88" spans="1:16" x14ac:dyDescent="0.2">
      <c r="A88" s="22"/>
      <c r="B88" s="801"/>
      <c r="C88" s="39" t="s">
        <v>73</v>
      </c>
      <c r="D88" s="15">
        <f>prices!F172+prices!F173+prices!F173+E55+E43</f>
        <v>289.83880000000005</v>
      </c>
      <c r="E88" s="15">
        <f>D88*B88</f>
        <v>0</v>
      </c>
      <c r="F88" s="61">
        <f>prices!F1180*B88</f>
        <v>0</v>
      </c>
      <c r="G88" s="15"/>
      <c r="H88" s="800"/>
      <c r="I88" s="13"/>
      <c r="J88" s="13"/>
      <c r="M88" s="8"/>
      <c r="O88" s="3"/>
      <c r="P88" s="3"/>
    </row>
    <row r="89" spans="1:16" x14ac:dyDescent="0.2">
      <c r="A89" s="22"/>
      <c r="B89" s="799"/>
      <c r="C89" s="39"/>
      <c r="D89" s="15"/>
      <c r="E89" s="15"/>
      <c r="F89" s="15"/>
      <c r="G89" s="15"/>
      <c r="H89" s="800"/>
      <c r="I89" s="13"/>
      <c r="J89" s="13"/>
      <c r="M89" s="8"/>
      <c r="O89" s="3"/>
      <c r="P89" s="3"/>
    </row>
    <row r="90" spans="1:16" x14ac:dyDescent="0.2">
      <c r="A90" s="22"/>
      <c r="B90" s="799"/>
      <c r="C90" s="63" t="s">
        <v>74</v>
      </c>
      <c r="D90" s="15"/>
      <c r="E90" s="15"/>
      <c r="F90" s="15"/>
      <c r="G90" s="15"/>
      <c r="H90" s="800"/>
      <c r="I90" s="13"/>
      <c r="J90" s="13"/>
      <c r="M90" s="8"/>
      <c r="O90" s="3"/>
      <c r="P90" s="3"/>
    </row>
    <row r="91" spans="1:16" x14ac:dyDescent="0.2">
      <c r="A91" s="22"/>
      <c r="B91" s="799"/>
      <c r="C91" s="69" t="s">
        <v>75</v>
      </c>
      <c r="D91" s="15"/>
      <c r="E91" s="15"/>
      <c r="F91" s="15"/>
      <c r="G91" s="15"/>
      <c r="H91" s="800"/>
      <c r="I91" s="13"/>
      <c r="J91" s="13"/>
      <c r="M91" s="8"/>
      <c r="O91" s="81"/>
      <c r="P91" s="3"/>
    </row>
    <row r="92" spans="1:16" x14ac:dyDescent="0.2">
      <c r="A92" s="22"/>
      <c r="B92" s="801"/>
      <c r="C92" s="39" t="s">
        <v>76</v>
      </c>
      <c r="D92" s="15">
        <f>prices!F199</f>
        <v>61.760000000000005</v>
      </c>
      <c r="E92" s="15">
        <f>D92*B92</f>
        <v>0</v>
      </c>
      <c r="F92" s="61"/>
      <c r="G92" s="15"/>
      <c r="H92" s="800"/>
      <c r="I92" s="13"/>
      <c r="J92" s="13"/>
      <c r="M92" s="8"/>
      <c r="O92" s="81"/>
      <c r="P92" s="3"/>
    </row>
    <row r="93" spans="1:16" x14ac:dyDescent="0.2">
      <c r="A93" s="22"/>
      <c r="B93" s="801"/>
      <c r="C93" s="39" t="s">
        <v>77</v>
      </c>
      <c r="D93" s="15">
        <f>prices!F200</f>
        <v>41.567999999999998</v>
      </c>
      <c r="E93" s="15">
        <f>D93*B93</f>
        <v>0</v>
      </c>
      <c r="F93" s="61"/>
      <c r="G93" s="15"/>
      <c r="H93" s="800"/>
      <c r="I93" s="13"/>
      <c r="J93" s="13"/>
      <c r="M93" s="8"/>
      <c r="O93" s="81"/>
      <c r="P93" s="3"/>
    </row>
    <row r="94" spans="1:16" x14ac:dyDescent="0.2">
      <c r="A94" s="22"/>
      <c r="B94" s="801"/>
      <c r="C94" s="24" t="s">
        <v>78</v>
      </c>
      <c r="D94" s="15">
        <f>prices!F201</f>
        <v>33.44</v>
      </c>
      <c r="E94" s="15">
        <f>D94*B94</f>
        <v>0</v>
      </c>
      <c r="F94" s="61"/>
      <c r="G94" s="15"/>
      <c r="H94" s="800"/>
      <c r="I94" s="13"/>
      <c r="J94" s="13"/>
      <c r="M94" s="8"/>
      <c r="O94" s="81"/>
      <c r="P94" s="3"/>
    </row>
    <row r="95" spans="1:16" x14ac:dyDescent="0.2">
      <c r="A95" s="22"/>
      <c r="B95" s="801"/>
      <c r="C95" s="39" t="s">
        <v>79</v>
      </c>
      <c r="D95" s="15">
        <f>prices!F202</f>
        <v>24.48</v>
      </c>
      <c r="E95" s="15">
        <f>D95*B95</f>
        <v>0</v>
      </c>
      <c r="F95" s="61"/>
      <c r="G95" s="15"/>
      <c r="H95" s="800"/>
      <c r="I95" s="13"/>
      <c r="J95" s="13"/>
      <c r="M95" s="8"/>
      <c r="O95" s="3"/>
      <c r="P95" s="3"/>
    </row>
    <row r="96" spans="1:16" x14ac:dyDescent="0.2">
      <c r="A96" s="22"/>
      <c r="B96" s="801"/>
      <c r="C96" s="39"/>
      <c r="D96" s="15"/>
      <c r="E96" s="15"/>
      <c r="F96" s="61"/>
      <c r="G96" s="15"/>
      <c r="H96" s="800"/>
      <c r="I96" s="13"/>
      <c r="J96" s="13"/>
      <c r="M96" s="8"/>
      <c r="O96" s="3"/>
      <c r="P96" s="3"/>
    </row>
    <row r="97" spans="1:16" x14ac:dyDescent="0.2">
      <c r="A97" s="22"/>
      <c r="B97" s="801"/>
      <c r="C97" s="52" t="s">
        <v>80</v>
      </c>
      <c r="D97" s="15"/>
      <c r="E97" s="15"/>
      <c r="F97" s="61"/>
      <c r="G97" s="15"/>
      <c r="H97" s="800"/>
      <c r="I97" s="13"/>
      <c r="J97" s="13"/>
      <c r="M97" s="8"/>
      <c r="O97" s="3"/>
      <c r="P97" s="3"/>
    </row>
    <row r="98" spans="1:16" x14ac:dyDescent="0.2">
      <c r="A98" s="22"/>
      <c r="B98" s="801"/>
      <c r="C98" s="66" t="s">
        <v>81</v>
      </c>
      <c r="D98" s="15">
        <f>prices!F201</f>
        <v>33.44</v>
      </c>
      <c r="E98" s="15">
        <f>D98*B98</f>
        <v>0</v>
      </c>
      <c r="F98" s="61"/>
      <c r="G98" s="15"/>
      <c r="H98" s="800"/>
      <c r="I98" s="13"/>
      <c r="J98" s="13"/>
      <c r="M98" s="8"/>
      <c r="O98" s="3"/>
      <c r="P98" s="3"/>
    </row>
    <row r="99" spans="1:16" x14ac:dyDescent="0.2">
      <c r="A99" s="22"/>
      <c r="B99" s="801"/>
      <c r="C99" s="39" t="s">
        <v>82</v>
      </c>
      <c r="D99" s="15">
        <f>prices!$F$302</f>
        <v>34.4</v>
      </c>
      <c r="E99" s="15">
        <f>D99*B99</f>
        <v>0</v>
      </c>
      <c r="F99" s="61"/>
      <c r="G99" s="15"/>
      <c r="H99" s="800"/>
      <c r="I99" s="13"/>
      <c r="J99" s="13"/>
      <c r="M99" s="8"/>
      <c r="O99" s="3"/>
      <c r="P99" s="3"/>
    </row>
    <row r="100" spans="1:16" x14ac:dyDescent="0.2">
      <c r="A100" s="22"/>
      <c r="B100" s="801"/>
      <c r="C100" s="69" t="s">
        <v>83</v>
      </c>
      <c r="D100" s="15"/>
      <c r="E100" s="15"/>
      <c r="F100" s="61"/>
      <c r="G100" s="15"/>
      <c r="H100" s="800"/>
      <c r="I100" s="13"/>
      <c r="J100" s="13"/>
      <c r="M100" s="8"/>
      <c r="O100" s="3"/>
      <c r="P100" s="3"/>
    </row>
    <row r="101" spans="1:16" x14ac:dyDescent="0.2">
      <c r="A101" s="22"/>
      <c r="B101" s="801"/>
      <c r="C101" s="39" t="s">
        <v>84</v>
      </c>
      <c r="D101" s="15">
        <f>prices!$F$304</f>
        <v>59.616</v>
      </c>
      <c r="E101" s="15">
        <f>D101*B101</f>
        <v>0</v>
      </c>
      <c r="F101" s="61"/>
      <c r="G101" s="15"/>
      <c r="H101" s="800"/>
      <c r="I101" s="13"/>
      <c r="J101" s="13"/>
      <c r="M101" s="8"/>
      <c r="O101" s="3"/>
      <c r="P101" s="3"/>
    </row>
    <row r="102" spans="1:16" x14ac:dyDescent="0.2">
      <c r="A102" s="22"/>
      <c r="B102" s="801"/>
      <c r="C102" s="39" t="s">
        <v>85</v>
      </c>
      <c r="D102" s="15">
        <f>prices!$F$303</f>
        <v>47.055999999999997</v>
      </c>
      <c r="E102" s="15">
        <f>D102*B102</f>
        <v>0</v>
      </c>
      <c r="F102" s="61"/>
      <c r="G102" s="15"/>
      <c r="H102" s="800"/>
      <c r="I102" s="13"/>
      <c r="J102" s="13"/>
      <c r="M102" s="8"/>
      <c r="O102" s="3"/>
      <c r="P102" s="3"/>
    </row>
    <row r="103" spans="1:16" x14ac:dyDescent="0.2">
      <c r="A103" s="22"/>
      <c r="B103" s="801"/>
      <c r="C103" s="39" t="s">
        <v>86</v>
      </c>
      <c r="D103" s="15">
        <f>prices!$F$302</f>
        <v>34.4</v>
      </c>
      <c r="E103" s="15">
        <f>D103*B103</f>
        <v>0</v>
      </c>
      <c r="F103" s="61"/>
      <c r="G103" s="15"/>
      <c r="H103" s="800"/>
      <c r="I103" s="13"/>
      <c r="J103" s="13"/>
      <c r="M103" s="8"/>
      <c r="O103" s="3"/>
      <c r="P103" s="3"/>
    </row>
    <row r="104" spans="1:16" x14ac:dyDescent="0.2">
      <c r="A104" s="22"/>
      <c r="B104" s="801"/>
      <c r="C104" s="39"/>
      <c r="D104" s="15"/>
      <c r="E104" s="15"/>
      <c r="F104" s="61"/>
      <c r="G104" s="15"/>
      <c r="H104" s="800"/>
      <c r="I104" s="13"/>
      <c r="J104" s="13"/>
      <c r="M104" s="8"/>
      <c r="O104" s="3"/>
      <c r="P104" s="3"/>
    </row>
    <row r="105" spans="1:16" x14ac:dyDescent="0.2">
      <c r="A105" s="22"/>
      <c r="B105" s="801"/>
      <c r="C105" s="52" t="s">
        <v>87</v>
      </c>
      <c r="D105" s="15"/>
      <c r="E105" s="15"/>
      <c r="F105" s="61"/>
      <c r="G105" s="15"/>
      <c r="H105" s="800"/>
      <c r="I105" s="13"/>
      <c r="J105" s="13"/>
      <c r="M105" s="8"/>
      <c r="O105" s="3"/>
      <c r="P105" s="3"/>
    </row>
    <row r="106" spans="1:16" x14ac:dyDescent="0.2">
      <c r="A106" s="22"/>
      <c r="B106" s="801"/>
      <c r="C106" s="57" t="s">
        <v>88</v>
      </c>
      <c r="D106" s="15">
        <f>INDEX(prices!$F$243:$F$269,MATCH(Quotation!C106,prices!$B$243:$B$269,0))</f>
        <v>26.799999999999997</v>
      </c>
      <c r="E106" s="15">
        <f>D106*B106</f>
        <v>0</v>
      </c>
      <c r="F106" s="61"/>
      <c r="G106" s="15"/>
      <c r="H106" s="800"/>
      <c r="I106" s="13"/>
      <c r="J106" s="13"/>
      <c r="M106" s="8"/>
      <c r="O106" s="3"/>
      <c r="P106" s="3"/>
    </row>
    <row r="107" spans="1:16" x14ac:dyDescent="0.2">
      <c r="A107" s="22"/>
      <c r="B107" s="801"/>
      <c r="C107" s="57" t="s">
        <v>88</v>
      </c>
      <c r="D107" s="15">
        <f>INDEX(prices!$F$243:$F$269,MATCH(Quotation!C107,prices!$B$243:$B$269,0))</f>
        <v>26.799999999999997</v>
      </c>
      <c r="E107" s="15">
        <f>D107*B107</f>
        <v>0</v>
      </c>
      <c r="F107" s="61"/>
      <c r="G107" s="15"/>
      <c r="H107" s="800"/>
      <c r="I107" s="13"/>
      <c r="J107" s="13"/>
      <c r="M107" s="8"/>
      <c r="O107" s="3"/>
      <c r="P107" s="3"/>
    </row>
    <row r="108" spans="1:16" x14ac:dyDescent="0.2">
      <c r="A108" s="22"/>
      <c r="B108" s="801"/>
      <c r="C108" s="57" t="s">
        <v>88</v>
      </c>
      <c r="D108" s="15">
        <f>INDEX(prices!$F$243:$F$269,MATCH(Quotation!C108,prices!$B$243:$B$269,0))</f>
        <v>26.799999999999997</v>
      </c>
      <c r="E108" s="15">
        <f>D108*B108</f>
        <v>0</v>
      </c>
      <c r="F108" s="61"/>
      <c r="G108" s="15"/>
      <c r="H108" s="800"/>
      <c r="I108" s="13"/>
      <c r="J108" s="13"/>
      <c r="M108" s="8"/>
      <c r="O108" s="3"/>
      <c r="P108" s="3"/>
    </row>
    <row r="109" spans="1:16" x14ac:dyDescent="0.2">
      <c r="A109" s="22"/>
      <c r="B109" s="801"/>
      <c r="C109" s="39"/>
      <c r="D109" s="15"/>
      <c r="E109" s="15"/>
      <c r="F109" s="61"/>
      <c r="G109" s="15"/>
      <c r="H109" s="800"/>
      <c r="I109" s="13"/>
      <c r="J109" s="13"/>
      <c r="M109" s="8"/>
      <c r="O109" s="3"/>
      <c r="P109" s="3"/>
    </row>
    <row r="110" spans="1:16" x14ac:dyDescent="0.2">
      <c r="A110" s="22"/>
      <c r="B110" s="801"/>
      <c r="C110" s="52" t="s">
        <v>89</v>
      </c>
      <c r="D110" s="15"/>
      <c r="E110" s="15"/>
      <c r="F110" s="61"/>
      <c r="G110" s="15"/>
      <c r="H110" s="800"/>
      <c r="I110" s="13"/>
      <c r="J110" s="13"/>
      <c r="M110" s="8"/>
      <c r="O110" s="3"/>
      <c r="P110" s="3"/>
    </row>
    <row r="111" spans="1:16" x14ac:dyDescent="0.2">
      <c r="A111" s="22"/>
      <c r="B111" s="801"/>
      <c r="C111" s="57" t="s">
        <v>90</v>
      </c>
      <c r="D111" s="15">
        <f>INDEX(prices!$F$187:$F$194,MATCH(Quotation!C111,prices!$B$187:$B$194,0))</f>
        <v>91.507199999999983</v>
      </c>
      <c r="E111" s="15">
        <f>D111*B111</f>
        <v>0</v>
      </c>
      <c r="F111" s="61"/>
      <c r="G111" s="15"/>
      <c r="H111" s="800"/>
      <c r="I111" s="13"/>
      <c r="J111" s="13"/>
      <c r="M111" s="8"/>
      <c r="O111" s="3"/>
      <c r="P111" s="3"/>
    </row>
    <row r="112" spans="1:16" x14ac:dyDescent="0.2">
      <c r="A112" s="22"/>
      <c r="B112" s="801"/>
      <c r="C112" s="57" t="s">
        <v>90</v>
      </c>
      <c r="D112" s="15">
        <f>INDEX(prices!$F$187:$F$194,MATCH(Quotation!C112,prices!$B$187:$B$194,0))</f>
        <v>91.507199999999983</v>
      </c>
      <c r="E112" s="15">
        <f t="shared" ref="E112:E113" si="2">D112*B112</f>
        <v>0</v>
      </c>
      <c r="F112" s="61"/>
      <c r="G112" s="15"/>
      <c r="H112" s="800"/>
      <c r="I112" s="13"/>
      <c r="J112" s="13"/>
      <c r="M112" s="8"/>
      <c r="O112" s="3"/>
      <c r="P112" s="3"/>
    </row>
    <row r="113" spans="1:16" x14ac:dyDescent="0.2">
      <c r="A113" s="22"/>
      <c r="B113" s="801"/>
      <c r="C113" s="57" t="s">
        <v>90</v>
      </c>
      <c r="D113" s="15">
        <f>INDEX(prices!$F$187:$F$194,MATCH(Quotation!C113,prices!$B$187:$B$194,0))</f>
        <v>91.507199999999983</v>
      </c>
      <c r="E113" s="15">
        <f t="shared" si="2"/>
        <v>0</v>
      </c>
      <c r="F113" s="61"/>
      <c r="G113" s="15"/>
      <c r="H113" s="800"/>
      <c r="I113" s="13"/>
      <c r="J113" s="13"/>
      <c r="M113" s="8"/>
      <c r="O113" s="3"/>
      <c r="P113" s="3"/>
    </row>
    <row r="114" spans="1:16" x14ac:dyDescent="0.2">
      <c r="A114" s="22"/>
      <c r="B114" s="801"/>
      <c r="C114" s="66" t="s">
        <v>91</v>
      </c>
      <c r="D114" s="82">
        <f>prices!F1445</f>
        <v>384</v>
      </c>
      <c r="E114" s="15">
        <f>D114*B114</f>
        <v>0</v>
      </c>
      <c r="F114" s="61"/>
      <c r="G114" s="15"/>
      <c r="H114" s="800"/>
      <c r="I114" s="13"/>
      <c r="J114" s="13"/>
      <c r="M114" s="8"/>
      <c r="O114" s="3"/>
      <c r="P114" s="3"/>
    </row>
    <row r="115" spans="1:16" x14ac:dyDescent="0.2">
      <c r="A115" s="22"/>
      <c r="B115" s="804">
        <f>IF(B111+B112+B113&gt;0.1,1,0)</f>
        <v>0</v>
      </c>
      <c r="C115" s="39" t="s">
        <v>92</v>
      </c>
      <c r="D115" s="77">
        <f>prices!F810</f>
        <v>400</v>
      </c>
      <c r="E115" s="15">
        <f>D115*B115</f>
        <v>0</v>
      </c>
      <c r="F115" s="61"/>
      <c r="G115" s="15"/>
      <c r="H115" s="800"/>
      <c r="I115" s="13"/>
      <c r="J115" s="13"/>
      <c r="M115" s="8"/>
      <c r="O115" s="3"/>
      <c r="P115" s="3"/>
    </row>
    <row r="116" spans="1:16" x14ac:dyDescent="0.2">
      <c r="A116" s="22"/>
      <c r="B116" s="806"/>
      <c r="C116" s="39"/>
      <c r="D116" s="15"/>
      <c r="E116" s="15"/>
      <c r="F116" s="61"/>
      <c r="G116" s="15"/>
      <c r="H116" s="800"/>
      <c r="I116" s="13"/>
      <c r="J116" s="13"/>
      <c r="M116" s="8"/>
      <c r="O116" s="3"/>
      <c r="P116" s="3"/>
    </row>
    <row r="117" spans="1:16" x14ac:dyDescent="0.2">
      <c r="A117" s="22"/>
      <c r="B117" s="806"/>
      <c r="C117" s="39"/>
      <c r="D117" s="15"/>
      <c r="E117" s="15"/>
      <c r="F117" s="61"/>
      <c r="G117" s="15"/>
      <c r="H117" s="800"/>
      <c r="I117" s="13"/>
      <c r="J117" s="13"/>
      <c r="M117" s="8"/>
      <c r="O117" s="3"/>
      <c r="P117" s="3"/>
    </row>
    <row r="118" spans="1:16" x14ac:dyDescent="0.2">
      <c r="A118" s="22"/>
      <c r="B118" s="801"/>
      <c r="C118" s="39"/>
      <c r="D118" s="15"/>
      <c r="E118" s="15"/>
      <c r="F118" s="61"/>
      <c r="G118" s="15"/>
      <c r="H118" s="800"/>
      <c r="I118" s="13"/>
      <c r="J118" s="13"/>
      <c r="O118" s="3"/>
      <c r="P118" s="3"/>
    </row>
    <row r="119" spans="1:16" x14ac:dyDescent="0.2">
      <c r="A119" s="22"/>
      <c r="B119" s="801"/>
      <c r="C119" s="39"/>
      <c r="D119" s="15"/>
      <c r="E119" s="15"/>
      <c r="F119" s="61"/>
      <c r="G119" s="15"/>
      <c r="H119" s="800"/>
      <c r="I119" s="13"/>
      <c r="J119" s="13"/>
      <c r="O119" s="3"/>
      <c r="P119" s="3"/>
    </row>
    <row r="120" spans="1:16" x14ac:dyDescent="0.2">
      <c r="A120" s="65"/>
      <c r="B120" s="801"/>
      <c r="C120" s="83" t="s">
        <v>93</v>
      </c>
      <c r="D120" s="15"/>
      <c r="E120" s="15"/>
      <c r="F120" s="61">
        <f>prices!F1210*Quotation!B120</f>
        <v>0</v>
      </c>
      <c r="G120" s="15"/>
      <c r="H120" s="800"/>
      <c r="I120" s="13"/>
      <c r="J120" s="13"/>
      <c r="O120" s="3"/>
      <c r="P120" s="3"/>
    </row>
    <row r="121" spans="1:16" x14ac:dyDescent="0.2">
      <c r="A121" s="22"/>
      <c r="B121" s="799"/>
      <c r="C121" s="84"/>
      <c r="D121" s="15"/>
      <c r="E121" s="15"/>
      <c r="F121" s="61"/>
      <c r="G121" s="15"/>
      <c r="H121" s="800"/>
      <c r="I121" s="13"/>
      <c r="J121" s="13"/>
      <c r="O121" s="3"/>
      <c r="P121" s="3"/>
    </row>
    <row r="122" spans="1:16" x14ac:dyDescent="0.2">
      <c r="A122" s="22"/>
      <c r="B122" s="799"/>
      <c r="C122" s="63" t="s">
        <v>94</v>
      </c>
      <c r="D122" s="15"/>
      <c r="E122" s="15"/>
      <c r="F122" s="61"/>
      <c r="G122" s="15"/>
      <c r="H122" s="800"/>
      <c r="I122" s="13"/>
      <c r="J122" s="13"/>
      <c r="O122" s="3"/>
      <c r="P122" s="3"/>
    </row>
    <row r="123" spans="1:16" x14ac:dyDescent="0.2">
      <c r="A123" s="65"/>
      <c r="B123" s="799"/>
      <c r="C123" s="64"/>
      <c r="D123" s="15"/>
      <c r="E123" s="15"/>
      <c r="F123" s="61"/>
      <c r="G123" s="15"/>
      <c r="H123" s="800"/>
      <c r="I123" s="13"/>
      <c r="J123" s="13"/>
      <c r="O123" s="3"/>
      <c r="P123" s="3"/>
    </row>
    <row r="124" spans="1:16" x14ac:dyDescent="0.2">
      <c r="A124" s="65"/>
      <c r="B124" s="801"/>
      <c r="C124" s="39" t="s">
        <v>95</v>
      </c>
      <c r="D124" s="15">
        <f>prices!F203*8.4+prices!F201*16.8+prices!F205*6+prices!F400*2+prices!F402*2+prices!F753*10+prices!F755*30+prices!F766*14+prices!F767*8+prices!F600*8.4+prices!F630*9+prices!F786*20</f>
        <v>1182.6666666666667</v>
      </c>
      <c r="E124" s="15">
        <f>D124*B124</f>
        <v>0</v>
      </c>
      <c r="F124" s="61">
        <f>prices!F1206*B124</f>
        <v>0</v>
      </c>
      <c r="G124" s="80">
        <f>(prices!F1034*4+prices!F1098*7)*Quotation!B124*B124</f>
        <v>0</v>
      </c>
      <c r="H124" s="800"/>
      <c r="I124" s="13"/>
      <c r="J124" s="13"/>
      <c r="O124" s="3"/>
      <c r="P124" s="3"/>
    </row>
    <row r="125" spans="1:16" x14ac:dyDescent="0.2">
      <c r="A125" s="65"/>
      <c r="B125" s="801"/>
      <c r="C125" s="39" t="s">
        <v>96</v>
      </c>
      <c r="D125" s="15">
        <f>prices!F203*8.4+prices!F201*8.4+prices!F766*14+prices!F767*6+prices!F600*8.4+prices!F400</f>
        <v>618.03903999999989</v>
      </c>
      <c r="E125" s="15">
        <f>D125*B125</f>
        <v>0</v>
      </c>
      <c r="F125" s="61">
        <f>prices!F1207*Quotation!B125</f>
        <v>0</v>
      </c>
      <c r="G125" s="80">
        <f>(prices!F1098*7+prices!F1052*3)*B125</f>
        <v>0</v>
      </c>
      <c r="H125" s="800"/>
      <c r="I125" s="13"/>
      <c r="J125" s="13"/>
      <c r="O125" s="3"/>
      <c r="P125" s="3"/>
    </row>
    <row r="126" spans="1:16" x14ac:dyDescent="0.2">
      <c r="A126" s="67"/>
      <c r="B126" s="801"/>
      <c r="C126" s="39" t="s">
        <v>97</v>
      </c>
      <c r="D126" s="15">
        <f>prices!F203+prices!F200+prices!F201+prices!F205*1.8+(prices!F400/3)+prices!F600+prices!F754*10+prices!F766*2</f>
        <v>158.22293333333332</v>
      </c>
      <c r="E126" s="15">
        <f>D126*B126</f>
        <v>0</v>
      </c>
      <c r="F126" s="61">
        <f>prices!F1229*Quotation!B126</f>
        <v>0</v>
      </c>
      <c r="G126" s="80"/>
      <c r="H126" s="800"/>
      <c r="I126" s="13"/>
      <c r="J126" s="13"/>
      <c r="O126" s="3"/>
      <c r="P126" s="3"/>
    </row>
    <row r="127" spans="1:16" x14ac:dyDescent="0.2">
      <c r="A127" s="67"/>
      <c r="B127" s="799"/>
      <c r="C127" s="39"/>
      <c r="D127" s="15"/>
      <c r="E127" s="15"/>
      <c r="F127" s="61"/>
      <c r="G127" s="80"/>
      <c r="H127" s="800"/>
      <c r="I127" s="13"/>
      <c r="J127" s="13"/>
      <c r="O127" s="3"/>
      <c r="P127" s="3"/>
    </row>
    <row r="128" spans="1:16" x14ac:dyDescent="0.2">
      <c r="A128" s="22"/>
      <c r="B128" s="799"/>
      <c r="C128" s="39"/>
      <c r="D128" s="15"/>
      <c r="E128" s="15"/>
      <c r="F128" s="61"/>
      <c r="G128" s="80"/>
      <c r="H128" s="800"/>
      <c r="I128" s="13"/>
      <c r="J128" s="13"/>
      <c r="O128" s="3"/>
      <c r="P128" s="3"/>
    </row>
    <row r="129" spans="1:16" x14ac:dyDescent="0.2">
      <c r="A129" s="22"/>
      <c r="B129" s="799"/>
      <c r="C129" s="85" t="s">
        <v>98</v>
      </c>
      <c r="D129" s="15"/>
      <c r="E129" s="15"/>
      <c r="F129" s="15"/>
      <c r="G129" s="15"/>
      <c r="H129" s="800"/>
      <c r="I129" s="13"/>
      <c r="J129" s="13"/>
      <c r="O129" s="3"/>
      <c r="P129" s="3"/>
    </row>
    <row r="130" spans="1:16" x14ac:dyDescent="0.2">
      <c r="A130" s="1"/>
      <c r="B130" s="799"/>
      <c r="C130" s="85"/>
      <c r="D130" s="15"/>
      <c r="E130" s="15"/>
      <c r="F130" s="15"/>
      <c r="G130" s="86"/>
      <c r="H130" s="810"/>
      <c r="I130" s="13"/>
      <c r="J130" s="13"/>
      <c r="O130" s="3"/>
      <c r="P130" s="3"/>
    </row>
    <row r="131" spans="1:16" x14ac:dyDescent="0.2">
      <c r="A131" s="1"/>
      <c r="B131" s="799"/>
      <c r="C131" s="85" t="s">
        <v>99</v>
      </c>
      <c r="D131" s="15"/>
      <c r="E131" s="15"/>
      <c r="F131" s="15"/>
      <c r="G131" s="86"/>
      <c r="H131" s="810"/>
      <c r="I131" s="13"/>
      <c r="J131" s="13"/>
      <c r="O131" s="3"/>
      <c r="P131" s="3"/>
    </row>
    <row r="132" spans="1:16" x14ac:dyDescent="0.2">
      <c r="A132" s="786"/>
      <c r="B132" s="801"/>
      <c r="C132" s="39" t="s">
        <v>100</v>
      </c>
      <c r="D132" s="15">
        <f>prices!F235+prices!F623+prices!I753*4+prices!F228*2</f>
        <v>85.614546666666669</v>
      </c>
      <c r="E132" s="15">
        <f>D132*B132</f>
        <v>0</v>
      </c>
      <c r="F132" s="61">
        <f>prices!F1189*B132</f>
        <v>0</v>
      </c>
      <c r="G132" s="88">
        <f>prices!F1026*B132</f>
        <v>0</v>
      </c>
      <c r="H132" s="810"/>
      <c r="I132" s="13"/>
      <c r="J132" s="13"/>
      <c r="O132" s="89"/>
      <c r="P132" s="89"/>
    </row>
    <row r="133" spans="1:16" x14ac:dyDescent="0.2">
      <c r="A133" s="786"/>
      <c r="B133" s="801"/>
      <c r="C133" s="39" t="s">
        <v>101</v>
      </c>
      <c r="D133" s="15">
        <f>prices!F1027</f>
        <v>34</v>
      </c>
      <c r="E133" s="15"/>
      <c r="F133" s="61"/>
      <c r="G133" s="88">
        <f>prices!F1027*B133</f>
        <v>0</v>
      </c>
      <c r="H133" s="810"/>
      <c r="I133" s="13"/>
      <c r="J133" s="13"/>
      <c r="O133" s="89"/>
      <c r="P133" s="89"/>
    </row>
    <row r="134" spans="1:16" x14ac:dyDescent="0.2">
      <c r="A134" s="786"/>
      <c r="B134" s="801"/>
      <c r="C134" s="39" t="s">
        <v>102</v>
      </c>
      <c r="D134" s="15">
        <f>prices!F1028</f>
        <v>34</v>
      </c>
      <c r="E134" s="15"/>
      <c r="F134" s="61"/>
      <c r="G134" s="88">
        <f>prices!F1028*B134</f>
        <v>0</v>
      </c>
      <c r="H134" s="810"/>
      <c r="I134" s="13"/>
      <c r="J134" s="13"/>
      <c r="O134" s="89"/>
      <c r="P134" s="89"/>
    </row>
    <row r="135" spans="1:16" x14ac:dyDescent="0.2">
      <c r="A135" s="90"/>
      <c r="B135" s="801"/>
      <c r="C135" s="39"/>
      <c r="D135" s="15"/>
      <c r="E135" s="15"/>
      <c r="F135" s="61"/>
      <c r="G135" s="88"/>
      <c r="H135" s="810"/>
      <c r="I135" s="13"/>
      <c r="J135" s="13"/>
      <c r="O135" s="89"/>
      <c r="P135" s="89"/>
    </row>
    <row r="136" spans="1:16" x14ac:dyDescent="0.2">
      <c r="A136" s="22"/>
      <c r="B136" s="799"/>
      <c r="C136" s="56" t="s">
        <v>103</v>
      </c>
      <c r="D136" s="15"/>
      <c r="E136" s="15"/>
      <c r="F136" s="15"/>
      <c r="G136" s="15"/>
      <c r="H136" s="810"/>
      <c r="I136" s="13"/>
      <c r="J136" s="13"/>
      <c r="O136" s="89"/>
      <c r="P136" s="89"/>
    </row>
    <row r="137" spans="1:16" x14ac:dyDescent="0.2">
      <c r="A137" s="65"/>
      <c r="B137" s="801"/>
      <c r="C137" s="39" t="s">
        <v>104</v>
      </c>
      <c r="D137" s="15">
        <f>prices!F200+prices!F201+prices!F202+prices!F607+prices!F610+prices!F762+prices!F753*4+prices!F766*2+prices!F785*3</f>
        <v>142.47287466666666</v>
      </c>
      <c r="E137" s="15">
        <f>B137*D137</f>
        <v>0</v>
      </c>
      <c r="F137" s="61">
        <f>prices!F1189*B137</f>
        <v>0</v>
      </c>
      <c r="G137" s="80">
        <f>prices!F1024*B137</f>
        <v>0</v>
      </c>
      <c r="H137" s="810">
        <v>0</v>
      </c>
      <c r="I137" s="13"/>
      <c r="J137" s="13">
        <v>0</v>
      </c>
      <c r="O137" s="89"/>
      <c r="P137" s="89"/>
    </row>
    <row r="138" spans="1:16" x14ac:dyDescent="0.2">
      <c r="A138" s="68"/>
      <c r="B138" s="801"/>
      <c r="C138" s="66" t="s">
        <v>105</v>
      </c>
      <c r="D138" s="15">
        <f>prices!F201+prices!F283+prices!F204*2+prices!F205+prices!F767*2+prices!F607</f>
        <v>149.02879999999999</v>
      </c>
      <c r="E138" s="15">
        <f>D138*B138</f>
        <v>0</v>
      </c>
      <c r="F138" s="61">
        <f>(prices!F1022+prices!F1191)*B138</f>
        <v>0</v>
      </c>
      <c r="G138" s="80">
        <f>prices!F1025*B138</f>
        <v>0</v>
      </c>
      <c r="H138" s="810"/>
      <c r="I138" s="13"/>
      <c r="J138" s="13"/>
      <c r="N138" s="91">
        <v>1</v>
      </c>
      <c r="O138" s="92">
        <f>prices!F200*2+prices!F202*Quotation!B139</f>
        <v>83.135999999999996</v>
      </c>
      <c r="P138" s="92">
        <f>prices!F290*2+prices!F292*Quotation!B139</f>
        <v>140.70400000000001</v>
      </c>
    </row>
    <row r="139" spans="1:16" ht="13.5" thickBot="1" x14ac:dyDescent="0.25">
      <c r="A139" s="65"/>
      <c r="B139" s="801"/>
      <c r="C139" s="39" t="s">
        <v>106</v>
      </c>
      <c r="D139" s="15">
        <f>prices!F200*2+prices!F202+prices!F609+prices!F753*4+prices!F766*4+prices!F785*3</f>
        <v>140.99767466666665</v>
      </c>
      <c r="E139" s="15">
        <f>B139*D139</f>
        <v>0</v>
      </c>
      <c r="F139" s="61">
        <f>prices!F1189*B139</f>
        <v>0</v>
      </c>
      <c r="G139" s="88">
        <f>IF(B139&gt;0.1,N138,N139)*prices!F1023</f>
        <v>0</v>
      </c>
      <c r="H139" s="811"/>
      <c r="I139" s="13"/>
      <c r="N139" s="93">
        <v>0</v>
      </c>
      <c r="O139" s="94">
        <f>prices!F199*2+prices!F202*Quotation!B140</f>
        <v>123.52000000000001</v>
      </c>
      <c r="P139" s="94">
        <f>prices!F289*2+prices!F292*Quotation!B140</f>
        <v>186.68799999999999</v>
      </c>
    </row>
    <row r="140" spans="1:16" ht="13.5" thickBot="1" x14ac:dyDescent="0.25">
      <c r="A140" s="65"/>
      <c r="B140" s="801"/>
      <c r="C140" s="39" t="s">
        <v>107</v>
      </c>
      <c r="D140" s="15">
        <f>prices!F199*2+prices!F202+prices!F609+prices!F753*4+prices!F766*4+prices!F785*3</f>
        <v>181.38167466666667</v>
      </c>
      <c r="E140" s="15">
        <f>B140*D140</f>
        <v>0</v>
      </c>
      <c r="F140" s="61">
        <f>prices!F1189*B140</f>
        <v>0</v>
      </c>
      <c r="G140" s="88">
        <f>IF(B140&gt;0.1,N138,N139)*prices!F1023</f>
        <v>0</v>
      </c>
      <c r="H140" s="811"/>
      <c r="I140" s="13"/>
      <c r="N140" s="93"/>
      <c r="O140" s="94">
        <f>prices!F202*Quotation!B141</f>
        <v>0</v>
      </c>
      <c r="P140" s="94">
        <f>prices!F292*Quotation!B141</f>
        <v>0</v>
      </c>
    </row>
    <row r="141" spans="1:16" ht="13.5" thickBot="1" x14ac:dyDescent="0.25">
      <c r="A141" s="65"/>
      <c r="B141" s="801"/>
      <c r="C141" s="39" t="s">
        <v>108</v>
      </c>
      <c r="D141" s="15">
        <f>prices!F190*2+prices!F202+prices!F609+prices!F753*4+prices!F766*2+prices!F785*3+prices!F773*4+prices!F787</f>
        <v>408.11447466666669</v>
      </c>
      <c r="E141" s="15">
        <f>B141*D141</f>
        <v>0</v>
      </c>
      <c r="F141" s="61">
        <f>prices!F1190*B141</f>
        <v>0</v>
      </c>
      <c r="G141" s="88">
        <f>IF(B141&gt;0.1,N138,N139)*prices!F1023</f>
        <v>0</v>
      </c>
      <c r="H141" s="811"/>
      <c r="I141" s="13"/>
      <c r="N141" s="95">
        <f>IF(B142&gt;0.01,N138,N139)</f>
        <v>0</v>
      </c>
      <c r="O141" s="94">
        <f>prices!F202*Quotation!B142</f>
        <v>0</v>
      </c>
      <c r="P141" s="94">
        <f>prices!F292*Quotation!B142</f>
        <v>0</v>
      </c>
    </row>
    <row r="142" spans="1:16" x14ac:dyDescent="0.2">
      <c r="A142" s="65"/>
      <c r="B142" s="801"/>
      <c r="C142" s="39" t="s">
        <v>109</v>
      </c>
      <c r="D142" s="15">
        <f>(prices!F190*2+prices!F202+prices!F609+prices!F753*4+prices!F766*2+prices!F785*3+prices!F773*4+prices!F787)</f>
        <v>408.11447466666669</v>
      </c>
      <c r="E142" s="15">
        <f>B142*D142</f>
        <v>0</v>
      </c>
      <c r="F142" s="61">
        <f>(prices!F1189*B142)+prices!F1188*N141</f>
        <v>0</v>
      </c>
      <c r="G142" s="88">
        <f>IF(B142&gt;0.1,N138,N139)*prices!F1023</f>
        <v>0</v>
      </c>
      <c r="H142" s="811"/>
      <c r="I142" s="13"/>
      <c r="O142" s="94"/>
      <c r="P142" s="94"/>
    </row>
    <row r="143" spans="1:16" ht="12" customHeight="1" x14ac:dyDescent="0.2">
      <c r="A143" s="65"/>
      <c r="B143" s="801"/>
      <c r="C143" s="96" t="s">
        <v>110</v>
      </c>
      <c r="D143" s="97">
        <f>prices!F787+prices!F773*4</f>
        <v>21.2928</v>
      </c>
      <c r="E143" s="15">
        <f>D143*B143</f>
        <v>0</v>
      </c>
      <c r="F143" s="61">
        <f>prices!F1188*B143</f>
        <v>0</v>
      </c>
      <c r="G143" s="80"/>
      <c r="H143" s="800"/>
      <c r="I143" s="13"/>
      <c r="J143" s="13"/>
      <c r="O143" s="94"/>
      <c r="P143" s="94"/>
    </row>
    <row r="144" spans="1:16" x14ac:dyDescent="0.2">
      <c r="A144" s="74"/>
      <c r="B144" s="807"/>
      <c r="C144" s="98" t="s">
        <v>111</v>
      </c>
      <c r="D144" s="99">
        <f>IF(B142+B141&gt;0.1,N138,N139)</f>
        <v>0</v>
      </c>
      <c r="E144" s="100">
        <f>D144*prices!F810</f>
        <v>0</v>
      </c>
      <c r="F144" s="78"/>
      <c r="G144" s="101"/>
      <c r="H144" s="808"/>
      <c r="I144" s="13"/>
      <c r="J144" s="13"/>
    </row>
    <row r="145" spans="1:15" x14ac:dyDescent="0.2">
      <c r="A145" s="22"/>
      <c r="B145" s="799"/>
      <c r="C145" s="102"/>
      <c r="D145" s="103"/>
      <c r="E145" s="104"/>
      <c r="F145" s="15"/>
      <c r="G145" s="15"/>
      <c r="H145" s="800"/>
      <c r="I145" s="13"/>
      <c r="J145" s="13"/>
    </row>
    <row r="146" spans="1:15" x14ac:dyDescent="0.2">
      <c r="A146" s="22"/>
      <c r="B146" s="799"/>
      <c r="C146" s="69"/>
      <c r="D146" s="15"/>
      <c r="E146" s="15"/>
      <c r="F146" s="15"/>
      <c r="G146" s="15"/>
      <c r="H146" s="800"/>
      <c r="I146" s="13"/>
      <c r="J146" s="13"/>
    </row>
    <row r="147" spans="1:15" x14ac:dyDescent="0.2">
      <c r="A147" s="22"/>
      <c r="B147" s="799"/>
      <c r="C147" s="63" t="s">
        <v>112</v>
      </c>
      <c r="D147" s="15"/>
      <c r="E147" s="15"/>
      <c r="F147" s="15"/>
      <c r="G147" s="15"/>
      <c r="H147" s="800"/>
      <c r="I147" s="13"/>
      <c r="J147" s="13"/>
    </row>
    <row r="148" spans="1:15" x14ac:dyDescent="0.2">
      <c r="A148" s="22"/>
      <c r="B148" s="799"/>
      <c r="C148" s="52" t="s">
        <v>113</v>
      </c>
      <c r="D148" s="15"/>
      <c r="E148" s="15"/>
      <c r="F148" s="15"/>
      <c r="G148" s="15"/>
      <c r="H148" s="800"/>
      <c r="I148" s="13"/>
      <c r="J148" s="13"/>
      <c r="O148" s="105">
        <f>E149</f>
        <v>0</v>
      </c>
    </row>
    <row r="149" spans="1:15" x14ac:dyDescent="0.2">
      <c r="A149" s="22"/>
      <c r="B149" s="801"/>
      <c r="C149" s="39" t="s">
        <v>114</v>
      </c>
      <c r="D149" s="15">
        <f>prices!F199</f>
        <v>61.760000000000005</v>
      </c>
      <c r="E149" s="15">
        <f>D149*B149</f>
        <v>0</v>
      </c>
      <c r="F149" s="15"/>
      <c r="G149" s="15"/>
      <c r="H149" s="800"/>
      <c r="I149" s="13"/>
      <c r="J149" s="13"/>
      <c r="O149" s="105">
        <f>E150</f>
        <v>0</v>
      </c>
    </row>
    <row r="150" spans="1:15" x14ac:dyDescent="0.2">
      <c r="A150" s="22"/>
      <c r="B150" s="801"/>
      <c r="C150" s="39" t="s">
        <v>115</v>
      </c>
      <c r="D150" s="15">
        <f>prices!F200</f>
        <v>41.567999999999998</v>
      </c>
      <c r="E150" s="15">
        <f>D150*B150</f>
        <v>0</v>
      </c>
      <c r="F150" s="15"/>
      <c r="G150" s="15"/>
      <c r="H150" s="800"/>
      <c r="I150" s="13"/>
      <c r="J150" s="13"/>
      <c r="O150" s="105">
        <f>E151</f>
        <v>0</v>
      </c>
    </row>
    <row r="151" spans="1:15" x14ac:dyDescent="0.2">
      <c r="A151" s="22"/>
      <c r="B151" s="801"/>
      <c r="C151" s="24" t="s">
        <v>116</v>
      </c>
      <c r="D151" s="15">
        <f>prices!F201</f>
        <v>33.44</v>
      </c>
      <c r="E151" s="15">
        <f>D151*B151</f>
        <v>0</v>
      </c>
      <c r="F151" s="15"/>
      <c r="G151" s="15"/>
      <c r="H151" s="800"/>
      <c r="I151" s="13"/>
      <c r="J151" s="13"/>
      <c r="O151" s="105">
        <f>E152</f>
        <v>0</v>
      </c>
    </row>
    <row r="152" spans="1:15" x14ac:dyDescent="0.2">
      <c r="A152" s="22"/>
      <c r="B152" s="801"/>
      <c r="C152" s="24" t="s">
        <v>117</v>
      </c>
      <c r="D152" s="15">
        <f>prices!F202</f>
        <v>24.48</v>
      </c>
      <c r="E152" s="15">
        <f>D152*B152</f>
        <v>0</v>
      </c>
      <c r="F152" s="15"/>
      <c r="G152" s="15"/>
      <c r="H152" s="800"/>
      <c r="I152" s="13"/>
      <c r="J152" s="13"/>
      <c r="O152" s="105">
        <f>E153</f>
        <v>0</v>
      </c>
    </row>
    <row r="153" spans="1:15" x14ac:dyDescent="0.2">
      <c r="A153" s="22"/>
      <c r="B153" s="801"/>
      <c r="C153" s="39" t="s">
        <v>118</v>
      </c>
      <c r="D153" s="15">
        <f>prices!F203</f>
        <v>19.04</v>
      </c>
      <c r="E153" s="15">
        <f>D153*B153</f>
        <v>0</v>
      </c>
      <c r="F153" s="15"/>
      <c r="G153" s="15"/>
      <c r="H153" s="800"/>
      <c r="I153" s="13"/>
      <c r="J153" s="13"/>
    </row>
    <row r="154" spans="1:15" x14ac:dyDescent="0.2">
      <c r="A154" s="22"/>
      <c r="B154" s="801"/>
      <c r="C154" s="39"/>
      <c r="D154" s="15"/>
      <c r="E154" s="15"/>
      <c r="F154" s="15"/>
      <c r="G154" s="15"/>
      <c r="H154" s="800"/>
      <c r="I154" s="13"/>
      <c r="J154" s="13"/>
    </row>
    <row r="155" spans="1:15" x14ac:dyDescent="0.2">
      <c r="A155" s="22"/>
      <c r="B155" s="801"/>
      <c r="C155" s="52" t="s">
        <v>119</v>
      </c>
      <c r="D155" s="15"/>
      <c r="E155" s="15"/>
      <c r="F155" s="15"/>
      <c r="G155" s="15"/>
      <c r="H155" s="800"/>
      <c r="I155" s="13"/>
      <c r="J155" s="13"/>
    </row>
    <row r="156" spans="1:15" x14ac:dyDescent="0.2">
      <c r="A156" s="22"/>
      <c r="B156" s="801"/>
      <c r="C156" s="57" t="s">
        <v>120</v>
      </c>
      <c r="D156" s="15">
        <f>INDEX(prices!$F$231:$F$235,MATCH(Quotation!C156,prices!$B$231:$B$235,0))</f>
        <v>27.136000000000003</v>
      </c>
      <c r="E156" s="15">
        <f>D156*B156</f>
        <v>0</v>
      </c>
      <c r="F156" s="15"/>
      <c r="G156" s="15"/>
      <c r="H156" s="800"/>
      <c r="I156" s="13"/>
      <c r="J156" s="13"/>
    </row>
    <row r="157" spans="1:15" x14ac:dyDescent="0.2">
      <c r="A157" s="22"/>
      <c r="B157" s="801"/>
      <c r="C157" s="57" t="s">
        <v>121</v>
      </c>
      <c r="D157" s="15">
        <f>INDEX(prices!$F$231:$F$235,MATCH(Quotation!C157,prices!$B$231:$B$235,0))</f>
        <v>37.392000000000003</v>
      </c>
      <c r="E157" s="15">
        <f t="shared" ref="E157:E158" si="3">D157*B157</f>
        <v>0</v>
      </c>
      <c r="F157" s="15"/>
      <c r="G157" s="15"/>
      <c r="H157" s="800"/>
      <c r="I157" s="13"/>
      <c r="J157" s="13"/>
    </row>
    <row r="158" spans="1:15" x14ac:dyDescent="0.2">
      <c r="A158" s="22"/>
      <c r="B158" s="801"/>
      <c r="C158" s="57" t="s">
        <v>120</v>
      </c>
      <c r="D158" s="15">
        <f>INDEX(prices!$F$231:$F$235,MATCH(Quotation!C158,prices!$B$231:$B$235,0))</f>
        <v>27.136000000000003</v>
      </c>
      <c r="E158" s="15">
        <f t="shared" si="3"/>
        <v>0</v>
      </c>
      <c r="F158" s="15"/>
      <c r="G158" s="15"/>
      <c r="H158" s="800"/>
      <c r="I158" s="13"/>
      <c r="J158" s="13"/>
    </row>
    <row r="159" spans="1:15" x14ac:dyDescent="0.2">
      <c r="A159" s="22"/>
      <c r="B159" s="801"/>
      <c r="C159" s="39"/>
      <c r="D159" s="15"/>
      <c r="E159" s="15"/>
      <c r="F159" s="15"/>
      <c r="G159" s="15"/>
      <c r="H159" s="800"/>
      <c r="I159" s="13"/>
      <c r="J159" s="13"/>
    </row>
    <row r="160" spans="1:15" x14ac:dyDescent="0.2">
      <c r="A160" s="22"/>
      <c r="B160" s="801"/>
      <c r="C160" s="52" t="s">
        <v>122</v>
      </c>
      <c r="D160" s="15"/>
      <c r="E160" s="15"/>
      <c r="F160" s="15"/>
      <c r="G160" s="15"/>
      <c r="H160" s="800"/>
      <c r="I160" s="13"/>
      <c r="J160" s="13"/>
    </row>
    <row r="161" spans="1:10" x14ac:dyDescent="0.2">
      <c r="A161" s="22"/>
      <c r="B161" s="801"/>
      <c r="C161" s="57" t="s">
        <v>123</v>
      </c>
      <c r="D161" s="15">
        <f>INDEX(prices!$F$288:$F$379,MATCH(Quotation!C161,prices!$B$288:$B$379,0))</f>
        <v>93.343999999999994</v>
      </c>
      <c r="E161" s="15">
        <f>D161*B161</f>
        <v>0</v>
      </c>
      <c r="F161" s="15"/>
      <c r="G161" s="15"/>
      <c r="H161" s="800"/>
      <c r="I161" s="13"/>
      <c r="J161" s="13"/>
    </row>
    <row r="162" spans="1:10" x14ac:dyDescent="0.2">
      <c r="A162" s="22"/>
      <c r="B162" s="801"/>
      <c r="C162" s="57" t="s">
        <v>123</v>
      </c>
      <c r="D162" s="15">
        <f>INDEX(prices!$F$288:$F$379,MATCH(Quotation!C162,prices!$B$288:$B$379,0))</f>
        <v>93.343999999999994</v>
      </c>
      <c r="E162" s="15">
        <f t="shared" ref="E162:E163" si="4">D162*B162</f>
        <v>0</v>
      </c>
      <c r="F162" s="15"/>
      <c r="G162" s="15"/>
      <c r="H162" s="800"/>
      <c r="I162" s="13"/>
      <c r="J162" s="13"/>
    </row>
    <row r="163" spans="1:10" x14ac:dyDescent="0.2">
      <c r="A163" s="22"/>
      <c r="B163" s="801"/>
      <c r="C163" s="57" t="s">
        <v>123</v>
      </c>
      <c r="D163" s="15">
        <f>INDEX(prices!$F$288:$F$379,MATCH(Quotation!C163,prices!$B$288:$B$379,0))</f>
        <v>93.343999999999994</v>
      </c>
      <c r="E163" s="15">
        <f t="shared" si="4"/>
        <v>0</v>
      </c>
      <c r="F163" s="15"/>
      <c r="G163" s="15"/>
      <c r="H163" s="800"/>
      <c r="I163" s="13"/>
      <c r="J163" s="13"/>
    </row>
    <row r="164" spans="1:10" x14ac:dyDescent="0.2">
      <c r="A164" s="22"/>
      <c r="B164" s="801"/>
      <c r="C164" s="39"/>
      <c r="D164" s="15"/>
      <c r="E164" s="15"/>
      <c r="F164" s="15"/>
      <c r="G164" s="15"/>
      <c r="H164" s="800"/>
      <c r="I164" s="13"/>
      <c r="J164" s="13"/>
    </row>
    <row r="165" spans="1:10" x14ac:dyDescent="0.2">
      <c r="A165" s="22"/>
      <c r="B165" s="801"/>
      <c r="C165" s="69" t="s">
        <v>124</v>
      </c>
      <c r="D165" s="15"/>
      <c r="E165" s="15"/>
      <c r="F165" s="15"/>
      <c r="G165" s="15"/>
      <c r="H165" s="800"/>
      <c r="I165" s="13"/>
      <c r="J165" s="13"/>
    </row>
    <row r="166" spans="1:10" x14ac:dyDescent="0.2">
      <c r="A166" s="22"/>
      <c r="B166" s="801"/>
      <c r="C166" s="39" t="s">
        <v>84</v>
      </c>
      <c r="D166" s="15">
        <f>prices!$F$304</f>
        <v>59.616</v>
      </c>
      <c r="E166" s="15">
        <f>D166*B166</f>
        <v>0</v>
      </c>
      <c r="F166" s="15"/>
      <c r="G166" s="15"/>
      <c r="H166" s="800"/>
      <c r="I166" s="13"/>
      <c r="J166" s="13"/>
    </row>
    <row r="167" spans="1:10" x14ac:dyDescent="0.2">
      <c r="A167" s="22"/>
      <c r="B167" s="801"/>
      <c r="C167" s="39" t="s">
        <v>85</v>
      </c>
      <c r="D167" s="15">
        <f>prices!$F$303</f>
        <v>47.055999999999997</v>
      </c>
      <c r="E167" s="15">
        <f>D167*B167</f>
        <v>0</v>
      </c>
      <c r="F167" s="15"/>
      <c r="G167" s="15"/>
      <c r="H167" s="800"/>
      <c r="I167" s="13"/>
      <c r="J167" s="13"/>
    </row>
    <row r="168" spans="1:10" x14ac:dyDescent="0.2">
      <c r="A168" s="22"/>
      <c r="B168" s="801"/>
      <c r="C168" s="24" t="s">
        <v>86</v>
      </c>
      <c r="D168" s="15">
        <f>prices!$F$302</f>
        <v>34.4</v>
      </c>
      <c r="E168" s="15">
        <f>D168*B168</f>
        <v>0</v>
      </c>
      <c r="F168" s="15"/>
      <c r="G168" s="15"/>
      <c r="H168" s="800"/>
      <c r="I168" s="13"/>
      <c r="J168" s="13"/>
    </row>
    <row r="169" spans="1:10" x14ac:dyDescent="0.2">
      <c r="A169" s="22"/>
      <c r="B169" s="801"/>
      <c r="C169" s="24" t="s">
        <v>125</v>
      </c>
      <c r="D169" s="15">
        <f>prices!F301</f>
        <v>23.008000000000003</v>
      </c>
      <c r="E169" s="15">
        <f>D169*B169</f>
        <v>0</v>
      </c>
      <c r="F169" s="15"/>
      <c r="G169" s="15"/>
      <c r="H169" s="800"/>
      <c r="I169" s="13"/>
      <c r="J169" s="13"/>
    </row>
    <row r="170" spans="1:10" x14ac:dyDescent="0.2">
      <c r="A170" s="22"/>
      <c r="B170" s="801"/>
      <c r="C170" s="39"/>
      <c r="D170" s="15"/>
      <c r="E170" s="15">
        <f>D170*B170</f>
        <v>0</v>
      </c>
      <c r="F170" s="15"/>
      <c r="G170" s="15"/>
      <c r="H170" s="800"/>
      <c r="I170" s="13"/>
      <c r="J170" s="13"/>
    </row>
    <row r="171" spans="1:10" x14ac:dyDescent="0.2">
      <c r="A171" s="22"/>
      <c r="B171" s="801"/>
      <c r="C171" s="52" t="s">
        <v>87</v>
      </c>
      <c r="D171" s="15"/>
      <c r="E171" s="15"/>
      <c r="F171" s="15"/>
      <c r="G171" s="15"/>
      <c r="H171" s="800"/>
      <c r="I171" s="13"/>
      <c r="J171" s="13"/>
    </row>
    <row r="172" spans="1:10" x14ac:dyDescent="0.2">
      <c r="A172" s="22"/>
      <c r="B172" s="801"/>
      <c r="C172" s="57" t="s">
        <v>126</v>
      </c>
      <c r="D172" s="15">
        <f>INDEX(prices!$F$273:$F$279,MATCH(Quotation!C172,prices!$B$273:$B$279,0))</f>
        <v>34.112000000000002</v>
      </c>
      <c r="E172" s="15">
        <f>D172*B172</f>
        <v>0</v>
      </c>
      <c r="F172" s="15"/>
      <c r="G172" s="15"/>
      <c r="H172" s="800"/>
      <c r="I172" s="13"/>
      <c r="J172" s="13"/>
    </row>
    <row r="173" spans="1:10" x14ac:dyDescent="0.2">
      <c r="A173" s="22"/>
      <c r="B173" s="801"/>
      <c r="C173" s="57" t="s">
        <v>127</v>
      </c>
      <c r="D173" s="15">
        <f>INDEX(prices!$F$273:$F$279,MATCH(Quotation!C173,prices!$B$273:$B$279,0))</f>
        <v>26.799999999999997</v>
      </c>
      <c r="E173" s="15">
        <f t="shared" ref="E173:E174" si="5">D173*B173</f>
        <v>0</v>
      </c>
      <c r="F173" s="15"/>
      <c r="G173" s="15"/>
      <c r="H173" s="800"/>
      <c r="I173" s="13"/>
      <c r="J173" s="13"/>
    </row>
    <row r="174" spans="1:10" x14ac:dyDescent="0.2">
      <c r="A174" s="22"/>
      <c r="B174" s="801"/>
      <c r="C174" s="57" t="s">
        <v>127</v>
      </c>
      <c r="D174" s="15">
        <f>INDEX(prices!$F$273:$F$279,MATCH(Quotation!C174,prices!$B$273:$B$279,0))</f>
        <v>26.799999999999997</v>
      </c>
      <c r="E174" s="15">
        <f t="shared" si="5"/>
        <v>0</v>
      </c>
      <c r="F174" s="15"/>
      <c r="G174" s="15"/>
      <c r="H174" s="800"/>
      <c r="I174" s="13"/>
      <c r="J174" s="13"/>
    </row>
    <row r="175" spans="1:10" x14ac:dyDescent="0.2">
      <c r="A175" s="22"/>
      <c r="B175" s="801"/>
      <c r="C175" s="39"/>
      <c r="D175" s="15"/>
      <c r="E175" s="15"/>
      <c r="F175" s="15"/>
      <c r="G175" s="15"/>
      <c r="H175" s="800"/>
      <c r="I175" s="13"/>
      <c r="J175" s="13"/>
    </row>
    <row r="176" spans="1:10" x14ac:dyDescent="0.2">
      <c r="A176" s="22"/>
      <c r="B176" s="801"/>
      <c r="C176" s="52" t="s">
        <v>128</v>
      </c>
      <c r="D176" s="15"/>
      <c r="E176" s="15"/>
      <c r="F176" s="15"/>
      <c r="G176" s="15"/>
      <c r="H176" s="800"/>
      <c r="I176" s="13"/>
      <c r="J176" s="13"/>
    </row>
    <row r="177" spans="1:10" x14ac:dyDescent="0.2">
      <c r="A177" s="22"/>
      <c r="B177" s="801"/>
      <c r="C177" s="106"/>
      <c r="D177" s="15"/>
      <c r="E177" s="15"/>
      <c r="F177" s="15"/>
      <c r="G177" s="15"/>
      <c r="H177" s="800"/>
      <c r="I177" s="13"/>
      <c r="J177" s="13"/>
    </row>
    <row r="178" spans="1:10" x14ac:dyDescent="0.2">
      <c r="A178" s="22"/>
      <c r="B178" s="801"/>
      <c r="C178" s="106" t="s">
        <v>129</v>
      </c>
      <c r="D178" s="15">
        <f>prices!F239</f>
        <v>104</v>
      </c>
      <c r="E178" s="15">
        <f>IF(E180&lt;prices!F240,prices!F240,0)*B178</f>
        <v>0</v>
      </c>
      <c r="F178" s="80">
        <f>prices!F1367*Quotation!B178</f>
        <v>0</v>
      </c>
      <c r="G178" s="15"/>
      <c r="H178" s="800"/>
      <c r="I178" s="13"/>
      <c r="J178" s="13"/>
    </row>
    <row r="179" spans="1:10" x14ac:dyDescent="0.2">
      <c r="A179" s="22"/>
      <c r="B179" s="806"/>
      <c r="C179" s="59" t="s">
        <v>66</v>
      </c>
      <c r="D179" s="15">
        <f>prices!F814</f>
        <v>80</v>
      </c>
      <c r="E179" s="15">
        <f>D179*B179</f>
        <v>0</v>
      </c>
      <c r="F179" s="15"/>
      <c r="G179" s="15"/>
      <c r="H179" s="800"/>
      <c r="I179" s="13"/>
      <c r="J179" s="13"/>
    </row>
    <row r="180" spans="1:10" ht="12.75" customHeight="1" x14ac:dyDescent="0.2">
      <c r="A180" s="22"/>
      <c r="B180" s="806"/>
      <c r="C180" s="107"/>
      <c r="E180" s="15">
        <f>D178*B178</f>
        <v>0</v>
      </c>
      <c r="F180" s="108"/>
      <c r="G180" s="15"/>
      <c r="H180" s="800"/>
      <c r="I180" s="13"/>
      <c r="J180" s="13"/>
    </row>
    <row r="181" spans="1:10" ht="12.75" customHeight="1" x14ac:dyDescent="0.2">
      <c r="A181" s="22"/>
      <c r="B181" s="801"/>
      <c r="C181" s="107"/>
      <c r="D181" s="15"/>
      <c r="E181" s="15"/>
      <c r="F181" s="15"/>
      <c r="G181" s="15"/>
      <c r="H181" s="800"/>
      <c r="I181" s="13"/>
      <c r="J181" s="13"/>
    </row>
    <row r="182" spans="1:10" x14ac:dyDescent="0.2">
      <c r="A182" s="22"/>
      <c r="B182" s="801"/>
      <c r="C182" s="63" t="s">
        <v>130</v>
      </c>
      <c r="D182" s="15"/>
      <c r="E182" s="15"/>
      <c r="F182" s="15"/>
      <c r="G182" s="15"/>
      <c r="H182" s="800"/>
      <c r="I182" s="13"/>
      <c r="J182" s="13"/>
    </row>
    <row r="183" spans="1:10" x14ac:dyDescent="0.2">
      <c r="A183" s="22"/>
      <c r="B183" s="801"/>
      <c r="C183" s="39"/>
      <c r="D183" s="15"/>
      <c r="E183" s="15"/>
      <c r="F183" s="15"/>
      <c r="G183" s="15"/>
      <c r="H183" s="800"/>
      <c r="I183" s="13"/>
      <c r="J183" s="13"/>
    </row>
    <row r="184" spans="1:10" x14ac:dyDescent="0.2">
      <c r="A184" s="67"/>
      <c r="B184" s="801"/>
      <c r="C184" s="39" t="s">
        <v>131</v>
      </c>
      <c r="D184" s="15">
        <f>prices!F282</f>
        <v>26.96</v>
      </c>
      <c r="E184" s="15">
        <f>D184*B184</f>
        <v>0</v>
      </c>
      <c r="F184" s="61">
        <f>prices!F1195*Quotation!B184</f>
        <v>0</v>
      </c>
      <c r="G184" s="15"/>
      <c r="H184" s="800"/>
      <c r="I184" s="13"/>
      <c r="J184" s="13"/>
    </row>
    <row r="185" spans="1:10" x14ac:dyDescent="0.2">
      <c r="A185" s="22"/>
      <c r="B185" s="801"/>
      <c r="C185" s="39" t="s">
        <v>132</v>
      </c>
      <c r="D185" s="15">
        <f>prices!F283</f>
        <v>42.143999999999998</v>
      </c>
      <c r="E185" s="15">
        <f>D185*B185</f>
        <v>0</v>
      </c>
      <c r="F185" s="61">
        <f>prices!F1195*Quotation!B185</f>
        <v>0</v>
      </c>
      <c r="G185" s="15"/>
      <c r="H185" s="800"/>
      <c r="I185" s="13"/>
      <c r="J185" s="13"/>
    </row>
    <row r="186" spans="1:10" x14ac:dyDescent="0.2">
      <c r="A186" s="67"/>
      <c r="B186" s="801"/>
      <c r="C186" s="39" t="s">
        <v>133</v>
      </c>
      <c r="D186" s="15">
        <f>prices!F317</f>
        <v>4.3680000000000003</v>
      </c>
      <c r="E186" s="15">
        <f>D186*B186</f>
        <v>0</v>
      </c>
      <c r="F186" s="61">
        <f>prices!F1202*Quotation!B186</f>
        <v>0</v>
      </c>
      <c r="G186" s="15"/>
      <c r="H186" s="800"/>
      <c r="I186" s="13"/>
      <c r="J186" s="13"/>
    </row>
    <row r="187" spans="1:10" x14ac:dyDescent="0.2">
      <c r="A187" s="22"/>
      <c r="B187" s="799"/>
      <c r="C187" s="39" t="s">
        <v>134</v>
      </c>
      <c r="D187" s="15">
        <f>prices!F284</f>
        <v>50.048000000000002</v>
      </c>
      <c r="E187" s="15">
        <f>D187*B187</f>
        <v>0</v>
      </c>
      <c r="F187" s="15"/>
      <c r="G187" s="109">
        <f>prices!$F$1030*B187</f>
        <v>0</v>
      </c>
      <c r="H187" s="800"/>
      <c r="I187" s="13"/>
      <c r="J187" s="13"/>
    </row>
    <row r="188" spans="1:10" x14ac:dyDescent="0.2">
      <c r="A188" s="22"/>
      <c r="B188" s="799"/>
      <c r="C188" s="39" t="s">
        <v>135</v>
      </c>
      <c r="D188" s="15">
        <f>prices!F285</f>
        <v>56.671999999999997</v>
      </c>
      <c r="E188" s="15">
        <f>D188*B188</f>
        <v>0</v>
      </c>
      <c r="F188" s="15"/>
      <c r="G188" s="109">
        <f>prices!$F$1030*B188</f>
        <v>0</v>
      </c>
      <c r="H188" s="800"/>
      <c r="I188" s="13"/>
      <c r="J188" s="13"/>
    </row>
    <row r="189" spans="1:10" x14ac:dyDescent="0.2">
      <c r="A189" s="22"/>
      <c r="B189" s="799"/>
      <c r="C189" s="39"/>
      <c r="D189" s="15"/>
      <c r="E189" s="15"/>
      <c r="F189" s="15"/>
      <c r="G189" s="15"/>
      <c r="H189" s="800"/>
      <c r="I189" s="13"/>
      <c r="J189" s="13"/>
    </row>
    <row r="190" spans="1:10" x14ac:dyDescent="0.2">
      <c r="A190" s="22"/>
      <c r="B190" s="799"/>
      <c r="C190" s="63" t="s">
        <v>136</v>
      </c>
      <c r="D190" s="15"/>
      <c r="E190" s="15"/>
      <c r="F190" s="15"/>
      <c r="G190" s="15"/>
      <c r="H190" s="800"/>
      <c r="I190" s="13"/>
      <c r="J190" s="13"/>
    </row>
    <row r="191" spans="1:10" x14ac:dyDescent="0.2">
      <c r="A191" s="22"/>
      <c r="B191" s="799"/>
      <c r="C191" s="39"/>
      <c r="D191" s="15"/>
      <c r="E191" s="15"/>
      <c r="F191" s="15"/>
      <c r="G191" s="15"/>
      <c r="H191" s="800"/>
      <c r="I191" s="13"/>
      <c r="J191" s="13"/>
    </row>
    <row r="192" spans="1:10" x14ac:dyDescent="0.2">
      <c r="A192" s="22"/>
      <c r="B192" s="801"/>
      <c r="C192" s="69" t="s">
        <v>61</v>
      </c>
      <c r="D192" s="15"/>
      <c r="E192" s="15"/>
      <c r="F192" s="15"/>
      <c r="G192" s="15"/>
      <c r="H192" s="800"/>
      <c r="I192" s="13"/>
      <c r="J192" s="13"/>
    </row>
    <row r="193" spans="1:15" x14ac:dyDescent="0.2">
      <c r="A193" s="65"/>
      <c r="B193" s="801"/>
      <c r="C193" s="39" t="s">
        <v>137</v>
      </c>
      <c r="D193" s="15">
        <f>prices!F778</f>
        <v>448</v>
      </c>
      <c r="E193" s="15">
        <f>D193*B193</f>
        <v>0</v>
      </c>
      <c r="F193" s="61">
        <f>prices!F1199*Quotation!B193</f>
        <v>0</v>
      </c>
      <c r="G193" s="15"/>
      <c r="H193" s="800"/>
      <c r="I193" s="13"/>
      <c r="J193" s="13"/>
    </row>
    <row r="194" spans="1:15" x14ac:dyDescent="0.2">
      <c r="A194" s="22"/>
      <c r="B194" s="801"/>
      <c r="C194" s="69" t="s">
        <v>43</v>
      </c>
      <c r="D194" s="15"/>
      <c r="E194" s="15"/>
      <c r="F194" s="15"/>
      <c r="G194" s="15"/>
      <c r="H194" s="800"/>
      <c r="I194" s="13"/>
      <c r="J194" s="13"/>
      <c r="O194" s="105">
        <f>E195</f>
        <v>0</v>
      </c>
    </row>
    <row r="195" spans="1:15" x14ac:dyDescent="0.2">
      <c r="A195" s="22"/>
      <c r="B195" s="801"/>
      <c r="C195" s="39" t="s">
        <v>138</v>
      </c>
      <c r="D195" s="15">
        <f>prices!F201*Quotation!B195</f>
        <v>0</v>
      </c>
      <c r="E195" s="15">
        <f>D195*B195</f>
        <v>0</v>
      </c>
      <c r="F195" s="15"/>
      <c r="G195" s="15"/>
      <c r="H195" s="800"/>
      <c r="I195" s="13"/>
      <c r="J195" s="13"/>
      <c r="O195" s="105">
        <f>E196</f>
        <v>0</v>
      </c>
    </row>
    <row r="196" spans="1:15" x14ac:dyDescent="0.2">
      <c r="A196" s="65"/>
      <c r="B196" s="801"/>
      <c r="C196" s="24" t="s">
        <v>139</v>
      </c>
      <c r="D196" s="15">
        <f>prices!F202</f>
        <v>24.48</v>
      </c>
      <c r="E196" s="15">
        <f>D196*B196</f>
        <v>0</v>
      </c>
      <c r="F196" s="15"/>
      <c r="G196" s="15"/>
      <c r="H196" s="810"/>
      <c r="O196" s="105">
        <f>E197</f>
        <v>0</v>
      </c>
    </row>
    <row r="197" spans="1:15" x14ac:dyDescent="0.2">
      <c r="A197" s="22"/>
      <c r="B197" s="801"/>
      <c r="C197" s="39" t="s">
        <v>140</v>
      </c>
      <c r="D197" s="15">
        <f>prices!F203</f>
        <v>19.04</v>
      </c>
      <c r="E197" s="15">
        <f>D197*B197</f>
        <v>0</v>
      </c>
      <c r="F197" s="15"/>
      <c r="G197" s="86"/>
      <c r="H197" s="812"/>
      <c r="O197" s="105"/>
    </row>
    <row r="198" spans="1:15" x14ac:dyDescent="0.2">
      <c r="A198" s="22"/>
      <c r="B198" s="801"/>
      <c r="C198" s="39"/>
      <c r="D198" s="15"/>
      <c r="E198" s="15"/>
      <c r="F198" s="15"/>
      <c r="G198" s="86"/>
      <c r="H198" s="812"/>
    </row>
    <row r="199" spans="1:15" x14ac:dyDescent="0.2">
      <c r="A199" s="22"/>
      <c r="B199" s="801"/>
      <c r="C199" s="39"/>
      <c r="D199" s="15"/>
      <c r="E199" s="15"/>
      <c r="F199" s="15"/>
      <c r="G199" s="86"/>
      <c r="H199" s="812"/>
    </row>
    <row r="200" spans="1:15" x14ac:dyDescent="0.2">
      <c r="A200" s="22"/>
      <c r="B200" s="801"/>
      <c r="C200" s="83" t="s">
        <v>141</v>
      </c>
      <c r="D200" s="15">
        <f>prices!F773*4+prices!F775*4+prices!F753*6</f>
        <v>2.6525120000000002</v>
      </c>
      <c r="E200" s="15">
        <f>D200*B200</f>
        <v>0</v>
      </c>
      <c r="F200" s="61">
        <f>prices!F1198*Quotation!B200</f>
        <v>0</v>
      </c>
      <c r="G200" s="86"/>
      <c r="H200" s="812"/>
    </row>
    <row r="201" spans="1:15" x14ac:dyDescent="0.2">
      <c r="A201" s="22"/>
      <c r="B201" s="799"/>
      <c r="C201" s="39"/>
      <c r="D201" s="15"/>
      <c r="E201" s="15"/>
      <c r="F201" s="15"/>
      <c r="G201" s="86"/>
      <c r="H201" s="812"/>
    </row>
    <row r="202" spans="1:15" x14ac:dyDescent="0.2">
      <c r="A202" s="22"/>
      <c r="B202" s="799"/>
      <c r="C202" s="63" t="s">
        <v>142</v>
      </c>
      <c r="D202" s="15"/>
      <c r="E202" s="15"/>
      <c r="F202" s="15"/>
      <c r="G202" s="86"/>
      <c r="H202" s="812"/>
    </row>
    <row r="203" spans="1:15" x14ac:dyDescent="0.2">
      <c r="A203" s="22"/>
      <c r="B203" s="799"/>
      <c r="C203" s="39"/>
      <c r="D203" s="15"/>
      <c r="E203" s="15">
        <f>D203*B203</f>
        <v>0</v>
      </c>
      <c r="F203" s="15"/>
      <c r="G203" s="86"/>
      <c r="H203" s="812"/>
      <c r="O203" s="105">
        <f>E204</f>
        <v>0</v>
      </c>
    </row>
    <row r="204" spans="1:15" x14ac:dyDescent="0.2">
      <c r="A204" s="65"/>
      <c r="B204" s="801"/>
      <c r="C204" s="66" t="s">
        <v>143</v>
      </c>
      <c r="D204" s="15">
        <f>(prices!F201+prices!F205*2)+(prices!F612+prices!F769*8)</f>
        <v>90.8</v>
      </c>
      <c r="E204" s="15">
        <f>D204*B204</f>
        <v>0</v>
      </c>
      <c r="F204" s="61">
        <f>prices!F1211*Quotation!B204</f>
        <v>0</v>
      </c>
      <c r="G204" s="88">
        <f>prices!F1079*Quotation!B204</f>
        <v>0</v>
      </c>
      <c r="H204" s="812"/>
      <c r="O204" s="105">
        <f>E206</f>
        <v>0</v>
      </c>
    </row>
    <row r="205" spans="1:15" x14ac:dyDescent="0.2">
      <c r="A205" s="65"/>
      <c r="B205" s="813"/>
      <c r="C205" s="73" t="s">
        <v>144</v>
      </c>
      <c r="D205" s="15">
        <f>prices!F1360</f>
        <v>128</v>
      </c>
      <c r="E205" s="15"/>
      <c r="F205" s="61">
        <f>D205*B205</f>
        <v>0</v>
      </c>
      <c r="G205" s="88"/>
      <c r="H205" s="812"/>
      <c r="O205" s="105"/>
    </row>
    <row r="206" spans="1:15" x14ac:dyDescent="0.2">
      <c r="A206" s="65"/>
      <c r="B206" s="801"/>
      <c r="C206" s="39" t="s">
        <v>145</v>
      </c>
      <c r="D206" s="15">
        <f>(prices!F201+prices!F205*2)+(prices!F612+prices!F769*10)</f>
        <v>91.76</v>
      </c>
      <c r="E206" s="15">
        <f>D206*B206</f>
        <v>0</v>
      </c>
      <c r="F206" s="61">
        <f>prices!F1362*B206</f>
        <v>0</v>
      </c>
      <c r="G206" s="88">
        <f>(prices!F1080+prices!F1099)*B206</f>
        <v>0</v>
      </c>
      <c r="H206" s="812"/>
      <c r="O206" s="105">
        <f>E207</f>
        <v>0</v>
      </c>
    </row>
    <row r="207" spans="1:15" x14ac:dyDescent="0.2">
      <c r="A207" s="65"/>
      <c r="B207" s="801"/>
      <c r="C207" s="39" t="s">
        <v>146</v>
      </c>
      <c r="D207" s="15">
        <f>(prices!F201+prices!F202*2)+(prices!F604+prices!F770*10)</f>
        <v>114.25760000000001</v>
      </c>
      <c r="E207" s="15">
        <f>D207*B207</f>
        <v>0</v>
      </c>
      <c r="F207" s="61">
        <f>prices!F1362*B207</f>
        <v>0</v>
      </c>
      <c r="G207" s="88">
        <f>prices!F1100*Quotation!B207</f>
        <v>0</v>
      </c>
      <c r="H207" s="812"/>
    </row>
    <row r="208" spans="1:15" x14ac:dyDescent="0.2">
      <c r="A208" s="65"/>
      <c r="B208" s="398"/>
      <c r="C208" s="83" t="s">
        <v>147</v>
      </c>
      <c r="D208" s="15">
        <f>prices!F1060</f>
        <v>34</v>
      </c>
      <c r="E208" s="15">
        <f>D208*B208</f>
        <v>0</v>
      </c>
      <c r="F208" s="11"/>
      <c r="G208" s="111">
        <f>prices!F1060*Quotation!B208</f>
        <v>0</v>
      </c>
      <c r="H208" s="812"/>
      <c r="O208" s="105"/>
    </row>
    <row r="209" spans="1:15" x14ac:dyDescent="0.2">
      <c r="A209" s="22"/>
      <c r="B209" s="801"/>
      <c r="C209" s="43"/>
      <c r="D209" s="15"/>
      <c r="E209" s="15"/>
      <c r="F209" s="61"/>
      <c r="G209" s="88"/>
      <c r="H209" s="812"/>
    </row>
    <row r="210" spans="1:15" x14ac:dyDescent="0.2">
      <c r="A210" s="22"/>
      <c r="B210" s="801"/>
      <c r="C210" s="39"/>
      <c r="D210" s="15"/>
      <c r="E210" s="15"/>
      <c r="F210" s="61"/>
      <c r="G210" s="88"/>
      <c r="H210" s="812"/>
    </row>
    <row r="211" spans="1:15" x14ac:dyDescent="0.2">
      <c r="A211" s="22"/>
      <c r="B211" s="799"/>
      <c r="C211" s="112"/>
      <c r="D211" s="15"/>
      <c r="E211" s="15"/>
      <c r="F211" s="61"/>
      <c r="G211" s="86"/>
      <c r="H211" s="812"/>
      <c r="I211" s="113"/>
      <c r="J211" s="113"/>
    </row>
    <row r="212" spans="1:15" x14ac:dyDescent="0.2">
      <c r="A212" s="22"/>
      <c r="B212" s="799"/>
      <c r="C212" s="63" t="s">
        <v>148</v>
      </c>
      <c r="D212" s="15"/>
      <c r="E212" s="15"/>
      <c r="F212" s="15"/>
      <c r="G212" s="86"/>
      <c r="H212" s="812"/>
      <c r="I212" s="113"/>
      <c r="J212" s="113"/>
    </row>
    <row r="213" spans="1:15" ht="13.5" thickBot="1" x14ac:dyDescent="0.25">
      <c r="A213" s="22"/>
      <c r="B213" s="799"/>
      <c r="C213" s="39"/>
      <c r="D213" s="15"/>
      <c r="E213" s="15"/>
      <c r="F213" s="15"/>
      <c r="G213" s="86"/>
      <c r="H213" s="812"/>
      <c r="I213" s="114"/>
      <c r="J213" s="114"/>
      <c r="O213" s="105">
        <f>E214</f>
        <v>0</v>
      </c>
    </row>
    <row r="214" spans="1:15" ht="14.25" thickTop="1" thickBot="1" x14ac:dyDescent="0.25">
      <c r="A214" s="22"/>
      <c r="B214" s="801"/>
      <c r="C214" s="39" t="s">
        <v>149</v>
      </c>
      <c r="D214" s="15">
        <f>prices!F199+prices!F766*2</f>
        <v>63.040000000000006</v>
      </c>
      <c r="E214" s="15">
        <f>D214*B214</f>
        <v>0</v>
      </c>
      <c r="F214" s="61">
        <f>prices!F1214*Quotation!B214</f>
        <v>0</v>
      </c>
      <c r="G214" s="86"/>
      <c r="H214" s="812"/>
      <c r="I214" s="115"/>
      <c r="J214" s="116"/>
      <c r="O214" s="105">
        <f>E215</f>
        <v>0</v>
      </c>
    </row>
    <row r="215" spans="1:15" ht="13.5" thickTop="1" x14ac:dyDescent="0.2">
      <c r="A215" s="22"/>
      <c r="B215" s="801">
        <v>0</v>
      </c>
      <c r="C215" s="39" t="s">
        <v>150</v>
      </c>
      <c r="D215" s="15">
        <f>prices!F200+prices!F766*2</f>
        <v>42.847999999999999</v>
      </c>
      <c r="E215" s="15">
        <f>D215*B215</f>
        <v>0</v>
      </c>
      <c r="F215" s="61">
        <f>prices!F1214*Quotation!B215</f>
        <v>0</v>
      </c>
      <c r="G215" s="86"/>
      <c r="H215" s="812"/>
      <c r="I215" s="788" t="s">
        <v>151</v>
      </c>
      <c r="J215" s="117"/>
      <c r="O215" s="105">
        <f>E216</f>
        <v>0</v>
      </c>
    </row>
    <row r="216" spans="1:15" ht="13.5" thickBot="1" x14ac:dyDescent="0.25">
      <c r="A216" s="22"/>
      <c r="B216" s="801"/>
      <c r="C216" s="39" t="s">
        <v>152</v>
      </c>
      <c r="D216" s="15">
        <f>prices!F201+prices!F766*2</f>
        <v>34.72</v>
      </c>
      <c r="E216" s="15">
        <f>D216*B216</f>
        <v>0</v>
      </c>
      <c r="F216" s="61">
        <f>prices!F1214*Quotation!B216</f>
        <v>0</v>
      </c>
      <c r="G216" s="86"/>
      <c r="H216" s="812"/>
      <c r="I216" s="118" t="s">
        <v>153</v>
      </c>
      <c r="J216" s="119" t="s">
        <v>154</v>
      </c>
      <c r="O216" s="105">
        <f>E217</f>
        <v>0</v>
      </c>
    </row>
    <row r="217" spans="1:15" ht="13.5" thickBot="1" x14ac:dyDescent="0.25">
      <c r="A217" s="22"/>
      <c r="B217" s="801"/>
      <c r="C217" s="39" t="s">
        <v>155</v>
      </c>
      <c r="D217" s="15">
        <f>prices!F202+prices!F766*2</f>
        <v>25.76</v>
      </c>
      <c r="E217" s="15">
        <f>D217*B217</f>
        <v>0</v>
      </c>
      <c r="F217" s="61">
        <f>prices!F1214*Quotation!B217</f>
        <v>0</v>
      </c>
      <c r="G217" s="86"/>
      <c r="H217" s="812"/>
      <c r="I217" s="120" t="s">
        <v>156</v>
      </c>
      <c r="J217" s="121" t="s">
        <v>157</v>
      </c>
      <c r="O217" s="105">
        <f>E218</f>
        <v>0</v>
      </c>
    </row>
    <row r="218" spans="1:15" ht="13.5" thickBot="1" x14ac:dyDescent="0.25">
      <c r="A218" s="65"/>
      <c r="B218" s="801">
        <v>0</v>
      </c>
      <c r="C218" s="24" t="s">
        <v>158</v>
      </c>
      <c r="D218" s="15">
        <f>prices!F203+prices!F766*2</f>
        <v>20.32</v>
      </c>
      <c r="E218" s="15">
        <f>D218*B218</f>
        <v>0</v>
      </c>
      <c r="F218" s="61">
        <f>prices!F1214*Quotation!B218</f>
        <v>0</v>
      </c>
      <c r="G218" s="86"/>
      <c r="H218" s="812"/>
      <c r="I218" s="122" t="s">
        <v>159</v>
      </c>
      <c r="J218" s="123" t="s">
        <v>160</v>
      </c>
    </row>
    <row r="219" spans="1:15" ht="13.5" thickBot="1" x14ac:dyDescent="0.25">
      <c r="A219" s="22"/>
      <c r="B219" s="801"/>
      <c r="C219" s="39"/>
      <c r="D219" s="15"/>
      <c r="E219" s="15"/>
      <c r="F219" s="61"/>
      <c r="G219" s="86"/>
      <c r="H219" s="812"/>
      <c r="I219" s="120" t="s">
        <v>161</v>
      </c>
      <c r="J219" s="124" t="s">
        <v>162</v>
      </c>
    </row>
    <row r="220" spans="1:15" ht="13.5" thickBot="1" x14ac:dyDescent="0.25">
      <c r="A220" s="22"/>
      <c r="B220" s="799"/>
      <c r="C220" s="39"/>
      <c r="D220" s="15"/>
      <c r="E220" s="15"/>
      <c r="F220" s="15"/>
      <c r="G220" s="86"/>
      <c r="H220" s="812"/>
      <c r="I220" s="125"/>
      <c r="J220" s="126"/>
    </row>
    <row r="221" spans="1:15" ht="13.5" thickTop="1" x14ac:dyDescent="0.2">
      <c r="A221" s="22"/>
      <c r="B221" s="799"/>
      <c r="C221" s="63" t="s">
        <v>163</v>
      </c>
      <c r="D221" s="15"/>
      <c r="E221" s="15"/>
      <c r="F221" s="15"/>
      <c r="G221" s="86"/>
      <c r="H221" s="812"/>
      <c r="I221" s="789" t="s">
        <v>164</v>
      </c>
      <c r="J221" s="127"/>
    </row>
    <row r="222" spans="1:15" x14ac:dyDescent="0.2">
      <c r="A222" s="22"/>
      <c r="B222" s="801"/>
      <c r="C222" s="39" t="s">
        <v>149</v>
      </c>
      <c r="D222" s="15">
        <f>prices!F199</f>
        <v>61.760000000000005</v>
      </c>
      <c r="E222" s="15">
        <f t="shared" ref="E222:E228" si="6">D222*B222</f>
        <v>0</v>
      </c>
      <c r="F222" s="15"/>
      <c r="G222" s="86"/>
      <c r="H222" s="812"/>
      <c r="I222" s="790" t="s">
        <v>165</v>
      </c>
      <c r="J222" s="129">
        <v>3</v>
      </c>
    </row>
    <row r="223" spans="1:15" x14ac:dyDescent="0.2">
      <c r="A223" s="22"/>
      <c r="B223" s="801"/>
      <c r="C223" s="39" t="s">
        <v>150</v>
      </c>
      <c r="D223" s="15">
        <f>prices!F200</f>
        <v>41.567999999999998</v>
      </c>
      <c r="E223" s="15">
        <f t="shared" si="6"/>
        <v>0</v>
      </c>
      <c r="F223" s="15"/>
      <c r="G223" s="86"/>
      <c r="H223" s="812"/>
      <c r="I223" s="790" t="s">
        <v>166</v>
      </c>
      <c r="J223" s="129">
        <v>5</v>
      </c>
      <c r="O223" s="105">
        <f>E224</f>
        <v>0</v>
      </c>
    </row>
    <row r="224" spans="1:15" x14ac:dyDescent="0.2">
      <c r="A224" s="22"/>
      <c r="B224" s="801"/>
      <c r="C224" s="39" t="s">
        <v>152</v>
      </c>
      <c r="D224" s="15">
        <f>prices!F201</f>
        <v>33.44</v>
      </c>
      <c r="E224" s="15">
        <f t="shared" si="6"/>
        <v>0</v>
      </c>
      <c r="F224" s="61">
        <f>prices!F1215*Quotation!B224</f>
        <v>0</v>
      </c>
      <c r="G224" s="86"/>
      <c r="H224" s="812"/>
      <c r="I224" s="790" t="s">
        <v>167</v>
      </c>
      <c r="J224" s="129">
        <v>7</v>
      </c>
      <c r="O224" s="105">
        <f>E225</f>
        <v>0</v>
      </c>
    </row>
    <row r="225" spans="1:15" ht="13.5" thickBot="1" x14ac:dyDescent="0.25">
      <c r="A225" s="22"/>
      <c r="B225" s="801"/>
      <c r="C225" s="39" t="s">
        <v>155</v>
      </c>
      <c r="D225" s="15">
        <f>prices!F202</f>
        <v>24.48</v>
      </c>
      <c r="E225" s="15">
        <f t="shared" si="6"/>
        <v>0</v>
      </c>
      <c r="F225" s="61">
        <f>prices!F1215*Quotation!B225</f>
        <v>0</v>
      </c>
      <c r="G225" s="86"/>
      <c r="H225" s="812"/>
      <c r="I225" s="791"/>
      <c r="J225" s="130"/>
      <c r="O225" s="105">
        <f>D226*B226</f>
        <v>0</v>
      </c>
    </row>
    <row r="226" spans="1:15" ht="13.5" thickTop="1" x14ac:dyDescent="0.2">
      <c r="A226" s="22"/>
      <c r="B226" s="801"/>
      <c r="C226" s="39" t="s">
        <v>168</v>
      </c>
      <c r="D226" s="15">
        <f>prices!F203</f>
        <v>19.04</v>
      </c>
      <c r="E226" s="15">
        <f t="shared" si="6"/>
        <v>0</v>
      </c>
      <c r="F226" s="61"/>
      <c r="G226" s="86"/>
      <c r="H226" s="812"/>
      <c r="O226" s="105">
        <f>E227</f>
        <v>0</v>
      </c>
    </row>
    <row r="227" spans="1:15" x14ac:dyDescent="0.2">
      <c r="A227" s="22"/>
      <c r="B227" s="801"/>
      <c r="C227" s="24" t="s">
        <v>169</v>
      </c>
      <c r="D227" s="15">
        <f>prices!F205</f>
        <v>16.64</v>
      </c>
      <c r="E227" s="15">
        <f t="shared" si="6"/>
        <v>0</v>
      </c>
      <c r="F227" s="61">
        <f>prices!F1215*Quotation!B227</f>
        <v>0</v>
      </c>
      <c r="G227" s="86"/>
      <c r="H227" s="812"/>
      <c r="O227" s="105">
        <f>E228</f>
        <v>0</v>
      </c>
    </row>
    <row r="228" spans="1:15" x14ac:dyDescent="0.2">
      <c r="A228" s="22"/>
      <c r="B228" s="801"/>
      <c r="C228" s="39" t="s">
        <v>170</v>
      </c>
      <c r="D228" s="15">
        <f>prices!F207</f>
        <v>14.399999999999999</v>
      </c>
      <c r="E228" s="15">
        <f t="shared" si="6"/>
        <v>0</v>
      </c>
      <c r="F228" s="61">
        <f>prices!F1215*Quotation!B228</f>
        <v>0</v>
      </c>
      <c r="G228" s="86"/>
      <c r="H228" s="800"/>
    </row>
    <row r="229" spans="1:15" x14ac:dyDescent="0.2">
      <c r="A229" s="22"/>
      <c r="B229" s="801"/>
      <c r="C229" s="39"/>
      <c r="D229" s="15"/>
      <c r="E229" s="15"/>
      <c r="F229" s="61"/>
      <c r="G229" s="86"/>
      <c r="H229" s="800"/>
    </row>
    <row r="230" spans="1:15" x14ac:dyDescent="0.2">
      <c r="A230" s="22"/>
      <c r="B230" s="801"/>
      <c r="C230" s="56" t="s">
        <v>171</v>
      </c>
      <c r="D230" s="15"/>
      <c r="E230" s="15"/>
      <c r="F230" s="61"/>
      <c r="G230" s="86"/>
      <c r="H230" s="800"/>
    </row>
    <row r="231" spans="1:15" x14ac:dyDescent="0.2">
      <c r="A231" s="22"/>
      <c r="B231" s="801"/>
      <c r="C231" s="56"/>
      <c r="D231" s="15"/>
      <c r="E231" s="15"/>
      <c r="F231" s="61"/>
      <c r="G231" s="86"/>
      <c r="H231" s="800"/>
    </row>
    <row r="232" spans="1:15" x14ac:dyDescent="0.2">
      <c r="A232" s="22"/>
      <c r="B232" s="801"/>
      <c r="C232" s="39" t="s">
        <v>172</v>
      </c>
      <c r="D232" s="15">
        <f>prices!$F$232</f>
        <v>37.392000000000003</v>
      </c>
      <c r="E232" s="15">
        <f>D232*B232</f>
        <v>0</v>
      </c>
      <c r="F232" s="61">
        <f>prices!$F$1213*Quotation!B232</f>
        <v>0</v>
      </c>
      <c r="G232" s="86"/>
      <c r="H232" s="800"/>
    </row>
    <row r="233" spans="1:15" x14ac:dyDescent="0.2">
      <c r="A233" s="22"/>
      <c r="B233" s="801"/>
      <c r="C233" s="39" t="s">
        <v>173</v>
      </c>
      <c r="D233" s="15">
        <f>prices!F233</f>
        <v>27.136000000000003</v>
      </c>
      <c r="E233" s="15">
        <f t="shared" ref="E233:E236" si="7">D233*B233</f>
        <v>0</v>
      </c>
      <c r="F233" s="61">
        <f>prices!$F$1213*Quotation!B233</f>
        <v>0</v>
      </c>
      <c r="G233" s="86"/>
      <c r="H233" s="800"/>
    </row>
    <row r="234" spans="1:15" x14ac:dyDescent="0.2">
      <c r="A234" s="22"/>
      <c r="B234" s="801"/>
      <c r="C234" s="39" t="s">
        <v>174</v>
      </c>
      <c r="D234" s="15">
        <f>prices!F234</f>
        <v>21.344000000000001</v>
      </c>
      <c r="E234" s="15">
        <f t="shared" si="7"/>
        <v>0</v>
      </c>
      <c r="F234" s="61">
        <f>prices!$F$1213*Quotation!B234</f>
        <v>0</v>
      </c>
      <c r="G234" s="86"/>
      <c r="H234" s="800"/>
    </row>
    <row r="235" spans="1:15" x14ac:dyDescent="0.2">
      <c r="A235" s="22"/>
      <c r="B235" s="801"/>
      <c r="C235" s="39" t="s">
        <v>175</v>
      </c>
      <c r="D235" s="15">
        <f>prices!F235</f>
        <v>15.936</v>
      </c>
      <c r="E235" s="15">
        <f t="shared" si="7"/>
        <v>0</v>
      </c>
      <c r="F235" s="61">
        <f>prices!$F$1213*Quotation!B235</f>
        <v>0</v>
      </c>
      <c r="G235" s="86"/>
      <c r="H235" s="800"/>
    </row>
    <row r="236" spans="1:15" x14ac:dyDescent="0.2">
      <c r="A236" s="22"/>
      <c r="B236" s="801"/>
      <c r="C236" s="39" t="s">
        <v>176</v>
      </c>
      <c r="D236" s="15">
        <f>prices!F236</f>
        <v>7.5040000000000004</v>
      </c>
      <c r="E236" s="15">
        <f t="shared" si="7"/>
        <v>0</v>
      </c>
      <c r="F236" s="61">
        <f>prices!$F$1213*Quotation!B236</f>
        <v>0</v>
      </c>
      <c r="G236" s="86"/>
      <c r="H236" s="800"/>
    </row>
    <row r="237" spans="1:15" x14ac:dyDescent="0.2">
      <c r="A237" s="22"/>
      <c r="B237" s="801"/>
      <c r="C237" s="39"/>
      <c r="D237" s="15"/>
      <c r="E237" s="15"/>
      <c r="F237" s="61"/>
      <c r="G237" s="86"/>
      <c r="H237" s="800"/>
      <c r="I237" s="113"/>
      <c r="J237" s="113"/>
    </row>
    <row r="238" spans="1:15" x14ac:dyDescent="0.2">
      <c r="A238" s="65"/>
      <c r="B238" s="807"/>
      <c r="C238" s="73" t="s">
        <v>177</v>
      </c>
      <c r="D238" s="131">
        <f>(B228+B227+B226+B225+B224+B223+B222)</f>
        <v>0</v>
      </c>
      <c r="E238" s="15"/>
      <c r="F238" s="61">
        <f>(prices!F1213*Quotation!D238)*B238</f>
        <v>0</v>
      </c>
      <c r="G238" s="86"/>
      <c r="H238" s="800"/>
      <c r="I238" s="113"/>
      <c r="J238" s="113"/>
    </row>
    <row r="239" spans="1:15" ht="13.5" thickBot="1" x14ac:dyDescent="0.25">
      <c r="A239" s="22"/>
      <c r="B239" s="801"/>
      <c r="C239" s="39"/>
      <c r="D239" s="15"/>
      <c r="E239" s="15"/>
      <c r="F239" s="61"/>
      <c r="G239" s="86"/>
      <c r="H239" s="800"/>
      <c r="I239" s="114"/>
      <c r="J239" s="114"/>
    </row>
    <row r="240" spans="1:15" ht="13.5" thickTop="1" x14ac:dyDescent="0.2">
      <c r="A240" s="22"/>
      <c r="B240" s="799"/>
      <c r="C240" s="39"/>
      <c r="D240" s="15"/>
      <c r="E240" s="15">
        <f>D240*B240</f>
        <v>0</v>
      </c>
      <c r="F240" s="15"/>
      <c r="G240" s="15"/>
      <c r="H240" s="800"/>
      <c r="I240" s="792"/>
      <c r="J240" s="132"/>
    </row>
    <row r="241" spans="1:10" x14ac:dyDescent="0.2">
      <c r="A241" s="22"/>
      <c r="B241" s="799"/>
      <c r="C241" s="63" t="s">
        <v>178</v>
      </c>
      <c r="D241" s="15"/>
      <c r="E241" s="15"/>
      <c r="F241" s="15"/>
      <c r="G241" s="15"/>
      <c r="H241" s="800"/>
      <c r="I241" s="793" t="s">
        <v>179</v>
      </c>
      <c r="J241" s="129"/>
    </row>
    <row r="242" spans="1:10" x14ac:dyDescent="0.2">
      <c r="A242" s="65"/>
      <c r="B242" s="799"/>
      <c r="C242" s="39"/>
      <c r="D242" s="15"/>
      <c r="E242" s="15"/>
      <c r="F242" s="15"/>
      <c r="G242" s="15"/>
      <c r="H242" s="800"/>
      <c r="I242" s="790" t="s">
        <v>180</v>
      </c>
      <c r="J242" s="129">
        <v>4</v>
      </c>
    </row>
    <row r="243" spans="1:10" x14ac:dyDescent="0.2">
      <c r="A243" s="65"/>
      <c r="B243" s="801"/>
      <c r="C243" s="39" t="s">
        <v>181</v>
      </c>
      <c r="D243" s="15">
        <f>prices!F207*2.5+prices!F754*8</f>
        <v>36.149333333333331</v>
      </c>
      <c r="E243" s="15">
        <f>B243*D243</f>
        <v>0</v>
      </c>
      <c r="F243" s="61">
        <f>prices!F1218*B243</f>
        <v>0</v>
      </c>
      <c r="G243" s="15"/>
      <c r="H243" s="800"/>
      <c r="I243" s="790" t="s">
        <v>182</v>
      </c>
      <c r="J243" s="129">
        <v>4</v>
      </c>
    </row>
    <row r="244" spans="1:10" x14ac:dyDescent="0.2">
      <c r="A244" s="65"/>
      <c r="B244" s="799"/>
      <c r="C244" s="39"/>
      <c r="D244" s="15"/>
      <c r="E244" s="15"/>
      <c r="F244" s="61"/>
      <c r="G244" s="15"/>
      <c r="H244" s="800"/>
      <c r="I244" s="790" t="s">
        <v>154</v>
      </c>
      <c r="J244" s="129">
        <v>5</v>
      </c>
    </row>
    <row r="245" spans="1:10" x14ac:dyDescent="0.2">
      <c r="A245" s="22"/>
      <c r="B245" s="799"/>
      <c r="C245" s="63" t="s">
        <v>183</v>
      </c>
      <c r="D245" s="15"/>
      <c r="E245" s="15"/>
      <c r="F245" s="61"/>
      <c r="G245" s="15"/>
      <c r="H245" s="800"/>
      <c r="I245" s="790" t="s">
        <v>157</v>
      </c>
      <c r="J245" s="129">
        <v>6</v>
      </c>
    </row>
    <row r="246" spans="1:10" ht="13.5" thickBot="1" x14ac:dyDescent="0.25">
      <c r="A246" s="22"/>
      <c r="B246" s="799"/>
      <c r="C246" s="64"/>
      <c r="D246" s="15"/>
      <c r="E246" s="15"/>
      <c r="F246" s="61"/>
      <c r="G246" s="15"/>
      <c r="H246" s="800"/>
      <c r="I246" s="791" t="s">
        <v>184</v>
      </c>
      <c r="J246" s="130">
        <v>6</v>
      </c>
    </row>
    <row r="247" spans="1:10" ht="13.5" thickTop="1" x14ac:dyDescent="0.2">
      <c r="A247" s="65"/>
      <c r="B247" s="801"/>
      <c r="C247" s="39" t="s">
        <v>185</v>
      </c>
      <c r="D247" s="15">
        <f>prices!F799</f>
        <v>178.8</v>
      </c>
      <c r="E247" s="15">
        <f>D247*B247</f>
        <v>0</v>
      </c>
      <c r="F247" s="61">
        <f>prices!F1345*Quotation!B247</f>
        <v>0</v>
      </c>
      <c r="G247" s="15"/>
      <c r="H247" s="800"/>
      <c r="I247" s="13"/>
      <c r="J247" s="13"/>
    </row>
    <row r="248" spans="1:10" x14ac:dyDescent="0.2">
      <c r="A248" s="22"/>
      <c r="B248" s="801"/>
      <c r="C248" s="39" t="s">
        <v>186</v>
      </c>
      <c r="D248" s="15">
        <f>prices!F800</f>
        <v>249.00799999999998</v>
      </c>
      <c r="E248" s="15">
        <f>D248*B248</f>
        <v>0</v>
      </c>
      <c r="F248" s="61">
        <f>prices!F1345*Quotation!B248</f>
        <v>0</v>
      </c>
      <c r="G248" s="15"/>
      <c r="H248" s="800"/>
      <c r="I248" s="13"/>
      <c r="J248" s="13"/>
    </row>
    <row r="249" spans="1:10" x14ac:dyDescent="0.2">
      <c r="A249" s="22"/>
      <c r="B249" s="801"/>
      <c r="C249" s="39" t="s">
        <v>187</v>
      </c>
      <c r="D249" s="15">
        <f>prices!F801</f>
        <v>220.20799999999997</v>
      </c>
      <c r="E249" s="15">
        <f>D249*B249</f>
        <v>0</v>
      </c>
      <c r="F249" s="61">
        <f>prices!F1345*Quotation!B249</f>
        <v>0</v>
      </c>
      <c r="G249" s="15"/>
      <c r="H249" s="800"/>
      <c r="I249" s="13"/>
      <c r="J249" s="13"/>
    </row>
    <row r="250" spans="1:10" x14ac:dyDescent="0.2">
      <c r="A250" s="22"/>
      <c r="B250" s="799"/>
      <c r="C250" s="39"/>
      <c r="D250" s="15"/>
      <c r="E250" s="15"/>
      <c r="F250" s="61"/>
      <c r="G250" s="15"/>
      <c r="H250" s="800"/>
      <c r="I250" s="13"/>
      <c r="J250" s="13"/>
    </row>
    <row r="251" spans="1:10" x14ac:dyDescent="0.2">
      <c r="A251" s="22"/>
      <c r="B251" s="799"/>
      <c r="C251" s="63" t="s">
        <v>188</v>
      </c>
      <c r="D251" s="15"/>
      <c r="E251" s="15"/>
      <c r="F251" s="15"/>
      <c r="G251" s="15"/>
      <c r="H251" s="800"/>
      <c r="I251" s="13"/>
      <c r="J251" s="13"/>
    </row>
    <row r="252" spans="1:10" x14ac:dyDescent="0.2">
      <c r="A252" s="22"/>
      <c r="B252" s="799"/>
      <c r="C252" s="64"/>
      <c r="D252" s="15"/>
      <c r="E252" s="15"/>
      <c r="F252" s="15"/>
      <c r="G252" s="15"/>
      <c r="H252" s="800"/>
      <c r="I252" s="13"/>
      <c r="J252" s="13"/>
    </row>
    <row r="253" spans="1:10" x14ac:dyDescent="0.2">
      <c r="A253" s="65"/>
      <c r="B253" s="801"/>
      <c r="C253" s="39" t="s">
        <v>189</v>
      </c>
      <c r="D253" s="15">
        <f>prices!F384+prices!F767*2</f>
        <v>0.64319999999999999</v>
      </c>
      <c r="E253" s="15">
        <f>D253*B253</f>
        <v>0</v>
      </c>
      <c r="F253" s="61">
        <f>prices!F1222*B253</f>
        <v>0</v>
      </c>
      <c r="G253" s="15"/>
      <c r="H253" s="800"/>
      <c r="I253" s="13"/>
      <c r="J253" s="13"/>
    </row>
    <row r="254" spans="1:10" x14ac:dyDescent="0.2">
      <c r="A254" s="65"/>
      <c r="B254" s="801"/>
      <c r="C254" s="39" t="s">
        <v>190</v>
      </c>
      <c r="D254" s="15">
        <f>prices!F385+prices!F767*2</f>
        <v>0.64319999999999999</v>
      </c>
      <c r="E254" s="15">
        <f>D254*B254</f>
        <v>0</v>
      </c>
      <c r="F254" s="61">
        <f>prices!F1222*B254</f>
        <v>0</v>
      </c>
      <c r="G254" s="15"/>
      <c r="H254" s="800"/>
      <c r="I254" s="13"/>
      <c r="J254" s="13"/>
    </row>
    <row r="255" spans="1:10" x14ac:dyDescent="0.2">
      <c r="A255" s="22"/>
      <c r="B255" s="801"/>
      <c r="C255" s="39" t="s">
        <v>191</v>
      </c>
      <c r="D255" s="15">
        <f>prices!F386+prices!F767*2</f>
        <v>0.64319999999999999</v>
      </c>
      <c r="E255" s="15">
        <f>D255*B255</f>
        <v>0</v>
      </c>
      <c r="F255" s="61">
        <f>prices!F1222*B255</f>
        <v>0</v>
      </c>
      <c r="G255" s="15"/>
      <c r="H255" s="800"/>
      <c r="I255" s="13"/>
      <c r="J255" s="13"/>
    </row>
    <row r="256" spans="1:10" x14ac:dyDescent="0.2">
      <c r="A256" s="22"/>
      <c r="B256" s="799"/>
      <c r="C256" s="39"/>
      <c r="D256" s="15"/>
      <c r="E256" s="15"/>
      <c r="F256" s="15"/>
      <c r="G256" s="15"/>
      <c r="H256" s="800"/>
      <c r="I256" s="13"/>
      <c r="J256" s="13"/>
    </row>
    <row r="257" spans="1:10" x14ac:dyDescent="0.2">
      <c r="A257" s="22"/>
      <c r="B257" s="799"/>
      <c r="C257" s="63" t="s">
        <v>192</v>
      </c>
      <c r="D257" s="15"/>
      <c r="E257" s="15"/>
      <c r="F257" s="15"/>
      <c r="G257" s="15"/>
      <c r="H257" s="800"/>
      <c r="I257" s="13"/>
      <c r="J257" s="13"/>
    </row>
    <row r="258" spans="1:10" x14ac:dyDescent="0.2">
      <c r="A258" s="65"/>
      <c r="B258" s="799"/>
      <c r="C258" s="69" t="s">
        <v>193</v>
      </c>
      <c r="D258" s="15"/>
      <c r="E258" s="15"/>
      <c r="F258" s="15"/>
      <c r="G258" s="15"/>
      <c r="H258" s="800"/>
      <c r="I258" s="13"/>
      <c r="J258" s="13"/>
    </row>
    <row r="259" spans="1:10" x14ac:dyDescent="0.2">
      <c r="A259" s="65"/>
      <c r="B259" s="801"/>
      <c r="C259" s="24" t="s">
        <v>194</v>
      </c>
      <c r="D259" s="15">
        <f>prices!F391*2+prices!F600*3+prices!F402+prices!F755*20</f>
        <v>111.95936000000002</v>
      </c>
      <c r="E259" s="15">
        <f t="shared" ref="E259:E264" si="8">B259*D259</f>
        <v>0</v>
      </c>
      <c r="F259" s="61">
        <f>prices!F1227*2*B259</f>
        <v>0</v>
      </c>
      <c r="G259" s="15"/>
      <c r="H259" s="800"/>
      <c r="I259" s="13"/>
      <c r="J259" s="13"/>
    </row>
    <row r="260" spans="1:10" x14ac:dyDescent="0.2">
      <c r="A260" s="65"/>
      <c r="B260" s="801"/>
      <c r="C260" s="24" t="s">
        <v>195</v>
      </c>
      <c r="D260" s="15">
        <f>prices!F391*2+prices!F600*3.6+prices!F402+prices!F755*20</f>
        <v>119.52032000000003</v>
      </c>
      <c r="E260" s="15">
        <f t="shared" si="8"/>
        <v>0</v>
      </c>
      <c r="F260" s="61">
        <f>prices!F1227*2*B260</f>
        <v>0</v>
      </c>
      <c r="G260" s="15"/>
      <c r="H260" s="800"/>
      <c r="I260" s="13"/>
      <c r="J260" s="13"/>
    </row>
    <row r="261" spans="1:10" x14ac:dyDescent="0.2">
      <c r="A261" s="65"/>
      <c r="B261" s="801"/>
      <c r="C261" s="24" t="s">
        <v>196</v>
      </c>
      <c r="D261" s="15">
        <f>prices!F396*2+prices!F600*4.2+prices!F402+prices!F755*20</f>
        <v>153.35328000000001</v>
      </c>
      <c r="E261" s="15">
        <f t="shared" si="8"/>
        <v>0</v>
      </c>
      <c r="F261" s="61">
        <f>prices!F1227*2*B261</f>
        <v>0</v>
      </c>
      <c r="G261" s="15"/>
      <c r="H261" s="800"/>
      <c r="I261" s="13"/>
      <c r="J261" s="13"/>
    </row>
    <row r="262" spans="1:10" ht="12" customHeight="1" x14ac:dyDescent="0.2">
      <c r="A262" s="22"/>
      <c r="B262" s="801"/>
      <c r="C262" s="24" t="s">
        <v>197</v>
      </c>
      <c r="D262" s="15">
        <f>prices!F396*2+prices!F600*4.8+prices!F402+prices!F755*20</f>
        <v>160.91424000000001</v>
      </c>
      <c r="E262" s="15">
        <f t="shared" si="8"/>
        <v>0</v>
      </c>
      <c r="F262" s="61">
        <f>prices!F1227*2*B262</f>
        <v>0</v>
      </c>
      <c r="G262" s="15"/>
      <c r="H262" s="800"/>
      <c r="I262" s="13"/>
      <c r="J262" s="13"/>
    </row>
    <row r="263" spans="1:10" x14ac:dyDescent="0.2">
      <c r="A263" s="22"/>
      <c r="B263" s="801"/>
      <c r="C263" s="24" t="s">
        <v>198</v>
      </c>
      <c r="D263" s="15">
        <f>prices!F398*2+prices!F600*5.4+prices!F402+prices!F755*20</f>
        <v>180.53919999999999</v>
      </c>
      <c r="E263" s="15">
        <f t="shared" si="8"/>
        <v>0</v>
      </c>
      <c r="F263" s="61">
        <f>prices!F1227*2*B263</f>
        <v>0</v>
      </c>
      <c r="G263" s="15"/>
      <c r="H263" s="800"/>
      <c r="I263" s="13"/>
      <c r="J263" s="13"/>
    </row>
    <row r="264" spans="1:10" x14ac:dyDescent="0.2">
      <c r="A264" s="22"/>
      <c r="B264" s="801"/>
      <c r="C264" s="24" t="s">
        <v>199</v>
      </c>
      <c r="D264" s="15">
        <f>prices!F400*2+prices!F600*6+prices!F402+prices!F755*20</f>
        <v>200.19615999999999</v>
      </c>
      <c r="E264" s="15">
        <f t="shared" si="8"/>
        <v>0</v>
      </c>
      <c r="F264" s="61">
        <f>prices!F1227*2*B264</f>
        <v>0</v>
      </c>
      <c r="G264" s="15"/>
      <c r="H264" s="800"/>
      <c r="I264" s="13"/>
      <c r="J264" s="13"/>
    </row>
    <row r="265" spans="1:10" x14ac:dyDescent="0.2">
      <c r="A265" s="22"/>
      <c r="B265" s="801"/>
      <c r="C265" s="24" t="s">
        <v>200</v>
      </c>
      <c r="D265" s="15">
        <f>prices!F400*2+prices!F391*2+prices!F600*7.2+prices!F402+prices!F755*30</f>
        <v>286.18736000000001</v>
      </c>
      <c r="E265" s="15">
        <f>D265*B265</f>
        <v>0</v>
      </c>
      <c r="F265" s="61">
        <f>(prices!F1228*2)*B265</f>
        <v>0</v>
      </c>
      <c r="G265" s="15"/>
      <c r="H265" s="800"/>
      <c r="I265" s="13"/>
      <c r="J265" s="13"/>
    </row>
    <row r="266" spans="1:10" x14ac:dyDescent="0.2">
      <c r="A266" s="22"/>
      <c r="B266" s="799"/>
      <c r="C266" s="39"/>
      <c r="D266" s="15"/>
      <c r="E266" s="15"/>
      <c r="F266" s="61"/>
      <c r="G266" s="15"/>
      <c r="H266" s="800"/>
      <c r="I266" s="13"/>
      <c r="J266" s="13"/>
    </row>
    <row r="267" spans="1:10" x14ac:dyDescent="0.2">
      <c r="A267" s="22"/>
      <c r="B267" s="799"/>
      <c r="C267" s="69" t="s">
        <v>201</v>
      </c>
      <c r="D267" s="15"/>
      <c r="E267" s="15"/>
      <c r="F267" s="61"/>
      <c r="G267" s="15"/>
      <c r="H267" s="800"/>
      <c r="I267" s="13"/>
      <c r="J267" s="13"/>
    </row>
    <row r="268" spans="1:10" x14ac:dyDescent="0.2">
      <c r="A268" s="65"/>
      <c r="B268" s="801"/>
      <c r="C268" s="39" t="s">
        <v>202</v>
      </c>
      <c r="D268" s="15">
        <f>prices!F408*2+prices!F600*4.8+prices!F402+prices!F755*30</f>
        <v>64.51952</v>
      </c>
      <c r="E268" s="15">
        <f>D268*B268</f>
        <v>0</v>
      </c>
      <c r="F268" s="61">
        <f>prices!F1227*Quotation!B268*2</f>
        <v>0</v>
      </c>
      <c r="G268" s="15"/>
      <c r="H268" s="800"/>
      <c r="I268" s="13"/>
      <c r="J268" s="13"/>
    </row>
    <row r="269" spans="1:10" x14ac:dyDescent="0.2">
      <c r="A269" s="22"/>
      <c r="B269" s="801"/>
      <c r="C269" s="39" t="s">
        <v>203</v>
      </c>
      <c r="D269" s="15">
        <f>prices!F408*2+prices!F600*6+prices!F402+prices!F755*30</f>
        <v>79.641440000000003</v>
      </c>
      <c r="E269" s="15">
        <f>D269*B269</f>
        <v>0</v>
      </c>
      <c r="F269" s="61">
        <f>prices!F1227*Quotation!B269*2</f>
        <v>0</v>
      </c>
      <c r="G269" s="15"/>
      <c r="H269" s="800"/>
      <c r="I269" s="13"/>
      <c r="J269" s="13"/>
    </row>
    <row r="270" spans="1:10" x14ac:dyDescent="0.2">
      <c r="A270" s="22"/>
      <c r="B270" s="801"/>
      <c r="C270" s="39" t="s">
        <v>204</v>
      </c>
      <c r="D270" s="15">
        <f>prices!F408*3+prices!F600*7.2+prices!F402+prices!F755*30</f>
        <v>94.76336000000002</v>
      </c>
      <c r="E270" s="15">
        <f>D270*B270</f>
        <v>0</v>
      </c>
      <c r="F270" s="61">
        <f>(prices!F1228*2*B270)</f>
        <v>0</v>
      </c>
      <c r="G270" s="15"/>
      <c r="H270" s="800"/>
      <c r="I270" s="13"/>
      <c r="J270" s="13"/>
    </row>
    <row r="271" spans="1:10" x14ac:dyDescent="0.2">
      <c r="A271" s="65"/>
      <c r="B271" s="801"/>
      <c r="C271" s="39" t="s">
        <v>205</v>
      </c>
      <c r="D271" s="15">
        <f>prices!F423</f>
        <v>12.16</v>
      </c>
      <c r="E271" s="15">
        <f>D271*B271</f>
        <v>0</v>
      </c>
      <c r="F271" s="61">
        <f>prices!F1239*Quotation!B271</f>
        <v>0</v>
      </c>
      <c r="G271" s="15"/>
      <c r="H271" s="800"/>
      <c r="I271" s="13"/>
      <c r="J271" s="13"/>
    </row>
    <row r="272" spans="1:10" x14ac:dyDescent="0.2">
      <c r="A272" s="22"/>
      <c r="B272" s="799"/>
      <c r="C272" s="39"/>
      <c r="D272" s="15"/>
      <c r="E272" s="15"/>
      <c r="F272" s="61"/>
      <c r="G272" s="15"/>
      <c r="H272" s="800"/>
      <c r="I272" s="13"/>
      <c r="J272" s="13"/>
    </row>
    <row r="273" spans="1:10" x14ac:dyDescent="0.2">
      <c r="A273" s="22"/>
      <c r="B273" s="799"/>
      <c r="C273" s="69" t="s">
        <v>206</v>
      </c>
      <c r="D273" s="15"/>
      <c r="E273" s="15"/>
      <c r="F273" s="61"/>
      <c r="G273" s="15"/>
      <c r="H273" s="800"/>
      <c r="I273" s="13"/>
      <c r="J273" s="13"/>
    </row>
    <row r="274" spans="1:10" x14ac:dyDescent="0.2">
      <c r="A274" s="22"/>
      <c r="B274" s="799"/>
      <c r="C274" s="39"/>
      <c r="D274" s="15"/>
      <c r="E274" s="15"/>
      <c r="F274" s="61"/>
      <c r="G274" s="15"/>
      <c r="H274" s="800"/>
      <c r="I274" s="13"/>
      <c r="J274" s="13"/>
    </row>
    <row r="275" spans="1:10" x14ac:dyDescent="0.2">
      <c r="A275" s="67"/>
      <c r="B275" s="801"/>
      <c r="C275" s="39" t="s">
        <v>207</v>
      </c>
      <c r="D275" s="15">
        <f>prices!F205*3+prices!F396+prices!F424*12+prices!F756*30+prices!F282*4.8</f>
        <v>330.048</v>
      </c>
      <c r="E275" s="15">
        <f>D275*B275</f>
        <v>0</v>
      </c>
      <c r="F275" s="61">
        <f>(prices!F1239*2.7+prices!F1227+prices!F1195*4.8)*B275</f>
        <v>0</v>
      </c>
      <c r="G275" s="15"/>
      <c r="H275" s="800"/>
      <c r="I275" s="13"/>
      <c r="J275" s="13"/>
    </row>
    <row r="276" spans="1:10" x14ac:dyDescent="0.2">
      <c r="A276" s="65"/>
      <c r="B276" s="801"/>
      <c r="C276" s="39" t="s">
        <v>208</v>
      </c>
      <c r="D276" s="15">
        <f>prices!F205*6+prices!F400+prices!F424*21+prices!F756*30+prices!F282*7.2</f>
        <v>533.07200000000012</v>
      </c>
      <c r="E276" s="15">
        <f>D276*B276</f>
        <v>0</v>
      </c>
      <c r="F276" s="61">
        <f>(prices!F1239*3.6+prices!F1228+prices!F1195*7.2)*B276</f>
        <v>0</v>
      </c>
      <c r="G276" s="15"/>
      <c r="H276" s="800"/>
      <c r="I276" s="13"/>
      <c r="J276" s="13"/>
    </row>
    <row r="277" spans="1:10" x14ac:dyDescent="0.2">
      <c r="A277" s="22"/>
      <c r="B277" s="799"/>
      <c r="C277" s="39"/>
      <c r="D277" s="15"/>
      <c r="E277" s="15"/>
      <c r="F277" s="61"/>
      <c r="G277" s="15"/>
      <c r="H277" s="800"/>
      <c r="I277" s="13"/>
      <c r="J277" s="13"/>
    </row>
    <row r="278" spans="1:10" x14ac:dyDescent="0.2">
      <c r="A278" s="22"/>
      <c r="B278" s="799"/>
      <c r="C278" s="112"/>
      <c r="D278" s="15"/>
      <c r="E278" s="15"/>
      <c r="F278" s="61"/>
      <c r="G278" s="15"/>
      <c r="H278" s="800"/>
      <c r="I278" s="13"/>
      <c r="J278" s="13"/>
    </row>
    <row r="279" spans="1:10" x14ac:dyDescent="0.2">
      <c r="A279" s="22"/>
      <c r="B279" s="799"/>
      <c r="C279" s="112"/>
      <c r="D279" s="15"/>
      <c r="E279" s="15"/>
      <c r="F279" s="61"/>
      <c r="G279" s="15"/>
      <c r="H279" s="800"/>
      <c r="I279" s="13"/>
      <c r="J279" s="13"/>
    </row>
    <row r="280" spans="1:10" x14ac:dyDescent="0.2">
      <c r="A280" s="22"/>
      <c r="B280" s="799"/>
      <c r="C280" s="63" t="s">
        <v>209</v>
      </c>
      <c r="D280" s="15"/>
      <c r="E280" s="15">
        <f>D280*B280</f>
        <v>0</v>
      </c>
      <c r="F280" s="15"/>
      <c r="G280" s="15"/>
      <c r="H280" s="800"/>
      <c r="I280" s="13"/>
      <c r="J280" s="13"/>
    </row>
    <row r="281" spans="1:10" x14ac:dyDescent="0.2">
      <c r="A281" s="22"/>
      <c r="B281" s="799"/>
      <c r="C281" s="39"/>
      <c r="D281" s="15"/>
      <c r="E281" s="15"/>
      <c r="F281" s="15"/>
      <c r="G281" s="15"/>
      <c r="H281" s="800"/>
      <c r="I281" s="13"/>
      <c r="J281" s="13"/>
    </row>
    <row r="282" spans="1:10" x14ac:dyDescent="0.2">
      <c r="A282" s="65"/>
      <c r="B282" s="801"/>
      <c r="C282" s="39" t="s">
        <v>210</v>
      </c>
      <c r="D282" s="15">
        <f>prices!F391*2+prices!F402+prices!F755*20</f>
        <v>74.154560000000018</v>
      </c>
      <c r="E282" s="15">
        <f t="shared" ref="E282:E287" si="9">D282*B282</f>
        <v>0</v>
      </c>
      <c r="F282" s="61">
        <f>prices!F1227*2*B282</f>
        <v>0</v>
      </c>
      <c r="G282" s="15"/>
      <c r="H282" s="800"/>
      <c r="I282" s="13"/>
      <c r="J282" s="13"/>
    </row>
    <row r="283" spans="1:10" x14ac:dyDescent="0.2">
      <c r="A283" s="22"/>
      <c r="B283" s="801"/>
      <c r="C283" s="39" t="s">
        <v>211</v>
      </c>
      <c r="D283" s="15">
        <f>prices!F391*2+prices!F402+prices!F755*20</f>
        <v>74.154560000000018</v>
      </c>
      <c r="E283" s="15">
        <f t="shared" si="9"/>
        <v>0</v>
      </c>
      <c r="F283" s="61">
        <f>prices!F1227*2*B283</f>
        <v>0</v>
      </c>
      <c r="G283" s="15"/>
      <c r="H283" s="800"/>
      <c r="I283" s="13"/>
      <c r="J283" s="13"/>
    </row>
    <row r="284" spans="1:10" x14ac:dyDescent="0.2">
      <c r="A284" s="22"/>
      <c r="B284" s="801"/>
      <c r="C284" s="39" t="s">
        <v>212</v>
      </c>
      <c r="D284" s="15">
        <f>prices!F396*2+prices!F402+prices!F755*20</f>
        <v>100.42656000000001</v>
      </c>
      <c r="E284" s="15">
        <f t="shared" si="9"/>
        <v>0</v>
      </c>
      <c r="F284" s="61">
        <f>prices!F1227*2*B284</f>
        <v>0</v>
      </c>
      <c r="G284" s="15"/>
      <c r="H284" s="800"/>
      <c r="I284" s="13"/>
      <c r="J284" s="13"/>
    </row>
    <row r="285" spans="1:10" x14ac:dyDescent="0.2">
      <c r="A285" s="22"/>
      <c r="B285" s="801"/>
      <c r="C285" s="39" t="s">
        <v>213</v>
      </c>
      <c r="D285" s="15">
        <f>prices!F396*2+prices!F402+prices!F755*20</f>
        <v>100.42656000000001</v>
      </c>
      <c r="E285" s="15">
        <f t="shared" si="9"/>
        <v>0</v>
      </c>
      <c r="F285" s="61">
        <f>prices!F1227*2*B285</f>
        <v>0</v>
      </c>
      <c r="G285" s="15"/>
      <c r="H285" s="800"/>
      <c r="I285" s="13"/>
      <c r="J285" s="13"/>
    </row>
    <row r="286" spans="1:10" x14ac:dyDescent="0.2">
      <c r="A286" s="22"/>
      <c r="B286" s="801"/>
      <c r="C286" s="39" t="s">
        <v>214</v>
      </c>
      <c r="D286" s="15">
        <f>prices!F400*2+prices!F402+prices!F755*20</f>
        <v>124.58656000000001</v>
      </c>
      <c r="E286" s="15">
        <f t="shared" si="9"/>
        <v>0</v>
      </c>
      <c r="F286" s="61">
        <f>prices!F1227*2*B286</f>
        <v>0</v>
      </c>
      <c r="G286" s="15"/>
      <c r="H286" s="800"/>
      <c r="I286" s="13"/>
      <c r="J286" s="13"/>
    </row>
    <row r="287" spans="1:10" x14ac:dyDescent="0.2">
      <c r="A287" s="22"/>
      <c r="B287" s="801"/>
      <c r="C287" s="39" t="s">
        <v>215</v>
      </c>
      <c r="D287" s="15">
        <f>prices!F400*2+prices!F402+prices!F755*20</f>
        <v>124.58656000000001</v>
      </c>
      <c r="E287" s="15">
        <f t="shared" si="9"/>
        <v>0</v>
      </c>
      <c r="F287" s="61">
        <f>prices!F1227*2*B287</f>
        <v>0</v>
      </c>
      <c r="G287" s="15"/>
      <c r="H287" s="800"/>
      <c r="I287" s="13"/>
      <c r="J287" s="13"/>
    </row>
    <row r="288" spans="1:10" x14ac:dyDescent="0.2">
      <c r="A288" s="22"/>
      <c r="B288" s="801"/>
      <c r="C288" s="39" t="s">
        <v>216</v>
      </c>
      <c r="D288" s="15">
        <f>prices!F400*2+prices!F391*2+prices!F402+prices!F755*30</f>
        <v>195.45584000000002</v>
      </c>
      <c r="E288" s="15">
        <f>D288*B288</f>
        <v>0</v>
      </c>
      <c r="F288" s="61">
        <f>prices!F1228*2*B288</f>
        <v>0</v>
      </c>
      <c r="G288" s="15"/>
      <c r="H288" s="800"/>
      <c r="I288" s="13"/>
      <c r="J288" s="13"/>
    </row>
    <row r="289" spans="1:10" x14ac:dyDescent="0.2">
      <c r="A289" s="22"/>
      <c r="B289" s="799"/>
      <c r="C289" s="39"/>
      <c r="D289" s="15"/>
      <c r="E289" s="15"/>
      <c r="F289" s="15"/>
      <c r="G289" s="15"/>
      <c r="H289" s="800"/>
      <c r="I289" s="13"/>
      <c r="J289" s="13"/>
    </row>
    <row r="290" spans="1:10" x14ac:dyDescent="0.2">
      <c r="A290" s="22"/>
      <c r="B290" s="799"/>
      <c r="C290" s="39"/>
      <c r="D290" s="15"/>
      <c r="E290" s="15"/>
      <c r="F290" s="61"/>
      <c r="G290" s="15"/>
      <c r="H290" s="800"/>
      <c r="I290" s="13"/>
      <c r="J290" s="13"/>
    </row>
    <row r="291" spans="1:10" x14ac:dyDescent="0.2">
      <c r="A291" s="22"/>
      <c r="B291" s="799"/>
      <c r="C291" s="39"/>
      <c r="D291" s="15"/>
      <c r="E291" s="15"/>
      <c r="F291" s="61"/>
      <c r="G291" s="15"/>
      <c r="H291" s="800"/>
      <c r="I291" s="13"/>
      <c r="J291" s="13"/>
    </row>
    <row r="292" spans="1:10" x14ac:dyDescent="0.2">
      <c r="A292" s="22"/>
      <c r="B292" s="799"/>
      <c r="C292" s="133" t="s">
        <v>217</v>
      </c>
      <c r="D292" s="15"/>
      <c r="E292" s="15"/>
      <c r="F292" s="61"/>
      <c r="G292" s="15"/>
      <c r="H292" s="800"/>
      <c r="I292" s="13"/>
      <c r="J292" s="13"/>
    </row>
    <row r="293" spans="1:10" x14ac:dyDescent="0.2">
      <c r="A293" s="22"/>
      <c r="B293" s="799"/>
      <c r="C293" s="39"/>
      <c r="D293" s="15"/>
      <c r="E293" s="15"/>
      <c r="F293" s="61"/>
      <c r="G293" s="15"/>
      <c r="H293" s="800"/>
      <c r="I293" s="13"/>
      <c r="J293" s="13"/>
    </row>
    <row r="294" spans="1:10" x14ac:dyDescent="0.2">
      <c r="A294" s="65"/>
      <c r="B294" s="801"/>
      <c r="C294" s="39" t="s">
        <v>218</v>
      </c>
      <c r="D294" s="15">
        <f>prices!F736*2+prices!F846*20.4</f>
        <v>680.1472</v>
      </c>
      <c r="E294" s="15">
        <f>D294*B294</f>
        <v>0</v>
      </c>
      <c r="F294" s="61"/>
      <c r="G294" s="15"/>
      <c r="H294" s="800"/>
      <c r="I294" s="13"/>
      <c r="J294" s="13"/>
    </row>
    <row r="295" spans="1:10" x14ac:dyDescent="0.2">
      <c r="A295" s="22"/>
      <c r="B295" s="801"/>
      <c r="C295" s="39" t="s">
        <v>219</v>
      </c>
      <c r="D295" s="15">
        <f>prices!F736*2+prices!F845*22.8*Quotation!B295</f>
        <v>640</v>
      </c>
      <c r="E295" s="15">
        <f>D295*B295</f>
        <v>0</v>
      </c>
      <c r="F295" s="61"/>
      <c r="G295" s="15"/>
      <c r="H295" s="800"/>
      <c r="I295" s="13"/>
      <c r="J295" s="13"/>
    </row>
    <row r="296" spans="1:10" x14ac:dyDescent="0.2">
      <c r="A296" s="22"/>
      <c r="B296" s="801"/>
      <c r="C296" s="39" t="s">
        <v>220</v>
      </c>
      <c r="D296" s="15">
        <f>prices!F736*2+prices!F845*26.4*Quotation!B296</f>
        <v>640</v>
      </c>
      <c r="E296" s="15">
        <f>D296*B296</f>
        <v>0</v>
      </c>
      <c r="F296" s="61"/>
      <c r="G296" s="15"/>
      <c r="H296" s="800"/>
      <c r="I296" s="13"/>
      <c r="J296" s="13"/>
    </row>
    <row r="297" spans="1:10" x14ac:dyDescent="0.2">
      <c r="A297" s="22"/>
      <c r="B297" s="801"/>
      <c r="C297" s="39" t="s">
        <v>221</v>
      </c>
      <c r="D297" s="15">
        <f>prices!F736*4+prices!F846*31.2*Quotation!B297</f>
        <v>1280</v>
      </c>
      <c r="E297" s="15">
        <f>D297*B297</f>
        <v>0</v>
      </c>
      <c r="F297" s="61"/>
      <c r="G297" s="15"/>
      <c r="H297" s="800"/>
      <c r="I297" s="13"/>
      <c r="J297" s="13"/>
    </row>
    <row r="298" spans="1:10" x14ac:dyDescent="0.2">
      <c r="A298" s="22"/>
      <c r="B298" s="801"/>
      <c r="C298" s="39" t="s">
        <v>222</v>
      </c>
      <c r="D298" s="15">
        <f>prices!F736</f>
        <v>320</v>
      </c>
      <c r="E298" s="15">
        <f>D298*B298</f>
        <v>0</v>
      </c>
      <c r="F298" s="61">
        <f>prices!F1240*Quotation!B298</f>
        <v>0</v>
      </c>
      <c r="G298" s="15"/>
      <c r="H298" s="800"/>
      <c r="I298" s="13"/>
      <c r="J298" s="13"/>
    </row>
    <row r="299" spans="1:10" x14ac:dyDescent="0.2">
      <c r="A299" s="65"/>
      <c r="B299" s="801"/>
      <c r="C299" s="134" t="s">
        <v>223</v>
      </c>
      <c r="D299" s="15"/>
      <c r="E299" s="15"/>
      <c r="F299" s="61">
        <f>prices!F1242*Quotation!B299</f>
        <v>0</v>
      </c>
      <c r="G299" s="80"/>
      <c r="H299" s="800"/>
      <c r="I299" s="13"/>
      <c r="J299" s="13"/>
    </row>
    <row r="300" spans="1:10" x14ac:dyDescent="0.2">
      <c r="A300" s="65"/>
      <c r="B300" s="801"/>
      <c r="C300" s="134" t="s">
        <v>224</v>
      </c>
      <c r="D300" s="15"/>
      <c r="E300" s="15"/>
      <c r="F300" s="61">
        <f>prices!F1243*Quotation!B300</f>
        <v>0</v>
      </c>
      <c r="G300" s="15"/>
      <c r="H300" s="800"/>
      <c r="I300" s="13"/>
      <c r="J300" s="13"/>
    </row>
    <row r="301" spans="1:10" x14ac:dyDescent="0.2">
      <c r="A301" s="22"/>
      <c r="B301" s="799"/>
      <c r="C301" s="39"/>
      <c r="D301" s="15"/>
      <c r="E301" s="15"/>
      <c r="F301" s="61"/>
      <c r="G301" s="15"/>
      <c r="H301" s="800"/>
      <c r="I301" s="13"/>
      <c r="J301" s="13"/>
    </row>
    <row r="302" spans="1:10" x14ac:dyDescent="0.2">
      <c r="A302" s="22"/>
      <c r="B302" s="799"/>
      <c r="C302" s="133" t="s">
        <v>225</v>
      </c>
      <c r="D302" s="15"/>
      <c r="E302" s="15"/>
      <c r="F302" s="61"/>
      <c r="G302" s="15"/>
      <c r="H302" s="800"/>
      <c r="I302" s="13"/>
      <c r="J302" s="13"/>
    </row>
    <row r="303" spans="1:10" x14ac:dyDescent="0.2">
      <c r="A303" s="22"/>
      <c r="B303" s="799"/>
      <c r="C303" s="39"/>
      <c r="D303" s="15"/>
      <c r="E303" s="15"/>
      <c r="F303" s="61"/>
      <c r="G303" s="15"/>
      <c r="H303" s="800"/>
      <c r="I303" s="13"/>
      <c r="J303" s="13"/>
    </row>
    <row r="304" spans="1:10" x14ac:dyDescent="0.2">
      <c r="A304" s="22"/>
      <c r="B304" s="801"/>
      <c r="C304" s="39" t="s">
        <v>226</v>
      </c>
      <c r="D304" s="15">
        <f>prices!F737*2+prices!F846*22.8*Quotation!B304</f>
        <v>1219.2</v>
      </c>
      <c r="E304" s="15">
        <f>D304*B304</f>
        <v>0</v>
      </c>
      <c r="F304" s="61"/>
      <c r="G304" s="15"/>
      <c r="H304" s="800"/>
      <c r="I304" s="13"/>
      <c r="J304" s="13"/>
    </row>
    <row r="305" spans="1:10" x14ac:dyDescent="0.2">
      <c r="A305" s="22"/>
      <c r="B305" s="801"/>
      <c r="C305" s="39" t="s">
        <v>227</v>
      </c>
      <c r="D305" s="15">
        <f>prices!F737*2+prices!F846*26.4*Quotation!B305</f>
        <v>1219.2</v>
      </c>
      <c r="E305" s="15">
        <f>D305*B305</f>
        <v>0</v>
      </c>
      <c r="F305" s="61"/>
      <c r="G305" s="15"/>
      <c r="H305" s="800"/>
      <c r="I305" s="13"/>
      <c r="J305" s="13"/>
    </row>
    <row r="306" spans="1:10" x14ac:dyDescent="0.2">
      <c r="A306" s="22"/>
      <c r="B306" s="801"/>
      <c r="C306" s="39" t="s">
        <v>228</v>
      </c>
      <c r="D306" s="15">
        <f>prices!F737*4+prices!F846*31.2*Quotation!B306</f>
        <v>2438.4</v>
      </c>
      <c r="E306" s="15">
        <f>D306*B306</f>
        <v>0</v>
      </c>
      <c r="F306" s="61"/>
      <c r="G306" s="15"/>
      <c r="H306" s="800"/>
      <c r="I306" s="13"/>
      <c r="J306" s="13"/>
    </row>
    <row r="307" spans="1:10" x14ac:dyDescent="0.2">
      <c r="A307" s="22"/>
      <c r="B307" s="801"/>
      <c r="C307" s="39" t="s">
        <v>222</v>
      </c>
      <c r="D307" s="15">
        <f>prices!F737</f>
        <v>609.6</v>
      </c>
      <c r="E307" s="15">
        <f>D307*B307</f>
        <v>0</v>
      </c>
      <c r="F307" s="61"/>
      <c r="G307" s="15"/>
      <c r="H307" s="800"/>
      <c r="I307" s="13"/>
      <c r="J307" s="13"/>
    </row>
    <row r="308" spans="1:10" x14ac:dyDescent="0.2">
      <c r="A308" s="135"/>
      <c r="B308" s="807">
        <f>IF(B307+B306+B305+B304+B298+B297+B296+B295+B294&gt;0.1,N138,N140)</f>
        <v>0</v>
      </c>
      <c r="C308" s="136" t="s">
        <v>229</v>
      </c>
      <c r="D308" s="77">
        <f>prices!F812</f>
        <v>56</v>
      </c>
      <c r="E308" s="77">
        <f>D308*B308</f>
        <v>0</v>
      </c>
      <c r="F308" s="78"/>
      <c r="G308" s="77"/>
      <c r="H308" s="808"/>
      <c r="I308" s="13"/>
      <c r="J308" s="13"/>
    </row>
    <row r="309" spans="1:10" x14ac:dyDescent="0.2">
      <c r="A309" s="65"/>
      <c r="B309" s="801"/>
      <c r="C309" s="134" t="s">
        <v>223</v>
      </c>
      <c r="D309" s="15"/>
      <c r="E309" s="15"/>
      <c r="F309" s="61">
        <f>prices!F1242*Quotation!B309</f>
        <v>0</v>
      </c>
      <c r="G309" s="80"/>
      <c r="H309" s="800"/>
      <c r="I309" s="13"/>
      <c r="J309" s="13"/>
    </row>
    <row r="310" spans="1:10" x14ac:dyDescent="0.2">
      <c r="A310" s="65"/>
      <c r="B310" s="801"/>
      <c r="C310" s="134" t="s">
        <v>224</v>
      </c>
      <c r="D310" s="15"/>
      <c r="E310" s="15">
        <f>D310*B310</f>
        <v>0</v>
      </c>
      <c r="F310" s="61">
        <f>prices!F1243*Quotation!B310</f>
        <v>0</v>
      </c>
      <c r="G310" s="15"/>
      <c r="H310" s="800"/>
      <c r="I310" s="13"/>
      <c r="J310" s="13"/>
    </row>
    <row r="311" spans="1:10" x14ac:dyDescent="0.2">
      <c r="A311" s="22"/>
      <c r="B311" s="799"/>
      <c r="C311" s="39"/>
      <c r="D311" s="15"/>
      <c r="E311" s="15">
        <f>D311*B311</f>
        <v>0</v>
      </c>
      <c r="F311" s="15">
        <f>B311*AI889*2</f>
        <v>0</v>
      </c>
      <c r="G311" s="15"/>
      <c r="H311" s="800"/>
      <c r="I311" s="13"/>
      <c r="J311" s="13"/>
    </row>
    <row r="312" spans="1:10" x14ac:dyDescent="0.2">
      <c r="A312" s="22"/>
      <c r="B312" s="799"/>
      <c r="C312" s="63" t="s">
        <v>230</v>
      </c>
      <c r="D312" s="15"/>
      <c r="E312" s="15"/>
      <c r="F312" s="15"/>
      <c r="G312" s="15"/>
      <c r="H312" s="800"/>
      <c r="I312" s="13"/>
      <c r="J312" s="13"/>
    </row>
    <row r="313" spans="1:10" x14ac:dyDescent="0.2">
      <c r="A313" s="22"/>
      <c r="B313" s="799"/>
      <c r="C313" s="69" t="s">
        <v>231</v>
      </c>
      <c r="D313" s="15"/>
      <c r="E313" s="15"/>
      <c r="F313" s="15"/>
      <c r="G313" s="15"/>
      <c r="H313" s="800"/>
      <c r="I313" s="13"/>
      <c r="J313" s="13"/>
    </row>
    <row r="314" spans="1:10" x14ac:dyDescent="0.2">
      <c r="A314" s="65"/>
      <c r="B314" s="801"/>
      <c r="C314" s="24" t="s">
        <v>232</v>
      </c>
      <c r="D314" s="15">
        <f>prices!F630+prices!F639+prices!F755*3</f>
        <v>19.155183999999998</v>
      </c>
      <c r="E314" s="15">
        <f t="shared" ref="E314:E319" si="10">D314*B314</f>
        <v>0</v>
      </c>
      <c r="F314" s="15"/>
      <c r="G314" s="80">
        <f>prices!F1031*B314</f>
        <v>0</v>
      </c>
      <c r="H314" s="800"/>
      <c r="I314" s="13"/>
      <c r="J314" s="13"/>
    </row>
    <row r="315" spans="1:10" x14ac:dyDescent="0.2">
      <c r="A315" s="65"/>
      <c r="B315" s="801"/>
      <c r="C315" s="39" t="s">
        <v>233</v>
      </c>
      <c r="D315" s="15">
        <f>prices!F631+prices!F639+prices!F755*3</f>
        <v>26.441583999999999</v>
      </c>
      <c r="E315" s="15">
        <f t="shared" si="10"/>
        <v>0</v>
      </c>
      <c r="F315" s="15"/>
      <c r="G315" s="80">
        <f>prices!F1031*B315</f>
        <v>0</v>
      </c>
      <c r="H315" s="800">
        <v>0</v>
      </c>
      <c r="I315" s="13"/>
      <c r="J315" s="13"/>
    </row>
    <row r="316" spans="1:10" x14ac:dyDescent="0.2">
      <c r="A316" s="65"/>
      <c r="B316" s="801"/>
      <c r="C316" s="39" t="s">
        <v>234</v>
      </c>
      <c r="D316" s="15">
        <f>prices!F632+prices!F639+prices!F755*3</f>
        <v>25.649583999999997</v>
      </c>
      <c r="E316" s="15">
        <f t="shared" si="10"/>
        <v>0</v>
      </c>
      <c r="F316" s="15"/>
      <c r="G316" s="80">
        <f>prices!F1031*B316</f>
        <v>0</v>
      </c>
      <c r="H316" s="814"/>
      <c r="I316" s="13"/>
      <c r="J316" s="13"/>
    </row>
    <row r="317" spans="1:10" x14ac:dyDescent="0.2">
      <c r="A317" s="65"/>
      <c r="B317" s="801"/>
      <c r="C317" s="39" t="s">
        <v>235</v>
      </c>
      <c r="D317" s="15">
        <f>prices!F633+prices!F641+prices!F755*3</f>
        <v>69.86078400000001</v>
      </c>
      <c r="E317" s="15">
        <f>IF(B317=0,0,IF(B317&lt;4,prices!F634,B317*D317))</f>
        <v>0</v>
      </c>
      <c r="F317" s="15"/>
      <c r="G317" s="80">
        <f>prices!F1031*B317</f>
        <v>0</v>
      </c>
      <c r="H317" s="800">
        <v>0</v>
      </c>
      <c r="I317" s="13"/>
      <c r="J317" s="13"/>
    </row>
    <row r="318" spans="1:10" x14ac:dyDescent="0.2">
      <c r="A318" s="65"/>
      <c r="B318" s="801"/>
      <c r="C318" s="39" t="s">
        <v>236</v>
      </c>
      <c r="D318" s="15">
        <f>prices!F636+prices!F639+prices!F755*3</f>
        <v>41.577584000000002</v>
      </c>
      <c r="E318" s="15">
        <f>IF(B318=0,0,IF(B318&lt;4,prices!F637,D318*B318))</f>
        <v>0</v>
      </c>
      <c r="F318" s="15"/>
      <c r="G318" s="80">
        <f>prices!F1031*B318</f>
        <v>0</v>
      </c>
      <c r="H318" s="800">
        <v>0</v>
      </c>
      <c r="I318" s="13"/>
      <c r="J318" s="13"/>
    </row>
    <row r="319" spans="1:10" x14ac:dyDescent="0.2">
      <c r="A319" s="22"/>
      <c r="B319" s="801"/>
      <c r="C319" s="59" t="s">
        <v>237</v>
      </c>
      <c r="D319" s="15">
        <f>prices!F635+prices!F640</f>
        <v>30.113599999999998</v>
      </c>
      <c r="E319" s="15">
        <f t="shared" si="10"/>
        <v>0</v>
      </c>
      <c r="F319" s="15"/>
      <c r="G319" s="80">
        <f>prices!F1031*B319</f>
        <v>0</v>
      </c>
      <c r="H319" s="800"/>
      <c r="I319" s="13"/>
      <c r="J319" s="13"/>
    </row>
    <row r="320" spans="1:10" x14ac:dyDescent="0.2">
      <c r="A320" s="22"/>
      <c r="B320" s="801"/>
      <c r="C320" s="137" t="s">
        <v>238</v>
      </c>
      <c r="D320" s="15"/>
      <c r="E320" s="15"/>
      <c r="F320" s="15"/>
      <c r="G320" s="80"/>
      <c r="H320" s="800"/>
      <c r="I320" s="13"/>
      <c r="J320" s="13"/>
    </row>
    <row r="321" spans="1:10" x14ac:dyDescent="0.2">
      <c r="A321" s="65"/>
      <c r="B321" s="801"/>
      <c r="C321" s="39" t="s">
        <v>239</v>
      </c>
      <c r="D321" s="15">
        <f>prices!F643+prices!F755*4</f>
        <v>40.594112000000003</v>
      </c>
      <c r="E321" s="15">
        <f>D321*B321</f>
        <v>0</v>
      </c>
      <c r="F321" s="15"/>
      <c r="G321" s="80">
        <f>prices!F1033*B321</f>
        <v>0</v>
      </c>
      <c r="H321" s="800">
        <v>0</v>
      </c>
      <c r="I321" s="13"/>
      <c r="J321" s="13"/>
    </row>
    <row r="322" spans="1:10" x14ac:dyDescent="0.2">
      <c r="A322" s="65"/>
      <c r="B322" s="801"/>
      <c r="C322" s="39" t="s">
        <v>240</v>
      </c>
      <c r="D322" s="15">
        <f>prices!F644+prices!F756*4</f>
        <v>40.886800000000001</v>
      </c>
      <c r="E322" s="15">
        <f>D322*B322</f>
        <v>0</v>
      </c>
      <c r="F322" s="15"/>
      <c r="G322" s="80">
        <f>prices!F1033*B322</f>
        <v>0</v>
      </c>
      <c r="H322" s="800"/>
      <c r="I322" s="13"/>
      <c r="J322" s="13"/>
    </row>
    <row r="323" spans="1:10" x14ac:dyDescent="0.2">
      <c r="A323" s="22"/>
      <c r="B323" s="801"/>
      <c r="C323" s="39" t="s">
        <v>241</v>
      </c>
      <c r="D323" s="15">
        <f>prices!F1034</f>
        <v>45.333333333333336</v>
      </c>
      <c r="E323" s="15"/>
      <c r="F323" s="15"/>
      <c r="G323" s="80">
        <f>B323*prices!F1034</f>
        <v>0</v>
      </c>
      <c r="H323" s="800"/>
      <c r="I323" s="13"/>
      <c r="J323" s="13"/>
    </row>
    <row r="324" spans="1:10" x14ac:dyDescent="0.2">
      <c r="A324" s="22"/>
      <c r="B324" s="802"/>
      <c r="C324" s="39" t="s">
        <v>236</v>
      </c>
      <c r="D324" s="15">
        <f>prices!F646</f>
        <v>52.8</v>
      </c>
      <c r="E324" s="15">
        <f>D324*B324</f>
        <v>0</v>
      </c>
      <c r="F324" s="15"/>
      <c r="G324" s="80">
        <f>prices!F1033*B324</f>
        <v>0</v>
      </c>
      <c r="H324" s="800"/>
      <c r="I324" s="13"/>
      <c r="J324" s="13"/>
    </row>
    <row r="325" spans="1:10" x14ac:dyDescent="0.2">
      <c r="A325" s="65"/>
      <c r="B325" s="802"/>
      <c r="C325" s="39" t="s">
        <v>242</v>
      </c>
      <c r="D325" s="15">
        <f>prices!F645+prices!F756*4</f>
        <v>52.876799999999996</v>
      </c>
      <c r="E325" s="15">
        <f>D325*B325</f>
        <v>0</v>
      </c>
      <c r="F325" s="15"/>
      <c r="G325" s="80">
        <f>prices!F1033*B325</f>
        <v>0</v>
      </c>
      <c r="H325" s="800"/>
      <c r="I325" s="13"/>
      <c r="J325" s="13"/>
    </row>
    <row r="326" spans="1:10" x14ac:dyDescent="0.2">
      <c r="A326" s="1"/>
      <c r="B326" s="815"/>
      <c r="C326" s="816" t="s">
        <v>243</v>
      </c>
      <c r="D326" s="72"/>
      <c r="E326" s="72"/>
      <c r="F326" s="72"/>
      <c r="G326" s="72"/>
      <c r="H326" s="817"/>
      <c r="I326" s="13"/>
      <c r="J326" s="13"/>
    </row>
    <row r="327" spans="1:10" x14ac:dyDescent="0.2">
      <c r="A327" s="65"/>
      <c r="B327" s="801"/>
      <c r="C327" s="24" t="s">
        <v>244</v>
      </c>
      <c r="D327" s="15">
        <f>prices!F650+prices!F786*6</f>
        <v>10.716800000000001</v>
      </c>
      <c r="E327" s="15">
        <f>D327*B327</f>
        <v>0</v>
      </c>
      <c r="F327" s="15"/>
      <c r="G327" s="80">
        <f>prices!F1032*B327</f>
        <v>0</v>
      </c>
      <c r="H327" s="800"/>
      <c r="I327" s="13"/>
      <c r="J327" s="13"/>
    </row>
    <row r="328" spans="1:10" x14ac:dyDescent="0.2">
      <c r="A328" s="22"/>
      <c r="B328" s="802"/>
      <c r="C328" s="39" t="s">
        <v>245</v>
      </c>
      <c r="D328" s="15">
        <f>prices!F651*Quotation!B328</f>
        <v>0</v>
      </c>
      <c r="E328" s="15">
        <f>D328*B328</f>
        <v>0</v>
      </c>
      <c r="F328" s="15"/>
      <c r="G328" s="80">
        <f>prices!F1032*Quotation!B328</f>
        <v>0</v>
      </c>
      <c r="H328" s="800"/>
      <c r="I328" s="13"/>
      <c r="J328" s="13"/>
    </row>
    <row r="329" spans="1:10" x14ac:dyDescent="0.2">
      <c r="A329" s="8"/>
      <c r="B329" s="815"/>
      <c r="C329" s="43"/>
      <c r="D329" s="72"/>
      <c r="E329" s="72"/>
      <c r="F329" s="72"/>
      <c r="G329" s="72"/>
      <c r="H329" s="809"/>
      <c r="I329" s="13"/>
      <c r="J329" s="13"/>
    </row>
    <row r="330" spans="1:10" x14ac:dyDescent="0.2">
      <c r="A330" s="65"/>
      <c r="B330" s="802"/>
      <c r="C330" s="83" t="s">
        <v>246</v>
      </c>
      <c r="D330" s="15"/>
      <c r="E330" s="15"/>
      <c r="F330" s="15"/>
      <c r="G330" s="80">
        <f>prices!F1035*Quotation!B330</f>
        <v>0</v>
      </c>
      <c r="H330" s="800"/>
      <c r="I330" s="13"/>
      <c r="J330" s="13"/>
    </row>
    <row r="331" spans="1:10" x14ac:dyDescent="0.2">
      <c r="A331" s="67"/>
      <c r="B331" s="802"/>
      <c r="C331" s="83" t="s">
        <v>247</v>
      </c>
      <c r="D331" s="15"/>
      <c r="E331" s="15"/>
      <c r="F331" s="15"/>
      <c r="G331" s="80">
        <f>prices!F1036*Quotation!B331</f>
        <v>0</v>
      </c>
      <c r="H331" s="800"/>
      <c r="I331" s="13"/>
      <c r="J331" s="13"/>
    </row>
    <row r="332" spans="1:10" x14ac:dyDescent="0.2">
      <c r="A332" s="22"/>
      <c r="B332" s="818"/>
      <c r="C332" s="819" t="s">
        <v>248</v>
      </c>
      <c r="D332" s="15"/>
      <c r="E332" s="11"/>
      <c r="F332" s="15"/>
      <c r="G332" s="80">
        <f>prices!F1022*B332</f>
        <v>0</v>
      </c>
      <c r="H332" s="800"/>
      <c r="I332" s="13"/>
      <c r="J332" s="13"/>
    </row>
    <row r="333" spans="1:10" x14ac:dyDescent="0.2">
      <c r="A333" s="22"/>
      <c r="B333" s="799"/>
      <c r="C333" s="43"/>
      <c r="D333" s="15"/>
      <c r="E333" s="15"/>
      <c r="F333" s="15"/>
      <c r="G333" s="80"/>
      <c r="H333" s="800"/>
      <c r="I333" s="13"/>
      <c r="J333" s="13"/>
    </row>
    <row r="334" spans="1:10" x14ac:dyDescent="0.2">
      <c r="A334" s="22"/>
      <c r="B334" s="799"/>
      <c r="C334" s="63" t="s">
        <v>249</v>
      </c>
      <c r="D334" s="15"/>
      <c r="E334" s="15"/>
      <c r="F334" s="15"/>
      <c r="G334" s="80"/>
      <c r="H334" s="800"/>
      <c r="I334" s="13"/>
      <c r="J334" s="13"/>
    </row>
    <row r="335" spans="1:10" x14ac:dyDescent="0.2">
      <c r="A335" s="22"/>
      <c r="B335" s="799"/>
      <c r="C335" s="39"/>
      <c r="D335" s="15"/>
      <c r="E335" s="15"/>
      <c r="F335" s="15"/>
      <c r="G335" s="80"/>
      <c r="H335" s="800"/>
      <c r="I335" s="13"/>
      <c r="J335" s="13"/>
    </row>
    <row r="336" spans="1:10" x14ac:dyDescent="0.2">
      <c r="A336" s="65"/>
      <c r="B336" s="801"/>
      <c r="C336" s="39" t="s">
        <v>250</v>
      </c>
      <c r="D336" s="15">
        <f>prices!F654+prices!F662+prices!F665*2+prices!F785*6+prices!F755*4</f>
        <v>57.987712000000009</v>
      </c>
      <c r="E336" s="15">
        <f t="shared" ref="E336:E348" si="11">D336*B336</f>
        <v>0</v>
      </c>
      <c r="F336" s="15"/>
      <c r="G336" s="80">
        <f>prices!F1041*B336</f>
        <v>0</v>
      </c>
      <c r="H336" s="800">
        <v>0</v>
      </c>
      <c r="I336" s="13"/>
      <c r="J336" s="13"/>
    </row>
    <row r="337" spans="1:10" x14ac:dyDescent="0.2">
      <c r="A337" s="22"/>
      <c r="B337" s="801"/>
      <c r="C337" s="39" t="s">
        <v>251</v>
      </c>
      <c r="D337" s="15">
        <f>prices!F655+prices!F662+prices!F665*2+prices!F785*6+prices!F755*4</f>
        <v>60.258112000000004</v>
      </c>
      <c r="E337" s="15">
        <f t="shared" si="11"/>
        <v>0</v>
      </c>
      <c r="F337" s="15"/>
      <c r="G337" s="80">
        <f>prices!F1042*B337</f>
        <v>0</v>
      </c>
      <c r="H337" s="800"/>
      <c r="I337" s="13"/>
      <c r="J337" s="13"/>
    </row>
    <row r="338" spans="1:10" x14ac:dyDescent="0.2">
      <c r="A338" s="22"/>
      <c r="B338" s="801"/>
      <c r="C338" s="24" t="s">
        <v>252</v>
      </c>
      <c r="D338" s="15">
        <f>prices!F654*2+prices!F662+prices!F665*2+prices!F785*6+prices!F755*4</f>
        <v>92.166911999999996</v>
      </c>
      <c r="E338" s="15">
        <f t="shared" si="11"/>
        <v>0</v>
      </c>
      <c r="F338" s="15"/>
      <c r="G338" s="80">
        <f>prices!F1043*B338</f>
        <v>0</v>
      </c>
      <c r="H338" s="800"/>
      <c r="I338" s="13"/>
      <c r="J338" s="13"/>
    </row>
    <row r="339" spans="1:10" x14ac:dyDescent="0.2">
      <c r="A339" s="22"/>
      <c r="B339" s="801"/>
      <c r="C339" s="39" t="s">
        <v>253</v>
      </c>
      <c r="D339" s="15">
        <f>prices!F654*2+prices!F662+prices!F665*2+prices!F785*6+prices!F755*4</f>
        <v>92.166911999999996</v>
      </c>
      <c r="E339" s="15">
        <f t="shared" si="11"/>
        <v>0</v>
      </c>
      <c r="F339" s="15"/>
      <c r="G339" s="80">
        <f>prices!F1044*B339</f>
        <v>0</v>
      </c>
      <c r="H339" s="800">
        <v>0</v>
      </c>
      <c r="I339" s="13"/>
      <c r="J339" s="13"/>
    </row>
    <row r="340" spans="1:10" x14ac:dyDescent="0.2">
      <c r="A340" s="22"/>
      <c r="B340" s="801"/>
      <c r="C340" s="39" t="s">
        <v>254</v>
      </c>
      <c r="D340" s="15">
        <f>prices!F654+prices!F655+prices!F662+prices!F665*3+prices!F786*6+prices!F756*6</f>
        <v>100.71520000000001</v>
      </c>
      <c r="E340" s="15">
        <f t="shared" si="11"/>
        <v>0</v>
      </c>
      <c r="F340" s="15"/>
      <c r="G340" s="80">
        <f>prices!F1045*B340</f>
        <v>0</v>
      </c>
      <c r="H340" s="800"/>
      <c r="I340" s="13"/>
      <c r="J340" s="13"/>
    </row>
    <row r="341" spans="1:10" x14ac:dyDescent="0.2">
      <c r="A341" s="22"/>
      <c r="B341" s="801"/>
      <c r="C341" s="39" t="s">
        <v>255</v>
      </c>
      <c r="D341" s="15">
        <f>prices!F654*2+prices!F655+prices!F662+prices!F665*2+prices!F786*6+prices!F756*4</f>
        <v>128.41439999999997</v>
      </c>
      <c r="E341" s="15">
        <f t="shared" si="11"/>
        <v>0</v>
      </c>
      <c r="F341" s="15"/>
      <c r="G341" s="80">
        <f>prices!F1046*B341</f>
        <v>0</v>
      </c>
      <c r="H341" s="800"/>
      <c r="I341" s="13"/>
      <c r="J341" s="13"/>
    </row>
    <row r="342" spans="1:10" x14ac:dyDescent="0.2">
      <c r="A342" s="22"/>
      <c r="B342" s="801"/>
      <c r="C342" s="39"/>
      <c r="D342" s="15"/>
      <c r="E342" s="15">
        <f t="shared" si="11"/>
        <v>0</v>
      </c>
      <c r="F342" s="15"/>
      <c r="G342" s="80"/>
      <c r="H342" s="800">
        <v>0</v>
      </c>
      <c r="I342" s="13"/>
      <c r="J342" s="13"/>
    </row>
    <row r="343" spans="1:10" x14ac:dyDescent="0.2">
      <c r="A343" s="22"/>
      <c r="B343" s="801"/>
      <c r="C343" s="39" t="s">
        <v>256</v>
      </c>
      <c r="D343" s="15">
        <f>prices!F656+prices!F663+prices!F666*2+prices!I786*4+prices!I755*4</f>
        <v>76.007320000000007</v>
      </c>
      <c r="E343" s="15">
        <f t="shared" si="11"/>
        <v>0</v>
      </c>
      <c r="F343" s="15"/>
      <c r="G343" s="80">
        <f>prices!F1041*B343</f>
        <v>0</v>
      </c>
      <c r="H343" s="800"/>
      <c r="I343" s="13"/>
      <c r="J343" s="13"/>
    </row>
    <row r="344" spans="1:10" x14ac:dyDescent="0.2">
      <c r="A344" s="22"/>
      <c r="B344" s="801"/>
      <c r="C344" s="39" t="s">
        <v>257</v>
      </c>
      <c r="D344" s="15">
        <f>prices!F657+prices!F663+prices!F666*2+prices!I755*4+prices!I786*6</f>
        <v>92.263520000000014</v>
      </c>
      <c r="E344" s="15">
        <f t="shared" si="11"/>
        <v>0</v>
      </c>
      <c r="F344" s="15"/>
      <c r="G344" s="80">
        <f>prices!F1042*B344</f>
        <v>0</v>
      </c>
      <c r="H344" s="800"/>
      <c r="I344" s="13"/>
      <c r="J344" s="13"/>
    </row>
    <row r="345" spans="1:10" x14ac:dyDescent="0.2">
      <c r="A345" s="22"/>
      <c r="B345" s="801"/>
      <c r="C345" s="24" t="s">
        <v>258</v>
      </c>
      <c r="D345" s="15">
        <f>prices!F656*2+prices!F663+prices!F666*2+prices!I755*4+prices!I786*6</f>
        <v>123.27472000000002</v>
      </c>
      <c r="E345" s="15">
        <f t="shared" si="11"/>
        <v>0</v>
      </c>
      <c r="F345" s="15"/>
      <c r="G345" s="80">
        <f>prices!F1043*B345</f>
        <v>0</v>
      </c>
      <c r="H345" s="800"/>
      <c r="I345" s="13"/>
      <c r="J345" s="13"/>
    </row>
    <row r="346" spans="1:10" x14ac:dyDescent="0.2">
      <c r="A346" s="22"/>
      <c r="B346" s="801"/>
      <c r="C346" s="39" t="s">
        <v>259</v>
      </c>
      <c r="D346" s="15">
        <f>prices!F656*2+prices!F663+prices!F666*2+prices!I755*4+prices!I786*6</f>
        <v>123.27472000000002</v>
      </c>
      <c r="E346" s="15">
        <f t="shared" si="11"/>
        <v>0</v>
      </c>
      <c r="F346" s="15"/>
      <c r="G346" s="80">
        <f>prices!F1044*B346</f>
        <v>0</v>
      </c>
      <c r="H346" s="800"/>
      <c r="I346" s="13"/>
      <c r="J346" s="13"/>
    </row>
    <row r="347" spans="1:10" x14ac:dyDescent="0.2">
      <c r="A347" s="22"/>
      <c r="B347" s="801"/>
      <c r="C347" s="39" t="s">
        <v>260</v>
      </c>
      <c r="D347" s="15">
        <f>prices!F656+prices!F657+prices!F663+prices!F666*3+prices!I755*6+prices!I786*6</f>
        <v>147.01098000000002</v>
      </c>
      <c r="E347" s="15">
        <f t="shared" si="11"/>
        <v>0</v>
      </c>
      <c r="F347" s="15"/>
      <c r="G347" s="80">
        <f>prices!F1045*B347</f>
        <v>0</v>
      </c>
      <c r="H347" s="800"/>
      <c r="I347" s="13"/>
      <c r="J347" s="13"/>
    </row>
    <row r="348" spans="1:10" x14ac:dyDescent="0.2">
      <c r="A348" s="65"/>
      <c r="B348" s="801"/>
      <c r="C348" s="39" t="s">
        <v>261</v>
      </c>
      <c r="D348" s="15">
        <f>prices!F656*2+prices!F657+prices!F663+prices!F666*3+prices!I755*6+prices!I786*6</f>
        <v>194.24938000000003</v>
      </c>
      <c r="E348" s="15">
        <f t="shared" si="11"/>
        <v>0</v>
      </c>
      <c r="F348" s="15"/>
      <c r="G348" s="80">
        <f>prices!F1046*B348</f>
        <v>0</v>
      </c>
      <c r="H348" s="800"/>
      <c r="I348" s="13"/>
      <c r="J348" s="13"/>
    </row>
    <row r="349" spans="1:10" x14ac:dyDescent="0.2">
      <c r="A349" s="22"/>
      <c r="B349" s="801"/>
      <c r="C349" s="39"/>
      <c r="D349" s="15"/>
      <c r="E349" s="15"/>
      <c r="F349" s="15"/>
      <c r="G349" s="80"/>
      <c r="H349" s="800"/>
      <c r="I349" s="13"/>
      <c r="J349" s="13"/>
    </row>
    <row r="350" spans="1:10" x14ac:dyDescent="0.2">
      <c r="A350" s="65"/>
      <c r="B350" s="801"/>
      <c r="C350" s="39" t="s">
        <v>262</v>
      </c>
      <c r="D350" s="15">
        <f>prices!F660+prices!F656+prices!F663+prices!F666*2+prices!I755*4+prices!I786*6</f>
        <v>199.67632</v>
      </c>
      <c r="E350" s="15">
        <f>D350*B350</f>
        <v>0</v>
      </c>
      <c r="F350" s="15"/>
      <c r="G350" s="80">
        <f>prices!F1041*B350</f>
        <v>0</v>
      </c>
      <c r="H350" s="800"/>
      <c r="I350" s="13"/>
      <c r="J350" s="13"/>
    </row>
    <row r="351" spans="1:10" x14ac:dyDescent="0.2">
      <c r="A351" s="22"/>
      <c r="B351" s="801"/>
      <c r="C351" s="24" t="s">
        <v>263</v>
      </c>
      <c r="D351" s="15">
        <f>prices!F660+prices!F656+prices!F663+prices!F666*2+prices!I755*4+prices!I786*6</f>
        <v>199.67632</v>
      </c>
      <c r="E351" s="15">
        <f>D351*B351</f>
        <v>0</v>
      </c>
      <c r="F351" s="15"/>
      <c r="G351" s="80">
        <f>prices!F1042*B351</f>
        <v>0</v>
      </c>
      <c r="H351" s="800">
        <v>0</v>
      </c>
      <c r="I351" s="13"/>
      <c r="J351" s="13"/>
    </row>
    <row r="352" spans="1:10" x14ac:dyDescent="0.2">
      <c r="A352" s="22"/>
      <c r="B352" s="801"/>
      <c r="C352" s="39" t="s">
        <v>264</v>
      </c>
      <c r="D352" s="15">
        <f>prices!F660+prices!F657+prices!F663+prices!F666*3+prices!I755*6+prices!I786*6</f>
        <v>223.41258000000005</v>
      </c>
      <c r="E352" s="15">
        <f>D352*B352</f>
        <v>0</v>
      </c>
      <c r="F352" s="15"/>
      <c r="G352" s="80">
        <f>prices!F1043*B352</f>
        <v>0</v>
      </c>
      <c r="H352" s="800"/>
      <c r="I352" s="13"/>
      <c r="J352" s="13"/>
    </row>
    <row r="353" spans="1:10" x14ac:dyDescent="0.2">
      <c r="A353" s="22"/>
      <c r="B353" s="820"/>
      <c r="C353" s="39" t="s">
        <v>265</v>
      </c>
      <c r="D353" s="15">
        <f>prices!F660+prices!F656*2+prices!F663+prices!F666*3+prices!I755*6+prices!I786*6</f>
        <v>254.42378000000002</v>
      </c>
      <c r="E353" s="15">
        <f>D353*B353</f>
        <v>0</v>
      </c>
      <c r="F353" s="15"/>
      <c r="G353" s="80">
        <f>prices!F1044*B353</f>
        <v>0</v>
      </c>
      <c r="H353" s="800">
        <v>0</v>
      </c>
      <c r="I353" s="13"/>
      <c r="J353" s="13"/>
    </row>
    <row r="354" spans="1:10" x14ac:dyDescent="0.2">
      <c r="A354" s="22"/>
      <c r="B354" s="820"/>
      <c r="C354" s="39" t="s">
        <v>266</v>
      </c>
      <c r="D354" s="15">
        <f>prices!F660+prices!F656+prices!F657+prices!F663+prices!F666*3+prices!I755*6+prices!I786*6</f>
        <v>270.65097999999995</v>
      </c>
      <c r="E354" s="15">
        <f>D354*B354</f>
        <v>0</v>
      </c>
      <c r="F354" s="15"/>
      <c r="G354" s="80">
        <f>prices!F1045*B354</f>
        <v>0</v>
      </c>
      <c r="H354" s="800"/>
      <c r="I354" s="13"/>
      <c r="J354" s="13"/>
    </row>
    <row r="355" spans="1:10" x14ac:dyDescent="0.2">
      <c r="A355" s="22"/>
      <c r="B355" s="820"/>
      <c r="C355" s="39"/>
      <c r="D355" s="15"/>
      <c r="E355" s="15"/>
      <c r="F355" s="15"/>
      <c r="G355" s="80"/>
      <c r="H355" s="800"/>
      <c r="I355" s="13"/>
      <c r="J355" s="13"/>
    </row>
    <row r="356" spans="1:10" x14ac:dyDescent="0.2">
      <c r="A356" s="22"/>
      <c r="B356" s="801"/>
      <c r="C356" s="83" t="s">
        <v>267</v>
      </c>
      <c r="D356" s="15">
        <f>prices!F1049</f>
        <v>136</v>
      </c>
      <c r="E356" s="15"/>
      <c r="F356" s="15"/>
      <c r="G356" s="80">
        <f>D356*B356</f>
        <v>0</v>
      </c>
      <c r="H356" s="800"/>
      <c r="I356" s="13"/>
      <c r="J356" s="13"/>
    </row>
    <row r="357" spans="1:10" x14ac:dyDescent="0.2">
      <c r="A357" s="22"/>
      <c r="B357" s="801"/>
      <c r="C357" s="84"/>
      <c r="D357" s="15"/>
      <c r="E357" s="15"/>
      <c r="F357" s="15"/>
      <c r="G357" s="80"/>
      <c r="H357" s="800"/>
      <c r="I357" s="13"/>
      <c r="J357" s="13"/>
    </row>
    <row r="358" spans="1:10" x14ac:dyDescent="0.2">
      <c r="A358" s="65"/>
      <c r="B358" s="821"/>
      <c r="C358" s="11" t="s">
        <v>268</v>
      </c>
      <c r="D358" s="15">
        <f>prices!F668+prices!F755*8</f>
        <v>176.29862399999999</v>
      </c>
      <c r="E358" s="15">
        <f>B358*D358</f>
        <v>0</v>
      </c>
      <c r="F358" s="15"/>
      <c r="G358" s="80">
        <f>prices!F1038*B358</f>
        <v>0</v>
      </c>
      <c r="H358" s="800">
        <v>0</v>
      </c>
      <c r="I358" s="13"/>
      <c r="J358" s="13"/>
    </row>
    <row r="359" spans="1:10" x14ac:dyDescent="0.2">
      <c r="A359" s="65"/>
      <c r="B359" s="821"/>
      <c r="C359" s="11" t="s">
        <v>269</v>
      </c>
      <c r="D359" s="15">
        <f>prices!F669</f>
        <v>316.8</v>
      </c>
      <c r="E359" s="15">
        <f>D359*B359</f>
        <v>0</v>
      </c>
      <c r="F359" s="15"/>
      <c r="G359" s="80">
        <f>prices!F1038*B359</f>
        <v>0</v>
      </c>
      <c r="H359" s="800"/>
      <c r="I359" s="13"/>
      <c r="J359" s="13"/>
    </row>
    <row r="360" spans="1:10" x14ac:dyDescent="0.2">
      <c r="A360" s="67"/>
      <c r="B360" s="821"/>
      <c r="C360" s="11" t="s">
        <v>270</v>
      </c>
      <c r="D360" s="15">
        <f>prices!F670</f>
        <v>352</v>
      </c>
      <c r="E360" s="15">
        <f>D360*B360</f>
        <v>0</v>
      </c>
      <c r="F360" s="15"/>
      <c r="G360" s="80">
        <f>prices!F1038*B360</f>
        <v>0</v>
      </c>
      <c r="H360" s="800"/>
      <c r="I360" s="13"/>
      <c r="J360" s="13"/>
    </row>
    <row r="361" spans="1:10" x14ac:dyDescent="0.2">
      <c r="A361" s="65"/>
      <c r="B361" s="802"/>
      <c r="C361" s="83" t="s">
        <v>271</v>
      </c>
      <c r="D361" s="15"/>
      <c r="E361" s="15"/>
      <c r="F361" s="15"/>
      <c r="G361" s="80">
        <f>prices!F1037*Quotation!B361</f>
        <v>0</v>
      </c>
      <c r="H361" s="800"/>
      <c r="I361" s="13"/>
      <c r="J361" s="13"/>
    </row>
    <row r="362" spans="1:10" x14ac:dyDescent="0.2">
      <c r="A362" s="22"/>
      <c r="B362" s="822"/>
      <c r="C362" s="39"/>
      <c r="D362" s="15"/>
      <c r="E362" s="15"/>
      <c r="F362" s="15"/>
      <c r="G362" s="80"/>
      <c r="H362" s="800"/>
      <c r="I362" s="13"/>
      <c r="J362" s="13"/>
    </row>
    <row r="363" spans="1:10" x14ac:dyDescent="0.2">
      <c r="A363" s="22"/>
      <c r="B363" s="822"/>
      <c r="C363" s="63" t="s">
        <v>272</v>
      </c>
      <c r="D363" s="15"/>
      <c r="E363" s="15"/>
      <c r="F363" s="15"/>
      <c r="G363" s="15"/>
      <c r="H363" s="800"/>
      <c r="I363" s="13"/>
      <c r="J363" s="13"/>
    </row>
    <row r="364" spans="1:10" x14ac:dyDescent="0.2">
      <c r="A364" s="22"/>
      <c r="B364" s="822"/>
      <c r="C364" s="64" t="s">
        <v>273</v>
      </c>
      <c r="D364" s="15"/>
      <c r="E364" s="15"/>
      <c r="F364" s="15"/>
      <c r="G364" s="15"/>
      <c r="H364" s="800"/>
      <c r="I364" s="13"/>
      <c r="J364" s="13"/>
    </row>
    <row r="365" spans="1:10" x14ac:dyDescent="0.2">
      <c r="A365" s="22"/>
      <c r="B365" s="822"/>
      <c r="C365" s="64"/>
      <c r="D365" s="15"/>
      <c r="E365" s="15"/>
      <c r="F365" s="15"/>
      <c r="G365" s="15"/>
      <c r="H365" s="800"/>
      <c r="I365" s="13"/>
      <c r="J365" s="13"/>
    </row>
    <row r="366" spans="1:10" x14ac:dyDescent="0.2">
      <c r="A366" s="65"/>
      <c r="B366" s="820"/>
      <c r="C366" s="24" t="s">
        <v>274</v>
      </c>
      <c r="D366" s="15">
        <f>prices!F594</f>
        <v>25.713599999999996</v>
      </c>
      <c r="E366" s="15">
        <f t="shared" ref="E366:E381" si="12">D366*B366</f>
        <v>0</v>
      </c>
      <c r="F366" s="15"/>
      <c r="G366" s="80"/>
      <c r="H366" s="800"/>
      <c r="I366" s="13"/>
      <c r="J366" s="13"/>
    </row>
    <row r="367" spans="1:10" x14ac:dyDescent="0.2">
      <c r="A367" s="65"/>
      <c r="B367" s="820"/>
      <c r="C367" s="39" t="s">
        <v>275</v>
      </c>
      <c r="D367" s="15">
        <f>prices!F595</f>
        <v>33.1584</v>
      </c>
      <c r="E367" s="15">
        <f t="shared" si="12"/>
        <v>0</v>
      </c>
      <c r="F367" s="15"/>
      <c r="G367" s="80"/>
      <c r="H367" s="800"/>
      <c r="I367" s="13"/>
      <c r="J367" s="13"/>
    </row>
    <row r="368" spans="1:10" x14ac:dyDescent="0.2">
      <c r="A368" s="8"/>
      <c r="B368" s="820"/>
      <c r="C368" s="39" t="s">
        <v>276</v>
      </c>
      <c r="D368" s="15">
        <f>prices!F596</f>
        <v>15.350999999999999</v>
      </c>
      <c r="E368" s="15">
        <f t="shared" si="12"/>
        <v>0</v>
      </c>
      <c r="F368" s="15"/>
      <c r="G368" s="80"/>
      <c r="H368" s="800"/>
      <c r="I368" s="13"/>
      <c r="J368" s="13"/>
    </row>
    <row r="369" spans="1:16" x14ac:dyDescent="0.2">
      <c r="A369" s="110"/>
      <c r="B369" s="820">
        <v>0</v>
      </c>
      <c r="C369" s="39" t="s">
        <v>277</v>
      </c>
      <c r="D369" s="15">
        <f>prices!F598</f>
        <v>26.027000000000001</v>
      </c>
      <c r="E369" s="15">
        <f t="shared" si="12"/>
        <v>0</v>
      </c>
      <c r="F369" s="15"/>
      <c r="G369" s="80"/>
      <c r="H369" s="800"/>
      <c r="I369" s="13"/>
      <c r="J369" s="13"/>
    </row>
    <row r="370" spans="1:16" x14ac:dyDescent="0.2">
      <c r="A370" s="22"/>
      <c r="B370" s="820"/>
      <c r="C370" s="83" t="s">
        <v>278</v>
      </c>
      <c r="D370" s="15">
        <f>prices!J1053</f>
        <v>42.5</v>
      </c>
      <c r="E370" s="15">
        <f t="shared" si="12"/>
        <v>0</v>
      </c>
      <c r="F370" s="15"/>
      <c r="G370" s="80">
        <f>prices!$F$1053*Quotation!B370</f>
        <v>0</v>
      </c>
      <c r="H370" s="800"/>
      <c r="I370" s="13"/>
      <c r="J370" s="13"/>
    </row>
    <row r="371" spans="1:16" x14ac:dyDescent="0.2">
      <c r="A371" s="22"/>
      <c r="B371" s="820">
        <v>0</v>
      </c>
      <c r="C371" s="39" t="s">
        <v>279</v>
      </c>
      <c r="D371" s="15">
        <f>prices!F597</f>
        <v>65.484000000000009</v>
      </c>
      <c r="E371" s="15">
        <f>D371*B371</f>
        <v>0</v>
      </c>
      <c r="F371" s="15"/>
      <c r="G371" s="80">
        <f>prices!$F$1053*Quotation!B371</f>
        <v>0</v>
      </c>
      <c r="H371" s="800"/>
      <c r="I371" s="13"/>
      <c r="J371" s="13"/>
    </row>
    <row r="372" spans="1:16" x14ac:dyDescent="0.2">
      <c r="A372" s="22"/>
      <c r="B372" s="820">
        <v>0</v>
      </c>
      <c r="C372" s="39" t="s">
        <v>280</v>
      </c>
      <c r="D372" s="15">
        <f>prices!F594</f>
        <v>25.713599999999996</v>
      </c>
      <c r="E372" s="15">
        <f t="shared" si="12"/>
        <v>0</v>
      </c>
      <c r="F372" s="15"/>
      <c r="G372" s="80">
        <f>prices!F1054*Quotation!B372</f>
        <v>0</v>
      </c>
      <c r="H372" s="800"/>
      <c r="I372" s="13"/>
      <c r="J372" s="13"/>
    </row>
    <row r="373" spans="1:16" x14ac:dyDescent="0.2">
      <c r="A373" s="22"/>
      <c r="B373" s="820"/>
      <c r="C373" s="39" t="s">
        <v>281</v>
      </c>
      <c r="D373" s="15">
        <f>prices!F595</f>
        <v>33.1584</v>
      </c>
      <c r="E373" s="15">
        <f t="shared" si="12"/>
        <v>0</v>
      </c>
      <c r="F373" s="15"/>
      <c r="G373" s="80">
        <f>prices!F1055*Quotation!B373</f>
        <v>0</v>
      </c>
      <c r="H373" s="800"/>
      <c r="I373" s="13"/>
      <c r="J373" s="13"/>
    </row>
    <row r="374" spans="1:16" x14ac:dyDescent="0.2">
      <c r="A374" s="22"/>
      <c r="B374" s="820"/>
      <c r="C374" s="39" t="s">
        <v>282</v>
      </c>
      <c r="D374" s="15">
        <f>prices!F595+prices!F600</f>
        <v>45.760000000000005</v>
      </c>
      <c r="E374" s="15">
        <f t="shared" si="12"/>
        <v>0</v>
      </c>
      <c r="F374" s="61">
        <f>prices!F1056*Quotation!B374</f>
        <v>0</v>
      </c>
      <c r="G374" s="80">
        <f>prices!F1054*Quotation!B374</f>
        <v>0</v>
      </c>
      <c r="H374" s="800"/>
      <c r="I374" s="13"/>
      <c r="J374" s="13"/>
    </row>
    <row r="375" spans="1:16" x14ac:dyDescent="0.2">
      <c r="A375" s="22"/>
      <c r="B375" s="820"/>
      <c r="C375" s="39" t="s">
        <v>283</v>
      </c>
      <c r="D375" s="15">
        <f>prices!F599+prices!F600</f>
        <v>50.494399999999999</v>
      </c>
      <c r="E375" s="15">
        <f t="shared" si="12"/>
        <v>0</v>
      </c>
      <c r="F375" s="61">
        <f>prices!F1056*Quotation!B375</f>
        <v>0</v>
      </c>
      <c r="G375" s="80">
        <f>prices!F1055*Quotation!B375</f>
        <v>0</v>
      </c>
      <c r="H375" s="800"/>
      <c r="I375" s="13"/>
      <c r="J375" s="13"/>
    </row>
    <row r="376" spans="1:16" ht="13.5" customHeight="1" x14ac:dyDescent="0.2">
      <c r="A376" s="22"/>
      <c r="B376" s="820"/>
      <c r="C376" s="39" t="s">
        <v>284</v>
      </c>
      <c r="D376" s="15">
        <f>prices!F611</f>
        <v>15.892799999999999</v>
      </c>
      <c r="E376" s="15">
        <f>D376*B376</f>
        <v>0</v>
      </c>
      <c r="F376" s="61"/>
      <c r="G376" s="80">
        <f>prices!F1059*Quotation!B376</f>
        <v>0</v>
      </c>
      <c r="H376" s="800"/>
      <c r="I376" s="13"/>
      <c r="J376" s="13"/>
    </row>
    <row r="377" spans="1:16" ht="13.5" customHeight="1" x14ac:dyDescent="0.2">
      <c r="A377" s="65"/>
      <c r="B377" s="398"/>
      <c r="C377" s="39" t="s">
        <v>285</v>
      </c>
      <c r="D377" s="15">
        <f>prices!F601</f>
        <v>23.630000000000003</v>
      </c>
      <c r="E377" s="15">
        <f t="shared" si="12"/>
        <v>0</v>
      </c>
      <c r="F377" s="11"/>
      <c r="G377" s="111">
        <f>prices!F1064*Quotation!B377</f>
        <v>0</v>
      </c>
      <c r="H377" s="812"/>
      <c r="I377" s="13"/>
      <c r="J377" s="13"/>
    </row>
    <row r="378" spans="1:16" x14ac:dyDescent="0.2">
      <c r="A378" s="65"/>
      <c r="B378" s="398"/>
      <c r="C378" s="39" t="s">
        <v>286</v>
      </c>
      <c r="D378" s="15">
        <f>prices!F602</f>
        <v>31.908999999999995</v>
      </c>
      <c r="E378" s="15">
        <f t="shared" si="12"/>
        <v>0</v>
      </c>
      <c r="F378" s="11"/>
      <c r="G378" s="111">
        <f>prices!F1057*Quotation!B378</f>
        <v>0</v>
      </c>
      <c r="H378" s="812"/>
      <c r="I378" s="13"/>
      <c r="J378" s="13"/>
    </row>
    <row r="379" spans="1:16" x14ac:dyDescent="0.2">
      <c r="A379" s="65"/>
      <c r="B379" s="820"/>
      <c r="C379" s="39" t="s">
        <v>287</v>
      </c>
      <c r="D379" s="15">
        <f>prices!I796</f>
        <v>21.333333333333332</v>
      </c>
      <c r="E379" s="15">
        <f t="shared" si="12"/>
        <v>0</v>
      </c>
      <c r="F379" s="15"/>
      <c r="G379" s="80">
        <f>prices!F1063*Quotation!B379</f>
        <v>0</v>
      </c>
      <c r="H379" s="800"/>
      <c r="I379" s="13"/>
      <c r="J379" s="13"/>
    </row>
    <row r="380" spans="1:16" x14ac:dyDescent="0.2">
      <c r="A380" s="65"/>
      <c r="B380" s="820"/>
      <c r="C380" s="39" t="s">
        <v>288</v>
      </c>
      <c r="D380" s="15">
        <f>prices!F603</f>
        <v>11.475199999999999</v>
      </c>
      <c r="E380" s="15">
        <f t="shared" si="12"/>
        <v>0</v>
      </c>
      <c r="F380" s="15"/>
      <c r="G380" s="80">
        <f>prices!F1061*Quotation!B380</f>
        <v>0</v>
      </c>
      <c r="H380" s="800"/>
      <c r="I380" s="13"/>
      <c r="J380" s="13"/>
    </row>
    <row r="381" spans="1:16" x14ac:dyDescent="0.2">
      <c r="A381" s="65"/>
      <c r="B381" s="820">
        <v>0</v>
      </c>
      <c r="C381" s="39" t="s">
        <v>289</v>
      </c>
      <c r="D381" s="15">
        <f>prices!F605</f>
        <v>18.427200000000003</v>
      </c>
      <c r="E381" s="15">
        <f t="shared" si="12"/>
        <v>0</v>
      </c>
      <c r="F381" s="15"/>
      <c r="G381" s="80">
        <f>prices!F1054*Quotation!B381</f>
        <v>0</v>
      </c>
      <c r="H381" s="800"/>
      <c r="I381" s="13"/>
      <c r="J381" s="13"/>
    </row>
    <row r="382" spans="1:16" x14ac:dyDescent="0.2">
      <c r="A382" s="74"/>
      <c r="B382" s="823"/>
      <c r="C382" s="75" t="s">
        <v>290</v>
      </c>
      <c r="D382" s="77">
        <f>IF(B381+B380+B379+B378+B377+B375+B374+B373+B372+B370+B369+B368+B367+B366+B361+B360+B359+B358+B354+B353+B352+B351+B350+B348+B347+B346+B345+B344+B343+B341+B340+B339+B338+B337+B336+B328+B327+B325+B323+B321+B319+B318+B317+B316+B315+B314&gt;0.1,N138,N139)</f>
        <v>0</v>
      </c>
      <c r="E382" s="77">
        <f>prices!F808</f>
        <v>8</v>
      </c>
      <c r="F382" s="77"/>
      <c r="G382" s="101"/>
      <c r="H382" s="808"/>
      <c r="I382" s="13"/>
      <c r="J382" s="13"/>
    </row>
    <row r="383" spans="1:16" x14ac:dyDescent="0.2">
      <c r="A383" s="139"/>
      <c r="B383" s="820"/>
      <c r="C383" s="39"/>
      <c r="D383" s="15"/>
      <c r="E383" s="15"/>
      <c r="F383" s="15"/>
      <c r="G383" s="80"/>
      <c r="H383" s="800"/>
      <c r="I383" s="13"/>
      <c r="J383" s="13"/>
      <c r="O383" s="140"/>
      <c r="P383" s="140"/>
    </row>
    <row r="384" spans="1:16" x14ac:dyDescent="0.2">
      <c r="A384" s="139"/>
      <c r="B384" s="820"/>
      <c r="C384" s="56" t="s">
        <v>291</v>
      </c>
      <c r="D384" s="15"/>
      <c r="E384" s="15"/>
      <c r="F384" s="15"/>
      <c r="G384" s="80"/>
      <c r="H384" s="800"/>
      <c r="I384" s="13"/>
      <c r="J384" s="13"/>
      <c r="O384" s="140"/>
      <c r="P384" s="140"/>
    </row>
    <row r="385" spans="1:20" x14ac:dyDescent="0.2">
      <c r="A385" s="139"/>
      <c r="B385" s="820"/>
      <c r="C385" s="39" t="s">
        <v>292</v>
      </c>
      <c r="D385" s="15">
        <f>prices!F618</f>
        <v>63.043199999999999</v>
      </c>
      <c r="E385" s="15">
        <f>D385*B385</f>
        <v>0</v>
      </c>
      <c r="F385" s="15"/>
      <c r="G385" s="80">
        <f>prices!F1068*Quotation!B385</f>
        <v>0</v>
      </c>
      <c r="H385" s="800"/>
      <c r="I385" s="13"/>
      <c r="J385" s="13"/>
      <c r="O385" s="140"/>
      <c r="P385" s="140"/>
    </row>
    <row r="386" spans="1:20" x14ac:dyDescent="0.2">
      <c r="A386" s="139"/>
      <c r="B386" s="820"/>
      <c r="C386" s="39" t="s">
        <v>293</v>
      </c>
      <c r="D386" s="15">
        <f>prices!F619</f>
        <v>30.536000000000001</v>
      </c>
      <c r="E386" s="15">
        <f>D386*B386</f>
        <v>0</v>
      </c>
      <c r="F386" s="15"/>
      <c r="G386" s="80"/>
      <c r="H386" s="800"/>
      <c r="I386" s="13"/>
      <c r="J386" s="13"/>
      <c r="O386" s="140"/>
      <c r="P386" s="140"/>
    </row>
    <row r="387" spans="1:20" x14ac:dyDescent="0.2">
      <c r="A387" s="139"/>
      <c r="B387" s="820"/>
      <c r="C387" s="39" t="s">
        <v>294</v>
      </c>
      <c r="D387" s="15">
        <f>prices!F620</f>
        <v>33.035199999999996</v>
      </c>
      <c r="E387" s="15">
        <f>D387*B387</f>
        <v>0</v>
      </c>
      <c r="F387" s="15"/>
      <c r="G387" s="141">
        <f>prices!F1055*Quotation!B387</f>
        <v>0</v>
      </c>
      <c r="H387" s="800"/>
      <c r="I387" s="13"/>
      <c r="J387" s="13"/>
      <c r="O387" s="140"/>
      <c r="P387" s="140"/>
    </row>
    <row r="388" spans="1:20" x14ac:dyDescent="0.2">
      <c r="A388" s="139"/>
      <c r="B388" s="820"/>
      <c r="C388" s="142" t="s">
        <v>295</v>
      </c>
      <c r="D388" s="15"/>
      <c r="E388" s="15"/>
      <c r="F388" s="15"/>
      <c r="G388" s="80">
        <f>prices!J1069*B388</f>
        <v>0</v>
      </c>
      <c r="H388" s="800"/>
      <c r="I388" s="13"/>
      <c r="J388" s="13"/>
      <c r="O388" s="140"/>
      <c r="P388" s="140"/>
    </row>
    <row r="389" spans="1:20" x14ac:dyDescent="0.2">
      <c r="A389" s="139"/>
      <c r="B389" s="820"/>
      <c r="C389" s="39" t="s">
        <v>296</v>
      </c>
      <c r="D389" s="15">
        <f>prices!F621</f>
        <v>25.713599999999996</v>
      </c>
      <c r="E389" s="15">
        <f t="shared" ref="E389" si="13">D389*B389</f>
        <v>0</v>
      </c>
      <c r="F389" s="15"/>
      <c r="G389" s="80">
        <f>prices!J1070*Quotation!B389</f>
        <v>0</v>
      </c>
      <c r="H389" s="800"/>
      <c r="I389" s="13"/>
      <c r="J389" s="13"/>
      <c r="O389" s="140"/>
      <c r="P389" s="140"/>
    </row>
    <row r="390" spans="1:20" x14ac:dyDescent="0.2">
      <c r="A390" s="139"/>
      <c r="B390" s="820"/>
      <c r="C390" s="39" t="s">
        <v>297</v>
      </c>
      <c r="D390" s="15">
        <f>prices!F622</f>
        <v>30.782399999999996</v>
      </c>
      <c r="E390" s="15">
        <f>D390*B390</f>
        <v>0</v>
      </c>
      <c r="F390" s="15"/>
      <c r="G390" s="80">
        <f>prices!J1070*Quotation!B390</f>
        <v>0</v>
      </c>
      <c r="H390" s="800"/>
      <c r="I390" s="13"/>
      <c r="J390" s="13"/>
      <c r="O390" s="140"/>
      <c r="P390" s="140"/>
    </row>
    <row r="391" spans="1:20" x14ac:dyDescent="0.2">
      <c r="A391" s="22"/>
      <c r="B391" s="824"/>
      <c r="C391" s="84"/>
      <c r="D391" s="15"/>
      <c r="E391" s="11"/>
      <c r="F391" s="11"/>
      <c r="G391" s="80"/>
      <c r="H391" s="812"/>
      <c r="I391" s="13"/>
      <c r="J391" s="13"/>
    </row>
    <row r="392" spans="1:20" x14ac:dyDescent="0.2">
      <c r="A392" s="22"/>
      <c r="B392" s="824"/>
      <c r="C392" s="63" t="s">
        <v>298</v>
      </c>
      <c r="D392" s="15"/>
      <c r="E392" s="11"/>
      <c r="F392" s="11"/>
      <c r="G392" s="80"/>
      <c r="H392" s="812"/>
      <c r="I392" s="13"/>
      <c r="J392" s="13"/>
    </row>
    <row r="393" spans="1:20" x14ac:dyDescent="0.2">
      <c r="A393" s="22"/>
      <c r="B393" s="483"/>
      <c r="C393" s="39"/>
      <c r="D393" s="11"/>
      <c r="E393" s="11"/>
      <c r="F393" s="11"/>
      <c r="G393" s="11"/>
      <c r="H393" s="812"/>
      <c r="I393" s="13"/>
      <c r="J393" s="13"/>
    </row>
    <row r="394" spans="1:20" x14ac:dyDescent="0.2">
      <c r="A394" s="22"/>
      <c r="B394" s="825">
        <v>1</v>
      </c>
      <c r="C394" s="39" t="s">
        <v>299</v>
      </c>
      <c r="D394" s="15">
        <f>prices!F743+prices!F744+prices!F745+prices!F746+prices!F747</f>
        <v>29.184000000000005</v>
      </c>
      <c r="E394" s="15">
        <f t="shared" ref="E394:E400" si="14">D394*B394</f>
        <v>29.184000000000005</v>
      </c>
      <c r="F394" s="15"/>
      <c r="H394" s="800"/>
      <c r="I394" s="13"/>
      <c r="J394" s="13"/>
    </row>
    <row r="395" spans="1:20" x14ac:dyDescent="0.2">
      <c r="A395" s="22"/>
      <c r="B395" s="826"/>
      <c r="C395" s="39" t="s">
        <v>299</v>
      </c>
      <c r="D395" s="15"/>
      <c r="E395" s="15"/>
      <c r="F395" s="15"/>
      <c r="G395" s="80">
        <f>prices!F1084*B395</f>
        <v>0</v>
      </c>
      <c r="H395" s="800"/>
      <c r="I395" s="13"/>
      <c r="J395" s="13"/>
    </row>
    <row r="396" spans="1:20" x14ac:dyDescent="0.2">
      <c r="A396" s="65"/>
      <c r="B396" s="823"/>
      <c r="C396" s="39" t="s">
        <v>300</v>
      </c>
      <c r="D396" s="15">
        <f>prices!F741+prices!F743+prices!F744+prices!F745+prices!F746+prices!F749</f>
        <v>68</v>
      </c>
      <c r="E396" s="15">
        <f t="shared" si="14"/>
        <v>0</v>
      </c>
      <c r="F396" s="15"/>
      <c r="G396" s="80">
        <f>prices!F1086*B396</f>
        <v>0</v>
      </c>
      <c r="H396" s="800"/>
      <c r="I396" s="13"/>
      <c r="J396" s="13"/>
    </row>
    <row r="397" spans="1:20" x14ac:dyDescent="0.2">
      <c r="A397" s="22"/>
      <c r="B397" s="823">
        <v>3</v>
      </c>
      <c r="C397" s="39" t="s">
        <v>301</v>
      </c>
      <c r="D397" s="15">
        <f>prices!F742</f>
        <v>6.6133333333333333</v>
      </c>
      <c r="E397" s="15">
        <f t="shared" si="14"/>
        <v>19.84</v>
      </c>
      <c r="F397" s="15"/>
      <c r="G397" s="80">
        <f>prices!F1085*Quotation!B397</f>
        <v>255</v>
      </c>
      <c r="H397" s="800"/>
      <c r="I397" s="13"/>
      <c r="J397" s="13"/>
    </row>
    <row r="398" spans="1:20" x14ac:dyDescent="0.2">
      <c r="A398" s="65"/>
      <c r="B398" s="823"/>
      <c r="C398" s="39" t="s">
        <v>302</v>
      </c>
      <c r="D398" s="15">
        <f>prices!F742+prices!F749+prices!F754*2</f>
        <v>11.450666666666667</v>
      </c>
      <c r="E398" s="15">
        <f t="shared" si="14"/>
        <v>0</v>
      </c>
      <c r="F398" s="15"/>
      <c r="G398" s="80">
        <f>prices!F1087*B398</f>
        <v>0</v>
      </c>
      <c r="H398" s="800"/>
      <c r="I398" s="13"/>
      <c r="J398" s="13"/>
      <c r="T398" s="3" t="s">
        <v>1</v>
      </c>
    </row>
    <row r="399" spans="1:20" x14ac:dyDescent="0.2">
      <c r="A399" s="22"/>
      <c r="B399" s="823"/>
      <c r="C399" s="39" t="s">
        <v>303</v>
      </c>
      <c r="D399" s="15">
        <f>prices!F132+prices!F133+prices!F135+prices!F1430+prices!F814</f>
        <v>2024</v>
      </c>
      <c r="E399" s="15">
        <f t="shared" si="14"/>
        <v>0</v>
      </c>
      <c r="F399" s="15"/>
      <c r="G399" s="80">
        <f>prices!F1088*Quotation!B399</f>
        <v>0</v>
      </c>
      <c r="H399" s="800"/>
      <c r="I399" s="13"/>
      <c r="J399" s="13"/>
    </row>
    <row r="400" spans="1:20" x14ac:dyDescent="0.2">
      <c r="A400" s="22"/>
      <c r="B400" s="820"/>
      <c r="C400" s="143" t="s">
        <v>304</v>
      </c>
      <c r="D400" s="15">
        <f>prices!F1102</f>
        <v>30.222146666666667</v>
      </c>
      <c r="E400" s="15">
        <f t="shared" si="14"/>
        <v>0</v>
      </c>
      <c r="F400" s="15"/>
      <c r="G400" s="80">
        <f>D400*B400</f>
        <v>0</v>
      </c>
      <c r="H400" s="800"/>
      <c r="I400" s="13"/>
      <c r="J400" s="13"/>
    </row>
    <row r="401" spans="1:10" x14ac:dyDescent="0.2">
      <c r="A401" s="22"/>
      <c r="B401" s="824"/>
      <c r="C401" s="39"/>
      <c r="D401" s="11"/>
      <c r="E401" s="11"/>
      <c r="F401" s="15"/>
      <c r="G401" s="80">
        <f>prices!F1102*6*B401+prices!F1085*B401</f>
        <v>0</v>
      </c>
      <c r="H401" s="800"/>
      <c r="I401" s="13"/>
      <c r="J401" s="13"/>
    </row>
    <row r="402" spans="1:10" x14ac:dyDescent="0.2">
      <c r="A402" s="22"/>
      <c r="B402" s="822"/>
      <c r="C402" s="63" t="s">
        <v>305</v>
      </c>
      <c r="D402" s="15"/>
      <c r="E402" s="15"/>
      <c r="F402" s="15"/>
      <c r="G402" s="15"/>
      <c r="H402" s="800"/>
      <c r="I402" s="13"/>
      <c r="J402" s="13"/>
    </row>
    <row r="403" spans="1:10" x14ac:dyDescent="0.2">
      <c r="A403" s="22"/>
      <c r="B403" s="822"/>
      <c r="C403" s="64" t="s">
        <v>306</v>
      </c>
      <c r="D403" s="15"/>
      <c r="E403" s="15"/>
      <c r="F403" s="15"/>
      <c r="G403" s="15"/>
      <c r="H403" s="800"/>
      <c r="I403" s="13"/>
      <c r="J403" s="13"/>
    </row>
    <row r="404" spans="1:10" x14ac:dyDescent="0.2">
      <c r="A404" s="22"/>
      <c r="B404" s="822"/>
      <c r="C404" s="69" t="s">
        <v>307</v>
      </c>
      <c r="D404" s="15"/>
      <c r="E404" s="15"/>
      <c r="F404" s="15"/>
      <c r="G404" s="15"/>
      <c r="H404" s="800"/>
      <c r="I404" s="13"/>
      <c r="J404" s="13"/>
    </row>
    <row r="405" spans="1:10" x14ac:dyDescent="0.2">
      <c r="A405" s="22"/>
      <c r="B405" s="822"/>
      <c r="C405" s="69"/>
      <c r="D405" s="15"/>
      <c r="E405" s="15"/>
      <c r="F405" s="15"/>
      <c r="G405" s="15"/>
      <c r="H405" s="800"/>
      <c r="I405" s="13"/>
      <c r="J405" s="13"/>
    </row>
    <row r="406" spans="1:10" x14ac:dyDescent="0.2">
      <c r="A406" s="65"/>
      <c r="B406" s="820"/>
      <c r="C406" s="24" t="s">
        <v>308</v>
      </c>
      <c r="D406" s="15">
        <f>prices!F690</f>
        <v>20.175999999999998</v>
      </c>
      <c r="E406" s="15">
        <f>D406*B406</f>
        <v>0</v>
      </c>
      <c r="F406" s="15"/>
      <c r="G406" s="80">
        <f>prices!F1097*Quotation!B406</f>
        <v>0</v>
      </c>
      <c r="H406" s="800"/>
      <c r="I406" s="13"/>
      <c r="J406" s="13"/>
    </row>
    <row r="407" spans="1:10" x14ac:dyDescent="0.2">
      <c r="A407" s="135"/>
      <c r="B407" s="823"/>
      <c r="C407" s="75" t="s">
        <v>309</v>
      </c>
      <c r="D407" s="144">
        <f>IF(B406+B408+B409+B410+B411+B412+B413+B414:B414&gt;0.1,N138,N139)</f>
        <v>0</v>
      </c>
      <c r="E407" s="77">
        <f>prices!F809*Quotation!D407</f>
        <v>0</v>
      </c>
      <c r="F407" s="77"/>
      <c r="G407" s="101"/>
      <c r="H407" s="808"/>
      <c r="I407" s="13"/>
      <c r="J407" s="13"/>
    </row>
    <row r="408" spans="1:10" x14ac:dyDescent="0.2">
      <c r="A408" s="65"/>
      <c r="B408" s="820"/>
      <c r="C408" s="39" t="s">
        <v>310</v>
      </c>
      <c r="D408" s="15">
        <f>prices!F691</f>
        <v>24.671999999999997</v>
      </c>
      <c r="E408" s="15">
        <f t="shared" ref="E408:E416" si="15">D408*B408</f>
        <v>0</v>
      </c>
      <c r="F408" s="15"/>
      <c r="G408" s="80">
        <f>prices!F1097*Quotation!B408</f>
        <v>0</v>
      </c>
      <c r="H408" s="800"/>
      <c r="I408" s="13"/>
      <c r="J408" s="13"/>
    </row>
    <row r="409" spans="1:10" x14ac:dyDescent="0.2">
      <c r="A409" s="22"/>
      <c r="B409" s="820"/>
      <c r="C409" s="39" t="s">
        <v>311</v>
      </c>
      <c r="D409" s="15">
        <f>prices!F692</f>
        <v>22.415999999999997</v>
      </c>
      <c r="E409" s="15">
        <f t="shared" si="15"/>
        <v>0</v>
      </c>
      <c r="F409" s="15"/>
      <c r="G409" s="80">
        <f>prices!F1097*Quotation!B409</f>
        <v>0</v>
      </c>
      <c r="H409" s="800"/>
      <c r="I409" s="13"/>
      <c r="J409" s="13"/>
    </row>
    <row r="410" spans="1:10" x14ac:dyDescent="0.2">
      <c r="A410" s="22"/>
      <c r="B410" s="820"/>
      <c r="C410" s="39" t="s">
        <v>312</v>
      </c>
      <c r="D410" s="15">
        <f>prices!F693</f>
        <v>0</v>
      </c>
      <c r="E410" s="15">
        <f t="shared" si="15"/>
        <v>0</v>
      </c>
      <c r="F410" s="15"/>
      <c r="G410" s="80">
        <f>prices!F1097*Quotation!B410</f>
        <v>0</v>
      </c>
      <c r="H410" s="800"/>
      <c r="I410" s="13"/>
      <c r="J410" s="13"/>
    </row>
    <row r="411" spans="1:10" x14ac:dyDescent="0.2">
      <c r="A411" s="22"/>
      <c r="B411" s="820"/>
      <c r="C411" s="39" t="s">
        <v>313</v>
      </c>
      <c r="D411" s="15">
        <f>prices!F695</f>
        <v>0</v>
      </c>
      <c r="E411" s="15">
        <f t="shared" si="15"/>
        <v>0</v>
      </c>
      <c r="F411" s="15"/>
      <c r="G411" s="80">
        <f>prices!F1097*Quotation!B411</f>
        <v>0</v>
      </c>
      <c r="H411" s="800"/>
      <c r="I411" s="13"/>
      <c r="J411" s="13"/>
    </row>
    <row r="412" spans="1:10" x14ac:dyDescent="0.2">
      <c r="A412" s="22"/>
      <c r="B412" s="820"/>
      <c r="C412" s="39" t="s">
        <v>314</v>
      </c>
      <c r="D412" s="15">
        <f>prices!F697</f>
        <v>0</v>
      </c>
      <c r="E412" s="15">
        <f>D412*B412</f>
        <v>0</v>
      </c>
      <c r="F412" s="15"/>
      <c r="G412" s="80">
        <f>prices!F1097*Quotation!B412</f>
        <v>0</v>
      </c>
      <c r="H412" s="800"/>
      <c r="I412" s="13"/>
      <c r="J412" s="13"/>
    </row>
    <row r="413" spans="1:10" x14ac:dyDescent="0.2">
      <c r="A413" s="22"/>
      <c r="B413" s="820"/>
      <c r="C413" s="39" t="s">
        <v>315</v>
      </c>
      <c r="D413" s="15">
        <f>prices!F696</f>
        <v>0</v>
      </c>
      <c r="E413" s="15">
        <f>D413*B413</f>
        <v>0</v>
      </c>
      <c r="F413" s="15"/>
      <c r="G413" s="80">
        <f>prices!F1097*Quotation!B413</f>
        <v>0</v>
      </c>
      <c r="H413" s="800"/>
      <c r="I413" s="13"/>
      <c r="J413" s="13"/>
    </row>
    <row r="414" spans="1:10" x14ac:dyDescent="0.2">
      <c r="A414" s="68"/>
      <c r="B414" s="820"/>
      <c r="C414" s="69" t="s">
        <v>316</v>
      </c>
      <c r="D414" s="15">
        <f>prices!F726+prices!F727+prices!F733+prices!F734+prices!F735</f>
        <v>103.09978021978021</v>
      </c>
      <c r="E414" s="15">
        <f>D414*B414</f>
        <v>0</v>
      </c>
      <c r="F414" s="15"/>
      <c r="G414" s="80">
        <f>prices!F1096*Quotation!B414</f>
        <v>0</v>
      </c>
      <c r="H414" s="800"/>
      <c r="I414" s="13"/>
      <c r="J414" s="13"/>
    </row>
    <row r="415" spans="1:10" x14ac:dyDescent="0.2">
      <c r="A415" s="68"/>
      <c r="B415" s="823">
        <f>B414</f>
        <v>0</v>
      </c>
      <c r="C415" s="39" t="s">
        <v>317</v>
      </c>
      <c r="D415" s="15">
        <f>prices!F732</f>
        <v>4.8</v>
      </c>
      <c r="E415" s="15">
        <f>D415*B415</f>
        <v>0</v>
      </c>
      <c r="F415" s="15"/>
      <c r="G415" s="80"/>
      <c r="H415" s="800"/>
      <c r="I415" s="13"/>
      <c r="J415" s="13"/>
    </row>
    <row r="416" spans="1:10" x14ac:dyDescent="0.2">
      <c r="A416" s="22"/>
      <c r="B416" s="827">
        <v>0</v>
      </c>
      <c r="C416" s="39" t="s">
        <v>318</v>
      </c>
      <c r="D416" s="15">
        <f>prices!F707</f>
        <v>2.448</v>
      </c>
      <c r="E416" s="15">
        <f t="shared" si="15"/>
        <v>0</v>
      </c>
      <c r="F416" s="15"/>
      <c r="G416" s="80">
        <f>prices!F1097*Quotation!B416</f>
        <v>0</v>
      </c>
      <c r="H416" s="800"/>
      <c r="I416" s="13"/>
      <c r="J416" s="13"/>
    </row>
    <row r="417" spans="1:13" x14ac:dyDescent="0.2">
      <c r="A417" s="22"/>
      <c r="B417" s="820"/>
      <c r="C417" s="39"/>
      <c r="D417" s="15"/>
      <c r="E417" s="15"/>
      <c r="F417" s="15"/>
      <c r="G417" s="80"/>
      <c r="H417" s="800"/>
      <c r="I417" s="13"/>
      <c r="J417" s="13"/>
    </row>
    <row r="418" spans="1:13" x14ac:dyDescent="0.2">
      <c r="A418" s="22"/>
      <c r="B418" s="820"/>
      <c r="C418" s="69" t="s">
        <v>319</v>
      </c>
      <c r="D418" s="15"/>
      <c r="E418" s="15"/>
      <c r="F418" s="15"/>
      <c r="G418" s="80"/>
      <c r="H418" s="800"/>
      <c r="I418" s="13"/>
      <c r="J418" s="13"/>
    </row>
    <row r="419" spans="1:13" x14ac:dyDescent="0.2">
      <c r="A419" s="22"/>
      <c r="B419" s="820"/>
      <c r="C419" s="69"/>
      <c r="D419" s="15"/>
      <c r="E419" s="15"/>
      <c r="F419" s="15"/>
      <c r="G419" s="80"/>
      <c r="H419" s="800"/>
      <c r="I419" s="13"/>
      <c r="J419" s="13"/>
    </row>
    <row r="420" spans="1:13" x14ac:dyDescent="0.2">
      <c r="A420" s="8"/>
      <c r="B420" s="815"/>
      <c r="C420" s="43"/>
      <c r="D420" s="72"/>
      <c r="E420" s="72"/>
      <c r="F420" s="72"/>
      <c r="G420" s="72"/>
      <c r="H420" s="809"/>
    </row>
    <row r="421" spans="1:13" x14ac:dyDescent="0.2">
      <c r="A421" s="65"/>
      <c r="B421" s="828"/>
      <c r="C421" s="24" t="s">
        <v>320</v>
      </c>
      <c r="D421" s="15">
        <f>prices!F699</f>
        <v>25.266700800000002</v>
      </c>
      <c r="E421" s="15">
        <f>D421*B421</f>
        <v>0</v>
      </c>
      <c r="F421" s="15"/>
      <c r="G421" s="15"/>
      <c r="H421" s="800"/>
      <c r="I421" s="13"/>
      <c r="J421" s="13"/>
    </row>
    <row r="422" spans="1:13" x14ac:dyDescent="0.2">
      <c r="A422" s="65"/>
      <c r="B422" s="820"/>
      <c r="C422" s="24" t="s">
        <v>321</v>
      </c>
      <c r="D422" s="15">
        <f>prices!F699</f>
        <v>25.266700800000002</v>
      </c>
      <c r="E422" s="15">
        <f>D422*B422</f>
        <v>0</v>
      </c>
      <c r="F422" s="15"/>
      <c r="G422" s="80">
        <f>IF(B422&gt;0,prices!F1020,0)</f>
        <v>0</v>
      </c>
      <c r="H422" s="800"/>
      <c r="I422" s="13"/>
      <c r="J422" s="13"/>
    </row>
    <row r="423" spans="1:13" x14ac:dyDescent="0.2">
      <c r="A423" s="22"/>
      <c r="B423" s="820"/>
      <c r="C423" s="39" t="s">
        <v>322</v>
      </c>
      <c r="D423" s="145">
        <f>prices!F700</f>
        <v>44.256960000000007</v>
      </c>
      <c r="E423" s="15">
        <f>D423*B423</f>
        <v>0</v>
      </c>
      <c r="F423" s="15"/>
      <c r="G423" s="15"/>
      <c r="H423" s="800"/>
      <c r="I423" s="13"/>
      <c r="J423" s="13"/>
    </row>
    <row r="424" spans="1:13" x14ac:dyDescent="0.2">
      <c r="A424" s="65"/>
      <c r="B424" s="820"/>
      <c r="C424" s="39" t="s">
        <v>323</v>
      </c>
      <c r="D424" s="15">
        <f>prices!F701</f>
        <v>22.745395200000001</v>
      </c>
      <c r="E424" s="15">
        <f>D424*B424</f>
        <v>0</v>
      </c>
      <c r="F424" s="15"/>
      <c r="G424" s="15"/>
      <c r="H424" s="800"/>
      <c r="I424" s="13"/>
      <c r="J424" s="13"/>
    </row>
    <row r="425" spans="1:13" x14ac:dyDescent="0.2">
      <c r="A425" s="22"/>
      <c r="B425" s="820"/>
      <c r="C425" s="69" t="s">
        <v>324</v>
      </c>
      <c r="D425" s="15"/>
      <c r="E425" s="15"/>
      <c r="F425" s="15"/>
      <c r="G425" s="15"/>
      <c r="H425" s="800"/>
      <c r="I425" s="13"/>
      <c r="J425" s="13"/>
      <c r="L425" s="146" t="s">
        <v>325</v>
      </c>
      <c r="M425" s="146" t="s">
        <v>326</v>
      </c>
    </row>
    <row r="426" spans="1:13" x14ac:dyDescent="0.2">
      <c r="A426" s="22"/>
      <c r="B426" s="820"/>
      <c r="C426" s="39" t="s">
        <v>327</v>
      </c>
      <c r="D426" s="15">
        <f>prices!F704+prices!F706</f>
        <v>34.638559999999998</v>
      </c>
      <c r="E426" s="15">
        <f>D426*B426</f>
        <v>0</v>
      </c>
      <c r="F426" s="15"/>
      <c r="G426" s="15"/>
      <c r="H426" s="800"/>
      <c r="I426" s="13"/>
      <c r="J426" s="13"/>
      <c r="K426" s="3" t="s">
        <v>328</v>
      </c>
    </row>
    <row r="427" spans="1:13" x14ac:dyDescent="0.2">
      <c r="A427" s="110"/>
      <c r="B427" s="820"/>
      <c r="C427" s="39" t="s">
        <v>329</v>
      </c>
      <c r="D427" s="15">
        <f>prices!F705+prices!F706</f>
        <v>37.755519999999997</v>
      </c>
      <c r="E427" s="15">
        <f>D427*B427</f>
        <v>0</v>
      </c>
      <c r="F427" s="15"/>
      <c r="G427" s="15"/>
      <c r="H427" s="800"/>
      <c r="I427" s="13"/>
      <c r="J427" s="13"/>
    </row>
    <row r="428" spans="1:13" x14ac:dyDescent="0.2">
      <c r="A428" s="110"/>
      <c r="B428" s="820"/>
      <c r="C428" s="69" t="s">
        <v>330</v>
      </c>
      <c r="D428" s="15"/>
      <c r="E428" s="15"/>
      <c r="F428" s="15"/>
      <c r="G428" s="15"/>
      <c r="H428" s="800"/>
      <c r="I428" s="13"/>
      <c r="J428" s="13"/>
      <c r="L428" s="8">
        <v>6</v>
      </c>
      <c r="M428" s="8">
        <v>1</v>
      </c>
    </row>
    <row r="429" spans="1:13" x14ac:dyDescent="0.2">
      <c r="A429" s="67"/>
      <c r="B429" s="820"/>
      <c r="C429" s="39" t="s">
        <v>331</v>
      </c>
      <c r="D429" s="15">
        <f>prices!F703</f>
        <v>16.825600000000001</v>
      </c>
      <c r="E429" s="15">
        <f>D429*B429</f>
        <v>0</v>
      </c>
      <c r="F429" s="15"/>
      <c r="G429" s="15"/>
      <c r="H429" s="800"/>
      <c r="I429" s="13"/>
      <c r="J429" s="13"/>
      <c r="K429" s="8">
        <v>3</v>
      </c>
      <c r="L429" s="8">
        <v>9</v>
      </c>
      <c r="M429" s="8">
        <v>2</v>
      </c>
    </row>
    <row r="430" spans="1:13" x14ac:dyDescent="0.2">
      <c r="A430" s="65"/>
      <c r="B430" s="820"/>
      <c r="C430" s="39" t="s">
        <v>332</v>
      </c>
      <c r="D430" s="15">
        <f>prices!F702</f>
        <v>47.448825600000006</v>
      </c>
      <c r="E430" s="15">
        <f>D430*B430</f>
        <v>0</v>
      </c>
      <c r="F430" s="15"/>
      <c r="G430" s="80">
        <f>prices!F1095*Quotation!B430</f>
        <v>0</v>
      </c>
      <c r="H430" s="800"/>
      <c r="I430" s="13"/>
      <c r="J430" s="13"/>
      <c r="K430" s="8">
        <v>2</v>
      </c>
      <c r="L430" s="8">
        <v>12</v>
      </c>
      <c r="M430" s="8">
        <v>3</v>
      </c>
    </row>
    <row r="431" spans="1:13" x14ac:dyDescent="0.2">
      <c r="A431" s="68"/>
      <c r="B431" s="820"/>
      <c r="C431" s="39" t="s">
        <v>333</v>
      </c>
      <c r="D431" s="15">
        <f>prices!F614</f>
        <v>167.2</v>
      </c>
      <c r="E431" s="15">
        <f>D431*B431</f>
        <v>0</v>
      </c>
      <c r="F431" s="15"/>
      <c r="G431" s="80">
        <f>prices!F1082*Quotation!B431</f>
        <v>0</v>
      </c>
      <c r="H431" s="800"/>
      <c r="I431" s="13"/>
      <c r="J431" s="13"/>
      <c r="K431" s="8">
        <v>1</v>
      </c>
      <c r="L431" s="8">
        <v>15</v>
      </c>
      <c r="M431" s="8">
        <v>4</v>
      </c>
    </row>
    <row r="432" spans="1:13" x14ac:dyDescent="0.2">
      <c r="A432" s="147"/>
      <c r="B432" s="820"/>
      <c r="C432" s="39" t="s">
        <v>334</v>
      </c>
      <c r="D432" s="15">
        <f>prices!F615</f>
        <v>167.2</v>
      </c>
      <c r="E432" s="15">
        <f>D432*B432</f>
        <v>0</v>
      </c>
      <c r="F432" s="15"/>
      <c r="G432" s="80">
        <f>prices!F1052*Quotation!B432</f>
        <v>0</v>
      </c>
      <c r="H432" s="800"/>
      <c r="I432" s="13"/>
      <c r="J432" s="13"/>
      <c r="L432" s="8">
        <v>18</v>
      </c>
      <c r="M432" s="8">
        <v>5</v>
      </c>
    </row>
    <row r="433" spans="1:16" x14ac:dyDescent="0.2">
      <c r="A433" s="147"/>
      <c r="B433" s="820"/>
      <c r="C433" s="39"/>
      <c r="D433" s="15"/>
      <c r="E433" s="15"/>
      <c r="F433" s="15"/>
      <c r="G433" s="80"/>
      <c r="H433" s="800"/>
      <c r="I433" s="13"/>
      <c r="J433" s="13"/>
      <c r="L433" s="8">
        <v>21</v>
      </c>
      <c r="M433" s="8">
        <v>6</v>
      </c>
    </row>
    <row r="434" spans="1:16" x14ac:dyDescent="0.2">
      <c r="A434" s="147"/>
      <c r="B434" s="820"/>
      <c r="C434" s="148"/>
      <c r="D434" s="15"/>
      <c r="E434" s="15"/>
      <c r="F434" s="15"/>
      <c r="G434" s="80"/>
      <c r="H434" s="800"/>
      <c r="I434" s="13"/>
      <c r="J434" s="13"/>
    </row>
    <row r="435" spans="1:16" x14ac:dyDescent="0.2">
      <c r="A435" s="149"/>
      <c r="B435" s="823"/>
      <c r="C435" s="75" t="s">
        <v>335</v>
      </c>
      <c r="D435" s="150">
        <f>IF(B421+B422+B424+B426+B427+B429+B430+B431+B432,N138,N139)</f>
        <v>0</v>
      </c>
      <c r="E435" s="77">
        <f>D435*prices!F807</f>
        <v>0</v>
      </c>
      <c r="F435" s="77"/>
      <c r="G435" s="101"/>
      <c r="H435" s="808"/>
      <c r="I435" s="13"/>
      <c r="J435" s="13"/>
    </row>
    <row r="436" spans="1:16" x14ac:dyDescent="0.2">
      <c r="A436" s="22"/>
      <c r="B436" s="825">
        <f>(B440+B441+B442+B443)*9</f>
        <v>0</v>
      </c>
      <c r="C436" s="39" t="s">
        <v>336</v>
      </c>
      <c r="D436" s="15">
        <f>prices!F769</f>
        <v>0.48</v>
      </c>
      <c r="E436" s="15">
        <f>D436*B436</f>
        <v>0</v>
      </c>
      <c r="F436" s="15"/>
      <c r="G436" s="15"/>
      <c r="H436" s="800"/>
      <c r="I436" s="13"/>
      <c r="J436" s="13"/>
    </row>
    <row r="437" spans="1:16" x14ac:dyDescent="0.2">
      <c r="A437" s="22"/>
      <c r="B437" s="378"/>
      <c r="C437" s="39"/>
      <c r="D437" s="15"/>
      <c r="E437" s="15"/>
      <c r="F437" s="15"/>
      <c r="G437" s="15"/>
      <c r="H437" s="800"/>
      <c r="I437" s="13"/>
      <c r="J437" s="13"/>
    </row>
    <row r="438" spans="1:16" x14ac:dyDescent="0.2">
      <c r="A438" s="22"/>
      <c r="B438" s="378"/>
      <c r="C438" s="69" t="s">
        <v>337</v>
      </c>
      <c r="D438" s="15"/>
      <c r="E438" s="15"/>
      <c r="F438" s="15"/>
      <c r="G438" s="15"/>
      <c r="H438" s="800"/>
      <c r="I438" s="13"/>
      <c r="J438" s="13"/>
    </row>
    <row r="439" spans="1:16" x14ac:dyDescent="0.2">
      <c r="A439" s="22"/>
      <c r="B439" s="820"/>
      <c r="C439" s="39" t="s">
        <v>338</v>
      </c>
      <c r="D439" s="15"/>
      <c r="E439" s="15"/>
      <c r="F439" s="15"/>
      <c r="G439" s="80">
        <f>prices!F1098*B439</f>
        <v>0</v>
      </c>
      <c r="H439" s="800">
        <v>0</v>
      </c>
      <c r="I439" s="13"/>
      <c r="J439" s="13"/>
    </row>
    <row r="440" spans="1:16" x14ac:dyDescent="0.2">
      <c r="A440" s="22"/>
      <c r="B440" s="820"/>
      <c r="C440" s="142" t="s">
        <v>339</v>
      </c>
      <c r="D440" s="15">
        <f>prices!F1091</f>
        <v>56.666666666666671</v>
      </c>
      <c r="E440" s="15"/>
      <c r="F440" s="15"/>
      <c r="G440" s="80">
        <f>prices!F1091*Quotation!B440</f>
        <v>0</v>
      </c>
      <c r="H440" s="800"/>
      <c r="I440" s="13"/>
      <c r="J440" s="13"/>
    </row>
    <row r="441" spans="1:16" x14ac:dyDescent="0.2">
      <c r="A441" s="22"/>
      <c r="B441" s="820"/>
      <c r="C441" s="73" t="s">
        <v>340</v>
      </c>
      <c r="D441" s="15">
        <f>prices!F1092</f>
        <v>56.666666666666671</v>
      </c>
      <c r="E441" s="15"/>
      <c r="F441" s="15"/>
      <c r="G441" s="80">
        <f>prices!F1092*B441</f>
        <v>0</v>
      </c>
      <c r="H441" s="800"/>
      <c r="I441" s="13"/>
      <c r="J441" s="13"/>
    </row>
    <row r="442" spans="1:16" x14ac:dyDescent="0.2">
      <c r="A442" s="22"/>
      <c r="B442" s="820"/>
      <c r="C442" s="73" t="s">
        <v>341</v>
      </c>
      <c r="D442" s="15">
        <f>prices!F1093</f>
        <v>68</v>
      </c>
      <c r="E442" s="15"/>
      <c r="F442" s="15"/>
      <c r="G442" s="80">
        <f>prices!F1093*Quotation!B442</f>
        <v>0</v>
      </c>
      <c r="H442" s="800"/>
      <c r="I442" s="13"/>
      <c r="J442" s="13"/>
    </row>
    <row r="443" spans="1:16" x14ac:dyDescent="0.2">
      <c r="A443" s="22"/>
      <c r="B443" s="820"/>
      <c r="C443" s="73" t="s">
        <v>342</v>
      </c>
      <c r="D443" s="15">
        <f>prices!F1094</f>
        <v>85</v>
      </c>
      <c r="E443" s="15"/>
      <c r="F443" s="15"/>
      <c r="G443" s="80">
        <f>prices!F1094*Quotation!B443</f>
        <v>0</v>
      </c>
      <c r="H443" s="800"/>
      <c r="I443" s="13"/>
      <c r="J443" s="13"/>
    </row>
    <row r="444" spans="1:16" x14ac:dyDescent="0.2">
      <c r="A444" s="22"/>
      <c r="B444" s="820"/>
      <c r="C444" s="52" t="s">
        <v>343</v>
      </c>
      <c r="D444" s="15"/>
      <c r="E444" s="15"/>
      <c r="F444" s="15"/>
      <c r="G444" s="80"/>
      <c r="H444" s="800"/>
      <c r="I444" s="13"/>
      <c r="J444" s="13"/>
    </row>
    <row r="445" spans="1:16" x14ac:dyDescent="0.2">
      <c r="A445" s="22"/>
      <c r="B445" s="822"/>
      <c r="C445" s="151" t="s">
        <v>344</v>
      </c>
      <c r="D445" s="15">
        <f>prices!F676</f>
        <v>205.02399999999997</v>
      </c>
      <c r="E445" s="15">
        <f>D445*B445</f>
        <v>0</v>
      </c>
      <c r="F445" s="15"/>
      <c r="G445" s="109">
        <f>prices!F1103*Quotation!B445*15</f>
        <v>0</v>
      </c>
      <c r="H445" s="800"/>
      <c r="I445" s="13"/>
      <c r="J445" s="13"/>
    </row>
    <row r="446" spans="1:16" ht="13.5" thickBot="1" x14ac:dyDescent="0.25">
      <c r="A446" s="22"/>
      <c r="B446" s="829"/>
      <c r="C446" s="151" t="s">
        <v>345</v>
      </c>
      <c r="D446" s="97">
        <f>prices!F678</f>
        <v>267.87199999999996</v>
      </c>
      <c r="E446" s="97">
        <f>D446*B446</f>
        <v>0</v>
      </c>
      <c r="F446" s="97"/>
      <c r="G446" s="109">
        <f>prices!F1103*Quotation!B446*15</f>
        <v>0</v>
      </c>
      <c r="H446" s="810"/>
      <c r="I446" s="13"/>
      <c r="J446" s="13"/>
    </row>
    <row r="447" spans="1:16" ht="13.5" thickTop="1" x14ac:dyDescent="0.2">
      <c r="A447" s="9"/>
      <c r="B447" s="830"/>
      <c r="C447" s="831" t="str">
        <f>prices!B709</f>
        <v>Tiled Roofs</v>
      </c>
      <c r="D447" s="453"/>
      <c r="E447" s="453"/>
      <c r="F447" s="453"/>
      <c r="G447" s="453"/>
      <c r="H447" s="832"/>
      <c r="I447" s="2"/>
      <c r="J447" s="2"/>
      <c r="K447" s="2"/>
      <c r="L447" s="2"/>
      <c r="M447" s="2"/>
      <c r="O447" s="58">
        <f>B460</f>
        <v>0</v>
      </c>
      <c r="P447" s="58">
        <f>SUM(B449:B453)</f>
        <v>0</v>
      </c>
    </row>
    <row r="448" spans="1:16" x14ac:dyDescent="0.2">
      <c r="A448" s="9"/>
      <c r="B448" s="822"/>
      <c r="C448" s="52" t="str">
        <f>prices!B710</f>
        <v>Tiled roofing (Tiles and Install only) m2</v>
      </c>
      <c r="D448" s="15"/>
      <c r="E448" s="15"/>
      <c r="F448" s="15"/>
      <c r="G448" s="15"/>
      <c r="H448" s="800"/>
      <c r="I448" s="2"/>
      <c r="J448" s="2"/>
      <c r="K448" s="2"/>
      <c r="L448" s="2"/>
      <c r="M448" s="2"/>
      <c r="N448" s="8" t="s">
        <v>346</v>
      </c>
      <c r="O448" s="58" t="s">
        <v>347</v>
      </c>
    </row>
    <row r="449" spans="1:16" x14ac:dyDescent="0.2">
      <c r="A449" s="9"/>
      <c r="B449" s="820">
        <v>0</v>
      </c>
      <c r="C449" s="39" t="str">
        <f>prices!B711</f>
        <v>Concrete Tiles (Prestige Shingle)</v>
      </c>
      <c r="D449" s="15">
        <f>prices!F711</f>
        <v>176</v>
      </c>
      <c r="E449" s="15">
        <f>D449*O449</f>
        <v>0</v>
      </c>
      <c r="F449" s="15"/>
      <c r="G449" s="15"/>
      <c r="H449" s="800"/>
      <c r="I449" s="2"/>
      <c r="J449" s="2"/>
      <c r="K449" s="2"/>
      <c r="L449" s="2"/>
      <c r="M449" s="2"/>
      <c r="N449" s="152">
        <f>IF(B449,1,0)</f>
        <v>0</v>
      </c>
      <c r="O449" s="58">
        <f>IF(B449&lt;0.1,0,P449)</f>
        <v>0</v>
      </c>
      <c r="P449" s="58">
        <f>IF(P447&lt;prices!C724,prices!C724,B449)</f>
        <v>30</v>
      </c>
    </row>
    <row r="450" spans="1:16" x14ac:dyDescent="0.2">
      <c r="A450" s="9"/>
      <c r="B450" s="820">
        <v>0</v>
      </c>
      <c r="C450" s="39" t="str">
        <f>prices!B712</f>
        <v>Concrete Tiles (Traditional)</v>
      </c>
      <c r="D450" s="15">
        <f>prices!F712</f>
        <v>176</v>
      </c>
      <c r="E450" s="15">
        <f t="shared" ref="E450:E453" si="16">D450*O450</f>
        <v>0</v>
      </c>
      <c r="F450" s="15"/>
      <c r="G450" s="15"/>
      <c r="H450" s="800"/>
      <c r="I450" s="2"/>
      <c r="J450" s="2"/>
      <c r="K450" s="2"/>
      <c r="L450" s="2"/>
      <c r="M450" s="2"/>
      <c r="N450" s="152">
        <f t="shared" ref="N450:N462" si="17">IF(B450,1,0)</f>
        <v>0</v>
      </c>
      <c r="O450" s="58">
        <f t="shared" ref="O450:O453" si="18">IF(B450&lt;0.1,0,P450)</f>
        <v>0</v>
      </c>
      <c r="P450" s="58">
        <f>IF(P447&lt;prices!C724,prices!C724,B450)</f>
        <v>30</v>
      </c>
    </row>
    <row r="451" spans="1:16" x14ac:dyDescent="0.2">
      <c r="A451" s="9"/>
      <c r="B451" s="820">
        <v>0</v>
      </c>
      <c r="C451" s="39" t="str">
        <f>prices!B713</f>
        <v>Teracotta Tiles (Marseille Unglazed)</v>
      </c>
      <c r="D451" s="15">
        <f>prices!F713</f>
        <v>176</v>
      </c>
      <c r="E451" s="15">
        <f t="shared" si="16"/>
        <v>0</v>
      </c>
      <c r="F451" s="15"/>
      <c r="G451" s="15"/>
      <c r="H451" s="800"/>
      <c r="I451" s="2"/>
      <c r="J451" s="2"/>
      <c r="K451" s="2"/>
      <c r="L451" s="2"/>
      <c r="M451" s="2"/>
      <c r="N451" s="152">
        <f t="shared" si="17"/>
        <v>0</v>
      </c>
      <c r="O451" s="58">
        <f t="shared" si="18"/>
        <v>0</v>
      </c>
      <c r="P451" s="58">
        <f>IF(P447&lt;prices!C724,prices!C724,B451)</f>
        <v>30</v>
      </c>
    </row>
    <row r="452" spans="1:16" x14ac:dyDescent="0.2">
      <c r="A452" s="9"/>
      <c r="B452" s="820">
        <v>0</v>
      </c>
      <c r="C452" s="39" t="str">
        <f>prices!B714</f>
        <v>Teracotta Tiles (Glazed)</v>
      </c>
      <c r="D452" s="15">
        <f>prices!F714</f>
        <v>176</v>
      </c>
      <c r="E452" s="15">
        <f t="shared" si="16"/>
        <v>0</v>
      </c>
      <c r="F452" s="15"/>
      <c r="G452" s="15"/>
      <c r="H452" s="800"/>
      <c r="I452" s="2"/>
      <c r="J452" s="2"/>
      <c r="K452" s="2"/>
      <c r="L452" s="2"/>
      <c r="M452" s="2"/>
      <c r="N452" s="152">
        <f t="shared" si="17"/>
        <v>0</v>
      </c>
      <c r="O452" s="58">
        <f t="shared" si="18"/>
        <v>0</v>
      </c>
      <c r="P452" s="58">
        <f>IF(P447&lt;prices!C724,prices!C724,B452)</f>
        <v>30</v>
      </c>
    </row>
    <row r="453" spans="1:16" x14ac:dyDescent="0.2">
      <c r="A453" s="9"/>
      <c r="B453" s="820">
        <v>0</v>
      </c>
      <c r="C453" s="39">
        <f>prices!B715</f>
        <v>0</v>
      </c>
      <c r="D453" s="15">
        <f>prices!F715</f>
        <v>0</v>
      </c>
      <c r="E453" s="15">
        <f t="shared" si="16"/>
        <v>0</v>
      </c>
      <c r="F453" s="15"/>
      <c r="G453" s="15"/>
      <c r="H453" s="800"/>
      <c r="I453" s="2"/>
      <c r="J453" s="2"/>
      <c r="K453" s="2"/>
      <c r="L453" s="2"/>
      <c r="M453" s="2"/>
      <c r="N453" s="152">
        <f t="shared" si="17"/>
        <v>0</v>
      </c>
      <c r="O453" s="58">
        <f t="shared" si="18"/>
        <v>0</v>
      </c>
      <c r="P453" s="58">
        <f>IF(P447&lt;prices!C724,prices!C724,B453)</f>
        <v>30</v>
      </c>
    </row>
    <row r="454" spans="1:16" x14ac:dyDescent="0.2">
      <c r="A454" s="9"/>
      <c r="B454" s="820"/>
      <c r="C454" s="52" t="str">
        <f>prices!B716</f>
        <v>Tiled Roofing Extras Per lm</v>
      </c>
      <c r="D454" s="15">
        <f>prices!F716</f>
        <v>0</v>
      </c>
      <c r="E454" s="15"/>
      <c r="F454" s="15"/>
      <c r="G454" s="15"/>
      <c r="H454" s="800"/>
      <c r="I454" s="2"/>
      <c r="J454" s="2"/>
      <c r="K454" s="2"/>
      <c r="L454" s="2"/>
      <c r="M454" s="2"/>
      <c r="N454" s="152">
        <f t="shared" si="17"/>
        <v>0</v>
      </c>
    </row>
    <row r="455" spans="1:16" x14ac:dyDescent="0.2">
      <c r="A455" s="9"/>
      <c r="B455" s="820">
        <v>0</v>
      </c>
      <c r="C455" s="39" t="str">
        <f>prices!B717</f>
        <v>Ridges</v>
      </c>
      <c r="D455" s="15">
        <f>prices!F717</f>
        <v>35.200000000000003</v>
      </c>
      <c r="E455" s="15">
        <f>D455*B455</f>
        <v>0</v>
      </c>
      <c r="F455" s="15"/>
      <c r="G455" s="15"/>
      <c r="H455" s="800"/>
      <c r="I455" s="2"/>
      <c r="J455" s="2"/>
      <c r="K455" s="2"/>
      <c r="L455" s="2"/>
      <c r="M455" s="2"/>
      <c r="N455" s="152">
        <f t="shared" si="17"/>
        <v>0</v>
      </c>
    </row>
    <row r="456" spans="1:16" x14ac:dyDescent="0.2">
      <c r="A456" s="9"/>
      <c r="B456" s="820">
        <v>0</v>
      </c>
      <c r="C456" s="39" t="str">
        <f>prices!B718</f>
        <v>Hips</v>
      </c>
      <c r="D456" s="15">
        <f>prices!F718</f>
        <v>44.8</v>
      </c>
      <c r="E456" s="15">
        <f t="shared" ref="E456:E459" si="19">D456*B456</f>
        <v>0</v>
      </c>
      <c r="F456" s="15"/>
      <c r="G456" s="15"/>
      <c r="H456" s="800"/>
      <c r="I456" s="2"/>
      <c r="J456" s="2"/>
      <c r="K456" s="2"/>
      <c r="L456" s="2"/>
      <c r="M456" s="2"/>
      <c r="N456" s="152">
        <f t="shared" si="17"/>
        <v>0</v>
      </c>
    </row>
    <row r="457" spans="1:16" x14ac:dyDescent="0.2">
      <c r="A457" s="9"/>
      <c r="B457" s="820">
        <v>0</v>
      </c>
      <c r="C457" s="39" t="str">
        <f>prices!B719</f>
        <v>Valley</v>
      </c>
      <c r="D457" s="15">
        <f>prices!F719</f>
        <v>35.200000000000003</v>
      </c>
      <c r="E457" s="15">
        <f t="shared" si="19"/>
        <v>0</v>
      </c>
      <c r="F457" s="15"/>
      <c r="G457" s="15"/>
      <c r="H457" s="800"/>
      <c r="I457" s="2"/>
      <c r="J457" s="2"/>
      <c r="K457" s="2"/>
      <c r="L457" s="2"/>
      <c r="M457" s="2"/>
      <c r="N457" s="152">
        <f t="shared" si="17"/>
        <v>0</v>
      </c>
    </row>
    <row r="458" spans="1:16" x14ac:dyDescent="0.2">
      <c r="A458" s="9"/>
      <c r="B458" s="820">
        <v>0</v>
      </c>
      <c r="C458" s="39" t="str">
        <f>prices!B720</f>
        <v>Gable Bed &amp; Point</v>
      </c>
      <c r="D458" s="15">
        <f>prices!F720</f>
        <v>35.200000000000003</v>
      </c>
      <c r="E458" s="15">
        <f t="shared" si="19"/>
        <v>0</v>
      </c>
      <c r="F458" s="15"/>
      <c r="G458" s="15"/>
      <c r="H458" s="800"/>
      <c r="I458" s="2"/>
      <c r="J458" s="2"/>
      <c r="K458" s="2"/>
      <c r="L458" s="2"/>
      <c r="M458" s="2"/>
      <c r="N458" s="152">
        <f t="shared" si="17"/>
        <v>0</v>
      </c>
    </row>
    <row r="459" spans="1:16" x14ac:dyDescent="0.2">
      <c r="A459" s="9"/>
      <c r="B459" s="820">
        <v>0</v>
      </c>
      <c r="C459" s="39" t="str">
        <f>prices!B721</f>
        <v>Extra for tie in to existing roof Labour (Each)</v>
      </c>
      <c r="D459" s="15">
        <f>prices!F721</f>
        <v>720</v>
      </c>
      <c r="E459" s="15">
        <f t="shared" si="19"/>
        <v>0</v>
      </c>
      <c r="F459" s="15"/>
      <c r="G459" s="15"/>
      <c r="H459" s="800"/>
      <c r="I459" s="2"/>
      <c r="J459" s="2"/>
      <c r="K459" s="2"/>
      <c r="L459" s="2"/>
      <c r="M459" s="2"/>
      <c r="N459" s="152">
        <f t="shared" si="17"/>
        <v>0</v>
      </c>
    </row>
    <row r="460" spans="1:16" x14ac:dyDescent="0.2">
      <c r="A460" s="9"/>
      <c r="B460" s="820">
        <v>0</v>
      </c>
      <c r="C460" s="39" t="str">
        <f>prices!B722</f>
        <v>S.T.D Safety Handrail 20 lm Minimum Hire</v>
      </c>
      <c r="D460" s="15">
        <f>prices!F722</f>
        <v>24</v>
      </c>
      <c r="E460" s="15">
        <f>IF(B460&lt;0.1,0,D460*P460)</f>
        <v>0</v>
      </c>
      <c r="F460" s="15"/>
      <c r="G460" s="15"/>
      <c r="H460" s="800"/>
      <c r="I460" s="2"/>
      <c r="J460" s="2"/>
      <c r="K460" s="2"/>
      <c r="L460" s="2"/>
      <c r="M460" s="2"/>
      <c r="N460" s="152">
        <f t="shared" si="17"/>
        <v>0</v>
      </c>
      <c r="O460" s="58">
        <f>IF(B460&lt;0.1,O447,O447)</f>
        <v>0</v>
      </c>
      <c r="P460" s="58">
        <f>IF(O447&lt;prices!D724,prices!D724,B460)</f>
        <v>20</v>
      </c>
    </row>
    <row r="461" spans="1:16" x14ac:dyDescent="0.2">
      <c r="A461" s="9"/>
      <c r="B461" s="833">
        <f>IF(N463&gt;0.1,1,0)</f>
        <v>0</v>
      </c>
      <c r="C461" s="39" t="str">
        <f>prices!B723</f>
        <v>Delivery of sand in trailer for cleanliness</v>
      </c>
      <c r="D461" s="15">
        <f>prices!F723</f>
        <v>240</v>
      </c>
      <c r="E461" s="15">
        <f>D461*B461</f>
        <v>0</v>
      </c>
      <c r="F461" s="15"/>
      <c r="G461" s="15"/>
      <c r="H461" s="800"/>
      <c r="I461" s="2"/>
      <c r="J461" s="2"/>
      <c r="K461" s="2"/>
      <c r="L461" s="2"/>
      <c r="M461" s="2"/>
      <c r="N461" s="152">
        <f t="shared" si="17"/>
        <v>0</v>
      </c>
    </row>
    <row r="462" spans="1:16" ht="13.5" thickBot="1" x14ac:dyDescent="0.25">
      <c r="A462" s="9"/>
      <c r="B462" s="834"/>
      <c r="C462" s="835"/>
      <c r="D462" s="457"/>
      <c r="E462" s="457"/>
      <c r="F462" s="457"/>
      <c r="G462" s="457"/>
      <c r="H462" s="836"/>
      <c r="I462" s="2"/>
      <c r="J462" s="2"/>
      <c r="K462" s="2"/>
      <c r="L462" s="2"/>
      <c r="M462" s="2"/>
      <c r="N462" s="152">
        <f t="shared" si="17"/>
        <v>0</v>
      </c>
    </row>
    <row r="463" spans="1:16" ht="13.5" thickTop="1" x14ac:dyDescent="0.2">
      <c r="A463" s="22"/>
      <c r="B463" s="837"/>
      <c r="C463" s="153"/>
      <c r="D463" s="154"/>
      <c r="E463" s="154"/>
      <c r="F463" s="154"/>
      <c r="G463" s="154"/>
      <c r="H463" s="838"/>
      <c r="I463" s="13"/>
      <c r="J463" s="13"/>
      <c r="N463" s="156">
        <f>SUM(N449:N460)</f>
        <v>0</v>
      </c>
    </row>
    <row r="464" spans="1:16" x14ac:dyDescent="0.2">
      <c r="A464" s="22"/>
      <c r="B464" s="822"/>
      <c r="C464" s="63" t="s">
        <v>348</v>
      </c>
      <c r="D464" s="15"/>
      <c r="E464" s="15"/>
      <c r="F464" s="15"/>
      <c r="G464" s="15"/>
      <c r="H464" s="800"/>
      <c r="I464" s="13"/>
      <c r="J464" s="13"/>
    </row>
    <row r="465" spans="1:16" x14ac:dyDescent="0.2">
      <c r="A465" s="22"/>
      <c r="B465" s="822"/>
      <c r="C465" s="39"/>
      <c r="D465" s="15"/>
      <c r="E465" s="15"/>
      <c r="F465" s="15"/>
      <c r="G465" s="15"/>
      <c r="H465" s="800"/>
      <c r="I465" s="13"/>
      <c r="J465" s="13"/>
    </row>
    <row r="466" spans="1:16" x14ac:dyDescent="0.2">
      <c r="A466" s="65"/>
      <c r="B466" s="820"/>
      <c r="C466" s="39" t="s">
        <v>349</v>
      </c>
      <c r="D466" s="15">
        <f>prices!F816+prices!F818*2</f>
        <v>22.175999999999998</v>
      </c>
      <c r="E466" s="15">
        <f>D466*B466</f>
        <v>0</v>
      </c>
      <c r="F466" s="61">
        <f>prices!F1201*1.8*Quotation!B466</f>
        <v>0</v>
      </c>
      <c r="G466" s="15"/>
      <c r="H466" s="800"/>
      <c r="I466" s="13"/>
      <c r="J466" s="13"/>
    </row>
    <row r="467" spans="1:16" x14ac:dyDescent="0.2">
      <c r="A467" s="65"/>
      <c r="B467" s="820"/>
      <c r="C467" s="39" t="s">
        <v>350</v>
      </c>
      <c r="D467" s="15">
        <f>prices!F817+prices!F818*2</f>
        <v>25.375999999999998</v>
      </c>
      <c r="E467" s="15">
        <f>D467*B467</f>
        <v>0</v>
      </c>
      <c r="F467" s="61">
        <f>prices!F1201*3.6*Quotation!B467</f>
        <v>0</v>
      </c>
      <c r="G467" s="15"/>
      <c r="H467" s="800"/>
      <c r="I467" s="13"/>
      <c r="J467" s="13"/>
    </row>
    <row r="468" spans="1:16" x14ac:dyDescent="0.2">
      <c r="A468" s="22"/>
      <c r="B468" s="820"/>
      <c r="C468" s="39"/>
      <c r="D468" s="15"/>
      <c r="E468" s="15"/>
      <c r="F468" s="61"/>
      <c r="G468" s="15"/>
      <c r="H468" s="800"/>
      <c r="I468" s="13"/>
      <c r="J468" s="13"/>
    </row>
    <row r="469" spans="1:16" x14ac:dyDescent="0.2">
      <c r="A469" s="22"/>
      <c r="B469" s="822"/>
      <c r="C469" s="39"/>
      <c r="D469" s="15"/>
      <c r="E469" s="15"/>
      <c r="F469" s="61"/>
      <c r="G469" s="15"/>
      <c r="H469" s="800"/>
      <c r="I469" s="13"/>
      <c r="J469" s="13"/>
    </row>
    <row r="470" spans="1:16" x14ac:dyDescent="0.2">
      <c r="A470" s="22"/>
      <c r="B470" s="822"/>
      <c r="C470" s="63" t="s">
        <v>351</v>
      </c>
      <c r="D470" s="15"/>
      <c r="E470" s="15"/>
      <c r="F470" s="61"/>
      <c r="G470" s="15"/>
      <c r="H470" s="800"/>
      <c r="I470" s="13"/>
      <c r="J470" s="13"/>
    </row>
    <row r="471" spans="1:16" x14ac:dyDescent="0.2">
      <c r="A471" s="22"/>
      <c r="B471" s="822"/>
      <c r="C471" s="39"/>
      <c r="D471" s="15"/>
      <c r="E471" s="15"/>
      <c r="F471" s="61"/>
      <c r="G471" s="15"/>
      <c r="H471" s="800"/>
      <c r="I471" s="13"/>
      <c r="J471" s="13"/>
      <c r="O471" s="105"/>
      <c r="P471" s="105"/>
    </row>
    <row r="472" spans="1:16" x14ac:dyDescent="0.2">
      <c r="A472" s="65"/>
      <c r="B472" s="801"/>
      <c r="C472" s="39" t="s">
        <v>352</v>
      </c>
      <c r="D472" s="15">
        <f>prices!F317</f>
        <v>4.3680000000000003</v>
      </c>
      <c r="E472" s="15">
        <f>D472*B472</f>
        <v>0</v>
      </c>
      <c r="F472" s="61">
        <f>prices!F1202*B472</f>
        <v>0</v>
      </c>
      <c r="G472" s="15"/>
      <c r="H472" s="800"/>
      <c r="I472" s="13"/>
      <c r="J472" s="13"/>
      <c r="O472" s="105">
        <f>D473*B473</f>
        <v>0</v>
      </c>
      <c r="P472" s="105">
        <f>prices!F294*Quotation!B473</f>
        <v>0</v>
      </c>
    </row>
    <row r="473" spans="1:16" x14ac:dyDescent="0.2">
      <c r="A473" s="67"/>
      <c r="B473" s="820">
        <v>0</v>
      </c>
      <c r="C473" s="39" t="s">
        <v>353</v>
      </c>
      <c r="D473" s="15">
        <f>prices!F205</f>
        <v>16.64</v>
      </c>
      <c r="E473" s="15">
        <f>D473*B473</f>
        <v>0</v>
      </c>
      <c r="F473" s="61">
        <f>prices!F1202*B473</f>
        <v>0</v>
      </c>
      <c r="G473" s="15"/>
      <c r="H473" s="800"/>
      <c r="I473" s="13"/>
      <c r="J473" s="13"/>
    </row>
    <row r="474" spans="1:16" x14ac:dyDescent="0.2">
      <c r="A474" s="65"/>
      <c r="B474" s="820"/>
      <c r="C474" s="39" t="s">
        <v>354</v>
      </c>
      <c r="D474" s="15">
        <f>prices!F322</f>
        <v>9.92</v>
      </c>
      <c r="E474" s="15">
        <f>D474*B474</f>
        <v>0</v>
      </c>
      <c r="F474" s="61">
        <f>prices!F1202*B474</f>
        <v>0</v>
      </c>
      <c r="G474" s="15"/>
      <c r="H474" s="800"/>
      <c r="I474" s="13"/>
      <c r="J474" s="13"/>
    </row>
    <row r="475" spans="1:16" x14ac:dyDescent="0.2">
      <c r="A475" s="139"/>
      <c r="B475" s="822"/>
      <c r="C475" s="39"/>
      <c r="D475" s="15"/>
      <c r="E475" s="15"/>
      <c r="F475" s="61"/>
      <c r="G475" s="15"/>
      <c r="H475" s="800"/>
      <c r="I475" s="13"/>
      <c r="J475" s="13"/>
    </row>
    <row r="476" spans="1:16" x14ac:dyDescent="0.2">
      <c r="A476" s="22"/>
      <c r="B476" s="822"/>
      <c r="C476" s="64" t="s">
        <v>355</v>
      </c>
      <c r="D476" s="15"/>
      <c r="E476" s="15"/>
      <c r="F476" s="15"/>
      <c r="G476" s="15"/>
      <c r="H476" s="800"/>
      <c r="I476" s="13"/>
      <c r="J476" s="13"/>
    </row>
    <row r="477" spans="1:16" ht="13.5" thickBot="1" x14ac:dyDescent="0.25">
      <c r="A477" s="22"/>
      <c r="B477" s="822"/>
      <c r="C477" s="39"/>
      <c r="D477" s="15"/>
      <c r="E477" s="15"/>
      <c r="F477" s="15"/>
      <c r="G477" s="15"/>
      <c r="H477" s="800"/>
      <c r="I477" s="13"/>
      <c r="J477" s="13"/>
    </row>
    <row r="478" spans="1:16" ht="13.5" thickTop="1" x14ac:dyDescent="0.2">
      <c r="A478" s="22"/>
      <c r="B478" s="839">
        <v>1</v>
      </c>
      <c r="C478" s="59" t="s">
        <v>356</v>
      </c>
      <c r="D478" s="15">
        <f>prices!F806</f>
        <v>192</v>
      </c>
      <c r="E478" s="15">
        <f>D478*B478</f>
        <v>192</v>
      </c>
      <c r="F478" s="15"/>
      <c r="G478" s="15"/>
      <c r="H478" s="800"/>
      <c r="I478" s="13"/>
      <c r="J478" s="13"/>
    </row>
    <row r="479" spans="1:16" x14ac:dyDescent="0.2">
      <c r="A479" s="22"/>
      <c r="B479" s="840">
        <v>1</v>
      </c>
      <c r="C479" s="59" t="s">
        <v>357</v>
      </c>
      <c r="D479" s="15">
        <f>prices!F1433</f>
        <v>240</v>
      </c>
      <c r="E479" s="15">
        <f>D479*B479</f>
        <v>240</v>
      </c>
      <c r="F479" s="15"/>
      <c r="G479" s="15"/>
      <c r="H479" s="800"/>
      <c r="I479" s="13"/>
      <c r="J479" s="13"/>
    </row>
    <row r="480" spans="1:16" ht="13.5" thickBot="1" x14ac:dyDescent="0.25">
      <c r="A480" s="9"/>
      <c r="B480" s="841">
        <v>1</v>
      </c>
      <c r="C480" s="59" t="s">
        <v>358</v>
      </c>
      <c r="D480" s="15">
        <f>prices!F1136</f>
        <v>64</v>
      </c>
      <c r="E480" s="15"/>
      <c r="F480" s="15"/>
      <c r="G480" s="80">
        <f>D480*B480</f>
        <v>64</v>
      </c>
      <c r="H480" s="800"/>
      <c r="I480" s="13"/>
      <c r="J480" s="13"/>
    </row>
    <row r="481" spans="1:14" ht="13.5" thickTop="1" x14ac:dyDescent="0.2">
      <c r="A481" s="22"/>
      <c r="B481" s="822"/>
      <c r="C481" s="39"/>
      <c r="D481" s="15"/>
      <c r="E481" s="15"/>
      <c r="F481" s="15"/>
      <c r="G481" s="15"/>
      <c r="H481" s="800"/>
      <c r="I481" s="13"/>
      <c r="J481" s="13"/>
    </row>
    <row r="482" spans="1:14" x14ac:dyDescent="0.2">
      <c r="A482" s="22"/>
      <c r="B482" s="822"/>
      <c r="C482" s="63" t="s">
        <v>359</v>
      </c>
      <c r="D482" s="15"/>
      <c r="E482" s="15"/>
      <c r="F482" s="15"/>
      <c r="G482" s="15"/>
      <c r="H482" s="800"/>
      <c r="I482" s="13"/>
      <c r="J482" s="13"/>
    </row>
    <row r="483" spans="1:14" x14ac:dyDescent="0.2">
      <c r="A483" s="22"/>
      <c r="B483" s="822"/>
      <c r="C483" s="64"/>
      <c r="D483" s="15"/>
      <c r="E483" s="15"/>
      <c r="F483" s="15"/>
      <c r="G483" s="15"/>
      <c r="H483" s="800"/>
      <c r="I483" s="13"/>
      <c r="J483" s="13"/>
    </row>
    <row r="484" spans="1:14" x14ac:dyDescent="0.2">
      <c r="A484" s="65"/>
      <c r="B484" s="820"/>
      <c r="C484" s="39" t="s">
        <v>360</v>
      </c>
      <c r="D484" s="15">
        <f>prices!F202*2+prices!F207*5.4+prices!F754*12+prices!F767*2</f>
        <v>127.5872</v>
      </c>
      <c r="E484" s="15">
        <f t="shared" ref="E484:E489" si="20">D484*B484</f>
        <v>0</v>
      </c>
      <c r="F484" s="61">
        <f>prices!F1260*B484</f>
        <v>0</v>
      </c>
      <c r="G484" s="15"/>
      <c r="H484" s="800"/>
      <c r="I484" s="13"/>
      <c r="J484" s="13"/>
    </row>
    <row r="485" spans="1:14" x14ac:dyDescent="0.2">
      <c r="A485" s="65"/>
      <c r="B485" s="820"/>
      <c r="C485" s="39" t="s">
        <v>361</v>
      </c>
      <c r="D485" s="15">
        <f>prices!F836+prices!F837+prices!F753*2+prices!F754*12+prices!F881*5.4</f>
        <v>37.118837333333332</v>
      </c>
      <c r="E485" s="15">
        <f t="shared" si="20"/>
        <v>0</v>
      </c>
      <c r="F485" s="61">
        <f>prices!F1260*B485</f>
        <v>0</v>
      </c>
      <c r="G485" s="15"/>
      <c r="H485" s="800"/>
      <c r="I485" s="13"/>
      <c r="J485" s="13"/>
    </row>
    <row r="486" spans="1:14" x14ac:dyDescent="0.2">
      <c r="A486" s="65"/>
      <c r="B486" s="820"/>
      <c r="C486" s="39" t="s">
        <v>362</v>
      </c>
      <c r="D486" s="15">
        <f>prices!F836+prices!F838+prices!F754*2+prices!F755*12+prices!F839*5.4</f>
        <v>71.381269333333336</v>
      </c>
      <c r="E486" s="15">
        <f t="shared" si="20"/>
        <v>0</v>
      </c>
      <c r="F486" s="61">
        <f>prices!F1260*B486</f>
        <v>0</v>
      </c>
      <c r="G486" s="15"/>
      <c r="H486" s="800"/>
      <c r="I486" s="13"/>
      <c r="J486" s="13"/>
    </row>
    <row r="487" spans="1:14" x14ac:dyDescent="0.2">
      <c r="A487" s="65"/>
      <c r="B487" s="820"/>
      <c r="C487" s="39" t="s">
        <v>363</v>
      </c>
      <c r="D487" s="15">
        <f>prices!F836+prices!F837+prices!F753*2+prices!F754*12+prices!F881*5.4+prices!F840</f>
        <v>51.51883733333333</v>
      </c>
      <c r="E487" s="15">
        <f t="shared" si="20"/>
        <v>0</v>
      </c>
      <c r="F487" s="61">
        <f>prices!F1260*B487</f>
        <v>0</v>
      </c>
      <c r="G487" s="15"/>
      <c r="H487" s="800"/>
      <c r="I487" s="13"/>
      <c r="J487" s="13"/>
    </row>
    <row r="488" spans="1:14" x14ac:dyDescent="0.2">
      <c r="A488" s="22"/>
      <c r="B488" s="820"/>
      <c r="C488" s="39" t="s">
        <v>364</v>
      </c>
      <c r="D488" s="15">
        <f>prices!F831</f>
        <v>288</v>
      </c>
      <c r="E488" s="15">
        <f t="shared" si="20"/>
        <v>0</v>
      </c>
      <c r="F488" s="61">
        <f>prices!F1267*Quotation!B488</f>
        <v>0</v>
      </c>
      <c r="G488" s="15"/>
      <c r="H488" s="800"/>
      <c r="I488" s="13"/>
      <c r="J488" s="13"/>
    </row>
    <row r="489" spans="1:14" x14ac:dyDescent="0.2">
      <c r="A489" s="65"/>
      <c r="B489" s="820"/>
      <c r="C489" s="39" t="s">
        <v>365</v>
      </c>
      <c r="D489" s="15">
        <f>prices!F779</f>
        <v>136.72</v>
      </c>
      <c r="E489" s="15">
        <f t="shared" si="20"/>
        <v>0</v>
      </c>
      <c r="F489" s="61">
        <f>prices!F1270*B489</f>
        <v>0</v>
      </c>
      <c r="G489" s="15"/>
      <c r="H489" s="800"/>
      <c r="I489" s="13"/>
      <c r="J489" s="13"/>
    </row>
    <row r="490" spans="1:14" x14ac:dyDescent="0.2">
      <c r="A490" s="22"/>
      <c r="B490" s="822"/>
      <c r="C490" s="39"/>
      <c r="D490" s="15"/>
      <c r="E490" s="15"/>
      <c r="F490" s="61"/>
      <c r="G490" s="15"/>
      <c r="H490" s="800"/>
      <c r="I490" s="13"/>
      <c r="J490" s="13"/>
    </row>
    <row r="491" spans="1:14" x14ac:dyDescent="0.2">
      <c r="A491" s="22"/>
      <c r="B491" s="822"/>
      <c r="C491" s="63" t="s">
        <v>366</v>
      </c>
      <c r="D491" s="15"/>
      <c r="E491" s="15"/>
      <c r="F491" s="61"/>
      <c r="G491" s="15"/>
      <c r="H491" s="800"/>
      <c r="I491" s="13"/>
      <c r="J491" s="13"/>
    </row>
    <row r="492" spans="1:14" x14ac:dyDescent="0.2">
      <c r="A492" s="22"/>
      <c r="B492" s="820"/>
      <c r="C492" s="69" t="s">
        <v>43</v>
      </c>
      <c r="D492" s="15"/>
      <c r="E492" s="15"/>
      <c r="F492" s="61"/>
      <c r="G492" s="15"/>
      <c r="H492" s="800"/>
      <c r="I492" s="13"/>
      <c r="J492" s="13"/>
      <c r="L492" s="58" t="s">
        <v>367</v>
      </c>
      <c r="M492" s="58" t="s">
        <v>368</v>
      </c>
      <c r="N492" s="157" t="s">
        <v>369</v>
      </c>
    </row>
    <row r="493" spans="1:14" x14ac:dyDescent="0.2">
      <c r="A493" s="65"/>
      <c r="B493" s="820"/>
      <c r="C493" s="39" t="s">
        <v>370</v>
      </c>
      <c r="D493" s="15">
        <f>prices!F309+prices!F308+prices!F767*2+prices!F198*2+prices!F855*4</f>
        <v>122.8832</v>
      </c>
      <c r="E493" s="15">
        <f>D493*B493</f>
        <v>0</v>
      </c>
      <c r="F493" s="61">
        <f>(prices!F1263+prices!F1261*4)*B493</f>
        <v>0</v>
      </c>
      <c r="G493" s="15"/>
      <c r="H493" s="800"/>
      <c r="I493" s="13"/>
      <c r="J493" s="13"/>
      <c r="L493" s="58"/>
      <c r="M493" s="158"/>
      <c r="N493" s="157"/>
    </row>
    <row r="494" spans="1:14" x14ac:dyDescent="0.2">
      <c r="A494" s="65"/>
      <c r="B494" s="820"/>
      <c r="C494" s="39" t="s">
        <v>371</v>
      </c>
      <c r="D494" s="15">
        <f>prices!F309+prices!F308+prices!F767*2+prices!F198*2+prices!F855*10</f>
        <v>132.48320000000001</v>
      </c>
      <c r="E494" s="15">
        <f>D494*B494</f>
        <v>0</v>
      </c>
      <c r="F494" s="61">
        <f>(prices!F1263+prices!F1261*9)*B494</f>
        <v>0</v>
      </c>
      <c r="G494" s="15"/>
      <c r="H494" s="800"/>
      <c r="I494" s="13"/>
      <c r="J494" s="13"/>
      <c r="L494" s="157">
        <v>1</v>
      </c>
      <c r="M494" s="159"/>
      <c r="N494" s="157"/>
    </row>
    <row r="495" spans="1:14" x14ac:dyDescent="0.2">
      <c r="A495" s="1"/>
      <c r="B495" s="842"/>
      <c r="C495" s="39" t="s">
        <v>372</v>
      </c>
      <c r="D495" s="15">
        <f>prices!F308</f>
        <v>36.72</v>
      </c>
      <c r="E495" s="15">
        <f>D495*B495</f>
        <v>0</v>
      </c>
      <c r="F495" s="61">
        <f>prices!F1264*Quotation!B495</f>
        <v>0</v>
      </c>
      <c r="G495" s="15"/>
      <c r="H495" s="800"/>
      <c r="I495" s="13"/>
      <c r="J495" s="13"/>
      <c r="L495" s="157">
        <v>2</v>
      </c>
      <c r="M495" s="159">
        <v>10</v>
      </c>
      <c r="N495" s="157"/>
    </row>
    <row r="496" spans="1:14" x14ac:dyDescent="0.2">
      <c r="A496" s="1"/>
      <c r="B496" s="823">
        <v>10</v>
      </c>
      <c r="C496" s="39" t="s">
        <v>373</v>
      </c>
      <c r="D496" s="15">
        <f>prices!F850+(prices!F851*2)+(prices!F852*2)+(prices!F852*2)+(prices!F854*4)</f>
        <v>7.952</v>
      </c>
      <c r="F496" s="61"/>
      <c r="G496" s="15"/>
      <c r="H496" s="800"/>
      <c r="I496" s="13"/>
      <c r="J496" s="13"/>
      <c r="L496" s="157">
        <v>3</v>
      </c>
      <c r="M496" s="157"/>
      <c r="N496" s="157"/>
    </row>
    <row r="497" spans="1:14" x14ac:dyDescent="0.2">
      <c r="A497" s="1"/>
      <c r="B497" s="823"/>
      <c r="C497" s="39" t="s">
        <v>374</v>
      </c>
      <c r="D497" s="15"/>
      <c r="E497" s="15">
        <f>D496*B496*B497</f>
        <v>0</v>
      </c>
      <c r="F497" s="61">
        <f>prices!F1265*Quotation!B497</f>
        <v>0</v>
      </c>
      <c r="G497" s="15"/>
      <c r="H497" s="800"/>
      <c r="I497" s="13"/>
      <c r="J497" s="13"/>
      <c r="K497" s="3" t="s">
        <v>375</v>
      </c>
      <c r="L497" s="157">
        <v>4</v>
      </c>
      <c r="N497" s="157"/>
    </row>
    <row r="498" spans="1:14" x14ac:dyDescent="0.2">
      <c r="A498" s="160"/>
      <c r="B498" s="820"/>
      <c r="C498" s="43" t="s">
        <v>376</v>
      </c>
      <c r="D498" s="161">
        <f>K498</f>
        <v>63.040000000000006</v>
      </c>
      <c r="E498" s="15">
        <f>D498*B498</f>
        <v>0</v>
      </c>
      <c r="F498" s="61"/>
      <c r="G498" s="15"/>
      <c r="H498" s="800"/>
      <c r="I498" s="13"/>
      <c r="J498" s="13"/>
      <c r="K498" s="162">
        <f>(prices!F308+prices!F309)-(prices!F202+prices!F203)</f>
        <v>63.040000000000006</v>
      </c>
      <c r="L498" s="157">
        <v>4</v>
      </c>
      <c r="N498" s="157"/>
    </row>
    <row r="499" spans="1:14" x14ac:dyDescent="0.2">
      <c r="A499" s="160"/>
      <c r="B499" s="820"/>
      <c r="C499" s="39" t="s">
        <v>377</v>
      </c>
      <c r="D499" s="15">
        <f>K499</f>
        <v>-106.56</v>
      </c>
      <c r="E499" s="15">
        <f>D499*B499</f>
        <v>0</v>
      </c>
      <c r="F499" s="61"/>
      <c r="G499" s="15"/>
      <c r="H499" s="800"/>
      <c r="I499" s="13"/>
      <c r="J499" s="13"/>
      <c r="K499" s="162">
        <f>(prices!F335+prices!F336)-(prices!F308+prices!F309)</f>
        <v>-106.56</v>
      </c>
      <c r="L499" s="157">
        <v>5</v>
      </c>
      <c r="N499" s="157"/>
    </row>
    <row r="500" spans="1:14" x14ac:dyDescent="0.2">
      <c r="A500" s="160"/>
      <c r="B500" s="820"/>
      <c r="C500" s="39"/>
      <c r="D500" s="15">
        <f>prices!F1146*2</f>
        <v>512</v>
      </c>
      <c r="E500" s="15"/>
      <c r="F500" s="61">
        <f>IF(B493+B494&gt;0.1,D500,0)</f>
        <v>0</v>
      </c>
      <c r="G500" s="15"/>
      <c r="H500" s="800"/>
      <c r="I500" s="13"/>
      <c r="J500" s="13"/>
      <c r="K500" s="163"/>
      <c r="L500" s="157">
        <v>6</v>
      </c>
      <c r="N500" s="157"/>
    </row>
    <row r="501" spans="1:14" ht="13.5" hidden="1" customHeight="1" x14ac:dyDescent="0.2">
      <c r="A501" s="160"/>
      <c r="B501" s="820"/>
      <c r="C501" s="843" t="s">
        <v>378</v>
      </c>
      <c r="D501" s="15"/>
      <c r="E501" s="15"/>
      <c r="F501" s="61"/>
      <c r="G501" s="15"/>
      <c r="H501" s="800"/>
      <c r="I501" s="13"/>
      <c r="J501" s="13"/>
      <c r="K501" s="163"/>
      <c r="L501" s="157">
        <v>7</v>
      </c>
      <c r="N501" s="157"/>
    </row>
    <row r="502" spans="1:14" hidden="1" x14ac:dyDescent="0.2">
      <c r="A502" s="1"/>
      <c r="B502" s="820"/>
      <c r="C502" s="69" t="s">
        <v>379</v>
      </c>
      <c r="D502" s="15"/>
      <c r="E502" s="15"/>
      <c r="F502" s="61"/>
      <c r="G502" s="15"/>
      <c r="H502" s="800"/>
      <c r="I502" s="13"/>
      <c r="J502" s="13"/>
      <c r="L502" s="157">
        <v>8</v>
      </c>
      <c r="N502" s="157"/>
    </row>
    <row r="503" spans="1:14" hidden="1" x14ac:dyDescent="0.2">
      <c r="A503" s="1"/>
      <c r="B503" s="844"/>
      <c r="C503" s="39" t="s">
        <v>380</v>
      </c>
      <c r="D503" s="15">
        <f>prices!F858+prices!F855*4</f>
        <v>57.6</v>
      </c>
      <c r="E503" s="15">
        <f>D503*B503</f>
        <v>0</v>
      </c>
      <c r="F503" s="61">
        <f>(prices!F1263+prices!F1261*4)*Quotation!B503</f>
        <v>0</v>
      </c>
      <c r="G503" s="15"/>
      <c r="H503" s="800"/>
      <c r="I503" s="13"/>
      <c r="J503" s="13"/>
      <c r="L503" s="157">
        <v>9</v>
      </c>
    </row>
    <row r="504" spans="1:14" hidden="1" x14ac:dyDescent="0.2">
      <c r="A504" s="1"/>
      <c r="B504" s="844"/>
      <c r="C504" s="39" t="s">
        <v>381</v>
      </c>
      <c r="D504" s="15">
        <f>prices!F858+prices!F855*10</f>
        <v>67.2</v>
      </c>
      <c r="E504" s="15">
        <f>D504*B504</f>
        <v>0</v>
      </c>
      <c r="F504" s="61">
        <f>(prices!F1263+prices!F1261*8)*Quotation!B504</f>
        <v>0</v>
      </c>
      <c r="G504" s="15"/>
      <c r="H504" s="800"/>
      <c r="I504" s="13"/>
      <c r="J504" s="13"/>
      <c r="L504" s="157">
        <v>10</v>
      </c>
    </row>
    <row r="505" spans="1:14" hidden="1" x14ac:dyDescent="0.2">
      <c r="A505" s="1"/>
      <c r="B505" s="844"/>
      <c r="C505" s="39" t="s">
        <v>382</v>
      </c>
      <c r="D505" s="15">
        <f>prices!F861+prices!F864*3</f>
        <v>216.96</v>
      </c>
      <c r="E505" s="15">
        <f>D505*B505</f>
        <v>0</v>
      </c>
      <c r="F505" s="61">
        <f>prices!F1175*Quotation!B505</f>
        <v>0</v>
      </c>
      <c r="G505" s="15"/>
      <c r="H505" s="800"/>
      <c r="I505" s="13"/>
      <c r="J505" s="13"/>
      <c r="L505" s="157">
        <v>11</v>
      </c>
    </row>
    <row r="506" spans="1:14" hidden="1" x14ac:dyDescent="0.2">
      <c r="A506" s="1"/>
      <c r="B506" s="842">
        <f>ROUND(B504+B503/1.5,0)</f>
        <v>0</v>
      </c>
      <c r="C506" s="39" t="s">
        <v>383</v>
      </c>
      <c r="D506" s="15">
        <f>prices!F856</f>
        <v>72</v>
      </c>
      <c r="E506" s="15">
        <f>D506*B506</f>
        <v>0</v>
      </c>
      <c r="F506" s="61">
        <f>prices!F1264*B506</f>
        <v>0</v>
      </c>
      <c r="G506" s="15"/>
      <c r="H506" s="800"/>
      <c r="I506" s="13"/>
      <c r="J506" s="13"/>
      <c r="L506" s="157">
        <v>12</v>
      </c>
    </row>
    <row r="507" spans="1:14" hidden="1" x14ac:dyDescent="0.2">
      <c r="A507" s="1"/>
      <c r="B507" s="823">
        <v>10</v>
      </c>
      <c r="C507" s="39" t="s">
        <v>384</v>
      </c>
      <c r="D507" s="15">
        <f>prices!F850+(prices!F851*2)+(prices!F852*2)+(prices!F852*2)+(prices!F854*4)</f>
        <v>7.952</v>
      </c>
      <c r="E507" s="15">
        <f>D507*B507*B508</f>
        <v>0</v>
      </c>
      <c r="F507" s="61"/>
      <c r="G507" s="15"/>
      <c r="H507" s="800"/>
      <c r="I507" s="13"/>
      <c r="J507" s="13"/>
      <c r="L507" s="157">
        <v>13</v>
      </c>
    </row>
    <row r="508" spans="1:14" hidden="1" x14ac:dyDescent="0.2">
      <c r="A508" s="1"/>
      <c r="B508" s="823"/>
      <c r="C508" s="39" t="s">
        <v>385</v>
      </c>
      <c r="D508" s="15"/>
      <c r="E508" s="15"/>
      <c r="F508" s="61"/>
      <c r="G508" s="15"/>
      <c r="H508" s="800"/>
      <c r="I508" s="13"/>
      <c r="J508" s="13"/>
      <c r="L508" s="157">
        <v>14</v>
      </c>
    </row>
    <row r="509" spans="1:14" hidden="1" x14ac:dyDescent="0.2">
      <c r="A509" s="1"/>
      <c r="B509" s="844"/>
      <c r="C509" s="39" t="s">
        <v>386</v>
      </c>
      <c r="D509" s="15">
        <f>prices!F859+prices!F854*3</f>
        <v>39.216000000000001</v>
      </c>
      <c r="E509" s="15">
        <f>D509*B509</f>
        <v>0</v>
      </c>
      <c r="F509" s="61">
        <f>prices!F1262*B509</f>
        <v>0</v>
      </c>
      <c r="G509" s="15"/>
      <c r="H509" s="800"/>
      <c r="I509" s="13"/>
      <c r="J509" s="13"/>
      <c r="L509" s="157">
        <v>15</v>
      </c>
    </row>
    <row r="510" spans="1:14" hidden="1" x14ac:dyDescent="0.2">
      <c r="A510" s="1"/>
      <c r="B510" s="844"/>
      <c r="C510" s="39" t="s">
        <v>387</v>
      </c>
      <c r="D510" s="15">
        <f>prices!F860+prices!F854*3</f>
        <v>61.007999999999988</v>
      </c>
      <c r="E510" s="15">
        <f>D510*B510</f>
        <v>0</v>
      </c>
      <c r="F510" s="61">
        <f>prices!F1262*Quotation!B510</f>
        <v>0</v>
      </c>
      <c r="G510" s="15"/>
      <c r="H510" s="800"/>
      <c r="I510" s="13"/>
      <c r="J510" s="13"/>
      <c r="L510" s="157"/>
    </row>
    <row r="511" spans="1:14" hidden="1" x14ac:dyDescent="0.2">
      <c r="A511" s="1"/>
      <c r="B511" s="822"/>
      <c r="C511" s="39"/>
      <c r="D511" s="15"/>
      <c r="E511" s="15"/>
      <c r="F511" s="61"/>
      <c r="G511" s="15"/>
      <c r="H511" s="800"/>
      <c r="I511" s="13"/>
      <c r="J511" s="13"/>
      <c r="L511" s="157"/>
    </row>
    <row r="512" spans="1:14" hidden="1" x14ac:dyDescent="0.2">
      <c r="A512" s="1"/>
      <c r="B512" s="822"/>
      <c r="C512" s="64" t="s">
        <v>388</v>
      </c>
      <c r="D512" s="15"/>
      <c r="E512" s="15"/>
      <c r="F512" s="61"/>
      <c r="G512" s="15"/>
      <c r="H512" s="800"/>
      <c r="I512" s="13"/>
      <c r="J512" s="13"/>
      <c r="L512" s="157"/>
    </row>
    <row r="513" spans="1:12" x14ac:dyDescent="0.2">
      <c r="A513" s="1"/>
      <c r="B513" s="822"/>
      <c r="C513" s="39"/>
      <c r="D513" s="15"/>
      <c r="E513" s="15"/>
      <c r="F513" s="61"/>
      <c r="G513" s="15"/>
      <c r="H513" s="800"/>
      <c r="I513" s="13"/>
      <c r="J513" s="13"/>
      <c r="L513" s="157"/>
    </row>
    <row r="514" spans="1:12" x14ac:dyDescent="0.2">
      <c r="A514" s="1"/>
      <c r="B514" s="822"/>
      <c r="C514" s="63" t="s">
        <v>389</v>
      </c>
      <c r="D514" s="15"/>
      <c r="E514" s="15"/>
      <c r="F514" s="61"/>
      <c r="G514" s="15"/>
      <c r="H514" s="800"/>
      <c r="I514" s="13"/>
      <c r="J514" s="13"/>
      <c r="L514" s="157"/>
    </row>
    <row r="515" spans="1:12" x14ac:dyDescent="0.2">
      <c r="A515" s="1"/>
      <c r="B515" s="822"/>
      <c r="C515" s="39"/>
      <c r="D515" s="15"/>
      <c r="E515" s="15"/>
      <c r="F515" s="61"/>
      <c r="G515" s="15"/>
      <c r="H515" s="800"/>
      <c r="I515" s="13"/>
      <c r="J515" s="13"/>
    </row>
    <row r="516" spans="1:12" x14ac:dyDescent="0.2">
      <c r="A516" s="1"/>
      <c r="B516" s="822"/>
      <c r="C516" s="69" t="s">
        <v>390</v>
      </c>
      <c r="D516" s="15"/>
      <c r="E516" s="15"/>
      <c r="F516" s="61"/>
      <c r="G516" s="15"/>
      <c r="H516" s="800"/>
      <c r="I516" s="13"/>
      <c r="J516" s="13"/>
    </row>
    <row r="517" spans="1:12" x14ac:dyDescent="0.2">
      <c r="A517" s="1"/>
      <c r="B517" s="822"/>
      <c r="C517" s="39"/>
      <c r="D517" s="15"/>
      <c r="E517" s="15"/>
      <c r="F517" s="61"/>
      <c r="G517" s="15"/>
      <c r="H517" s="800"/>
      <c r="I517" s="13"/>
      <c r="J517" s="13"/>
    </row>
    <row r="518" spans="1:12" x14ac:dyDescent="0.2">
      <c r="A518" s="160"/>
      <c r="B518" s="820"/>
      <c r="C518" s="39" t="s">
        <v>391</v>
      </c>
      <c r="D518" s="15">
        <f>prices!F322*6+prices!F837*2.6+prices!F756*32</f>
        <v>84.220799999999997</v>
      </c>
      <c r="E518" s="15">
        <f>D518*B518</f>
        <v>0</v>
      </c>
      <c r="F518" s="61">
        <f>(prices!F1399*7+prices!F1241)*B518</f>
        <v>0</v>
      </c>
      <c r="G518" s="15"/>
      <c r="H518" s="800"/>
      <c r="I518" s="13"/>
      <c r="J518" s="13"/>
    </row>
    <row r="519" spans="1:12" x14ac:dyDescent="0.2">
      <c r="A519" s="67"/>
      <c r="B519" s="820"/>
      <c r="C519" s="39" t="s">
        <v>392</v>
      </c>
      <c r="D519" s="15">
        <f>prices!F322*10+prices!F837*3+prices!F756*32</f>
        <v>127.60640000000001</v>
      </c>
      <c r="E519" s="15">
        <f>D519*B519</f>
        <v>0</v>
      </c>
      <c r="F519" s="61">
        <f>(prices!F1399*11+prices!F1241)*B519</f>
        <v>0</v>
      </c>
      <c r="G519" s="15"/>
      <c r="H519" s="800"/>
      <c r="I519" s="13"/>
      <c r="J519" s="13"/>
    </row>
    <row r="520" spans="1:12" x14ac:dyDescent="0.2">
      <c r="A520" s="1"/>
      <c r="B520" s="820"/>
      <c r="C520" s="39" t="s">
        <v>393</v>
      </c>
      <c r="D520" s="15">
        <f>prices!F322*14+prices!F837*1.4+prices!F756*32</f>
        <v>152.46399999999997</v>
      </c>
      <c r="E520" s="15">
        <f>D520*B520</f>
        <v>0</v>
      </c>
      <c r="F520" s="61">
        <f>(prices!F1399*15.5+prices!F1241)*B520</f>
        <v>0</v>
      </c>
      <c r="G520" s="15"/>
      <c r="H520" s="800"/>
      <c r="I520" s="13"/>
      <c r="J520" s="13"/>
    </row>
    <row r="521" spans="1:12" x14ac:dyDescent="0.2">
      <c r="A521" s="160"/>
      <c r="B521" s="820"/>
      <c r="C521" s="39" t="s">
        <v>394</v>
      </c>
      <c r="D521" s="15">
        <f>prices!F322*18+prices!F837*3.8+prices!F756*32</f>
        <v>214.37759999999997</v>
      </c>
      <c r="E521" s="15">
        <f>D521*B521</f>
        <v>0</v>
      </c>
      <c r="F521" s="61">
        <f>(prices!F1399*19.8+prices!F1241)*B521</f>
        <v>0</v>
      </c>
      <c r="G521" s="15"/>
      <c r="H521" s="800"/>
      <c r="I521" s="13"/>
      <c r="J521" s="13"/>
    </row>
    <row r="522" spans="1:12" x14ac:dyDescent="0.2">
      <c r="A522" s="1"/>
      <c r="B522" s="822"/>
      <c r="C522" s="39"/>
      <c r="D522" s="15"/>
      <c r="E522" s="15"/>
      <c r="F522" s="61"/>
      <c r="G522" s="15"/>
      <c r="H522" s="800"/>
      <c r="I522" s="13"/>
      <c r="J522" s="13"/>
    </row>
    <row r="523" spans="1:12" x14ac:dyDescent="0.2">
      <c r="A523" s="1"/>
      <c r="B523" s="822"/>
      <c r="C523" s="69" t="s">
        <v>395</v>
      </c>
      <c r="D523" s="15"/>
      <c r="E523" s="15"/>
      <c r="F523" s="61"/>
      <c r="G523" s="15"/>
      <c r="H523" s="800"/>
      <c r="I523" s="13"/>
      <c r="J523" s="13"/>
    </row>
    <row r="524" spans="1:12" x14ac:dyDescent="0.2">
      <c r="A524" s="1"/>
      <c r="B524" s="822"/>
      <c r="C524" s="39" t="s">
        <v>396</v>
      </c>
      <c r="D524" s="15">
        <f>prices!F582+(prices!F583*3)</f>
        <v>644.28800000000001</v>
      </c>
      <c r="E524" s="15">
        <f>D524*B524</f>
        <v>0</v>
      </c>
      <c r="F524" s="61">
        <f>prices!F1334*Quotation!B524</f>
        <v>0</v>
      </c>
      <c r="G524" s="15"/>
      <c r="H524" s="800"/>
      <c r="I524" s="13"/>
      <c r="J524" s="13"/>
    </row>
    <row r="525" spans="1:12" x14ac:dyDescent="0.2">
      <c r="A525" s="1"/>
      <c r="B525" s="845">
        <f>IF(B524&gt;0.1,1,0)</f>
        <v>0</v>
      </c>
      <c r="C525" s="69" t="s">
        <v>66</v>
      </c>
      <c r="D525" s="15">
        <f>prices!F584</f>
        <v>96</v>
      </c>
      <c r="E525" s="15">
        <f>D525*B525</f>
        <v>0</v>
      </c>
      <c r="F525" s="61"/>
      <c r="G525" s="15"/>
      <c r="H525" s="800"/>
      <c r="I525" s="13"/>
      <c r="J525" s="13"/>
    </row>
    <row r="526" spans="1:12" x14ac:dyDescent="0.2">
      <c r="A526" s="1"/>
      <c r="B526" s="822"/>
      <c r="C526" s="69"/>
      <c r="D526" s="15"/>
      <c r="E526" s="15"/>
      <c r="F526" s="61"/>
      <c r="G526" s="15"/>
      <c r="H526" s="800"/>
      <c r="I526" s="13"/>
      <c r="J526" s="13"/>
    </row>
    <row r="527" spans="1:12" x14ac:dyDescent="0.2">
      <c r="A527" s="160"/>
      <c r="B527" s="822"/>
      <c r="C527" s="64" t="s">
        <v>397</v>
      </c>
      <c r="D527" s="15"/>
      <c r="E527" s="15"/>
      <c r="F527" s="61"/>
      <c r="G527" s="15"/>
      <c r="H527" s="800"/>
      <c r="I527" s="13"/>
      <c r="J527" s="13"/>
    </row>
    <row r="528" spans="1:12" x14ac:dyDescent="0.2">
      <c r="A528" s="1"/>
      <c r="B528" s="822"/>
      <c r="C528" s="59"/>
      <c r="D528" s="15"/>
      <c r="E528" s="15"/>
      <c r="F528" s="61"/>
      <c r="G528" s="15"/>
      <c r="H528" s="800"/>
      <c r="I528" s="13"/>
      <c r="J528" s="13"/>
    </row>
    <row r="529" spans="1:10" x14ac:dyDescent="0.2">
      <c r="A529" s="1"/>
      <c r="B529" s="822"/>
      <c r="C529" s="63" t="s">
        <v>398</v>
      </c>
      <c r="D529" s="15"/>
      <c r="E529" s="15"/>
      <c r="F529" s="15"/>
      <c r="G529" s="15"/>
      <c r="H529" s="800"/>
      <c r="I529" s="13"/>
      <c r="J529" s="13"/>
    </row>
    <row r="530" spans="1:10" x14ac:dyDescent="0.2">
      <c r="A530" s="1"/>
      <c r="B530" s="822"/>
      <c r="C530" s="43"/>
      <c r="D530" s="15"/>
      <c r="E530" s="15"/>
      <c r="F530" s="15"/>
      <c r="G530" s="15"/>
      <c r="H530" s="800"/>
      <c r="I530" s="13"/>
      <c r="J530" s="13"/>
    </row>
    <row r="531" spans="1:10" x14ac:dyDescent="0.2">
      <c r="A531" s="1"/>
      <c r="B531" s="820"/>
      <c r="C531" s="112" t="s">
        <v>399</v>
      </c>
      <c r="D531" s="15">
        <f>prices!F207*3.6+prices!F754*28</f>
        <v>52.362666666666662</v>
      </c>
      <c r="E531" s="15">
        <f>D531*B531</f>
        <v>0</v>
      </c>
      <c r="F531" s="61">
        <f>prices!F1219*B531</f>
        <v>0</v>
      </c>
      <c r="G531" s="15"/>
      <c r="H531" s="800"/>
      <c r="I531" s="13"/>
      <c r="J531" s="13"/>
    </row>
    <row r="532" spans="1:10" x14ac:dyDescent="0.2">
      <c r="A532" s="160"/>
      <c r="B532" s="820"/>
      <c r="C532" s="39" t="s">
        <v>400</v>
      </c>
      <c r="D532" s="15">
        <f>prices!F839*2+prices!F754*28+prices!F208*1.6</f>
        <v>27.613866666666667</v>
      </c>
      <c r="E532" s="15">
        <f>D532*B532</f>
        <v>0</v>
      </c>
      <c r="F532" s="61">
        <f>prices!F1219*B532</f>
        <v>0</v>
      </c>
      <c r="G532" s="15"/>
      <c r="H532" s="800"/>
      <c r="I532" s="13"/>
      <c r="J532" s="13"/>
    </row>
    <row r="533" spans="1:10" x14ac:dyDescent="0.2">
      <c r="A533" s="160"/>
      <c r="B533" s="820"/>
      <c r="C533" s="39" t="s">
        <v>401</v>
      </c>
      <c r="D533" s="15">
        <f>prices!F839*2+prices!F754*28+prices!F208*1.6+prices!F841</f>
        <v>36.253866666666667</v>
      </c>
      <c r="E533" s="15">
        <f>D533*B533</f>
        <v>0</v>
      </c>
      <c r="F533" s="61">
        <f>prices!F1219*B533</f>
        <v>0</v>
      </c>
      <c r="G533" s="15"/>
      <c r="H533" s="800"/>
      <c r="I533" s="13"/>
      <c r="J533" s="13"/>
    </row>
    <row r="534" spans="1:10" x14ac:dyDescent="0.2">
      <c r="A534" s="68"/>
      <c r="B534" s="801"/>
      <c r="C534" s="39" t="s">
        <v>56</v>
      </c>
      <c r="D534" s="15">
        <f>prices!F165+prices!F754*2</f>
        <v>3.7333333333333336E-2</v>
      </c>
      <c r="E534" s="15">
        <f>D534*B534</f>
        <v>0</v>
      </c>
      <c r="F534" s="61">
        <f>prices!F1220*Quotation!B534</f>
        <v>0</v>
      </c>
      <c r="G534" s="15"/>
      <c r="H534" s="800"/>
      <c r="I534" s="13"/>
      <c r="J534" s="13"/>
    </row>
    <row r="535" spans="1:10" x14ac:dyDescent="0.2">
      <c r="A535" s="65"/>
      <c r="B535" s="801"/>
      <c r="C535" s="39" t="s">
        <v>57</v>
      </c>
      <c r="D535" s="15">
        <f>prices!F164</f>
        <v>0</v>
      </c>
      <c r="E535" s="15">
        <f>D535*B535</f>
        <v>0</v>
      </c>
      <c r="F535" s="61">
        <f>prices!F1221*B535</f>
        <v>0</v>
      </c>
      <c r="G535" s="15"/>
      <c r="H535" s="800"/>
      <c r="I535" s="13"/>
      <c r="J535" s="13"/>
    </row>
    <row r="536" spans="1:10" x14ac:dyDescent="0.2">
      <c r="A536" s="160"/>
      <c r="B536" s="820"/>
      <c r="C536" s="39"/>
      <c r="D536" s="15"/>
      <c r="E536" s="15"/>
      <c r="F536" s="61"/>
      <c r="G536" s="15"/>
      <c r="H536" s="800"/>
      <c r="I536" s="13"/>
      <c r="J536" s="13"/>
    </row>
    <row r="537" spans="1:10" x14ac:dyDescent="0.2">
      <c r="A537" s="1"/>
      <c r="B537" s="822"/>
      <c r="C537" s="39"/>
      <c r="D537" s="15"/>
      <c r="E537" s="15"/>
      <c r="F537" s="61"/>
      <c r="G537" s="15"/>
      <c r="H537" s="800"/>
      <c r="I537" s="13"/>
      <c r="J537" s="13"/>
    </row>
    <row r="538" spans="1:10" x14ac:dyDescent="0.2">
      <c r="A538" s="1"/>
      <c r="B538" s="822"/>
      <c r="C538" s="63" t="s">
        <v>402</v>
      </c>
      <c r="D538" s="15"/>
      <c r="E538" s="15"/>
      <c r="F538" s="61"/>
      <c r="G538" s="15"/>
      <c r="H538" s="800"/>
      <c r="I538" s="13"/>
      <c r="J538" s="13"/>
    </row>
    <row r="539" spans="1:10" x14ac:dyDescent="0.2">
      <c r="A539" s="1"/>
      <c r="B539" s="822"/>
      <c r="C539" s="64"/>
      <c r="D539" s="15"/>
      <c r="E539" s="15"/>
      <c r="F539" s="61"/>
      <c r="G539" s="15"/>
      <c r="H539" s="800"/>
      <c r="I539" s="13"/>
      <c r="J539" s="13"/>
    </row>
    <row r="540" spans="1:10" x14ac:dyDescent="0.2">
      <c r="A540" s="1"/>
      <c r="B540" s="820"/>
      <c r="C540" s="69" t="s">
        <v>403</v>
      </c>
      <c r="D540" s="15"/>
      <c r="E540" s="15"/>
      <c r="F540" s="61"/>
      <c r="G540" s="15"/>
      <c r="H540" s="800"/>
      <c r="I540" s="13"/>
      <c r="J540" s="13"/>
    </row>
    <row r="541" spans="1:10" x14ac:dyDescent="0.2">
      <c r="A541" s="160"/>
      <c r="B541" s="820"/>
      <c r="C541" s="59" t="s">
        <v>404</v>
      </c>
      <c r="D541" s="15">
        <f>prices!F342*8+prices!F205*2</f>
        <v>148.47999999999999</v>
      </c>
      <c r="E541" s="15">
        <f>D541*B541</f>
        <v>0</v>
      </c>
      <c r="F541" s="164">
        <f>(prices!F1204+prices!F1233*2)*Quotation!B541</f>
        <v>0</v>
      </c>
      <c r="G541" s="11"/>
      <c r="H541" s="812"/>
      <c r="I541" s="13"/>
      <c r="J541" s="13"/>
    </row>
    <row r="542" spans="1:10" x14ac:dyDescent="0.2">
      <c r="A542" s="160"/>
      <c r="B542" s="820"/>
      <c r="C542" s="59" t="s">
        <v>405</v>
      </c>
      <c r="D542" s="15">
        <f>prices!F343*8+prices!F205*2</f>
        <v>87.68</v>
      </c>
      <c r="E542" s="15">
        <f>D542*B542</f>
        <v>0</v>
      </c>
      <c r="F542" s="164">
        <f>(prices!F1204+prices!F1233*2)*B542</f>
        <v>0</v>
      </c>
      <c r="G542" s="11"/>
      <c r="H542" s="812"/>
      <c r="I542" s="13"/>
      <c r="J542" s="13"/>
    </row>
    <row r="543" spans="1:10" x14ac:dyDescent="0.2">
      <c r="A543" s="1"/>
      <c r="B543" s="820"/>
      <c r="C543" s="39" t="s">
        <v>406</v>
      </c>
      <c r="D543" s="15">
        <f>prices!F845</f>
        <v>3.5679999999999996</v>
      </c>
      <c r="E543" s="15">
        <f>D543*B543</f>
        <v>0</v>
      </c>
      <c r="F543" s="164">
        <f>prices!F1223*Quotation!B543</f>
        <v>0</v>
      </c>
      <c r="G543" s="15"/>
      <c r="H543" s="800"/>
      <c r="I543" s="13"/>
      <c r="J543" s="13"/>
    </row>
    <row r="544" spans="1:10" x14ac:dyDescent="0.2">
      <c r="A544" s="160"/>
      <c r="B544" s="820"/>
      <c r="C544" s="69" t="s">
        <v>407</v>
      </c>
      <c r="D544" s="15"/>
      <c r="E544" s="15"/>
      <c r="F544" s="164"/>
      <c r="G544" s="15"/>
      <c r="H544" s="800"/>
      <c r="I544" s="13"/>
      <c r="J544" s="13"/>
    </row>
    <row r="545" spans="1:12" x14ac:dyDescent="0.2">
      <c r="A545" s="160"/>
      <c r="B545" s="820"/>
      <c r="C545" s="39" t="s">
        <v>408</v>
      </c>
      <c r="D545" s="15">
        <f>(prices!F401+prices!F402+prices!F755*10)+prices!F346*2</f>
        <v>27.823946666666664</v>
      </c>
      <c r="E545" s="15">
        <f>D545*B545</f>
        <v>0</v>
      </c>
      <c r="F545" s="164">
        <f>(prices!F1232+prices!F1233*2)*Quotation!B545</f>
        <v>0</v>
      </c>
      <c r="G545" s="15"/>
      <c r="H545" s="800"/>
      <c r="I545" s="13"/>
      <c r="J545" s="13"/>
    </row>
    <row r="546" spans="1:12" x14ac:dyDescent="0.2">
      <c r="A546" s="1"/>
      <c r="B546" s="820"/>
      <c r="C546" s="39" t="s">
        <v>409</v>
      </c>
      <c r="D546" s="15">
        <f>prices!F845</f>
        <v>3.5679999999999996</v>
      </c>
      <c r="E546" s="15">
        <f>D546*B546</f>
        <v>0</v>
      </c>
      <c r="F546" s="164">
        <f>prices!F1223*Quotation!B546</f>
        <v>0</v>
      </c>
      <c r="G546" s="15"/>
      <c r="H546" s="800"/>
      <c r="I546" s="13"/>
      <c r="J546" s="13"/>
    </row>
    <row r="547" spans="1:12" x14ac:dyDescent="0.2">
      <c r="A547" s="1"/>
      <c r="B547" s="820"/>
      <c r="C547" s="39"/>
      <c r="D547" s="15"/>
      <c r="E547" s="15"/>
      <c r="F547" s="164"/>
      <c r="G547" s="15"/>
      <c r="H547" s="800"/>
      <c r="I547" s="13"/>
      <c r="J547" s="13"/>
    </row>
    <row r="548" spans="1:12" ht="13.5" thickBot="1" x14ac:dyDescent="0.25">
      <c r="A548" s="1"/>
      <c r="B548" s="820"/>
      <c r="C548" s="69" t="s">
        <v>410</v>
      </c>
      <c r="D548" s="15"/>
      <c r="E548" s="15"/>
      <c r="F548" s="164"/>
      <c r="G548" s="15"/>
      <c r="H548" s="800"/>
      <c r="I548" s="13"/>
      <c r="J548" s="13"/>
    </row>
    <row r="549" spans="1:12" ht="13.5" thickTop="1" x14ac:dyDescent="0.2">
      <c r="A549" s="1"/>
      <c r="B549" s="846"/>
      <c r="C549" s="39"/>
      <c r="D549" s="15"/>
      <c r="E549" s="165">
        <f>IF((B549*D549)=0,0,IF((B549*D549)&lt;prices!F365,prices!F365,IF((B549*D549)&gt;prices!F365,B549*D549)))</f>
        <v>0</v>
      </c>
      <c r="F549" s="164"/>
      <c r="G549" s="15"/>
      <c r="H549" s="800"/>
      <c r="I549" s="13"/>
      <c r="J549" s="13"/>
      <c r="L549" s="166" t="s">
        <v>411</v>
      </c>
    </row>
    <row r="550" spans="1:12" x14ac:dyDescent="0.2">
      <c r="A550" s="160"/>
      <c r="B550" s="820"/>
      <c r="C550" s="167" t="s">
        <v>412</v>
      </c>
      <c r="D550" s="15">
        <f>INDEX(prices!$F$349:$F$366,MATCH(Quotation!C550,prices!$B$349:$B$366,0))</f>
        <v>144</v>
      </c>
      <c r="E550" s="140"/>
      <c r="F550" s="164"/>
      <c r="G550" s="15"/>
      <c r="H550" s="800"/>
      <c r="J550" s="13"/>
      <c r="L550" s="168">
        <f>D550*B550</f>
        <v>0</v>
      </c>
    </row>
    <row r="551" spans="1:12" x14ac:dyDescent="0.2">
      <c r="A551" s="160"/>
      <c r="B551" s="820"/>
      <c r="C551" s="167" t="s">
        <v>413</v>
      </c>
      <c r="D551" s="15">
        <f>INDEX(prices!$F$349:$F$366,MATCH(Quotation!C551,prices!$B$349:$B$366,0))</f>
        <v>88</v>
      </c>
      <c r="E551" s="140"/>
      <c r="F551" s="164"/>
      <c r="G551" s="15"/>
      <c r="H551" s="800"/>
      <c r="J551" s="13"/>
      <c r="L551" s="168">
        <f>D551*B551</f>
        <v>0</v>
      </c>
    </row>
    <row r="552" spans="1:12" x14ac:dyDescent="0.2">
      <c r="A552" s="160"/>
      <c r="B552" s="820"/>
      <c r="C552" s="167" t="s">
        <v>414</v>
      </c>
      <c r="D552" s="15">
        <f>INDEX(prices!$F$349:$F$366,MATCH(Quotation!C552,prices!$B$349:$B$366,0))</f>
        <v>152</v>
      </c>
      <c r="E552" s="140"/>
      <c r="F552" s="164"/>
      <c r="G552" s="15"/>
      <c r="H552" s="800"/>
      <c r="J552" s="13"/>
      <c r="L552" s="168">
        <f>D552*B552</f>
        <v>0</v>
      </c>
    </row>
    <row r="553" spans="1:12" x14ac:dyDescent="0.2">
      <c r="A553" s="160"/>
      <c r="B553" s="820"/>
      <c r="C553" s="167"/>
      <c r="D553" s="15"/>
      <c r="E553" s="15"/>
      <c r="F553" s="164"/>
      <c r="G553" s="15"/>
      <c r="H553" s="800"/>
      <c r="J553" s="13"/>
      <c r="L553" s="169"/>
    </row>
    <row r="554" spans="1:12" x14ac:dyDescent="0.2">
      <c r="A554" s="160"/>
      <c r="B554" s="820"/>
      <c r="C554" s="167" t="s">
        <v>415</v>
      </c>
      <c r="D554" s="15">
        <f>INDEX(prices!$F$349:$F$366,MATCH(Quotation!C554,prices!$B$349:$B$366,0))</f>
        <v>56</v>
      </c>
      <c r="E554" s="140"/>
      <c r="F554" s="164"/>
      <c r="G554" s="15"/>
      <c r="H554" s="800"/>
      <c r="J554" s="13"/>
      <c r="L554" s="168">
        <f>D554*B554</f>
        <v>0</v>
      </c>
    </row>
    <row r="555" spans="1:12" x14ac:dyDescent="0.2">
      <c r="A555" s="1"/>
      <c r="B555" s="846"/>
      <c r="C555" s="167" t="s">
        <v>416</v>
      </c>
      <c r="D555" s="15">
        <f>INDEX(prices!$F$349:$F$366,MATCH(Quotation!C555,prices!$B$349:$B$366,0))</f>
        <v>80</v>
      </c>
      <c r="E555" s="140"/>
      <c r="F555" s="164"/>
      <c r="G555" s="15"/>
      <c r="H555" s="800"/>
      <c r="J555" s="13"/>
      <c r="L555" s="168">
        <f>D555*B555</f>
        <v>0</v>
      </c>
    </row>
    <row r="556" spans="1:12" x14ac:dyDescent="0.2">
      <c r="A556" s="1"/>
      <c r="B556" s="846"/>
      <c r="C556" s="167" t="s">
        <v>417</v>
      </c>
      <c r="D556" s="15">
        <f>INDEX(prices!$F$349:$F$366,MATCH(Quotation!C556,prices!$B$349:$B$366,0))</f>
        <v>80</v>
      </c>
      <c r="E556" s="140"/>
      <c r="F556" s="164"/>
      <c r="G556" s="15"/>
      <c r="H556" s="800"/>
      <c r="J556" s="13"/>
      <c r="L556" s="168">
        <f>D556*B556</f>
        <v>0</v>
      </c>
    </row>
    <row r="557" spans="1:12" x14ac:dyDescent="0.2">
      <c r="A557" s="1"/>
      <c r="B557" s="846"/>
      <c r="C557" s="167" t="s">
        <v>418</v>
      </c>
      <c r="D557" s="15">
        <f>INDEX(prices!$F$349:$F$366,MATCH(Quotation!C557,prices!$B$349:$B$366,0))</f>
        <v>72</v>
      </c>
      <c r="E557" s="140"/>
      <c r="F557" s="164"/>
      <c r="G557" s="15"/>
      <c r="H557" s="800"/>
      <c r="J557" s="13"/>
      <c r="L557" s="168">
        <f>D557*B557</f>
        <v>0</v>
      </c>
    </row>
    <row r="558" spans="1:12" x14ac:dyDescent="0.2">
      <c r="A558" s="1"/>
      <c r="B558" s="846"/>
      <c r="C558" s="167"/>
      <c r="D558" s="15"/>
      <c r="F558" s="164"/>
      <c r="G558" s="15"/>
      <c r="H558" s="800"/>
      <c r="J558" s="13"/>
      <c r="L558" s="168"/>
    </row>
    <row r="559" spans="1:12" x14ac:dyDescent="0.2">
      <c r="A559" s="1"/>
      <c r="B559" s="846"/>
      <c r="C559" s="167" t="s">
        <v>419</v>
      </c>
      <c r="D559" s="15">
        <f>INDEX(prices!$F$349:$F$366,MATCH(Quotation!C559,prices!$B$349:$B$366,0))</f>
        <v>16</v>
      </c>
      <c r="F559" s="164"/>
      <c r="G559" s="15"/>
      <c r="H559" s="800"/>
      <c r="J559" s="13"/>
      <c r="L559" s="168">
        <f>D559*B559</f>
        <v>0</v>
      </c>
    </row>
    <row r="560" spans="1:12" x14ac:dyDescent="0.2">
      <c r="A560" s="1"/>
      <c r="B560" s="846"/>
      <c r="C560" s="167" t="s">
        <v>420</v>
      </c>
      <c r="D560" s="15">
        <f>INDEX(prices!$F$349:$F$366,MATCH(Quotation!C560,prices!$B$349:$B$366,0))</f>
        <v>20</v>
      </c>
      <c r="F560" s="164"/>
      <c r="G560" s="15"/>
      <c r="H560" s="800"/>
      <c r="J560" s="13"/>
      <c r="L560" s="168">
        <f>D560*B560</f>
        <v>0</v>
      </c>
    </row>
    <row r="561" spans="1:12" x14ac:dyDescent="0.2">
      <c r="A561" s="1"/>
      <c r="B561" s="846"/>
      <c r="C561" s="167"/>
      <c r="D561" s="15"/>
      <c r="F561" s="164"/>
      <c r="G561" s="15"/>
      <c r="H561" s="800"/>
      <c r="J561" s="13"/>
      <c r="L561" s="168"/>
    </row>
    <row r="562" spans="1:12" x14ac:dyDescent="0.2">
      <c r="A562" s="1"/>
      <c r="B562" s="846"/>
      <c r="C562" s="167" t="s">
        <v>421</v>
      </c>
      <c r="D562" s="15">
        <f>INDEX(prices!$F$349:$F$366,MATCH(Quotation!C562,prices!$B$349:$B$366,0))</f>
        <v>640</v>
      </c>
      <c r="F562" s="164"/>
      <c r="G562" s="15"/>
      <c r="H562" s="800"/>
      <c r="J562" s="13"/>
      <c r="L562" s="168">
        <f>D562*B562</f>
        <v>0</v>
      </c>
    </row>
    <row r="563" spans="1:12" x14ac:dyDescent="0.2">
      <c r="A563" s="1"/>
      <c r="B563" s="846"/>
      <c r="C563" s="167" t="s">
        <v>422</v>
      </c>
      <c r="D563" s="15">
        <f>INDEX(prices!$F$349:$F$366,MATCH(Quotation!C563,prices!$B$349:$B$366,0))</f>
        <v>96</v>
      </c>
      <c r="F563" s="164"/>
      <c r="G563" s="15"/>
      <c r="H563" s="800"/>
      <c r="J563" s="13"/>
      <c r="L563" s="168">
        <f>D563*B563</f>
        <v>0</v>
      </c>
    </row>
    <row r="564" spans="1:12" x14ac:dyDescent="0.2">
      <c r="A564" s="1"/>
      <c r="B564" s="846"/>
      <c r="C564" s="39"/>
      <c r="D564" s="15"/>
      <c r="E564" s="170">
        <f t="shared" ref="E564:E565" si="21">D564*B564</f>
        <v>0</v>
      </c>
      <c r="F564" s="164"/>
      <c r="G564" s="15"/>
      <c r="H564" s="800"/>
      <c r="I564" s="13"/>
      <c r="J564" s="13"/>
      <c r="L564" s="171"/>
    </row>
    <row r="565" spans="1:12" ht="13.5" thickBot="1" x14ac:dyDescent="0.25">
      <c r="A565" s="1"/>
      <c r="B565" s="846"/>
      <c r="C565" s="39"/>
      <c r="D565" s="15"/>
      <c r="E565" s="170">
        <f t="shared" si="21"/>
        <v>0</v>
      </c>
      <c r="F565" s="164"/>
      <c r="G565" s="15"/>
      <c r="H565" s="800"/>
      <c r="I565" s="13"/>
      <c r="J565" s="13"/>
      <c r="L565" s="172">
        <f>SUM(L550:L564)</f>
        <v>0</v>
      </c>
    </row>
    <row r="566" spans="1:12" ht="13.5" thickTop="1" x14ac:dyDescent="0.2">
      <c r="A566" s="1"/>
      <c r="B566" s="846"/>
      <c r="C566" s="62" t="s">
        <v>423</v>
      </c>
      <c r="D566" s="145">
        <f>L565</f>
        <v>0</v>
      </c>
      <c r="E566" s="71"/>
      <c r="F566" s="164"/>
      <c r="G566" s="15"/>
      <c r="H566" s="800"/>
      <c r="I566" s="13"/>
      <c r="J566" s="13"/>
    </row>
    <row r="567" spans="1:12" x14ac:dyDescent="0.2">
      <c r="A567" s="1"/>
      <c r="B567" s="847">
        <f>IF(B562+B563+B559+B557+B556+B555+B554+B552+B551+B550&gt;0.1,1,0)</f>
        <v>0</v>
      </c>
      <c r="C567" s="56" t="s">
        <v>424</v>
      </c>
      <c r="D567" s="15"/>
      <c r="E567" s="71">
        <f>IF(D566&lt;prices!F365,prices!F365,Quotation!D566)*Quotation!B567</f>
        <v>0</v>
      </c>
      <c r="F567" s="164"/>
      <c r="G567" s="15"/>
      <c r="H567" s="800"/>
      <c r="I567" s="13"/>
      <c r="J567" s="13"/>
    </row>
    <row r="568" spans="1:12" x14ac:dyDescent="0.2">
      <c r="A568" s="1"/>
      <c r="B568" s="846"/>
      <c r="C568" s="39"/>
      <c r="D568" s="15"/>
      <c r="E568" s="71"/>
      <c r="F568" s="164"/>
      <c r="G568" s="15"/>
      <c r="H568" s="800"/>
      <c r="I568" s="13"/>
      <c r="J568" s="13"/>
    </row>
    <row r="569" spans="1:12" x14ac:dyDescent="0.2">
      <c r="A569" s="1"/>
      <c r="B569" s="846"/>
      <c r="C569" s="39"/>
      <c r="D569" s="165"/>
      <c r="E569" s="71"/>
      <c r="F569" s="164"/>
      <c r="G569" s="15"/>
      <c r="H569" s="800"/>
      <c r="I569" s="13"/>
      <c r="J569" s="13"/>
    </row>
    <row r="570" spans="1:12" x14ac:dyDescent="0.2">
      <c r="A570" s="1"/>
      <c r="B570" s="846"/>
      <c r="C570" s="56" t="s">
        <v>421</v>
      </c>
      <c r="D570" s="165"/>
      <c r="E570" s="71"/>
      <c r="F570" s="164"/>
      <c r="G570" s="15"/>
      <c r="H570" s="800"/>
      <c r="I570" s="13"/>
      <c r="J570" s="13"/>
    </row>
    <row r="571" spans="1:12" x14ac:dyDescent="0.2">
      <c r="A571" s="1"/>
      <c r="B571" s="846"/>
      <c r="C571" s="39"/>
      <c r="D571" s="165"/>
      <c r="E571" s="71"/>
      <c r="F571" s="164"/>
      <c r="G571" s="15"/>
      <c r="H571" s="800"/>
      <c r="I571" s="13"/>
      <c r="J571" s="13"/>
    </row>
    <row r="572" spans="1:12" x14ac:dyDescent="0.2">
      <c r="A572" s="1"/>
      <c r="B572" s="846">
        <f>B562</f>
        <v>0</v>
      </c>
      <c r="C572" s="140" t="s">
        <v>425</v>
      </c>
      <c r="D572" s="81">
        <f>prices!F1316</f>
        <v>1600</v>
      </c>
      <c r="E572" s="71">
        <f>D572*B572</f>
        <v>0</v>
      </c>
      <c r="F572" s="164"/>
      <c r="G572" s="15"/>
      <c r="H572" s="800"/>
      <c r="I572" s="13"/>
      <c r="J572" s="13"/>
    </row>
    <row r="573" spans="1:12" ht="13.5" thickBot="1" x14ac:dyDescent="0.25">
      <c r="A573" s="1"/>
      <c r="B573" s="846"/>
      <c r="C573" s="140"/>
      <c r="D573" s="140"/>
      <c r="E573" s="71"/>
      <c r="F573" s="164"/>
      <c r="G573" s="15"/>
      <c r="H573" s="800"/>
      <c r="I573" s="13"/>
      <c r="J573" s="13"/>
    </row>
    <row r="574" spans="1:12" ht="15.75" thickBot="1" x14ac:dyDescent="0.3">
      <c r="A574" s="1"/>
      <c r="B574" s="173">
        <f>IF(SUM(B541,B542,B545,B563,B562,B10)&gt;0.01,1,0)</f>
        <v>1</v>
      </c>
      <c r="C574" s="174">
        <f>IF(B562&gt;0.1,"Soil report Has been activated",0)</f>
        <v>0</v>
      </c>
      <c r="D574" s="15"/>
      <c r="E574" s="15"/>
      <c r="F574" s="164"/>
      <c r="G574" s="15"/>
      <c r="H574" s="800"/>
      <c r="I574" s="13"/>
      <c r="J574" s="13"/>
    </row>
    <row r="575" spans="1:12" x14ac:dyDescent="0.2">
      <c r="A575" s="1"/>
      <c r="B575" s="837"/>
      <c r="C575" s="39"/>
      <c r="D575" s="15"/>
      <c r="E575" s="15"/>
      <c r="F575" s="164"/>
      <c r="G575" s="15"/>
      <c r="H575" s="800"/>
      <c r="I575" s="13"/>
      <c r="J575" s="13"/>
    </row>
    <row r="576" spans="1:12" x14ac:dyDescent="0.2">
      <c r="A576" s="1"/>
      <c r="B576" s="820"/>
      <c r="C576" s="69" t="s">
        <v>426</v>
      </c>
      <c r="D576" s="15"/>
      <c r="E576" s="15"/>
      <c r="F576" s="164"/>
      <c r="G576" s="15"/>
      <c r="H576" s="800"/>
      <c r="I576" s="13"/>
      <c r="J576" s="13"/>
    </row>
    <row r="577" spans="1:10" x14ac:dyDescent="0.2">
      <c r="A577" s="1"/>
      <c r="B577" s="820"/>
      <c r="C577" s="39" t="s">
        <v>427</v>
      </c>
      <c r="D577" s="15">
        <f>(prices!F236*2.8)+(prices!F220*1)+prices!F753*12</f>
        <v>34.889023999999992</v>
      </c>
      <c r="E577" s="15">
        <f t="shared" ref="E577:E583" si="22">D577*B577</f>
        <v>0</v>
      </c>
      <c r="F577" s="164">
        <f>prices!F1244*Quotation!B577</f>
        <v>0</v>
      </c>
      <c r="G577" s="15"/>
      <c r="H577" s="800"/>
      <c r="I577" s="13"/>
      <c r="J577" s="13"/>
    </row>
    <row r="578" spans="1:10" x14ac:dyDescent="0.2">
      <c r="A578" s="1"/>
      <c r="B578" s="820"/>
      <c r="C578" s="39" t="s">
        <v>428</v>
      </c>
      <c r="D578" s="15">
        <f>(prices!F236*6)+(prices!F220*1)+prices!F753*12</f>
        <v>58.901823999999998</v>
      </c>
      <c r="E578" s="15">
        <f t="shared" si="22"/>
        <v>0</v>
      </c>
      <c r="F578" s="164">
        <f>prices!F1244*Quotation!B578</f>
        <v>0</v>
      </c>
      <c r="G578" s="15"/>
      <c r="H578" s="800"/>
      <c r="I578" s="13"/>
      <c r="J578" s="13"/>
    </row>
    <row r="579" spans="1:10" x14ac:dyDescent="0.2">
      <c r="A579" s="1"/>
      <c r="B579" s="820"/>
      <c r="C579" s="39" t="s">
        <v>429</v>
      </c>
      <c r="D579" s="15">
        <f>(prices!F236*8.4)+(prices!F220*1)+prices!F753*18</f>
        <v>77.13833600000001</v>
      </c>
      <c r="E579" s="15">
        <f t="shared" si="22"/>
        <v>0</v>
      </c>
      <c r="F579" s="164">
        <f>prices!F1244*Quotation!B579</f>
        <v>0</v>
      </c>
      <c r="G579" s="15"/>
      <c r="H579" s="800"/>
      <c r="I579" s="13"/>
      <c r="J579" s="13"/>
    </row>
    <row r="580" spans="1:10" x14ac:dyDescent="0.2">
      <c r="A580" s="1"/>
      <c r="B580" s="820"/>
      <c r="C580" s="39" t="s">
        <v>430</v>
      </c>
      <c r="D580" s="15">
        <f>(prices!$F$236*10.2)+(prices!F220*1)+prices!$F$753*18</f>
        <v>90.645535999999993</v>
      </c>
      <c r="E580" s="15">
        <f t="shared" si="22"/>
        <v>0</v>
      </c>
      <c r="F580" s="164">
        <f>prices!F1244*Quotation!B580</f>
        <v>0</v>
      </c>
      <c r="G580" s="15"/>
      <c r="H580" s="800"/>
      <c r="I580" s="13"/>
      <c r="J580" s="13"/>
    </row>
    <row r="581" spans="1:10" x14ac:dyDescent="0.2">
      <c r="A581" s="1"/>
      <c r="B581" s="820"/>
      <c r="C581" s="39" t="s">
        <v>431</v>
      </c>
      <c r="D581" s="15">
        <f>(prices!$F$236*12)+(prices!F220*1)+prices!$F$753*18</f>
        <v>104.152736</v>
      </c>
      <c r="E581" s="15">
        <f t="shared" si="22"/>
        <v>0</v>
      </c>
      <c r="F581" s="164">
        <f>prices!F1244*Quotation!B581</f>
        <v>0</v>
      </c>
      <c r="G581" s="15"/>
      <c r="H581" s="800"/>
      <c r="I581" s="13"/>
      <c r="J581" s="13"/>
    </row>
    <row r="582" spans="1:10" x14ac:dyDescent="0.2">
      <c r="A582" s="1"/>
      <c r="B582" s="820"/>
      <c r="C582" s="39" t="s">
        <v>432</v>
      </c>
      <c r="D582" s="15">
        <f>(prices!$F$236*15)+(prices!F220*1)+prices!$F$753*18</f>
        <v>126.664736</v>
      </c>
      <c r="E582" s="15">
        <f t="shared" si="22"/>
        <v>0</v>
      </c>
      <c r="F582" s="164">
        <f>prices!F1244*Quotation!B582</f>
        <v>0</v>
      </c>
      <c r="G582" s="15"/>
      <c r="H582" s="800"/>
      <c r="I582" s="13"/>
      <c r="J582" s="13"/>
    </row>
    <row r="583" spans="1:10" x14ac:dyDescent="0.2">
      <c r="A583" s="160"/>
      <c r="B583" s="820"/>
      <c r="C583" s="39" t="s">
        <v>433</v>
      </c>
      <c r="D583" s="15">
        <f>prices!F236*9+(prices!F220*2)+prices!F753*36</f>
        <v>95.745472000000007</v>
      </c>
      <c r="E583" s="15">
        <f t="shared" si="22"/>
        <v>0</v>
      </c>
      <c r="F583" s="164">
        <f>prices!F1246*Quotation!B583</f>
        <v>0</v>
      </c>
      <c r="G583" s="15"/>
      <c r="H583" s="800"/>
      <c r="I583" s="13"/>
      <c r="J583" s="13"/>
    </row>
    <row r="584" spans="1:10" x14ac:dyDescent="0.2">
      <c r="A584" s="160"/>
      <c r="B584" s="820"/>
      <c r="C584" s="39"/>
      <c r="D584" s="15"/>
      <c r="E584" s="15"/>
      <c r="F584" s="164"/>
      <c r="G584" s="15"/>
      <c r="H584" s="800"/>
      <c r="I584" s="13"/>
      <c r="J584" s="13"/>
    </row>
    <row r="585" spans="1:10" x14ac:dyDescent="0.2">
      <c r="A585" s="160"/>
      <c r="B585" s="820"/>
      <c r="C585" s="52" t="s">
        <v>434</v>
      </c>
      <c r="D585" s="15"/>
      <c r="E585" s="15"/>
      <c r="F585" s="164"/>
      <c r="G585" s="15"/>
      <c r="H585" s="800"/>
      <c r="I585" s="13"/>
      <c r="J585" s="13"/>
    </row>
    <row r="586" spans="1:10" x14ac:dyDescent="0.2">
      <c r="A586" s="160"/>
      <c r="B586" s="820"/>
      <c r="C586" s="39" t="s">
        <v>435</v>
      </c>
      <c r="D586" s="15">
        <f>(prices!F236*36)+(prices!F412*13)+(prices!I755*200)</f>
        <v>894.48360000000002</v>
      </c>
      <c r="E586" s="15">
        <f t="shared" ref="E586:E591" si="23">D586*B586</f>
        <v>0</v>
      </c>
      <c r="F586" s="164">
        <f>(prices!$F$1245*B586)+(prices!$F$1237*13)*B586</f>
        <v>0</v>
      </c>
      <c r="G586" s="15"/>
      <c r="H586" s="800"/>
      <c r="I586" s="13"/>
      <c r="J586" s="13"/>
    </row>
    <row r="587" spans="1:10" x14ac:dyDescent="0.2">
      <c r="A587" s="160"/>
      <c r="B587" s="820"/>
      <c r="C587" s="39" t="s">
        <v>436</v>
      </c>
      <c r="D587" s="15">
        <f>(prices!F236*42)+(prices!F412*14.5)+(prices!I755*200)</f>
        <v>1011.0083999999999</v>
      </c>
      <c r="E587" s="15">
        <f t="shared" si="23"/>
        <v>0</v>
      </c>
      <c r="F587" s="164">
        <f>(prices!$F$1245*B587)+(prices!$F$1237*14.5)*B587</f>
        <v>0</v>
      </c>
      <c r="G587" s="15"/>
      <c r="H587" s="800"/>
      <c r="I587" s="13"/>
      <c r="J587" s="13"/>
    </row>
    <row r="588" spans="1:10" x14ac:dyDescent="0.2">
      <c r="A588" s="160"/>
      <c r="B588" s="820"/>
      <c r="C588" s="39" t="s">
        <v>437</v>
      </c>
      <c r="D588" s="15">
        <f>(prices!F236*48)+(prices!F412*18)+(prices!I755*200)</f>
        <v>1222.8675999999998</v>
      </c>
      <c r="E588" s="15">
        <f t="shared" si="23"/>
        <v>0</v>
      </c>
      <c r="F588" s="164">
        <f>(prices!$F$1245*B588)+(prices!$F$1237*18)*B588</f>
        <v>0</v>
      </c>
      <c r="G588" s="15"/>
      <c r="H588" s="800"/>
      <c r="I588" s="13"/>
      <c r="J588" s="13"/>
    </row>
    <row r="589" spans="1:10" x14ac:dyDescent="0.2">
      <c r="A589" s="160"/>
      <c r="B589" s="820"/>
      <c r="C589" s="39" t="s">
        <v>438</v>
      </c>
      <c r="D589" s="15">
        <f>(prices!F236*28.8)+(prices!F412*9.7)</f>
        <v>678.48703999999998</v>
      </c>
      <c r="E589" s="15">
        <f t="shared" si="23"/>
        <v>0</v>
      </c>
      <c r="F589" s="164">
        <f>(prices!$F$1245*B589)+(prices!$F$1237*9.7)*B589</f>
        <v>0</v>
      </c>
      <c r="G589" s="15"/>
      <c r="H589" s="800"/>
      <c r="I589" s="13"/>
      <c r="J589" s="13"/>
    </row>
    <row r="590" spans="1:10" x14ac:dyDescent="0.2">
      <c r="A590" s="160"/>
      <c r="B590" s="820"/>
      <c r="C590" s="39" t="s">
        <v>439</v>
      </c>
      <c r="D590" s="15">
        <f>(prices!F236*33.6)+(prices!F412*11.52)</f>
        <v>801.26054399999998</v>
      </c>
      <c r="E590" s="15">
        <f t="shared" si="23"/>
        <v>0</v>
      </c>
      <c r="F590" s="164">
        <f>(prices!$F$1245*B590)+(prices!$F$1237*11.52)*B590</f>
        <v>0</v>
      </c>
      <c r="G590" s="15"/>
      <c r="H590" s="800"/>
      <c r="I590" s="13"/>
      <c r="J590" s="13"/>
    </row>
    <row r="591" spans="1:10" x14ac:dyDescent="0.2">
      <c r="A591" s="160"/>
      <c r="B591" s="820"/>
      <c r="C591" s="39" t="s">
        <v>440</v>
      </c>
      <c r="D591" s="15">
        <f>(prices!F236*38.4)+(prices!F412*14.4)</f>
        <v>974.5612799999999</v>
      </c>
      <c r="E591" s="15">
        <f t="shared" si="23"/>
        <v>0</v>
      </c>
      <c r="F591" s="164">
        <f>(prices!$F$1245*B591)+(prices!$F$1237*14.4)*B591</f>
        <v>0</v>
      </c>
      <c r="G591" s="15"/>
      <c r="H591" s="800"/>
      <c r="I591" s="13"/>
      <c r="J591" s="13"/>
    </row>
    <row r="592" spans="1:10" x14ac:dyDescent="0.2">
      <c r="A592" s="160"/>
      <c r="B592" s="820"/>
      <c r="C592" s="39"/>
      <c r="D592" s="15"/>
      <c r="E592" s="15"/>
      <c r="F592" s="164"/>
      <c r="G592" s="15"/>
      <c r="H592" s="800"/>
      <c r="I592" s="13"/>
      <c r="J592" s="13"/>
    </row>
    <row r="593" spans="1:31" ht="13.5" thickBot="1" x14ac:dyDescent="0.25">
      <c r="A593" s="160"/>
      <c r="B593" s="820"/>
      <c r="C593" s="39"/>
      <c r="D593" s="15"/>
      <c r="E593" s="15"/>
      <c r="F593" s="164"/>
      <c r="G593" s="15"/>
      <c r="H593" s="800"/>
      <c r="I593" s="13"/>
      <c r="J593" s="13"/>
    </row>
    <row r="594" spans="1:31" ht="13.5" thickTop="1" x14ac:dyDescent="0.2">
      <c r="A594" s="160"/>
      <c r="B594" s="820"/>
      <c r="C594" s="52" t="s">
        <v>441</v>
      </c>
      <c r="D594" s="15"/>
      <c r="E594" s="15"/>
      <c r="F594" s="164"/>
      <c r="G594" s="15"/>
      <c r="H594" s="800"/>
      <c r="I594" s="13"/>
      <c r="J594" s="13"/>
      <c r="L594" s="175" t="s">
        <v>442</v>
      </c>
    </row>
    <row r="595" spans="1:31" x14ac:dyDescent="0.2">
      <c r="A595" s="160"/>
      <c r="B595" s="820"/>
      <c r="C595" s="167" t="str">
        <f>prices!B375</f>
        <v>2.4 Wall per lm</v>
      </c>
      <c r="D595" s="15">
        <f>prices!F375</f>
        <v>617.5427211851852</v>
      </c>
      <c r="E595" s="15">
        <f>D595*B595</f>
        <v>0</v>
      </c>
      <c r="F595" s="164">
        <f>(prices!F1234*prices!H375*2+prices!F1244)*B595</f>
        <v>0</v>
      </c>
      <c r="G595" s="109">
        <f>prices!F1054*B595</f>
        <v>0</v>
      </c>
      <c r="H595" s="800"/>
      <c r="I595" s="13"/>
      <c r="J595" s="13"/>
      <c r="L595" s="176">
        <f>2.4*B595</f>
        <v>0</v>
      </c>
    </row>
    <row r="596" spans="1:31" x14ac:dyDescent="0.2">
      <c r="A596" s="160"/>
      <c r="B596" s="820"/>
      <c r="C596" s="167" t="str">
        <f>prices!B376</f>
        <v>2.7 Wall per lm</v>
      </c>
      <c r="D596" s="15">
        <f>prices!F376</f>
        <v>701.42608000000007</v>
      </c>
      <c r="E596" s="15">
        <f t="shared" ref="E596:E598" si="24">D596*B596</f>
        <v>0</v>
      </c>
      <c r="F596" s="164">
        <f>(prices!F1234*prices!H376*2+prices!F1244)*B596</f>
        <v>0</v>
      </c>
      <c r="G596" s="109">
        <f>prices!F1054*B596</f>
        <v>0</v>
      </c>
      <c r="H596" s="800"/>
      <c r="I596" s="13"/>
      <c r="J596" s="13"/>
      <c r="L596" s="176">
        <f>2.7*B596</f>
        <v>0</v>
      </c>
      <c r="AC596" s="177"/>
      <c r="AD596" s="177"/>
      <c r="AE596" s="177"/>
    </row>
    <row r="597" spans="1:31" ht="13.5" thickBot="1" x14ac:dyDescent="0.25">
      <c r="A597" s="160"/>
      <c r="B597" s="820"/>
      <c r="C597" s="167" t="str">
        <f>prices!B377</f>
        <v>3.0 Wall per lm</v>
      </c>
      <c r="D597" s="15">
        <f>prices!F377</f>
        <v>771.80139614814823</v>
      </c>
      <c r="E597" s="15">
        <f t="shared" si="24"/>
        <v>0</v>
      </c>
      <c r="F597" s="164">
        <f>(prices!F1234*prices!H377*2+prices!F1244)*B597</f>
        <v>0</v>
      </c>
      <c r="G597" s="109">
        <f>prices!F1054*B597</f>
        <v>0</v>
      </c>
      <c r="H597" s="800"/>
      <c r="I597" s="13"/>
      <c r="J597" s="13"/>
      <c r="L597" s="178">
        <f>3*B597</f>
        <v>0</v>
      </c>
      <c r="AC597" s="177"/>
      <c r="AD597" s="177"/>
      <c r="AE597" s="177"/>
    </row>
    <row r="598" spans="1:31" ht="13.5" thickTop="1" x14ac:dyDescent="0.2">
      <c r="A598" s="160"/>
      <c r="B598" s="820"/>
      <c r="C598" s="167" t="str">
        <f>prices!B378</f>
        <v>3.6 Wall per lm</v>
      </c>
      <c r="D598" s="15">
        <f>prices!F378</f>
        <v>921.80088711111102</v>
      </c>
      <c r="E598" s="15">
        <f t="shared" si="24"/>
        <v>0</v>
      </c>
      <c r="F598" s="164">
        <f>(prices!F1234*prices!H378*2+prices!F1244)*B598</f>
        <v>0</v>
      </c>
      <c r="G598" s="109">
        <f>prices!F1054*B598</f>
        <v>0</v>
      </c>
      <c r="H598" s="800"/>
      <c r="I598" s="13"/>
      <c r="J598" s="13"/>
      <c r="AC598" s="177"/>
      <c r="AD598" s="177" t="s">
        <v>443</v>
      </c>
      <c r="AE598" s="177"/>
    </row>
    <row r="599" spans="1:31" x14ac:dyDescent="0.2">
      <c r="A599" s="160"/>
      <c r="B599" s="833">
        <f>IF(AD599&gt;0.01,1,0)</f>
        <v>0</v>
      </c>
      <c r="C599" s="167" t="s">
        <v>444</v>
      </c>
      <c r="D599" s="179">
        <f>prices!F372</f>
        <v>128</v>
      </c>
      <c r="E599" s="179">
        <f>IF(B599&gt;0.01,D599,0)</f>
        <v>0</v>
      </c>
      <c r="F599" s="164"/>
      <c r="G599" s="15"/>
      <c r="H599" s="800"/>
      <c r="I599" s="13"/>
      <c r="J599" s="13"/>
      <c r="AC599" s="177"/>
      <c r="AD599" s="180">
        <f>SUM(B595:B598)</f>
        <v>0</v>
      </c>
      <c r="AE599" s="177"/>
    </row>
    <row r="600" spans="1:31" ht="13.5" thickBot="1" x14ac:dyDescent="0.25">
      <c r="A600" s="160"/>
      <c r="B600" s="820"/>
      <c r="C600" s="167"/>
      <c r="D600" s="15"/>
      <c r="E600" s="15"/>
      <c r="F600" s="164"/>
      <c r="G600" s="15"/>
      <c r="H600" s="800"/>
      <c r="I600" s="13"/>
      <c r="J600" s="13"/>
    </row>
    <row r="601" spans="1:31" ht="13.5" thickTop="1" x14ac:dyDescent="0.2">
      <c r="A601" s="160"/>
      <c r="B601" s="820"/>
      <c r="C601" s="181" t="s">
        <v>445</v>
      </c>
      <c r="D601" s="15"/>
      <c r="E601" s="15"/>
      <c r="F601" s="164"/>
      <c r="G601" s="15"/>
      <c r="H601" s="800"/>
      <c r="I601" s="13"/>
      <c r="J601" s="13"/>
      <c r="L601" s="182" t="s">
        <v>446</v>
      </c>
    </row>
    <row r="602" spans="1:31" x14ac:dyDescent="0.2">
      <c r="A602" s="160"/>
      <c r="B602" s="820"/>
      <c r="C602" s="181"/>
      <c r="D602" s="15"/>
      <c r="E602" s="15"/>
      <c r="F602" s="164"/>
      <c r="G602" s="15"/>
      <c r="H602" s="800"/>
      <c r="I602" s="13"/>
      <c r="J602" s="13"/>
      <c r="L602" s="171"/>
    </row>
    <row r="603" spans="1:31" x14ac:dyDescent="0.2">
      <c r="A603" s="160"/>
      <c r="B603" s="820"/>
      <c r="C603" s="167" t="s">
        <v>447</v>
      </c>
      <c r="D603" s="15">
        <f>INDEX(prices!$F$1552:$F$11572,MATCH(Quotation!C603,prices!$B$1552:$B$1572,0))</f>
        <v>2.88</v>
      </c>
      <c r="E603" s="140"/>
      <c r="F603" s="164">
        <f>prices!F1258*Quotation!B603</f>
        <v>0</v>
      </c>
      <c r="G603" s="15"/>
      <c r="H603" s="800"/>
      <c r="I603" s="13"/>
      <c r="J603" s="13"/>
      <c r="L603" s="168">
        <f t="shared" ref="L603:L611" si="25">D603*B603</f>
        <v>0</v>
      </c>
    </row>
    <row r="604" spans="1:31" x14ac:dyDescent="0.2">
      <c r="A604" s="160"/>
      <c r="B604" s="820"/>
      <c r="C604" s="167" t="s">
        <v>448</v>
      </c>
      <c r="D604" s="15">
        <f>INDEX(prices!$F$1552:$F$11572,MATCH(Quotation!C604,prices!$B$1552:$B$1572,0))</f>
        <v>1120</v>
      </c>
      <c r="E604" s="140"/>
      <c r="F604" s="164">
        <f>prices!F1258*Quotation!B604</f>
        <v>0</v>
      </c>
      <c r="G604" s="15"/>
      <c r="H604" s="800"/>
      <c r="I604" s="13"/>
      <c r="J604" s="13"/>
      <c r="L604" s="168">
        <f t="shared" si="25"/>
        <v>0</v>
      </c>
    </row>
    <row r="605" spans="1:31" x14ac:dyDescent="0.2">
      <c r="A605" s="160"/>
      <c r="B605" s="820"/>
      <c r="C605" s="167" t="s">
        <v>448</v>
      </c>
      <c r="D605" s="15">
        <f>INDEX(prices!$F$1552:$F$11572,MATCH(Quotation!C605,prices!$B$1552:$B$1572,0))</f>
        <v>1120</v>
      </c>
      <c r="E605" s="140"/>
      <c r="F605" s="164">
        <f>prices!F1258*Quotation!B605</f>
        <v>0</v>
      </c>
      <c r="G605" s="15"/>
      <c r="H605" s="800"/>
      <c r="I605" s="13"/>
      <c r="J605" s="13"/>
      <c r="L605" s="168">
        <f t="shared" si="25"/>
        <v>0</v>
      </c>
    </row>
    <row r="606" spans="1:31" x14ac:dyDescent="0.2">
      <c r="A606" s="160"/>
      <c r="B606" s="820"/>
      <c r="C606" s="167" t="s">
        <v>448</v>
      </c>
      <c r="D606" s="15">
        <f>INDEX(prices!$F$1552:$F$11572,MATCH(Quotation!C606,prices!$B$1552:$B$1572,0))</f>
        <v>1120</v>
      </c>
      <c r="E606" s="140"/>
      <c r="F606" s="164"/>
      <c r="G606" s="15"/>
      <c r="H606" s="800"/>
      <c r="I606" s="13"/>
      <c r="J606" s="13"/>
      <c r="L606" s="168">
        <f t="shared" si="25"/>
        <v>0</v>
      </c>
    </row>
    <row r="607" spans="1:31" x14ac:dyDescent="0.2">
      <c r="A607" s="160"/>
      <c r="B607" s="820"/>
      <c r="C607" s="167" t="s">
        <v>448</v>
      </c>
      <c r="D607" s="15">
        <f>INDEX(prices!$F$1552:$F$11572,MATCH(Quotation!C607,prices!$B$1552:$B$1572,0))</f>
        <v>1120</v>
      </c>
      <c r="E607" s="140"/>
      <c r="F607" s="164"/>
      <c r="G607" s="15"/>
      <c r="H607" s="800"/>
      <c r="I607" s="13"/>
      <c r="J607" s="13"/>
      <c r="L607" s="168">
        <f t="shared" si="25"/>
        <v>0</v>
      </c>
    </row>
    <row r="608" spans="1:31" x14ac:dyDescent="0.2">
      <c r="A608" s="160"/>
      <c r="B608" s="820"/>
      <c r="C608" s="167" t="s">
        <v>448</v>
      </c>
      <c r="D608" s="15">
        <f>INDEX(prices!$F$1552:$F$11572,MATCH(Quotation!C608,prices!$B$1552:$B$1572,0))</f>
        <v>1120</v>
      </c>
      <c r="E608" s="140"/>
      <c r="F608" s="164"/>
      <c r="G608" s="15"/>
      <c r="H608" s="800"/>
      <c r="I608" s="13"/>
      <c r="J608" s="13"/>
      <c r="L608" s="168">
        <f t="shared" si="25"/>
        <v>0</v>
      </c>
    </row>
    <row r="609" spans="1:12" x14ac:dyDescent="0.2">
      <c r="A609" s="160"/>
      <c r="B609" s="820"/>
      <c r="C609" s="167" t="s">
        <v>448</v>
      </c>
      <c r="D609" s="15">
        <f>INDEX(prices!$F$1552:$F$11572,MATCH(Quotation!C609,prices!$B$1552:$B$1572,0))</f>
        <v>1120</v>
      </c>
      <c r="E609" s="140"/>
      <c r="F609" s="164"/>
      <c r="G609" s="15"/>
      <c r="H609" s="800"/>
      <c r="I609" s="13"/>
      <c r="J609" s="13"/>
      <c r="L609" s="168">
        <f t="shared" si="25"/>
        <v>0</v>
      </c>
    </row>
    <row r="610" spans="1:12" x14ac:dyDescent="0.2">
      <c r="A610" s="160"/>
      <c r="B610" s="820"/>
      <c r="C610" s="167" t="s">
        <v>448</v>
      </c>
      <c r="D610" s="15">
        <f>INDEX(prices!$F$1552:$F$11572,MATCH(Quotation!C610,prices!$B$1552:$B$1572,0))</f>
        <v>1120</v>
      </c>
      <c r="E610" s="140"/>
      <c r="F610" s="164"/>
      <c r="G610" s="15"/>
      <c r="H610" s="800"/>
      <c r="I610" s="13"/>
      <c r="J610" s="13"/>
      <c r="L610" s="168">
        <f t="shared" si="25"/>
        <v>0</v>
      </c>
    </row>
    <row r="611" spans="1:12" x14ac:dyDescent="0.2">
      <c r="A611" s="160"/>
      <c r="B611" s="820"/>
      <c r="C611" s="167" t="s">
        <v>449</v>
      </c>
      <c r="D611" s="15">
        <f>INDEX(prices!$F$1552:$F$11572,MATCH(Quotation!C611,prices!$B$1552:$B$1572,0))</f>
        <v>128</v>
      </c>
      <c r="E611" s="140"/>
      <c r="F611" s="164"/>
      <c r="G611" s="15"/>
      <c r="H611" s="800"/>
      <c r="I611" s="13"/>
      <c r="J611" s="13"/>
      <c r="L611" s="168">
        <f t="shared" si="25"/>
        <v>0</v>
      </c>
    </row>
    <row r="612" spans="1:12" ht="13.5" thickBot="1" x14ac:dyDescent="0.25">
      <c r="A612" s="160"/>
      <c r="B612" s="820"/>
      <c r="C612" s="167" t="s">
        <v>450</v>
      </c>
      <c r="D612" s="15">
        <f>INDEX(prices!$F$1552:$F$11572,MATCH(Quotation!C612,prices!$B$1552:$B$1572,0))</f>
        <v>3.2</v>
      </c>
      <c r="E612" s="82">
        <f>D612*B612</f>
        <v>0</v>
      </c>
      <c r="F612" s="164"/>
      <c r="G612" s="15"/>
      <c r="H612" s="800"/>
      <c r="I612" s="13"/>
      <c r="J612" s="13"/>
      <c r="L612" s="172">
        <f>SUM(L603:L611)</f>
        <v>0</v>
      </c>
    </row>
    <row r="613" spans="1:12" ht="13.5" thickTop="1" x14ac:dyDescent="0.2">
      <c r="A613" s="160"/>
      <c r="B613" s="820"/>
      <c r="C613" s="167" t="s">
        <v>451</v>
      </c>
      <c r="D613" s="15">
        <f>INDEX(prices!$F$1552:$F$11572,MATCH(Quotation!C613,prices!$B$1552:$B$1572,0))</f>
        <v>400</v>
      </c>
      <c r="E613" s="82">
        <f>D613*B613</f>
        <v>0</v>
      </c>
      <c r="F613" s="164"/>
      <c r="G613" s="15"/>
      <c r="H613" s="800"/>
      <c r="I613" s="13"/>
      <c r="J613" s="13"/>
      <c r="L613" s="81"/>
    </row>
    <row r="614" spans="1:12" x14ac:dyDescent="0.2">
      <c r="A614" s="160"/>
      <c r="B614" s="820"/>
      <c r="C614" s="167"/>
      <c r="D614" s="15"/>
      <c r="E614" s="15"/>
      <c r="F614" s="164"/>
      <c r="G614" s="15"/>
      <c r="H614" s="800"/>
      <c r="I614" s="13"/>
      <c r="J614" s="13"/>
      <c r="L614" s="81"/>
    </row>
    <row r="615" spans="1:12" x14ac:dyDescent="0.2">
      <c r="A615" s="160"/>
      <c r="B615" s="820"/>
      <c r="C615" s="167" t="s">
        <v>452</v>
      </c>
      <c r="D615" s="15"/>
      <c r="E615" s="15">
        <f>L612</f>
        <v>0</v>
      </c>
      <c r="F615" s="164"/>
      <c r="G615" s="15"/>
      <c r="H615" s="800"/>
      <c r="I615" s="13"/>
      <c r="J615" s="13"/>
    </row>
    <row r="616" spans="1:12" x14ac:dyDescent="0.2">
      <c r="A616" s="160"/>
      <c r="B616" s="820"/>
      <c r="C616" s="167"/>
      <c r="D616" s="15"/>
      <c r="E616" s="15"/>
      <c r="F616" s="164"/>
      <c r="G616" s="15"/>
      <c r="H616" s="800"/>
      <c r="I616" s="13"/>
      <c r="J616" s="13"/>
    </row>
    <row r="617" spans="1:12" x14ac:dyDescent="0.2">
      <c r="A617" s="160"/>
      <c r="B617" s="820"/>
      <c r="C617" s="167"/>
      <c r="D617" s="15"/>
      <c r="E617" s="15"/>
      <c r="F617" s="164"/>
      <c r="G617" s="15"/>
      <c r="H617" s="800"/>
      <c r="I617" s="13"/>
      <c r="J617" s="13"/>
      <c r="L617" s="81"/>
    </row>
    <row r="618" spans="1:12" x14ac:dyDescent="0.2">
      <c r="A618" s="183"/>
      <c r="B618" s="820"/>
      <c r="C618" s="181" t="s">
        <v>453</v>
      </c>
      <c r="D618" s="15"/>
      <c r="E618" s="15"/>
      <c r="F618" s="164"/>
      <c r="G618" s="15"/>
      <c r="H618" s="800"/>
      <c r="I618" s="13"/>
      <c r="J618" s="13"/>
    </row>
    <row r="619" spans="1:12" x14ac:dyDescent="0.2">
      <c r="A619" s="160"/>
      <c r="B619" s="820"/>
      <c r="C619" s="167" t="s">
        <v>454</v>
      </c>
      <c r="D619" s="15">
        <f>INDEX(prices!$F$453:$F$457,MATCH(Quotation!C619,prices!$B$453:$B$457,0))</f>
        <v>55.616</v>
      </c>
      <c r="E619" s="15">
        <f>D619*B619</f>
        <v>0</v>
      </c>
      <c r="F619" s="184">
        <f>prices!F1274*Quotation!B619</f>
        <v>0</v>
      </c>
      <c r="G619" s="15"/>
      <c r="H619" s="800"/>
      <c r="I619" s="13"/>
      <c r="J619" s="13"/>
    </row>
    <row r="620" spans="1:12" x14ac:dyDescent="0.2">
      <c r="A620" s="160"/>
      <c r="B620" s="820"/>
      <c r="C620" s="167" t="s">
        <v>455</v>
      </c>
      <c r="D620" s="15">
        <f>INDEX(prices!$F$453:$F$457,MATCH(Quotation!C620,prices!$B$453:$B$457,0))</f>
        <v>430.11199999999997</v>
      </c>
      <c r="E620" s="15">
        <f t="shared" ref="E620:E622" si="26">D620*B620</f>
        <v>0</v>
      </c>
      <c r="F620" s="184">
        <f>prices!F1274*Quotation!B620</f>
        <v>0</v>
      </c>
      <c r="G620" s="15"/>
      <c r="H620" s="800"/>
      <c r="I620" s="13"/>
      <c r="J620" s="13"/>
    </row>
    <row r="621" spans="1:12" x14ac:dyDescent="0.2">
      <c r="A621" s="160"/>
      <c r="B621" s="820"/>
      <c r="C621" s="167" t="s">
        <v>456</v>
      </c>
      <c r="D621" s="15">
        <f>INDEX(prices!$F$453:$F$457,MATCH(Quotation!C621,prices!$B$453:$B$457,0))</f>
        <v>70.176000000000002</v>
      </c>
      <c r="E621" s="15">
        <f t="shared" si="26"/>
        <v>0</v>
      </c>
      <c r="F621" s="184">
        <f>prices!F1274*Quotation!B621</f>
        <v>0</v>
      </c>
      <c r="G621" s="15"/>
      <c r="H621" s="800"/>
      <c r="I621" s="13"/>
      <c r="J621" s="13"/>
    </row>
    <row r="622" spans="1:12" x14ac:dyDescent="0.2">
      <c r="A622" s="160"/>
      <c r="B622" s="820"/>
      <c r="C622" s="167" t="s">
        <v>454</v>
      </c>
      <c r="D622" s="15">
        <f>INDEX(prices!$F$453:$F$457,MATCH(Quotation!C622,prices!$B$453:$B$457,0))</f>
        <v>55.616</v>
      </c>
      <c r="E622" s="15">
        <f t="shared" si="26"/>
        <v>0</v>
      </c>
      <c r="F622" s="184">
        <f>prices!F1274*Quotation!B622</f>
        <v>0</v>
      </c>
      <c r="G622" s="15"/>
      <c r="H622" s="800"/>
      <c r="I622" s="13"/>
      <c r="J622" s="13"/>
    </row>
    <row r="623" spans="1:12" x14ac:dyDescent="0.2">
      <c r="A623" s="160"/>
      <c r="B623" s="820"/>
      <c r="C623" s="181"/>
      <c r="D623" s="15"/>
      <c r="E623" s="15"/>
      <c r="F623" s="164"/>
      <c r="G623" s="15"/>
      <c r="H623" s="800"/>
      <c r="I623" s="13"/>
      <c r="J623" s="13"/>
    </row>
    <row r="624" spans="1:12" x14ac:dyDescent="0.2">
      <c r="A624" s="160"/>
      <c r="B624" s="820"/>
      <c r="C624" s="167"/>
      <c r="D624" s="15"/>
      <c r="E624" s="15"/>
      <c r="F624" s="164"/>
      <c r="G624" s="15"/>
      <c r="H624" s="800"/>
      <c r="I624" s="13"/>
      <c r="J624" s="13"/>
    </row>
    <row r="625" spans="1:10" x14ac:dyDescent="0.2">
      <c r="A625" s="160"/>
      <c r="B625" s="820"/>
      <c r="C625" s="185" t="s">
        <v>457</v>
      </c>
      <c r="D625" s="15"/>
      <c r="E625" s="15"/>
      <c r="F625" s="164"/>
      <c r="G625" s="15"/>
      <c r="H625" s="800"/>
      <c r="I625" s="13"/>
      <c r="J625" s="13"/>
    </row>
    <row r="626" spans="1:10" x14ac:dyDescent="0.2">
      <c r="A626" s="160"/>
      <c r="B626" s="820"/>
      <c r="C626" s="167" t="s">
        <v>458</v>
      </c>
      <c r="D626" s="15">
        <f>INDEX(prices!$F$503:$F$512,MATCH(Quotation!C626,prices!$B$503:$B$512,0))</f>
        <v>0</v>
      </c>
      <c r="E626" s="15">
        <f>D626*B626</f>
        <v>0</v>
      </c>
      <c r="F626" s="164">
        <f>prices!F1286*Quotation!B626</f>
        <v>0</v>
      </c>
      <c r="G626" s="15"/>
      <c r="H626" s="800"/>
      <c r="I626" s="13"/>
      <c r="J626" s="13"/>
    </row>
    <row r="627" spans="1:10" x14ac:dyDescent="0.2">
      <c r="A627" s="160"/>
      <c r="B627" s="820"/>
      <c r="C627" s="167" t="s">
        <v>458</v>
      </c>
      <c r="D627" s="15">
        <f>INDEX(prices!$F$503:$F$512,MATCH(Quotation!C627,prices!$B$503:$B$512,0))</f>
        <v>0</v>
      </c>
      <c r="E627" s="15">
        <f t="shared" ref="E627:E629" si="27">D627*B627</f>
        <v>0</v>
      </c>
      <c r="F627" s="164">
        <f>prices!F1286*Quotation!B627</f>
        <v>0</v>
      </c>
      <c r="G627" s="15"/>
      <c r="H627" s="800"/>
      <c r="I627" s="13"/>
      <c r="J627" s="13"/>
    </row>
    <row r="628" spans="1:10" x14ac:dyDescent="0.2">
      <c r="A628" s="160"/>
      <c r="B628" s="820"/>
      <c r="C628" s="167" t="s">
        <v>459</v>
      </c>
      <c r="D628" s="15">
        <f>INDEX(prices!$F$503:$F$512,MATCH(Quotation!C628,prices!$B$503:$B$512,0))</f>
        <v>0</v>
      </c>
      <c r="E628" s="15">
        <f t="shared" si="27"/>
        <v>0</v>
      </c>
      <c r="F628" s="164">
        <f>prices!F1286*Quotation!B628</f>
        <v>0</v>
      </c>
      <c r="G628" s="15"/>
      <c r="H628" s="800"/>
      <c r="I628" s="13"/>
      <c r="J628" s="13"/>
    </row>
    <row r="629" spans="1:10" x14ac:dyDescent="0.2">
      <c r="A629" s="160"/>
      <c r="B629" s="820"/>
      <c r="C629" s="167" t="s">
        <v>460</v>
      </c>
      <c r="D629" s="15">
        <f>INDEX(prices!$F$503:$F$512,MATCH(Quotation!C629,prices!$B$503:$B$512,0))</f>
        <v>0</v>
      </c>
      <c r="E629" s="15">
        <f t="shared" si="27"/>
        <v>0</v>
      </c>
      <c r="F629" s="164">
        <f>prices!F1286*Quotation!B629</f>
        <v>0</v>
      </c>
      <c r="G629" s="15"/>
      <c r="H629" s="800"/>
      <c r="I629" s="13"/>
      <c r="J629" s="13"/>
    </row>
    <row r="630" spans="1:10" x14ac:dyDescent="0.2">
      <c r="A630" s="160"/>
      <c r="B630" s="820"/>
      <c r="C630" s="181"/>
      <c r="D630" s="15"/>
      <c r="E630" s="15"/>
      <c r="F630" s="164"/>
      <c r="G630" s="15"/>
      <c r="H630" s="800"/>
      <c r="I630" s="13"/>
      <c r="J630" s="13"/>
    </row>
    <row r="631" spans="1:10" x14ac:dyDescent="0.2">
      <c r="A631" s="160"/>
      <c r="B631" s="820"/>
      <c r="C631" s="181" t="s">
        <v>461</v>
      </c>
      <c r="D631" s="15"/>
      <c r="E631" s="15"/>
      <c r="F631" s="164"/>
      <c r="G631" s="15"/>
      <c r="H631" s="800"/>
      <c r="I631" s="13"/>
      <c r="J631" s="13"/>
    </row>
    <row r="632" spans="1:10" x14ac:dyDescent="0.2">
      <c r="A632" s="160"/>
      <c r="B632" s="820"/>
      <c r="C632" s="167" t="s">
        <v>462</v>
      </c>
      <c r="D632" s="15">
        <f>INDEX(prices!$F$461:$F$464,MATCH(Quotation!C632,prices!$B$461:$B$464,0))</f>
        <v>462.4</v>
      </c>
      <c r="E632" s="15">
        <f>D632*B632</f>
        <v>0</v>
      </c>
      <c r="F632" s="164">
        <f>prices!F1278*Quotation!B632</f>
        <v>0</v>
      </c>
      <c r="G632" s="15"/>
      <c r="H632" s="800"/>
      <c r="I632" s="13"/>
      <c r="J632" s="13"/>
    </row>
    <row r="633" spans="1:10" x14ac:dyDescent="0.2">
      <c r="A633" s="160"/>
      <c r="B633" s="820"/>
      <c r="C633" s="167" t="s">
        <v>463</v>
      </c>
      <c r="D633" s="15">
        <f>INDEX(prices!$F$461:$F$464,MATCH(Quotation!C633,prices!$B$461:$B$464,0))</f>
        <v>304</v>
      </c>
      <c r="E633" s="15">
        <f t="shared" ref="E633:E634" si="28">D633*B633</f>
        <v>0</v>
      </c>
      <c r="F633" s="164">
        <f>prices!F1278*Quotation!B633</f>
        <v>0</v>
      </c>
      <c r="G633" s="15"/>
      <c r="H633" s="800"/>
      <c r="I633" s="13"/>
      <c r="J633" s="13"/>
    </row>
    <row r="634" spans="1:10" x14ac:dyDescent="0.2">
      <c r="A634" s="160"/>
      <c r="B634" s="820"/>
      <c r="C634" s="167" t="s">
        <v>464</v>
      </c>
      <c r="D634" s="15">
        <f>INDEX(prices!$F$461:$F$464,MATCH(Quotation!C634,prices!$B$461:$B$464,0))</f>
        <v>0</v>
      </c>
      <c r="E634" s="15">
        <f t="shared" si="28"/>
        <v>0</v>
      </c>
      <c r="F634" s="164">
        <f>prices!F1278*Quotation!B634</f>
        <v>0</v>
      </c>
      <c r="G634" s="15"/>
      <c r="H634" s="800"/>
      <c r="I634" s="13"/>
      <c r="J634" s="13"/>
    </row>
    <row r="635" spans="1:10" x14ac:dyDescent="0.2">
      <c r="A635" s="160"/>
      <c r="B635" s="848">
        <f>SUM(B632:B634)</f>
        <v>0</v>
      </c>
      <c r="C635" s="167" t="s">
        <v>465</v>
      </c>
      <c r="D635" s="15">
        <f>prices!C481+prices!C485</f>
        <v>60</v>
      </c>
      <c r="E635" s="15">
        <f>D635*B635</f>
        <v>0</v>
      </c>
      <c r="F635" s="164"/>
      <c r="G635" s="15"/>
      <c r="H635" s="800"/>
      <c r="I635" s="13"/>
      <c r="J635" s="13"/>
    </row>
    <row r="636" spans="1:10" x14ac:dyDescent="0.2">
      <c r="A636" s="160"/>
      <c r="B636" s="820"/>
      <c r="C636" s="181"/>
      <c r="D636" s="15"/>
      <c r="E636" s="15"/>
      <c r="F636" s="164"/>
      <c r="G636" s="15"/>
      <c r="H636" s="800"/>
      <c r="I636" s="13"/>
      <c r="J636" s="13"/>
    </row>
    <row r="637" spans="1:10" x14ac:dyDescent="0.2">
      <c r="A637" s="160"/>
      <c r="B637" s="820"/>
      <c r="C637" s="181" t="s">
        <v>466</v>
      </c>
      <c r="D637" s="15"/>
      <c r="E637" s="15"/>
      <c r="F637" s="164"/>
      <c r="G637" s="15"/>
      <c r="H637" s="800"/>
      <c r="I637" s="13"/>
      <c r="J637" s="13"/>
    </row>
    <row r="638" spans="1:10" x14ac:dyDescent="0.2">
      <c r="A638" s="160"/>
      <c r="B638" s="820"/>
      <c r="C638" s="167" t="s">
        <v>467</v>
      </c>
      <c r="D638" s="15">
        <f>INDEX(prices!$F$465:$F$478,MATCH(Quotation!C638,prices!$B$465:$B$478,0))</f>
        <v>65.455999999999989</v>
      </c>
      <c r="E638" s="15">
        <f>D638*B638</f>
        <v>0</v>
      </c>
      <c r="F638" s="164">
        <f>prices!F1279*B638</f>
        <v>0</v>
      </c>
      <c r="G638" s="15"/>
      <c r="H638" s="800"/>
      <c r="I638" s="13"/>
      <c r="J638" s="13"/>
    </row>
    <row r="639" spans="1:10" x14ac:dyDescent="0.2">
      <c r="A639" s="160"/>
      <c r="B639" s="820"/>
      <c r="C639" s="167" t="s">
        <v>467</v>
      </c>
      <c r="D639" s="15">
        <f>INDEX(prices!$F$465:$F$478,MATCH(Quotation!C639,prices!$B$465:$B$478,0))</f>
        <v>65.455999999999989</v>
      </c>
      <c r="E639" s="15">
        <f t="shared" ref="E639:E641" si="29">D639*B639</f>
        <v>0</v>
      </c>
      <c r="F639" s="164">
        <f>prices!F1279*B639</f>
        <v>0</v>
      </c>
      <c r="G639" s="15"/>
      <c r="H639" s="800"/>
      <c r="I639" s="13"/>
      <c r="J639" s="13"/>
    </row>
    <row r="640" spans="1:10" x14ac:dyDescent="0.2">
      <c r="A640" s="160"/>
      <c r="B640" s="820"/>
      <c r="C640" s="167" t="s">
        <v>467</v>
      </c>
      <c r="D640" s="15">
        <f>INDEX(prices!$F$465:$F$478,MATCH(Quotation!C640,prices!$B$465:$B$478,0))</f>
        <v>65.455999999999989</v>
      </c>
      <c r="E640" s="15">
        <f t="shared" si="29"/>
        <v>0</v>
      </c>
      <c r="F640" s="164">
        <f>prices!F1279*B640</f>
        <v>0</v>
      </c>
      <c r="G640" s="15"/>
      <c r="H640" s="800"/>
      <c r="I640" s="13"/>
      <c r="J640" s="13"/>
    </row>
    <row r="641" spans="1:10" x14ac:dyDescent="0.2">
      <c r="A641" s="160"/>
      <c r="B641" s="820"/>
      <c r="C641" s="167" t="s">
        <v>467</v>
      </c>
      <c r="D641" s="15">
        <f>INDEX(prices!$F$465:$F$478,MATCH(Quotation!C641,prices!$B$465:$B$478,0))</f>
        <v>65.455999999999989</v>
      </c>
      <c r="E641" s="15">
        <f t="shared" si="29"/>
        <v>0</v>
      </c>
      <c r="F641" s="164">
        <f>prices!F1279*B641</f>
        <v>0</v>
      </c>
      <c r="G641" s="15"/>
      <c r="H641" s="800"/>
      <c r="I641" s="13"/>
      <c r="J641" s="13"/>
    </row>
    <row r="642" spans="1:10" x14ac:dyDescent="0.2">
      <c r="A642" s="160"/>
      <c r="B642" s="820"/>
      <c r="C642" s="167"/>
      <c r="D642" s="15"/>
      <c r="E642" s="15"/>
      <c r="F642" s="164"/>
      <c r="G642" s="15"/>
      <c r="H642" s="800"/>
      <c r="I642" s="13"/>
      <c r="J642" s="13"/>
    </row>
    <row r="643" spans="1:10" x14ac:dyDescent="0.2">
      <c r="A643" s="160"/>
      <c r="B643" s="820"/>
      <c r="C643" s="185" t="s">
        <v>468</v>
      </c>
      <c r="D643" s="15"/>
      <c r="E643" s="15"/>
      <c r="F643" s="164"/>
      <c r="G643" s="15"/>
      <c r="H643" s="800"/>
      <c r="I643" s="13"/>
      <c r="J643" s="13"/>
    </row>
    <row r="644" spans="1:10" x14ac:dyDescent="0.2">
      <c r="A644" s="160"/>
      <c r="B644" s="820"/>
      <c r="C644" s="167" t="s">
        <v>469</v>
      </c>
      <c r="D644" s="15">
        <f>INDEX(prices!$F$514:$F$570,MATCH(Quotation!C644,prices!$B$514:$B$570,0))</f>
        <v>0</v>
      </c>
      <c r="E644" s="15">
        <f>D644*B644</f>
        <v>0</v>
      </c>
      <c r="F644" s="164">
        <f>prices!F1295*B644</f>
        <v>0</v>
      </c>
      <c r="G644" s="15"/>
      <c r="H644" s="800"/>
      <c r="I644" s="13"/>
      <c r="J644" s="13"/>
    </row>
    <row r="645" spans="1:10" x14ac:dyDescent="0.2">
      <c r="A645" s="160"/>
      <c r="B645" s="820"/>
      <c r="C645" s="167" t="s">
        <v>469</v>
      </c>
      <c r="D645" s="15">
        <f>INDEX(prices!$F$514:$F$570,MATCH(Quotation!C645,prices!$B$514:$B$570,0))</f>
        <v>0</v>
      </c>
      <c r="E645" s="15">
        <f t="shared" ref="E645:E649" si="30">D645*B645</f>
        <v>0</v>
      </c>
      <c r="F645" s="164">
        <f>prices!F1295*B645</f>
        <v>0</v>
      </c>
      <c r="G645" s="15"/>
      <c r="H645" s="800"/>
      <c r="I645" s="13"/>
      <c r="J645" s="13"/>
    </row>
    <row r="646" spans="1:10" x14ac:dyDescent="0.2">
      <c r="A646" s="160"/>
      <c r="B646" s="820"/>
      <c r="C646" s="167" t="s">
        <v>469</v>
      </c>
      <c r="D646" s="15">
        <f>INDEX(prices!$F$514:$F$570,MATCH(Quotation!C646,prices!$B$514:$B$570,0))</f>
        <v>0</v>
      </c>
      <c r="E646" s="15">
        <f t="shared" si="30"/>
        <v>0</v>
      </c>
      <c r="F646" s="164">
        <f>prices!F1295*B646</f>
        <v>0</v>
      </c>
      <c r="G646" s="15"/>
      <c r="H646" s="800"/>
      <c r="I646" s="13"/>
      <c r="J646" s="13"/>
    </row>
    <row r="647" spans="1:10" x14ac:dyDescent="0.2">
      <c r="A647" s="160"/>
      <c r="B647" s="820"/>
      <c r="C647" s="167" t="s">
        <v>469</v>
      </c>
      <c r="D647" s="15">
        <f>INDEX(prices!$F$514:$F$570,MATCH(Quotation!C647,prices!$B$514:$B$570,0))</f>
        <v>0</v>
      </c>
      <c r="E647" s="15">
        <f t="shared" si="30"/>
        <v>0</v>
      </c>
      <c r="F647" s="164">
        <f>prices!F1295*B647</f>
        <v>0</v>
      </c>
      <c r="G647" s="15"/>
      <c r="H647" s="800"/>
      <c r="I647" s="13"/>
      <c r="J647" s="13"/>
    </row>
    <row r="648" spans="1:10" x14ac:dyDescent="0.2">
      <c r="A648" s="160"/>
      <c r="B648" s="820"/>
      <c r="C648" s="167" t="s">
        <v>469</v>
      </c>
      <c r="D648" s="15">
        <f>INDEX(prices!$F$514:$F$570,MATCH(Quotation!C648,prices!$B$514:$B$570,0))</f>
        <v>0</v>
      </c>
      <c r="E648" s="15">
        <f t="shared" si="30"/>
        <v>0</v>
      </c>
      <c r="F648" s="164">
        <f>prices!F1295*B648</f>
        <v>0</v>
      </c>
      <c r="G648" s="15"/>
      <c r="H648" s="800"/>
      <c r="I648" s="13"/>
      <c r="J648" s="13"/>
    </row>
    <row r="649" spans="1:10" x14ac:dyDescent="0.2">
      <c r="A649" s="160"/>
      <c r="B649" s="820"/>
      <c r="C649" s="167" t="s">
        <v>469</v>
      </c>
      <c r="D649" s="15">
        <f>INDEX(prices!$F$514:$F$570,MATCH(Quotation!C649,prices!$B$514:$B$570,0))</f>
        <v>0</v>
      </c>
      <c r="E649" s="15">
        <f t="shared" si="30"/>
        <v>0</v>
      </c>
      <c r="F649" s="164">
        <f>prices!F1295*B649</f>
        <v>0</v>
      </c>
      <c r="G649" s="15"/>
      <c r="H649" s="800"/>
      <c r="I649" s="13"/>
      <c r="J649" s="13"/>
    </row>
    <row r="650" spans="1:10" x14ac:dyDescent="0.2">
      <c r="A650" s="160"/>
      <c r="B650" s="820"/>
      <c r="C650" s="167"/>
      <c r="D650" s="15"/>
      <c r="E650" s="15"/>
      <c r="F650" s="164"/>
      <c r="G650" s="15"/>
      <c r="H650" s="800"/>
      <c r="I650" s="13"/>
      <c r="J650" s="13"/>
    </row>
    <row r="651" spans="1:10" x14ac:dyDescent="0.2">
      <c r="A651" s="160"/>
      <c r="B651" s="820"/>
      <c r="C651" s="167" t="s">
        <v>470</v>
      </c>
      <c r="D651" s="15">
        <f>prices!F624</f>
        <v>8.8000000000000007</v>
      </c>
      <c r="E651" s="15">
        <f>D651*B651</f>
        <v>0</v>
      </c>
      <c r="F651" s="164"/>
      <c r="G651" s="15"/>
      <c r="H651" s="800"/>
      <c r="I651" s="13"/>
      <c r="J651" s="13"/>
    </row>
    <row r="652" spans="1:10" x14ac:dyDescent="0.2">
      <c r="A652" s="160"/>
      <c r="B652" s="820"/>
      <c r="C652" s="167"/>
      <c r="D652" s="15"/>
      <c r="E652" s="15"/>
      <c r="F652" s="164"/>
      <c r="G652" s="15"/>
      <c r="H652" s="800"/>
      <c r="I652" s="13"/>
      <c r="J652" s="13"/>
    </row>
    <row r="653" spans="1:10" x14ac:dyDescent="0.2">
      <c r="A653" s="160"/>
      <c r="B653" s="820"/>
      <c r="C653" s="181" t="s">
        <v>471</v>
      </c>
      <c r="D653" s="15"/>
      <c r="E653" s="15"/>
      <c r="F653" s="164"/>
      <c r="G653" s="15"/>
      <c r="H653" s="800"/>
      <c r="I653" s="13"/>
      <c r="J653" s="13"/>
    </row>
    <row r="654" spans="1:10" x14ac:dyDescent="0.2">
      <c r="A654" s="160"/>
      <c r="B654" s="820"/>
      <c r="C654" s="167" t="str">
        <f>prices!B445</f>
        <v>KD Single Bevel Arch 65 x 10</v>
      </c>
      <c r="D654" s="15">
        <f>prices!F445</f>
        <v>10.544</v>
      </c>
      <c r="E654" s="15">
        <f>D654*B654</f>
        <v>0</v>
      </c>
      <c r="F654" s="164">
        <f>prices!F1335*Quotation!B654</f>
        <v>0</v>
      </c>
      <c r="G654" s="15"/>
      <c r="H654" s="800"/>
      <c r="I654" s="13"/>
      <c r="J654" s="13"/>
    </row>
    <row r="655" spans="1:10" x14ac:dyDescent="0.2">
      <c r="A655" s="160"/>
      <c r="B655" s="820"/>
      <c r="C655" s="167" t="str">
        <f>prices!B446</f>
        <v>KD Single Bevel Arch 42 x 19</v>
      </c>
      <c r="D655" s="15">
        <f>prices!F446</f>
        <v>9.6</v>
      </c>
      <c r="E655" s="15">
        <f t="shared" ref="E655:E656" si="31">D655*B655</f>
        <v>0</v>
      </c>
      <c r="F655" s="164">
        <f>prices!F1336*Quotation!B655</f>
        <v>0</v>
      </c>
      <c r="G655" s="15"/>
      <c r="H655" s="800"/>
      <c r="I655" s="13"/>
      <c r="J655" s="13"/>
    </row>
    <row r="656" spans="1:10" x14ac:dyDescent="0.2">
      <c r="A656" s="160"/>
      <c r="B656" s="820"/>
      <c r="C656" s="167" t="str">
        <f>prices!B447</f>
        <v xml:space="preserve">KD Single Bevel Arch 65 x 10  Per door 2100 x 4 + 1.2 *2 </v>
      </c>
      <c r="D656" s="15">
        <f>prices!F447</f>
        <v>113.87519999999999</v>
      </c>
      <c r="E656" s="15">
        <f t="shared" si="31"/>
        <v>0</v>
      </c>
      <c r="F656" s="164">
        <f>prices!F1336*Quotation!B656</f>
        <v>0</v>
      </c>
      <c r="G656" s="15"/>
      <c r="H656" s="800"/>
      <c r="I656" s="13"/>
      <c r="J656" s="13"/>
    </row>
    <row r="657" spans="1:41" x14ac:dyDescent="0.2">
      <c r="A657" s="160"/>
      <c r="B657" s="820"/>
      <c r="C657" s="167"/>
      <c r="D657" s="15"/>
      <c r="E657" s="15"/>
      <c r="F657" s="164"/>
      <c r="G657" s="15"/>
      <c r="H657" s="800"/>
      <c r="I657" s="13"/>
      <c r="J657" s="13"/>
    </row>
    <row r="658" spans="1:41" x14ac:dyDescent="0.2">
      <c r="A658" s="1"/>
      <c r="B658" s="822"/>
      <c r="C658" s="167"/>
      <c r="D658" s="15"/>
      <c r="E658" s="15"/>
      <c r="F658" s="164"/>
      <c r="G658" s="15"/>
      <c r="H658" s="800"/>
      <c r="I658" s="13"/>
      <c r="J658" s="13"/>
    </row>
    <row r="659" spans="1:41" ht="14.25" customHeight="1" x14ac:dyDescent="0.2">
      <c r="A659" s="1"/>
      <c r="B659" s="822"/>
      <c r="C659" s="69" t="s">
        <v>472</v>
      </c>
      <c r="D659" s="15"/>
      <c r="E659" s="15"/>
      <c r="F659" s="164"/>
      <c r="G659" s="15"/>
      <c r="H659" s="800"/>
      <c r="I659" s="13"/>
      <c r="J659" s="13"/>
    </row>
    <row r="660" spans="1:41" x14ac:dyDescent="0.2">
      <c r="A660" s="1"/>
      <c r="B660" s="829"/>
      <c r="C660" s="186"/>
      <c r="D660" s="97"/>
      <c r="E660" s="97"/>
      <c r="F660" s="187"/>
      <c r="G660" s="15"/>
      <c r="H660" s="800"/>
      <c r="I660" s="13"/>
      <c r="J660" s="13"/>
      <c r="L660" s="3" t="s">
        <v>473</v>
      </c>
      <c r="M660" s="3" t="s">
        <v>474</v>
      </c>
    </row>
    <row r="661" spans="1:41" x14ac:dyDescent="0.2">
      <c r="A661" s="1"/>
      <c r="B661" s="801"/>
      <c r="C661" s="39" t="s">
        <v>475</v>
      </c>
      <c r="D661" s="15">
        <f>prices!F412+prices!F756*20</f>
        <v>48.051199999999994</v>
      </c>
      <c r="E661" s="15">
        <f t="shared" ref="E661:E683" si="32">D661*B661</f>
        <v>0</v>
      </c>
      <c r="F661" s="61">
        <f>prices!F1235*B661</f>
        <v>0</v>
      </c>
      <c r="G661" s="15"/>
      <c r="H661" s="800"/>
      <c r="I661" s="13"/>
      <c r="J661" s="13"/>
    </row>
    <row r="662" spans="1:41" x14ac:dyDescent="0.2">
      <c r="A662" s="1"/>
      <c r="B662" s="801"/>
      <c r="C662" s="39" t="s">
        <v>476</v>
      </c>
      <c r="D662" s="15">
        <f>prices!F412+prices!F756*20</f>
        <v>48.051199999999994</v>
      </c>
      <c r="E662" s="15">
        <f t="shared" si="32"/>
        <v>0</v>
      </c>
      <c r="F662" s="61">
        <f>prices!F1236*Quotation!B662</f>
        <v>0</v>
      </c>
      <c r="G662" s="15"/>
      <c r="H662" s="800"/>
      <c r="I662" s="13"/>
      <c r="J662" s="13"/>
    </row>
    <row r="663" spans="1:41" x14ac:dyDescent="0.2">
      <c r="A663" s="188"/>
      <c r="B663" s="801"/>
      <c r="C663" s="39" t="s">
        <v>477</v>
      </c>
      <c r="D663" s="15">
        <f>prices!F404+prices!F755*20</f>
        <v>27.413226666666667</v>
      </c>
      <c r="E663" s="15">
        <f t="shared" si="32"/>
        <v>0</v>
      </c>
      <c r="F663" s="61">
        <f>prices!F1236*B663</f>
        <v>0</v>
      </c>
      <c r="G663" s="15"/>
      <c r="H663" s="800"/>
      <c r="I663" s="13"/>
      <c r="J663" s="13"/>
    </row>
    <row r="664" spans="1:41" ht="13.5" thickBot="1" x14ac:dyDescent="0.25">
      <c r="A664" s="188"/>
      <c r="B664" s="801"/>
      <c r="C664" s="39"/>
      <c r="D664" s="15"/>
      <c r="E664" s="15"/>
      <c r="F664" s="61"/>
      <c r="G664" s="15"/>
      <c r="H664" s="800"/>
      <c r="I664" s="13"/>
      <c r="J664" s="13"/>
    </row>
    <row r="665" spans="1:41" ht="13.5" thickTop="1" x14ac:dyDescent="0.2">
      <c r="A665" s="188"/>
      <c r="B665" s="801"/>
      <c r="C665" s="52" t="s">
        <v>478</v>
      </c>
      <c r="D665" s="15"/>
      <c r="E665" s="15"/>
      <c r="F665" s="61"/>
      <c r="G665" s="15"/>
      <c r="H665" s="800"/>
      <c r="I665" s="13"/>
      <c r="J665" s="13"/>
      <c r="L665" s="175" t="s">
        <v>442</v>
      </c>
    </row>
    <row r="666" spans="1:41" x14ac:dyDescent="0.2">
      <c r="A666" s="188"/>
      <c r="B666" s="801"/>
      <c r="C666" s="39" t="s">
        <v>479</v>
      </c>
      <c r="D666" s="15">
        <f>prices!F430</f>
        <v>212.8</v>
      </c>
      <c r="E666" s="15">
        <f t="shared" ref="E666:E677" si="33">D666*B666</f>
        <v>0</v>
      </c>
      <c r="F666" s="61">
        <f>prices!$F$1251*Quotation!B666</f>
        <v>0</v>
      </c>
      <c r="G666" s="15"/>
      <c r="H666" s="849">
        <f>2.4*1.2*B666</f>
        <v>0</v>
      </c>
      <c r="I666" s="13"/>
      <c r="J666" s="13"/>
      <c r="L666" s="176">
        <f>(2.4*1.2)*B666</f>
        <v>0</v>
      </c>
      <c r="AM666" s="3">
        <f>(2.4*1.2)*B666</f>
        <v>0</v>
      </c>
    </row>
    <row r="667" spans="1:41" x14ac:dyDescent="0.2">
      <c r="A667" s="188"/>
      <c r="B667" s="801"/>
      <c r="C667" s="39" t="s">
        <v>480</v>
      </c>
      <c r="D667" s="15">
        <f>prices!F431</f>
        <v>240</v>
      </c>
      <c r="E667" s="15">
        <f t="shared" si="33"/>
        <v>0</v>
      </c>
      <c r="F667" s="61">
        <f>prices!$F$1251*Quotation!B667</f>
        <v>0</v>
      </c>
      <c r="G667" s="15"/>
      <c r="H667" s="849">
        <f>2.7*1.2*B667</f>
        <v>0</v>
      </c>
      <c r="I667" s="13"/>
      <c r="J667" s="13"/>
      <c r="L667" s="176">
        <f t="shared" ref="L667:L668" si="34">(2.4*1.2)*B667</f>
        <v>0</v>
      </c>
      <c r="AM667" s="3">
        <f>(2.7*1.2)*B667</f>
        <v>0</v>
      </c>
    </row>
    <row r="668" spans="1:41" ht="13.5" thickBot="1" x14ac:dyDescent="0.25">
      <c r="A668" s="188"/>
      <c r="B668" s="801"/>
      <c r="C668" s="39" t="s">
        <v>481</v>
      </c>
      <c r="D668" s="15">
        <f>prices!F432</f>
        <v>264</v>
      </c>
      <c r="E668" s="15">
        <f t="shared" si="33"/>
        <v>0</v>
      </c>
      <c r="F668" s="61">
        <f>prices!$F$1251*Quotation!B668</f>
        <v>0</v>
      </c>
      <c r="G668" s="15"/>
      <c r="H668" s="849">
        <f>3*1.2*B668</f>
        <v>0</v>
      </c>
      <c r="I668" s="13"/>
      <c r="J668" s="13"/>
      <c r="L668" s="178">
        <f t="shared" si="34"/>
        <v>0</v>
      </c>
      <c r="AM668" s="3">
        <f>(3.3*1.2)*B668</f>
        <v>0</v>
      </c>
    </row>
    <row r="669" spans="1:41" ht="13.5" thickTop="1" x14ac:dyDescent="0.2">
      <c r="A669" s="188"/>
      <c r="B669" s="801"/>
      <c r="C669" s="39" t="s">
        <v>482</v>
      </c>
      <c r="D669" s="15">
        <f>prices!F434</f>
        <v>36.799999999999997</v>
      </c>
      <c r="E669" s="15">
        <f t="shared" si="33"/>
        <v>0</v>
      </c>
      <c r="F669" s="61">
        <f>prices!F1252*Quotation!B669</f>
        <v>0</v>
      </c>
      <c r="G669" s="15"/>
      <c r="H669" s="849"/>
      <c r="I669" s="13"/>
      <c r="J669" s="13"/>
      <c r="AM669" s="3">
        <f t="shared" ref="AM669" si="35">(2.4*1.2)*B669</f>
        <v>0</v>
      </c>
    </row>
    <row r="670" spans="1:41" x14ac:dyDescent="0.2">
      <c r="A670" s="188"/>
      <c r="B670" s="801"/>
      <c r="C670" s="39" t="s">
        <v>483</v>
      </c>
      <c r="D670" s="15">
        <f>prices!F435</f>
        <v>92.8</v>
      </c>
      <c r="E670" s="15">
        <f t="shared" si="33"/>
        <v>0</v>
      </c>
      <c r="F670" s="61">
        <f>prices!F1253*Quotation!B670</f>
        <v>0</v>
      </c>
      <c r="G670" s="15"/>
      <c r="H670" s="800"/>
      <c r="I670" s="13"/>
      <c r="J670" s="13"/>
    </row>
    <row r="671" spans="1:41" x14ac:dyDescent="0.2">
      <c r="A671" s="188"/>
      <c r="B671" s="801"/>
      <c r="C671" s="39" t="s">
        <v>484</v>
      </c>
      <c r="D671" s="15">
        <f>prices!G436+prices!G438+prices!G438</f>
        <v>80.277743589743594</v>
      </c>
      <c r="E671" s="15">
        <f t="shared" si="33"/>
        <v>0</v>
      </c>
      <c r="F671" s="61">
        <f>prices!F1254*Quotation!B671</f>
        <v>0</v>
      </c>
      <c r="G671" s="15"/>
      <c r="H671" s="800"/>
      <c r="I671" s="13"/>
      <c r="J671" s="13"/>
      <c r="AO671" s="189"/>
    </row>
    <row r="672" spans="1:41" x14ac:dyDescent="0.2">
      <c r="A672" s="188"/>
      <c r="B672" s="801"/>
      <c r="C672" s="39" t="s">
        <v>485</v>
      </c>
      <c r="D672" s="15">
        <f>prices!F439</f>
        <v>53.92</v>
      </c>
      <c r="E672" s="15">
        <f t="shared" si="33"/>
        <v>0</v>
      </c>
      <c r="F672" s="61">
        <f>prices!F1255*Quotation!B672</f>
        <v>0</v>
      </c>
      <c r="G672" s="15"/>
      <c r="H672" s="800"/>
      <c r="I672" s="13"/>
      <c r="J672" s="13"/>
      <c r="AO672" s="189"/>
    </row>
    <row r="673" spans="1:41" x14ac:dyDescent="0.2">
      <c r="A673" s="188"/>
      <c r="B673" s="801"/>
      <c r="C673" s="39"/>
      <c r="D673" s="15"/>
      <c r="E673" s="15"/>
      <c r="F673" s="61"/>
      <c r="G673" s="15"/>
      <c r="H673" s="800"/>
      <c r="I673" s="13"/>
      <c r="J673" s="13"/>
      <c r="AO673" s="189"/>
    </row>
    <row r="674" spans="1:41" x14ac:dyDescent="0.2">
      <c r="A674" s="188"/>
      <c r="B674" s="801"/>
      <c r="C674" s="52" t="s">
        <v>486</v>
      </c>
      <c r="D674" s="15"/>
      <c r="E674" s="15"/>
      <c r="F674" s="61"/>
      <c r="G674" s="15"/>
      <c r="H674" s="800"/>
      <c r="I674" s="13"/>
      <c r="J674" s="13"/>
      <c r="AO674" s="189"/>
    </row>
    <row r="675" spans="1:41" x14ac:dyDescent="0.2">
      <c r="A675" s="188"/>
      <c r="B675" s="801"/>
      <c r="C675" s="190" t="s">
        <v>487</v>
      </c>
      <c r="D675" s="15">
        <f>prices!G440</f>
        <v>18.666666666666668</v>
      </c>
      <c r="E675" s="15">
        <f>D675*B675</f>
        <v>0</v>
      </c>
      <c r="F675" s="61">
        <f>prices!F1256*Quotation!B675</f>
        <v>0</v>
      </c>
      <c r="G675" s="15"/>
      <c r="H675" s="800"/>
      <c r="I675" s="13"/>
      <c r="J675" s="13"/>
      <c r="AO675" s="191"/>
    </row>
    <row r="676" spans="1:41" x14ac:dyDescent="0.2">
      <c r="A676" s="188"/>
      <c r="B676" s="801"/>
      <c r="C676" s="190"/>
      <c r="D676" s="15"/>
      <c r="E676" s="15"/>
      <c r="F676" s="61"/>
      <c r="G676" s="15"/>
      <c r="H676" s="800"/>
      <c r="I676" s="13"/>
      <c r="J676" s="13"/>
      <c r="AO676" s="191"/>
    </row>
    <row r="677" spans="1:41" x14ac:dyDescent="0.2">
      <c r="A677" s="188"/>
      <c r="B677" s="801"/>
      <c r="C677" s="39" t="s">
        <v>488</v>
      </c>
      <c r="D677" s="15">
        <f>prices!F625</f>
        <v>21.049600000000002</v>
      </c>
      <c r="E677" s="15">
        <f t="shared" si="33"/>
        <v>0</v>
      </c>
      <c r="F677" s="61"/>
      <c r="G677" s="15"/>
      <c r="H677" s="800"/>
      <c r="I677" s="13"/>
      <c r="J677" s="13"/>
    </row>
    <row r="678" spans="1:41" x14ac:dyDescent="0.2">
      <c r="A678" s="188"/>
      <c r="B678" s="801"/>
      <c r="C678" s="39"/>
      <c r="D678" s="15"/>
      <c r="E678" s="15"/>
      <c r="F678" s="61"/>
      <c r="G678" s="15"/>
      <c r="H678" s="800"/>
      <c r="I678" s="13"/>
      <c r="J678" s="13"/>
    </row>
    <row r="679" spans="1:41" x14ac:dyDescent="0.2">
      <c r="A679" s="192"/>
      <c r="B679" s="801"/>
      <c r="C679" s="39" t="s">
        <v>489</v>
      </c>
      <c r="D679" s="15">
        <f>prices!F424*7+prices!F756*32</f>
        <v>59.974400000000003</v>
      </c>
      <c r="E679" s="15">
        <f t="shared" si="32"/>
        <v>0</v>
      </c>
      <c r="F679" s="61">
        <f>prices!F1239*B679</f>
        <v>0</v>
      </c>
      <c r="G679" s="15"/>
      <c r="H679" s="800"/>
      <c r="I679" s="13"/>
      <c r="J679" s="13"/>
    </row>
    <row r="680" spans="1:41" x14ac:dyDescent="0.2">
      <c r="A680" s="1"/>
      <c r="B680" s="801"/>
      <c r="C680" s="39" t="s">
        <v>490</v>
      </c>
      <c r="D680" s="15">
        <f>prices!F423*7+prices!F756*32</f>
        <v>85.734400000000008</v>
      </c>
      <c r="E680" s="15">
        <f t="shared" si="32"/>
        <v>0</v>
      </c>
      <c r="F680" s="61">
        <f>prices!F1239*B680</f>
        <v>0</v>
      </c>
      <c r="G680" s="15"/>
      <c r="H680" s="800"/>
      <c r="I680" s="13"/>
      <c r="J680" s="13"/>
    </row>
    <row r="681" spans="1:41" x14ac:dyDescent="0.2">
      <c r="A681" s="160"/>
      <c r="B681" s="801"/>
      <c r="C681" s="39" t="s">
        <v>491</v>
      </c>
      <c r="D681" s="15">
        <f>prices!F425</f>
        <v>10.719999999999999</v>
      </c>
      <c r="E681" s="15">
        <f t="shared" si="32"/>
        <v>0</v>
      </c>
      <c r="F681" s="61"/>
      <c r="G681" s="15"/>
      <c r="H681" s="800"/>
      <c r="I681" s="13"/>
      <c r="J681" s="13"/>
    </row>
    <row r="682" spans="1:41" x14ac:dyDescent="0.2">
      <c r="A682" s="1"/>
      <c r="B682" s="801"/>
      <c r="C682" s="39" t="s">
        <v>492</v>
      </c>
      <c r="D682" s="15">
        <f>prices!F426</f>
        <v>5.84</v>
      </c>
      <c r="E682" s="15">
        <f t="shared" si="32"/>
        <v>0</v>
      </c>
      <c r="F682" s="61"/>
      <c r="G682" s="15"/>
      <c r="H682" s="800"/>
      <c r="I682" s="13"/>
      <c r="J682" s="13"/>
    </row>
    <row r="683" spans="1:41" x14ac:dyDescent="0.2">
      <c r="A683" s="1"/>
      <c r="B683" s="801">
        <v>0</v>
      </c>
      <c r="C683" s="39"/>
      <c r="D683" s="15"/>
      <c r="E683" s="15">
        <f t="shared" si="32"/>
        <v>0</v>
      </c>
      <c r="F683" s="61"/>
      <c r="G683" s="15"/>
      <c r="H683" s="800"/>
      <c r="I683" s="13"/>
      <c r="J683" s="13"/>
    </row>
    <row r="684" spans="1:41" x14ac:dyDescent="0.2">
      <c r="A684" s="1"/>
      <c r="B684" s="801"/>
      <c r="C684" s="69" t="s">
        <v>493</v>
      </c>
      <c r="D684" s="15"/>
      <c r="E684" s="15"/>
      <c r="F684" s="61"/>
      <c r="G684" s="15"/>
      <c r="H684" s="800"/>
      <c r="I684" s="13"/>
      <c r="J684" s="13"/>
    </row>
    <row r="685" spans="1:41" x14ac:dyDescent="0.2">
      <c r="A685" s="160"/>
      <c r="B685" s="801"/>
      <c r="C685" s="39" t="s">
        <v>494</v>
      </c>
      <c r="D685" s="15">
        <f>(prices!F203*8.4)+(prices!F753*24)+(prices!F412*2)+(prices!F755*20)</f>
        <v>256.92460799999998</v>
      </c>
      <c r="E685" s="15">
        <f>D685*B685</f>
        <v>0</v>
      </c>
      <c r="F685" s="61">
        <f>prices!F1247*B685</f>
        <v>0</v>
      </c>
      <c r="G685" s="80"/>
      <c r="H685" s="800"/>
      <c r="I685" s="13"/>
      <c r="J685" s="13"/>
    </row>
    <row r="686" spans="1:41" x14ac:dyDescent="0.2">
      <c r="A686" s="160"/>
      <c r="B686" s="820"/>
      <c r="C686" s="39" t="s">
        <v>495</v>
      </c>
      <c r="D686" s="15">
        <f>(prices!F220*15)+(prices!F753*24)+(prices!F412*6)+(prices!F755*120)</f>
        <v>492.75020799999999</v>
      </c>
      <c r="E686" s="15">
        <f>D686*B686</f>
        <v>0</v>
      </c>
      <c r="F686" s="61">
        <f>prices!F1248*B686</f>
        <v>0</v>
      </c>
      <c r="G686" s="15"/>
      <c r="H686" s="800"/>
      <c r="I686" s="13"/>
      <c r="J686" s="13"/>
    </row>
    <row r="687" spans="1:41" x14ac:dyDescent="0.2">
      <c r="A687" s="160"/>
      <c r="B687" s="820"/>
      <c r="C687" s="39" t="s">
        <v>496</v>
      </c>
      <c r="D687" s="15">
        <f>prices!F220*2.5+prices!F412+prices!F753*6+prices!F755*10</f>
        <v>81.827391999999989</v>
      </c>
      <c r="E687" s="15">
        <f>D687*B687</f>
        <v>0</v>
      </c>
      <c r="F687" s="61">
        <f>(prices!F1244+prices!F1235)*Quotation!B687</f>
        <v>0</v>
      </c>
      <c r="G687" s="80">
        <f>(prices!F1053+prices!F1058)*Quotation!B687</f>
        <v>0</v>
      </c>
      <c r="H687" s="800"/>
      <c r="I687" s="13"/>
      <c r="J687" s="13"/>
    </row>
    <row r="688" spans="1:41" x14ac:dyDescent="0.2">
      <c r="A688" s="1"/>
      <c r="B688" s="822"/>
      <c r="C688" s="39"/>
      <c r="D688" s="15"/>
      <c r="E688" s="15"/>
      <c r="F688" s="61"/>
      <c r="G688" s="15"/>
      <c r="H688" s="800"/>
      <c r="I688" s="13"/>
      <c r="J688" s="13"/>
    </row>
    <row r="689" spans="1:14" x14ac:dyDescent="0.2">
      <c r="A689" s="1"/>
      <c r="B689" s="822"/>
      <c r="C689" s="39"/>
      <c r="D689" s="15"/>
      <c r="E689" s="15"/>
      <c r="F689" s="61"/>
      <c r="G689" s="15"/>
      <c r="H689" s="800"/>
      <c r="I689" s="13"/>
      <c r="J689" s="13"/>
    </row>
    <row r="690" spans="1:14" x14ac:dyDescent="0.2">
      <c r="A690" s="1"/>
      <c r="B690" s="822"/>
      <c r="C690" s="63" t="s">
        <v>497</v>
      </c>
      <c r="D690" s="15"/>
      <c r="E690" s="15"/>
      <c r="F690" s="15"/>
      <c r="G690" s="15"/>
      <c r="H690" s="800"/>
      <c r="I690" s="13"/>
      <c r="J690" s="13"/>
      <c r="N690" s="193"/>
    </row>
    <row r="691" spans="1:14" x14ac:dyDescent="0.2">
      <c r="A691" s="1"/>
      <c r="B691" s="850"/>
      <c r="C691" s="39" t="s">
        <v>498</v>
      </c>
      <c r="D691" s="82">
        <f>prices!F914</f>
        <v>34.61333333333333</v>
      </c>
      <c r="E691" s="103"/>
      <c r="F691" s="103"/>
      <c r="G691" s="103"/>
      <c r="H691" s="811"/>
      <c r="N691" s="193"/>
    </row>
    <row r="692" spans="1:14" x14ac:dyDescent="0.2">
      <c r="A692" s="1"/>
      <c r="B692" s="851">
        <f>B414/1.1</f>
        <v>0</v>
      </c>
      <c r="C692" s="59" t="s">
        <v>499</v>
      </c>
      <c r="D692" s="82">
        <f>prices!F913</f>
        <v>64.533333333333331</v>
      </c>
      <c r="E692" s="103"/>
      <c r="F692" s="103"/>
      <c r="G692" s="103"/>
      <c r="H692" s="811"/>
      <c r="N692" s="194"/>
    </row>
    <row r="693" spans="1:14" x14ac:dyDescent="0.2">
      <c r="A693" s="1"/>
      <c r="B693" s="823">
        <f>B55+B56+B57+B58+B59+B60+B61+B62+B63+B64+B73+B71+B534+B535+B74+B75</f>
        <v>0</v>
      </c>
      <c r="C693" s="59" t="s">
        <v>500</v>
      </c>
      <c r="D693" s="15">
        <f>prices!F909</f>
        <v>35.527999999999999</v>
      </c>
      <c r="E693" s="103"/>
      <c r="F693" s="15"/>
      <c r="G693" s="15"/>
      <c r="H693" s="800"/>
      <c r="I693" s="13"/>
      <c r="J693" s="13"/>
      <c r="N693" s="194"/>
    </row>
    <row r="694" spans="1:14" x14ac:dyDescent="0.2">
      <c r="A694" s="1"/>
      <c r="B694" s="823">
        <f>B65+B66+B71</f>
        <v>0</v>
      </c>
      <c r="C694" s="59" t="s">
        <v>501</v>
      </c>
      <c r="D694" s="15">
        <f>prices!F910</f>
        <v>25.994666666666667</v>
      </c>
      <c r="E694" s="103"/>
      <c r="F694" s="15"/>
      <c r="G694" s="15"/>
      <c r="H694" s="800"/>
      <c r="I694" s="13"/>
      <c r="J694" s="13"/>
      <c r="N694" s="194"/>
    </row>
    <row r="695" spans="1:14" x14ac:dyDescent="0.2">
      <c r="A695" s="1"/>
      <c r="B695" s="823">
        <f>B253+B254+B255</f>
        <v>0</v>
      </c>
      <c r="C695" s="59" t="s">
        <v>502</v>
      </c>
      <c r="D695" s="15">
        <f>prices!F911</f>
        <v>7.68</v>
      </c>
      <c r="E695" s="103"/>
      <c r="F695" s="15"/>
      <c r="G695" s="15"/>
      <c r="H695" s="800"/>
      <c r="I695" s="13"/>
      <c r="J695" s="13"/>
      <c r="N695" s="194"/>
    </row>
    <row r="696" spans="1:14" x14ac:dyDescent="0.2">
      <c r="A696" s="1"/>
      <c r="B696" s="823">
        <f>B443+B442+B441</f>
        <v>0</v>
      </c>
      <c r="C696" s="59" t="s">
        <v>503</v>
      </c>
      <c r="D696" s="15">
        <f>prices!F913</f>
        <v>64.533333333333331</v>
      </c>
      <c r="E696" s="103"/>
      <c r="F696" s="15"/>
      <c r="G696" s="15"/>
      <c r="H696" s="800"/>
      <c r="I696" s="13"/>
      <c r="J696" s="13"/>
      <c r="N696" s="194"/>
    </row>
    <row r="697" spans="1:14" x14ac:dyDescent="0.2">
      <c r="A697" s="1"/>
      <c r="B697" s="823">
        <f>B440</f>
        <v>0</v>
      </c>
      <c r="C697" s="59" t="s">
        <v>504</v>
      </c>
      <c r="D697" s="15">
        <f>prices!F914</f>
        <v>34.61333333333333</v>
      </c>
      <c r="E697" s="103"/>
      <c r="F697" s="15"/>
      <c r="G697" s="15"/>
      <c r="H697" s="800"/>
      <c r="I697" s="13"/>
      <c r="J697" s="13"/>
      <c r="N697" s="194"/>
    </row>
    <row r="698" spans="1:14" x14ac:dyDescent="0.2">
      <c r="A698" s="1"/>
      <c r="B698" s="823">
        <f>B484+B485+B486+B487+B533+B532+B531</f>
        <v>0</v>
      </c>
      <c r="C698" s="59" t="s">
        <v>505</v>
      </c>
      <c r="D698" s="15">
        <f>prices!F943</f>
        <v>81.546666666666653</v>
      </c>
      <c r="E698" s="103"/>
      <c r="F698" s="15"/>
      <c r="G698" s="15"/>
      <c r="H698" s="800"/>
      <c r="I698" s="13"/>
      <c r="J698" s="13"/>
      <c r="N698" s="194"/>
    </row>
    <row r="699" spans="1:14" x14ac:dyDescent="0.2">
      <c r="A699" s="1"/>
      <c r="B699" s="823">
        <f>B243</f>
        <v>0</v>
      </c>
      <c r="C699" s="59" t="s">
        <v>506</v>
      </c>
      <c r="D699" s="15">
        <f>prices!F944</f>
        <v>23.61333333333333</v>
      </c>
      <c r="E699" s="103"/>
      <c r="F699" s="15"/>
      <c r="G699" s="15"/>
      <c r="H699" s="800"/>
      <c r="I699" s="13"/>
      <c r="J699" s="13"/>
      <c r="N699" s="194"/>
    </row>
    <row r="700" spans="1:14" x14ac:dyDescent="0.2">
      <c r="A700" s="1"/>
      <c r="B700" s="842">
        <f>B493+B494+B495</f>
        <v>0</v>
      </c>
      <c r="C700" s="59" t="s">
        <v>507</v>
      </c>
      <c r="D700" s="15">
        <f>prices!F945</f>
        <v>9.0453333333333337</v>
      </c>
      <c r="E700" s="103"/>
      <c r="F700" s="15"/>
      <c r="G700" s="15"/>
      <c r="H700" s="800"/>
      <c r="I700" s="13"/>
      <c r="J700" s="13"/>
      <c r="N700" s="194"/>
    </row>
    <row r="701" spans="1:14" x14ac:dyDescent="0.2">
      <c r="A701" s="1"/>
      <c r="B701" s="823">
        <f>B473++B472</f>
        <v>0</v>
      </c>
      <c r="C701" s="59" t="s">
        <v>508</v>
      </c>
      <c r="D701" s="15">
        <f>prices!F946</f>
        <v>6.7466666666666661</v>
      </c>
      <c r="E701" s="103"/>
      <c r="F701" s="15"/>
      <c r="G701" s="15"/>
      <c r="H701" s="800"/>
      <c r="I701" s="13"/>
      <c r="J701" s="13"/>
      <c r="N701" s="194"/>
    </row>
    <row r="702" spans="1:14" x14ac:dyDescent="0.2">
      <c r="A702" s="1"/>
      <c r="B702" s="823">
        <f>B474</f>
        <v>0</v>
      </c>
      <c r="C702" s="59" t="s">
        <v>509</v>
      </c>
      <c r="D702" s="15">
        <f>prices!F947</f>
        <v>7.754666666666667</v>
      </c>
      <c r="E702" s="103"/>
      <c r="F702" s="15"/>
      <c r="G702" s="15"/>
      <c r="H702" s="800"/>
      <c r="I702" s="13"/>
      <c r="J702" s="13"/>
      <c r="N702" s="194"/>
    </row>
    <row r="703" spans="1:14" x14ac:dyDescent="0.2">
      <c r="A703" s="1"/>
      <c r="B703" s="823">
        <f>B542+B541+B562+B550+B551+B552+B545</f>
        <v>0</v>
      </c>
      <c r="C703" s="59" t="s">
        <v>510</v>
      </c>
      <c r="D703" s="15">
        <f>prices!F949</f>
        <v>39.995999999999995</v>
      </c>
      <c r="E703" s="103"/>
      <c r="F703" s="15"/>
      <c r="G703" s="15"/>
      <c r="H703" s="800"/>
      <c r="I703" s="13"/>
      <c r="J703" s="13"/>
      <c r="N703" s="194"/>
    </row>
    <row r="704" spans="1:14" x14ac:dyDescent="0.2">
      <c r="A704" s="1"/>
      <c r="B704" s="823">
        <f>B563+B562+B557+B556+B555+B554</f>
        <v>0</v>
      </c>
      <c r="C704" s="59" t="s">
        <v>511</v>
      </c>
      <c r="D704" s="15">
        <f>prices!F949</f>
        <v>39.995999999999995</v>
      </c>
      <c r="E704" s="103"/>
      <c r="F704" s="15"/>
      <c r="G704" s="15"/>
      <c r="H704" s="800"/>
      <c r="I704" s="13"/>
      <c r="J704" s="13"/>
      <c r="N704" s="194"/>
    </row>
    <row r="705" spans="1:14" x14ac:dyDescent="0.2">
      <c r="A705" s="1"/>
      <c r="B705" s="842"/>
      <c r="C705" s="59" t="s">
        <v>512</v>
      </c>
      <c r="D705" s="15">
        <f>prices!F959</f>
        <v>47.167999999999999</v>
      </c>
      <c r="E705" s="103"/>
      <c r="F705" s="15"/>
      <c r="G705" s="15"/>
      <c r="H705" s="800"/>
      <c r="I705" s="13"/>
      <c r="J705" s="13"/>
      <c r="N705" s="194"/>
    </row>
    <row r="706" spans="1:14" x14ac:dyDescent="0.2">
      <c r="A706" s="1"/>
      <c r="B706" s="827">
        <f>B518+B519+B520+B521</f>
        <v>0</v>
      </c>
      <c r="C706" s="59" t="s">
        <v>513</v>
      </c>
      <c r="D706" s="15">
        <f>prices!F961</f>
        <v>109.50933333333333</v>
      </c>
      <c r="E706" s="103"/>
      <c r="F706" s="15"/>
      <c r="G706" s="15"/>
      <c r="H706" s="800"/>
      <c r="I706" s="13"/>
      <c r="J706" s="13"/>
      <c r="N706" s="193"/>
    </row>
    <row r="707" spans="1:14" x14ac:dyDescent="0.2">
      <c r="A707" s="1"/>
      <c r="B707" s="823"/>
      <c r="C707" s="59" t="s">
        <v>514</v>
      </c>
      <c r="D707" s="15">
        <f>prices!F958</f>
        <v>48.975999999999999</v>
      </c>
      <c r="E707" s="103"/>
      <c r="F707" s="15"/>
      <c r="G707" s="15"/>
      <c r="H707" s="800"/>
      <c r="I707" s="13"/>
      <c r="J707" s="13"/>
      <c r="N707" s="193"/>
    </row>
    <row r="708" spans="1:14" x14ac:dyDescent="0.2">
      <c r="A708" s="1"/>
      <c r="B708" s="823"/>
      <c r="C708" s="59" t="s">
        <v>515</v>
      </c>
      <c r="D708" s="15">
        <f>prices!F969</f>
        <v>26.154666666666667</v>
      </c>
      <c r="E708" s="103"/>
      <c r="F708" s="15"/>
      <c r="G708" s="15"/>
      <c r="H708" s="800"/>
      <c r="I708" s="13"/>
      <c r="J708" s="13"/>
      <c r="N708" s="193"/>
    </row>
    <row r="709" spans="1:14" x14ac:dyDescent="0.2">
      <c r="A709" s="1"/>
      <c r="B709" s="823">
        <v>1</v>
      </c>
      <c r="C709" s="59" t="s">
        <v>516</v>
      </c>
      <c r="D709" s="15" t="e">
        <f>#REF!</f>
        <v>#REF!</v>
      </c>
      <c r="E709" s="103"/>
      <c r="F709" s="15"/>
      <c r="G709" s="15"/>
      <c r="H709" s="800"/>
      <c r="I709" s="13"/>
      <c r="J709" s="13"/>
    </row>
    <row r="710" spans="1:14" x14ac:dyDescent="0.2">
      <c r="A710" s="1"/>
      <c r="B710" s="823"/>
      <c r="C710" s="59" t="s">
        <v>517</v>
      </c>
      <c r="D710" s="80">
        <f>prices!F970</f>
        <v>956</v>
      </c>
      <c r="E710" s="103"/>
      <c r="F710" s="15"/>
      <c r="G710" s="15"/>
      <c r="H710" s="800"/>
      <c r="I710" s="13"/>
      <c r="J710" s="13"/>
      <c r="N710" s="195" t="s">
        <v>518</v>
      </c>
    </row>
    <row r="711" spans="1:14" x14ac:dyDescent="0.2">
      <c r="A711" s="196"/>
      <c r="B711" s="852"/>
      <c r="C711" s="59" t="s">
        <v>519</v>
      </c>
      <c r="D711" s="80" t="e">
        <f>N711</f>
        <v>#REF!</v>
      </c>
      <c r="E711" s="80"/>
      <c r="F711" s="80"/>
      <c r="G711" s="80"/>
      <c r="H711" s="853"/>
      <c r="I711" s="13"/>
      <c r="J711" s="13"/>
      <c r="N711" s="197" t="e">
        <f>#REF!</f>
        <v>#REF!</v>
      </c>
    </row>
    <row r="712" spans="1:14" x14ac:dyDescent="0.2">
      <c r="A712" s="196"/>
      <c r="B712" s="854"/>
      <c r="C712" s="59"/>
      <c r="D712" s="80"/>
      <c r="E712" s="80"/>
      <c r="F712" s="80"/>
      <c r="G712" s="80"/>
      <c r="H712" s="853"/>
      <c r="I712" s="13"/>
      <c r="J712" s="13"/>
      <c r="N712" s="198"/>
    </row>
    <row r="713" spans="1:14" x14ac:dyDescent="0.2">
      <c r="A713" s="196"/>
      <c r="B713" s="854"/>
      <c r="C713" s="199" t="s">
        <v>520</v>
      </c>
      <c r="D713" s="80"/>
      <c r="E713" s="80"/>
      <c r="F713" s="80"/>
      <c r="G713" s="80"/>
      <c r="H713" s="853"/>
      <c r="I713" s="13"/>
      <c r="J713" s="13"/>
      <c r="N713" s="198"/>
    </row>
    <row r="714" spans="1:14" x14ac:dyDescent="0.2">
      <c r="A714" s="196"/>
      <c r="B714" s="854"/>
      <c r="C714" s="59"/>
      <c r="D714" s="80"/>
      <c r="E714" s="80"/>
      <c r="F714" s="80"/>
      <c r="G714" s="80"/>
      <c r="H714" s="853"/>
      <c r="I714" s="13"/>
      <c r="J714" s="13"/>
      <c r="N714" s="198"/>
    </row>
    <row r="715" spans="1:14" x14ac:dyDescent="0.2">
      <c r="A715" s="196"/>
      <c r="B715" s="820"/>
      <c r="C715" s="59" t="s">
        <v>521</v>
      </c>
      <c r="D715" s="15">
        <f>prices!F890</f>
        <v>201.6</v>
      </c>
      <c r="E715" s="15"/>
      <c r="F715" s="80"/>
      <c r="G715" s="80"/>
      <c r="H715" s="853"/>
      <c r="I715" s="13"/>
      <c r="J715" s="13"/>
      <c r="N715" s="198"/>
    </row>
    <row r="716" spans="1:14" x14ac:dyDescent="0.2">
      <c r="A716" s="196"/>
      <c r="B716" s="820"/>
      <c r="C716" s="59" t="s">
        <v>522</v>
      </c>
      <c r="D716" s="15">
        <f>prices!F891</f>
        <v>104</v>
      </c>
      <c r="E716" s="15"/>
      <c r="F716" s="80"/>
      <c r="G716" s="80"/>
      <c r="H716" s="853"/>
      <c r="I716" s="13"/>
      <c r="J716" s="13"/>
      <c r="N716" s="198"/>
    </row>
    <row r="717" spans="1:14" x14ac:dyDescent="0.2">
      <c r="A717" s="196"/>
      <c r="B717" s="820"/>
      <c r="C717" s="59" t="s">
        <v>523</v>
      </c>
      <c r="D717" s="15">
        <f>prices!F892</f>
        <v>64</v>
      </c>
      <c r="E717" s="15">
        <f>D717*B717</f>
        <v>0</v>
      </c>
      <c r="F717" s="80"/>
      <c r="G717" s="80"/>
      <c r="H717" s="853"/>
      <c r="I717" s="13"/>
      <c r="J717" s="13"/>
      <c r="N717" s="198"/>
    </row>
    <row r="718" spans="1:14" x14ac:dyDescent="0.2">
      <c r="A718" s="196"/>
      <c r="B718" s="820"/>
      <c r="C718" s="59" t="s">
        <v>524</v>
      </c>
      <c r="D718" s="15">
        <f>prices!F893</f>
        <v>72</v>
      </c>
      <c r="E718" s="15">
        <f>D718*B718</f>
        <v>0</v>
      </c>
      <c r="F718" s="80"/>
      <c r="G718" s="80"/>
      <c r="H718" s="853"/>
      <c r="I718" s="13"/>
      <c r="J718" s="13"/>
      <c r="N718" s="198"/>
    </row>
    <row r="719" spans="1:14" x14ac:dyDescent="0.2">
      <c r="A719" s="200"/>
      <c r="B719" s="855"/>
      <c r="C719" s="201" t="s">
        <v>525</v>
      </c>
      <c r="D719" s="202">
        <f>(D715*B715)+(D716*B716)+(D717*B717)+(D718*B718)</f>
        <v>0</v>
      </c>
      <c r="E719" s="202"/>
      <c r="F719" s="203"/>
      <c r="G719" s="203"/>
      <c r="H719" s="856"/>
      <c r="I719" s="13"/>
      <c r="J719" s="13"/>
      <c r="N719" s="198"/>
    </row>
    <row r="720" spans="1:14" x14ac:dyDescent="0.2">
      <c r="A720" s="196"/>
      <c r="B720" s="833">
        <f>IF(B715+B716&gt;0.1,1,0)</f>
        <v>0</v>
      </c>
      <c r="C720" s="59" t="s">
        <v>526</v>
      </c>
      <c r="D720" s="15"/>
      <c r="E720" s="15">
        <f>IF(D719&lt;prices!F894,prices!F894,D719)*B720</f>
        <v>0</v>
      </c>
      <c r="F720" s="80"/>
      <c r="G720" s="80"/>
      <c r="H720" s="853"/>
      <c r="I720" s="13"/>
      <c r="J720" s="13"/>
      <c r="N720" s="198"/>
    </row>
    <row r="721" spans="1:10" x14ac:dyDescent="0.2">
      <c r="B721" s="815"/>
      <c r="H721" s="857"/>
    </row>
    <row r="722" spans="1:10" x14ac:dyDescent="0.2">
      <c r="A722" s="196"/>
      <c r="B722" s="854"/>
      <c r="C722" s="204"/>
      <c r="D722" s="80"/>
      <c r="E722" s="80"/>
      <c r="F722" s="80"/>
      <c r="G722" s="80"/>
      <c r="H722" s="853"/>
      <c r="I722" s="13"/>
      <c r="J722" s="13"/>
    </row>
    <row r="723" spans="1:10" x14ac:dyDescent="0.2">
      <c r="A723" s="196"/>
      <c r="B723" s="854"/>
      <c r="C723" s="204"/>
      <c r="D723" s="80"/>
      <c r="E723" s="80"/>
      <c r="F723" s="80"/>
      <c r="G723" s="80"/>
      <c r="H723" s="853"/>
      <c r="I723" s="13"/>
      <c r="J723" s="13"/>
    </row>
    <row r="724" spans="1:10" x14ac:dyDescent="0.2">
      <c r="A724" s="1"/>
      <c r="B724" s="822"/>
      <c r="C724" s="69" t="s">
        <v>527</v>
      </c>
      <c r="D724" s="15" t="s">
        <v>1</v>
      </c>
      <c r="E724" s="15"/>
      <c r="F724" s="15"/>
      <c r="G724" s="15"/>
      <c r="H724" s="800"/>
      <c r="I724" s="13"/>
      <c r="J724" s="13"/>
    </row>
    <row r="725" spans="1:10" x14ac:dyDescent="0.2">
      <c r="A725" s="1"/>
      <c r="B725" s="822"/>
      <c r="C725" s="84"/>
      <c r="D725" s="15"/>
      <c r="E725" s="15"/>
      <c r="F725" s="15"/>
      <c r="G725" s="15"/>
      <c r="H725" s="800"/>
      <c r="I725" s="13"/>
      <c r="J725" s="13"/>
    </row>
    <row r="726" spans="1:10" x14ac:dyDescent="0.2">
      <c r="A726" s="1"/>
      <c r="B726" s="820"/>
      <c r="C726" s="63" t="s">
        <v>528</v>
      </c>
      <c r="D726" s="15"/>
      <c r="E726" s="15"/>
      <c r="F726" s="15"/>
      <c r="G726" s="15"/>
      <c r="H726" s="800"/>
      <c r="I726" s="13"/>
      <c r="J726" s="13"/>
    </row>
    <row r="727" spans="1:10" x14ac:dyDescent="0.2">
      <c r="A727" s="1"/>
      <c r="B727" s="820"/>
      <c r="C727" s="39"/>
      <c r="D727" s="15"/>
      <c r="E727" s="15">
        <f t="shared" ref="E727:E735" si="36">D727*B727</f>
        <v>0</v>
      </c>
      <c r="F727" s="15"/>
      <c r="G727" s="15"/>
      <c r="H727" s="800"/>
      <c r="I727" s="13"/>
      <c r="J727" s="13"/>
    </row>
    <row r="728" spans="1:10" x14ac:dyDescent="0.2">
      <c r="A728" s="1"/>
      <c r="B728" s="820">
        <v>0</v>
      </c>
      <c r="C728" s="39" t="s">
        <v>529</v>
      </c>
      <c r="D728" s="15">
        <f>prices!F776+prices!F766*2+prices!F753*12</f>
        <v>3.3338239999999999</v>
      </c>
      <c r="E728" s="15">
        <f t="shared" si="36"/>
        <v>0</v>
      </c>
      <c r="F728" s="61">
        <f>prices!F1349*B728</f>
        <v>0</v>
      </c>
      <c r="G728" s="15"/>
      <c r="H728" s="800"/>
      <c r="I728" s="13"/>
      <c r="J728" s="13"/>
    </row>
    <row r="729" spans="1:10" x14ac:dyDescent="0.2">
      <c r="A729" s="1"/>
      <c r="B729" s="820"/>
      <c r="C729" s="39" t="s">
        <v>530</v>
      </c>
      <c r="D729" s="15">
        <f>prices!F776+prices!F766*2+prices!F753*16</f>
        <v>3.4850986666666666</v>
      </c>
      <c r="E729" s="15">
        <f t="shared" si="36"/>
        <v>0</v>
      </c>
      <c r="F729" s="61">
        <f>prices!F1350*B729</f>
        <v>0</v>
      </c>
      <c r="G729" s="15"/>
      <c r="H729" s="800"/>
      <c r="I729" s="13"/>
      <c r="J729" s="13"/>
    </row>
    <row r="730" spans="1:10" x14ac:dyDescent="0.2">
      <c r="A730" s="1"/>
      <c r="B730" s="820"/>
      <c r="C730" s="39" t="s">
        <v>531</v>
      </c>
      <c r="D730" s="15">
        <f>prices!F776+prices!F766*2+prices!F753*20</f>
        <v>3.6363733333333332</v>
      </c>
      <c r="E730" s="15">
        <f t="shared" si="36"/>
        <v>0</v>
      </c>
      <c r="F730" s="61">
        <f>prices!F1351*B730</f>
        <v>0</v>
      </c>
      <c r="G730" s="15"/>
      <c r="H730" s="800"/>
      <c r="I730" s="13"/>
      <c r="J730" s="13"/>
    </row>
    <row r="731" spans="1:10" x14ac:dyDescent="0.2">
      <c r="A731" s="1"/>
      <c r="B731" s="822"/>
      <c r="C731" s="39"/>
      <c r="D731" s="15"/>
      <c r="E731" s="15"/>
      <c r="F731" s="61"/>
      <c r="G731" s="15"/>
      <c r="H731" s="800"/>
      <c r="I731" s="13"/>
      <c r="J731" s="13"/>
    </row>
    <row r="732" spans="1:10" x14ac:dyDescent="0.2">
      <c r="A732" s="1"/>
      <c r="B732" s="820">
        <v>0</v>
      </c>
      <c r="C732" s="39" t="s">
        <v>532</v>
      </c>
      <c r="D732" s="15">
        <f>prices!F776+prices!F766*2+prices!F753*20</f>
        <v>3.6363733333333332</v>
      </c>
      <c r="E732" s="15">
        <f t="shared" si="36"/>
        <v>0</v>
      </c>
      <c r="F732" s="61">
        <f>prices!F1353*B732</f>
        <v>0</v>
      </c>
      <c r="G732" s="15"/>
      <c r="H732" s="800"/>
      <c r="I732" s="13"/>
      <c r="J732" s="13"/>
    </row>
    <row r="733" spans="1:10" x14ac:dyDescent="0.2">
      <c r="A733" s="1"/>
      <c r="B733" s="820"/>
      <c r="C733" s="39" t="s">
        <v>533</v>
      </c>
      <c r="D733" s="15">
        <f>prices!F776+prices!F766*2+prices!F753*30</f>
        <v>4.0145599999999995</v>
      </c>
      <c r="E733" s="15">
        <f t="shared" si="36"/>
        <v>0</v>
      </c>
      <c r="F733" s="61">
        <f>prices!F1354*B733</f>
        <v>0</v>
      </c>
      <c r="G733" s="15"/>
      <c r="H733" s="800"/>
      <c r="I733" s="13"/>
      <c r="J733" s="13"/>
    </row>
    <row r="734" spans="1:10" x14ac:dyDescent="0.2">
      <c r="A734" s="1"/>
      <c r="B734" s="820">
        <v>0</v>
      </c>
      <c r="C734" s="39" t="s">
        <v>534</v>
      </c>
      <c r="D734" s="15">
        <f>prices!F776+prices!F766*2+prices!F753*40</f>
        <v>4.3927466666666666</v>
      </c>
      <c r="E734" s="15">
        <f t="shared" si="36"/>
        <v>0</v>
      </c>
      <c r="F734" s="61">
        <f>prices!F1355*B734</f>
        <v>0</v>
      </c>
      <c r="G734" s="15"/>
      <c r="H734" s="800"/>
      <c r="I734" s="13"/>
      <c r="J734" s="13"/>
    </row>
    <row r="735" spans="1:10" x14ac:dyDescent="0.2">
      <c r="A735" s="1"/>
      <c r="B735" s="822"/>
      <c r="C735" s="69" t="s">
        <v>535</v>
      </c>
      <c r="D735" s="15"/>
      <c r="E735" s="15">
        <f t="shared" si="36"/>
        <v>0</v>
      </c>
      <c r="F735" s="61"/>
      <c r="G735" s="15"/>
      <c r="H735" s="800"/>
      <c r="I735" s="13"/>
      <c r="J735" s="13"/>
    </row>
    <row r="736" spans="1:10" x14ac:dyDescent="0.2">
      <c r="A736" s="1"/>
      <c r="B736" s="822"/>
      <c r="C736" s="39"/>
      <c r="D736" s="15"/>
      <c r="E736" s="15"/>
      <c r="F736" s="61"/>
      <c r="G736" s="15"/>
      <c r="H736" s="800"/>
      <c r="I736" s="13"/>
      <c r="J736" s="13"/>
    </row>
    <row r="737" spans="1:14" x14ac:dyDescent="0.2">
      <c r="A737" s="1"/>
      <c r="B737" s="820"/>
      <c r="C737" s="39" t="s">
        <v>536</v>
      </c>
      <c r="D737" s="15">
        <f>prices!F776+prices!F766*2+prices!F753*40</f>
        <v>4.3927466666666666</v>
      </c>
      <c r="E737" s="15">
        <f>D737*B737</f>
        <v>0</v>
      </c>
      <c r="F737" s="61">
        <f>prices!F1358*Quotation!B737</f>
        <v>0</v>
      </c>
      <c r="G737" s="15"/>
      <c r="H737" s="800"/>
      <c r="I737" s="13"/>
      <c r="J737" s="13"/>
    </row>
    <row r="738" spans="1:14" x14ac:dyDescent="0.2">
      <c r="A738" s="160"/>
      <c r="B738" s="820"/>
      <c r="C738" s="39" t="s">
        <v>537</v>
      </c>
      <c r="D738" s="15">
        <f>prices!F776+prices!F766*2+prices!F753*40</f>
        <v>4.3927466666666666</v>
      </c>
      <c r="E738" s="15">
        <f>D738*B738</f>
        <v>0</v>
      </c>
      <c r="F738" s="61">
        <f>prices!F1359*B738</f>
        <v>0</v>
      </c>
      <c r="G738" s="15"/>
      <c r="H738" s="800"/>
      <c r="I738" s="13"/>
      <c r="J738" s="13"/>
    </row>
    <row r="739" spans="1:14" x14ac:dyDescent="0.2">
      <c r="A739" s="160"/>
      <c r="B739" s="820"/>
      <c r="C739" s="39"/>
      <c r="D739" s="15"/>
      <c r="E739" s="15"/>
      <c r="F739" s="61"/>
      <c r="G739" s="15"/>
      <c r="H739" s="800"/>
      <c r="I739" s="13"/>
      <c r="J739" s="13"/>
    </row>
    <row r="740" spans="1:14" x14ac:dyDescent="0.2">
      <c r="A740" s="160"/>
      <c r="B740" s="820"/>
      <c r="C740" s="56" t="s">
        <v>538</v>
      </c>
      <c r="D740" s="15"/>
      <c r="E740" s="15"/>
      <c r="F740" s="61"/>
      <c r="G740" s="15"/>
      <c r="H740" s="800"/>
      <c r="I740" s="13"/>
      <c r="J740" s="13"/>
    </row>
    <row r="741" spans="1:14" x14ac:dyDescent="0.2">
      <c r="A741" s="160"/>
      <c r="B741" s="858"/>
      <c r="C741" s="59" t="s">
        <v>539</v>
      </c>
      <c r="D741" s="15">
        <f>prices!F70</f>
        <v>0</v>
      </c>
      <c r="E741" s="15">
        <f>D741*B741</f>
        <v>0</v>
      </c>
      <c r="F741" s="61"/>
      <c r="G741" s="15"/>
      <c r="H741" s="800"/>
      <c r="I741" s="13"/>
      <c r="J741" s="13"/>
    </row>
    <row r="742" spans="1:14" x14ac:dyDescent="0.2">
      <c r="A742" s="160"/>
      <c r="B742" s="858"/>
      <c r="C742" s="205">
        <f>IF(B742&gt;0.1,"Engineering fees for footings has been allicated",0)</f>
        <v>0</v>
      </c>
      <c r="D742" s="15">
        <f>prices!F63</f>
        <v>800</v>
      </c>
      <c r="E742" s="15">
        <f>D742*B742</f>
        <v>0</v>
      </c>
      <c r="F742" s="61"/>
      <c r="G742" s="15"/>
      <c r="H742" s="800"/>
      <c r="I742" s="13"/>
      <c r="J742" s="13"/>
    </row>
    <row r="743" spans="1:14" x14ac:dyDescent="0.2">
      <c r="A743" s="196"/>
      <c r="B743" s="826">
        <v>1</v>
      </c>
      <c r="C743" s="59" t="str">
        <f>IF(B743&gt;0.01,"Soil Report",0)</f>
        <v>Soil Report</v>
      </c>
      <c r="D743" s="15">
        <f>prices!F62</f>
        <v>640</v>
      </c>
      <c r="E743" s="82">
        <f>D743*B743</f>
        <v>640</v>
      </c>
      <c r="F743" s="80"/>
      <c r="G743" s="80"/>
      <c r="H743" s="853"/>
      <c r="I743" s="13"/>
      <c r="J743" s="13"/>
    </row>
    <row r="744" spans="1:14" x14ac:dyDescent="0.2">
      <c r="A744" s="160"/>
      <c r="B744" s="820"/>
      <c r="C744" s="39"/>
      <c r="D744" s="15"/>
      <c r="E744" s="15"/>
      <c r="F744" s="61"/>
      <c r="G744" s="15"/>
      <c r="H744" s="800"/>
      <c r="I744" s="13"/>
      <c r="J744" s="13"/>
      <c r="N744" s="8" t="s">
        <v>540</v>
      </c>
    </row>
    <row r="745" spans="1:14" ht="13.5" thickBot="1" x14ac:dyDescent="0.25">
      <c r="A745" s="160"/>
      <c r="B745" s="859" t="s">
        <v>541</v>
      </c>
      <c r="C745" s="206" t="s">
        <v>542</v>
      </c>
      <c r="D745" s="207" t="s">
        <v>543</v>
      </c>
      <c r="E745" s="97"/>
      <c r="F745" s="208"/>
      <c r="G745" s="97"/>
      <c r="H745" s="810"/>
      <c r="I745" s="13"/>
      <c r="J745" s="13"/>
      <c r="L745" s="3" t="s">
        <v>544</v>
      </c>
      <c r="N745" s="209">
        <f>ROW()</f>
        <v>745</v>
      </c>
    </row>
    <row r="746" spans="1:14" x14ac:dyDescent="0.2">
      <c r="A746" s="160"/>
      <c r="B746" s="350"/>
      <c r="C746" s="210" t="s">
        <v>545</v>
      </c>
      <c r="D746" s="211">
        <v>1</v>
      </c>
      <c r="E746" s="15">
        <f>(M746*prices!$E$6)+M746</f>
        <v>0</v>
      </c>
      <c r="F746" s="212">
        <v>0</v>
      </c>
      <c r="G746" s="82"/>
      <c r="H746" s="860"/>
      <c r="I746" s="13"/>
      <c r="J746" s="13"/>
      <c r="L746" s="213">
        <f t="shared" ref="L746:L809" si="37">IF(D746&gt;0,1,"")</f>
        <v>1</v>
      </c>
      <c r="M746" s="214">
        <f>D746*B746</f>
        <v>0</v>
      </c>
      <c r="N746" s="209">
        <f>ROW()</f>
        <v>746</v>
      </c>
    </row>
    <row r="747" spans="1:14" x14ac:dyDescent="0.2">
      <c r="A747" s="160"/>
      <c r="B747" s="820">
        <v>0</v>
      </c>
      <c r="C747" s="215" t="s">
        <v>545</v>
      </c>
      <c r="D747" s="216">
        <v>1</v>
      </c>
      <c r="E747" s="15">
        <f>(M747*prices!$E$6)+M747</f>
        <v>0</v>
      </c>
      <c r="F747" s="212"/>
      <c r="G747" s="82"/>
      <c r="H747" s="860"/>
      <c r="I747" s="13"/>
      <c r="J747" s="13"/>
      <c r="L747" s="213">
        <f t="shared" si="37"/>
        <v>1</v>
      </c>
      <c r="M747" s="214">
        <f t="shared" ref="M747:M809" si="38">D747*B747</f>
        <v>0</v>
      </c>
      <c r="N747" s="217"/>
    </row>
    <row r="748" spans="1:14" x14ac:dyDescent="0.2">
      <c r="A748" s="160"/>
      <c r="B748" s="820"/>
      <c r="C748" s="215" t="s">
        <v>545</v>
      </c>
      <c r="D748" s="216">
        <v>1</v>
      </c>
      <c r="E748" s="15">
        <f>(M748*prices!$E$6)+M748</f>
        <v>0</v>
      </c>
      <c r="F748" s="212"/>
      <c r="G748" s="82"/>
      <c r="H748" s="860"/>
      <c r="I748" s="13"/>
      <c r="J748" s="13"/>
      <c r="L748" s="213">
        <f t="shared" si="37"/>
        <v>1</v>
      </c>
      <c r="M748" s="214">
        <f t="shared" si="38"/>
        <v>0</v>
      </c>
      <c r="N748" s="217"/>
    </row>
    <row r="749" spans="1:14" x14ac:dyDescent="0.2">
      <c r="A749" s="160"/>
      <c r="B749" s="820"/>
      <c r="C749" s="215" t="s">
        <v>545</v>
      </c>
      <c r="D749" s="216">
        <v>1</v>
      </c>
      <c r="E749" s="15">
        <f>(M749*prices!$E$6)+M749</f>
        <v>0</v>
      </c>
      <c r="F749" s="212"/>
      <c r="G749" s="82"/>
      <c r="H749" s="860"/>
      <c r="I749" s="13"/>
      <c r="J749" s="13"/>
      <c r="L749" s="213">
        <f t="shared" si="37"/>
        <v>1</v>
      </c>
      <c r="M749" s="214">
        <f t="shared" si="38"/>
        <v>0</v>
      </c>
      <c r="N749" s="217"/>
    </row>
    <row r="750" spans="1:14" x14ac:dyDescent="0.2">
      <c r="A750" s="160"/>
      <c r="B750" s="820"/>
      <c r="C750" s="215" t="s">
        <v>545</v>
      </c>
      <c r="D750" s="216">
        <v>1</v>
      </c>
      <c r="E750" s="15">
        <f>(M750*prices!$E$6)+M750</f>
        <v>0</v>
      </c>
      <c r="F750" s="212"/>
      <c r="G750" s="82"/>
      <c r="H750" s="860"/>
      <c r="I750" s="13"/>
      <c r="J750" s="13"/>
      <c r="L750" s="213">
        <f t="shared" si="37"/>
        <v>1</v>
      </c>
      <c r="M750" s="214">
        <f t="shared" si="38"/>
        <v>0</v>
      </c>
      <c r="N750" s="217"/>
    </row>
    <row r="751" spans="1:14" x14ac:dyDescent="0.2">
      <c r="A751" s="160"/>
      <c r="B751" s="820"/>
      <c r="C751" s="215" t="s">
        <v>545</v>
      </c>
      <c r="D751" s="216">
        <v>1</v>
      </c>
      <c r="E751" s="15">
        <f>(M751*prices!$E$6)+M751</f>
        <v>0</v>
      </c>
      <c r="F751" s="212"/>
      <c r="G751" s="82"/>
      <c r="H751" s="860"/>
      <c r="I751" s="13"/>
      <c r="J751" s="13"/>
      <c r="L751" s="213">
        <f t="shared" si="37"/>
        <v>1</v>
      </c>
      <c r="M751" s="214">
        <f t="shared" si="38"/>
        <v>0</v>
      </c>
      <c r="N751" s="217"/>
    </row>
    <row r="752" spans="1:14" x14ac:dyDescent="0.2">
      <c r="A752" s="160"/>
      <c r="B752" s="820"/>
      <c r="C752" s="215" t="s">
        <v>545</v>
      </c>
      <c r="D752" s="216">
        <v>1</v>
      </c>
      <c r="E752" s="15">
        <f>(M752*prices!$E$6)+M752</f>
        <v>0</v>
      </c>
      <c r="F752" s="212"/>
      <c r="G752" s="82"/>
      <c r="H752" s="860"/>
      <c r="I752" s="13"/>
      <c r="J752" s="13"/>
      <c r="L752" s="213">
        <f t="shared" si="37"/>
        <v>1</v>
      </c>
      <c r="M752" s="214">
        <f t="shared" si="38"/>
        <v>0</v>
      </c>
      <c r="N752" s="217"/>
    </row>
    <row r="753" spans="1:14" x14ac:dyDescent="0.2">
      <c r="A753" s="160"/>
      <c r="B753" s="820"/>
      <c r="C753" s="215" t="s">
        <v>545</v>
      </c>
      <c r="D753" s="216">
        <v>1</v>
      </c>
      <c r="E753" s="15">
        <f>(M753*prices!$E$6)+M753</f>
        <v>0</v>
      </c>
      <c r="F753" s="212"/>
      <c r="G753" s="82"/>
      <c r="H753" s="860"/>
      <c r="I753" s="13"/>
      <c r="J753" s="13"/>
      <c r="L753" s="213">
        <f t="shared" si="37"/>
        <v>1</v>
      </c>
      <c r="M753" s="214">
        <f t="shared" si="38"/>
        <v>0</v>
      </c>
      <c r="N753" s="217"/>
    </row>
    <row r="754" spans="1:14" x14ac:dyDescent="0.2">
      <c r="A754" s="160"/>
      <c r="B754" s="820"/>
      <c r="C754" s="215" t="s">
        <v>545</v>
      </c>
      <c r="D754" s="216">
        <v>1</v>
      </c>
      <c r="E754" s="15">
        <f>(M754*prices!$E$6)+M754</f>
        <v>0</v>
      </c>
      <c r="F754" s="212"/>
      <c r="G754" s="82"/>
      <c r="H754" s="860"/>
      <c r="I754" s="13"/>
      <c r="J754" s="13"/>
      <c r="L754" s="213">
        <f t="shared" si="37"/>
        <v>1</v>
      </c>
      <c r="M754" s="214">
        <f t="shared" si="38"/>
        <v>0</v>
      </c>
      <c r="N754" s="217"/>
    </row>
    <row r="755" spans="1:14" x14ac:dyDescent="0.2">
      <c r="A755" s="160"/>
      <c r="B755" s="820"/>
      <c r="C755" s="215" t="s">
        <v>545</v>
      </c>
      <c r="D755" s="216">
        <v>1</v>
      </c>
      <c r="E755" s="15">
        <f>(M755*prices!$E$6)+M755</f>
        <v>0</v>
      </c>
      <c r="F755" s="212"/>
      <c r="G755" s="82"/>
      <c r="H755" s="860"/>
      <c r="I755" s="13"/>
      <c r="J755" s="13"/>
      <c r="L755" s="213">
        <f t="shared" si="37"/>
        <v>1</v>
      </c>
      <c r="M755" s="214">
        <f t="shared" si="38"/>
        <v>0</v>
      </c>
      <c r="N755" s="217"/>
    </row>
    <row r="756" spans="1:14" x14ac:dyDescent="0.2">
      <c r="A756" s="160"/>
      <c r="B756" s="820"/>
      <c r="C756" s="215" t="s">
        <v>545</v>
      </c>
      <c r="D756" s="216">
        <v>1</v>
      </c>
      <c r="E756" s="15">
        <f>(M756*prices!$E$6)+M756</f>
        <v>0</v>
      </c>
      <c r="F756" s="212"/>
      <c r="G756" s="82"/>
      <c r="H756" s="860"/>
      <c r="I756" s="13"/>
      <c r="J756" s="13"/>
      <c r="L756" s="213">
        <f t="shared" si="37"/>
        <v>1</v>
      </c>
      <c r="M756" s="214">
        <f t="shared" si="38"/>
        <v>0</v>
      </c>
      <c r="N756" s="217"/>
    </row>
    <row r="757" spans="1:14" x14ac:dyDescent="0.2">
      <c r="A757" s="160"/>
      <c r="B757" s="820"/>
      <c r="C757" s="215" t="s">
        <v>545</v>
      </c>
      <c r="D757" s="216">
        <v>1</v>
      </c>
      <c r="E757" s="15">
        <f>(M757*prices!$E$6)+M757</f>
        <v>0</v>
      </c>
      <c r="F757" s="212"/>
      <c r="G757" s="82"/>
      <c r="H757" s="860"/>
      <c r="I757" s="13"/>
      <c r="J757" s="13"/>
      <c r="L757" s="213">
        <f t="shared" si="37"/>
        <v>1</v>
      </c>
      <c r="M757" s="214">
        <f t="shared" si="38"/>
        <v>0</v>
      </c>
      <c r="N757" s="217"/>
    </row>
    <row r="758" spans="1:14" x14ac:dyDescent="0.2">
      <c r="A758" s="160"/>
      <c r="B758" s="820"/>
      <c r="C758" s="215" t="s">
        <v>545</v>
      </c>
      <c r="D758" s="216">
        <v>1</v>
      </c>
      <c r="E758" s="15">
        <f>(M758*prices!$E$6)+M758</f>
        <v>0</v>
      </c>
      <c r="F758" s="212"/>
      <c r="G758" s="82"/>
      <c r="H758" s="860"/>
      <c r="I758" s="13"/>
      <c r="J758" s="13"/>
      <c r="L758" s="213">
        <f t="shared" si="37"/>
        <v>1</v>
      </c>
      <c r="M758" s="214">
        <f t="shared" si="38"/>
        <v>0</v>
      </c>
      <c r="N758" s="217"/>
    </row>
    <row r="759" spans="1:14" x14ac:dyDescent="0.2">
      <c r="A759" s="160"/>
      <c r="B759" s="820"/>
      <c r="C759" s="215" t="s">
        <v>545</v>
      </c>
      <c r="D759" s="216">
        <v>1</v>
      </c>
      <c r="E759" s="15">
        <f>(M759*prices!$E$6)+M759</f>
        <v>0</v>
      </c>
      <c r="F759" s="212"/>
      <c r="G759" s="82"/>
      <c r="H759" s="860"/>
      <c r="I759" s="13"/>
      <c r="J759" s="13"/>
      <c r="L759" s="213">
        <f t="shared" si="37"/>
        <v>1</v>
      </c>
      <c r="M759" s="214">
        <f t="shared" si="38"/>
        <v>0</v>
      </c>
      <c r="N759" s="217"/>
    </row>
    <row r="760" spans="1:14" x14ac:dyDescent="0.2">
      <c r="A760" s="160"/>
      <c r="B760" s="820"/>
      <c r="C760" s="215" t="s">
        <v>545</v>
      </c>
      <c r="D760" s="216">
        <v>1</v>
      </c>
      <c r="E760" s="15">
        <f>(M760*prices!$E$6)+M760</f>
        <v>0</v>
      </c>
      <c r="F760" s="212"/>
      <c r="G760" s="82"/>
      <c r="H760" s="860"/>
      <c r="I760" s="13"/>
      <c r="J760" s="13"/>
      <c r="L760" s="213">
        <f t="shared" si="37"/>
        <v>1</v>
      </c>
      <c r="M760" s="214">
        <f t="shared" si="38"/>
        <v>0</v>
      </c>
      <c r="N760" s="217"/>
    </row>
    <row r="761" spans="1:14" x14ac:dyDescent="0.2">
      <c r="A761" s="160"/>
      <c r="B761" s="820"/>
      <c r="C761" s="215" t="s">
        <v>545</v>
      </c>
      <c r="D761" s="216">
        <v>1</v>
      </c>
      <c r="E761" s="15">
        <f>(M761*prices!$E$6)+M761</f>
        <v>0</v>
      </c>
      <c r="F761" s="212"/>
      <c r="G761" s="82"/>
      <c r="H761" s="860"/>
      <c r="I761" s="13"/>
      <c r="J761" s="13"/>
      <c r="L761" s="213">
        <f t="shared" si="37"/>
        <v>1</v>
      </c>
      <c r="M761" s="214">
        <f t="shared" si="38"/>
        <v>0</v>
      </c>
      <c r="N761" s="217"/>
    </row>
    <row r="762" spans="1:14" x14ac:dyDescent="0.2">
      <c r="A762" s="160"/>
      <c r="B762" s="820"/>
      <c r="C762" s="215" t="s">
        <v>545</v>
      </c>
      <c r="D762" s="216">
        <v>1</v>
      </c>
      <c r="E762" s="15">
        <f>(M762*prices!$E$6)+M762</f>
        <v>0</v>
      </c>
      <c r="F762" s="212"/>
      <c r="G762" s="82"/>
      <c r="H762" s="860"/>
      <c r="I762" s="13"/>
      <c r="J762" s="13"/>
      <c r="L762" s="213">
        <f t="shared" si="37"/>
        <v>1</v>
      </c>
      <c r="M762" s="214">
        <f t="shared" si="38"/>
        <v>0</v>
      </c>
      <c r="N762" s="217"/>
    </row>
    <row r="763" spans="1:14" x14ac:dyDescent="0.2">
      <c r="A763" s="160"/>
      <c r="B763" s="820"/>
      <c r="C763" s="215" t="s">
        <v>545</v>
      </c>
      <c r="D763" s="216">
        <v>1</v>
      </c>
      <c r="E763" s="15">
        <f>(M763*prices!$E$6)+M763</f>
        <v>0</v>
      </c>
      <c r="F763" s="212"/>
      <c r="G763" s="82"/>
      <c r="H763" s="860"/>
      <c r="I763" s="13"/>
      <c r="J763" s="13"/>
      <c r="L763" s="213">
        <f t="shared" si="37"/>
        <v>1</v>
      </c>
      <c r="M763" s="214">
        <f t="shared" si="38"/>
        <v>0</v>
      </c>
      <c r="N763" s="217"/>
    </row>
    <row r="764" spans="1:14" x14ac:dyDescent="0.2">
      <c r="A764" s="160"/>
      <c r="B764" s="820"/>
      <c r="C764" s="215" t="s">
        <v>545</v>
      </c>
      <c r="D764" s="216">
        <v>1</v>
      </c>
      <c r="E764" s="15">
        <f>(M764*prices!$E$6)+M764</f>
        <v>0</v>
      </c>
      <c r="F764" s="212"/>
      <c r="G764" s="82"/>
      <c r="H764" s="860"/>
      <c r="I764" s="13"/>
      <c r="J764" s="13"/>
      <c r="L764" s="213">
        <f t="shared" si="37"/>
        <v>1</v>
      </c>
      <c r="M764" s="214">
        <f t="shared" si="38"/>
        <v>0</v>
      </c>
      <c r="N764" s="217"/>
    </row>
    <row r="765" spans="1:14" x14ac:dyDescent="0.2">
      <c r="A765" s="218"/>
      <c r="B765" s="820"/>
      <c r="C765" s="215" t="s">
        <v>545</v>
      </c>
      <c r="D765" s="216">
        <v>1</v>
      </c>
      <c r="E765" s="15"/>
      <c r="F765" s="212"/>
      <c r="G765" s="82"/>
      <c r="H765" s="860"/>
      <c r="I765" s="13"/>
      <c r="J765" s="13"/>
      <c r="L765" s="213">
        <f t="shared" si="37"/>
        <v>1</v>
      </c>
      <c r="M765" s="214">
        <f t="shared" si="38"/>
        <v>0</v>
      </c>
      <c r="N765" s="217"/>
    </row>
    <row r="766" spans="1:14" x14ac:dyDescent="0.2">
      <c r="A766" s="160"/>
      <c r="B766" s="820"/>
      <c r="C766" s="215" t="s">
        <v>545</v>
      </c>
      <c r="D766" s="216">
        <v>1</v>
      </c>
      <c r="E766" s="15">
        <f>(M766*prices!$E$6)+M766</f>
        <v>0</v>
      </c>
      <c r="F766" s="212"/>
      <c r="G766" s="82"/>
      <c r="H766" s="860"/>
      <c r="I766" s="13"/>
      <c r="J766" s="13"/>
      <c r="L766" s="213">
        <f t="shared" si="37"/>
        <v>1</v>
      </c>
      <c r="M766" s="214">
        <f t="shared" si="38"/>
        <v>0</v>
      </c>
      <c r="N766" s="217"/>
    </row>
    <row r="767" spans="1:14" x14ac:dyDescent="0.2">
      <c r="A767" s="160"/>
      <c r="B767" s="820"/>
      <c r="C767" s="215" t="s">
        <v>545</v>
      </c>
      <c r="D767" s="216">
        <v>1</v>
      </c>
      <c r="E767" s="15">
        <f>(M767*prices!$E$6)+M767</f>
        <v>0</v>
      </c>
      <c r="F767" s="212"/>
      <c r="G767" s="82"/>
      <c r="H767" s="860"/>
      <c r="I767" s="13"/>
      <c r="J767" s="13"/>
      <c r="L767" s="213">
        <f t="shared" si="37"/>
        <v>1</v>
      </c>
      <c r="M767" s="214">
        <f t="shared" si="38"/>
        <v>0</v>
      </c>
      <c r="N767" s="217"/>
    </row>
    <row r="768" spans="1:14" x14ac:dyDescent="0.2">
      <c r="A768" s="160"/>
      <c r="B768" s="820"/>
      <c r="C768" s="215" t="s">
        <v>545</v>
      </c>
      <c r="D768" s="216">
        <v>1</v>
      </c>
      <c r="E768" s="15">
        <f>(M768*prices!$E$6)+M768</f>
        <v>0</v>
      </c>
      <c r="F768" s="212"/>
      <c r="G768" s="82"/>
      <c r="H768" s="860"/>
      <c r="I768" s="13"/>
      <c r="J768" s="13"/>
      <c r="L768" s="213">
        <f t="shared" si="37"/>
        <v>1</v>
      </c>
      <c r="M768" s="214">
        <f t="shared" si="38"/>
        <v>0</v>
      </c>
      <c r="N768" s="217"/>
    </row>
    <row r="769" spans="1:14" x14ac:dyDescent="0.2">
      <c r="A769" s="160"/>
      <c r="B769" s="820"/>
      <c r="C769" s="215" t="s">
        <v>545</v>
      </c>
      <c r="D769" s="216">
        <v>1</v>
      </c>
      <c r="E769" s="15">
        <f>(M769*prices!$E$6)+M769</f>
        <v>0</v>
      </c>
      <c r="F769" s="212"/>
      <c r="G769" s="82"/>
      <c r="H769" s="860"/>
      <c r="I769" s="13"/>
      <c r="J769" s="13"/>
      <c r="L769" s="213">
        <f t="shared" si="37"/>
        <v>1</v>
      </c>
      <c r="M769" s="214">
        <f t="shared" si="38"/>
        <v>0</v>
      </c>
      <c r="N769" s="217"/>
    </row>
    <row r="770" spans="1:14" x14ac:dyDescent="0.2">
      <c r="A770" s="160"/>
      <c r="B770" s="820"/>
      <c r="C770" s="215" t="s">
        <v>545</v>
      </c>
      <c r="D770" s="216">
        <v>1</v>
      </c>
      <c r="E770" s="15">
        <f>(M770*prices!$E$6)+M770</f>
        <v>0</v>
      </c>
      <c r="F770" s="212"/>
      <c r="G770" s="82"/>
      <c r="H770" s="860"/>
      <c r="I770" s="13"/>
      <c r="J770" s="13"/>
      <c r="L770" s="213">
        <f t="shared" si="37"/>
        <v>1</v>
      </c>
      <c r="M770" s="214">
        <f t="shared" si="38"/>
        <v>0</v>
      </c>
      <c r="N770" s="217"/>
    </row>
    <row r="771" spans="1:14" x14ac:dyDescent="0.2">
      <c r="A771" s="160"/>
      <c r="B771" s="820"/>
      <c r="C771" s="215" t="s">
        <v>545</v>
      </c>
      <c r="D771" s="216">
        <v>1</v>
      </c>
      <c r="E771" s="15">
        <f>(M771*prices!$E$6)+M771</f>
        <v>0</v>
      </c>
      <c r="F771" s="212"/>
      <c r="G771" s="82"/>
      <c r="H771" s="860"/>
      <c r="I771" s="13"/>
      <c r="J771" s="13"/>
      <c r="L771" s="213">
        <f t="shared" si="37"/>
        <v>1</v>
      </c>
      <c r="M771" s="214">
        <f t="shared" si="38"/>
        <v>0</v>
      </c>
      <c r="N771" s="217"/>
    </row>
    <row r="772" spans="1:14" x14ac:dyDescent="0.2">
      <c r="A772" s="160"/>
      <c r="B772" s="820"/>
      <c r="C772" s="215" t="s">
        <v>545</v>
      </c>
      <c r="D772" s="216">
        <v>1</v>
      </c>
      <c r="E772" s="15">
        <f>(M772*prices!$E$6)+M772</f>
        <v>0</v>
      </c>
      <c r="F772" s="212"/>
      <c r="G772" s="82"/>
      <c r="H772" s="860"/>
      <c r="I772" s="13"/>
      <c r="J772" s="13"/>
      <c r="L772" s="213">
        <f t="shared" si="37"/>
        <v>1</v>
      </c>
      <c r="M772" s="214">
        <f t="shared" si="38"/>
        <v>0</v>
      </c>
      <c r="N772" s="217"/>
    </row>
    <row r="773" spans="1:14" x14ac:dyDescent="0.2">
      <c r="A773" s="219"/>
      <c r="B773" s="820"/>
      <c r="C773" s="215" t="s">
        <v>545</v>
      </c>
      <c r="D773" s="216">
        <v>1</v>
      </c>
      <c r="E773" s="15">
        <f>(M773*prices!$E$6)+M773</f>
        <v>0</v>
      </c>
      <c r="F773" s="212"/>
      <c r="G773" s="82"/>
      <c r="H773" s="860"/>
      <c r="I773" s="13"/>
      <c r="J773" s="13"/>
      <c r="L773" s="213">
        <f t="shared" si="37"/>
        <v>1</v>
      </c>
      <c r="M773" s="214">
        <f t="shared" si="38"/>
        <v>0</v>
      </c>
      <c r="N773" s="217"/>
    </row>
    <row r="774" spans="1:14" x14ac:dyDescent="0.2">
      <c r="A774" s="220"/>
      <c r="B774" s="820"/>
      <c r="C774" s="215" t="s">
        <v>545</v>
      </c>
      <c r="D774" s="216">
        <v>1</v>
      </c>
      <c r="E774" s="15">
        <f>(M774*prices!$E$6)+M774</f>
        <v>0</v>
      </c>
      <c r="F774" s="212"/>
      <c r="G774" s="82"/>
      <c r="H774" s="860"/>
      <c r="I774" s="13"/>
      <c r="J774" s="13"/>
      <c r="L774" s="213">
        <f t="shared" si="37"/>
        <v>1</v>
      </c>
      <c r="M774" s="214">
        <f t="shared" si="38"/>
        <v>0</v>
      </c>
      <c r="N774" s="217"/>
    </row>
    <row r="775" spans="1:14" x14ac:dyDescent="0.2">
      <c r="A775" s="220"/>
      <c r="B775" s="820"/>
      <c r="C775" s="215" t="s">
        <v>545</v>
      </c>
      <c r="D775" s="216">
        <v>1</v>
      </c>
      <c r="E775" s="15">
        <f>(M775*prices!E6)+M775</f>
        <v>0</v>
      </c>
      <c r="F775" s="212"/>
      <c r="G775" s="82"/>
      <c r="H775" s="860"/>
      <c r="I775" s="13"/>
      <c r="J775" s="13"/>
      <c r="L775" s="213">
        <f t="shared" si="37"/>
        <v>1</v>
      </c>
      <c r="M775" s="214">
        <f t="shared" si="38"/>
        <v>0</v>
      </c>
    </row>
    <row r="776" spans="1:14" x14ac:dyDescent="0.2">
      <c r="A776" s="220"/>
      <c r="B776" s="820"/>
      <c r="C776" s="215" t="s">
        <v>545</v>
      </c>
      <c r="D776" s="216">
        <v>1</v>
      </c>
      <c r="E776" s="15">
        <f>(M776*prices!E6)+M776</f>
        <v>0</v>
      </c>
      <c r="F776" s="212"/>
      <c r="G776" s="82"/>
      <c r="H776" s="860"/>
      <c r="I776" s="13"/>
      <c r="J776" s="13"/>
      <c r="L776" s="213">
        <f t="shared" si="37"/>
        <v>1</v>
      </c>
      <c r="M776" s="214">
        <f t="shared" si="38"/>
        <v>0</v>
      </c>
    </row>
    <row r="777" spans="1:14" x14ac:dyDescent="0.2">
      <c r="A777" s="220"/>
      <c r="B777" s="820"/>
      <c r="C777" s="215" t="s">
        <v>545</v>
      </c>
      <c r="D777" s="216">
        <v>1</v>
      </c>
      <c r="E777" s="15">
        <f>(M777*prices!$E$6)+M777</f>
        <v>0</v>
      </c>
      <c r="F777" s="212"/>
      <c r="G777" s="82"/>
      <c r="H777" s="860"/>
      <c r="I777" s="13"/>
      <c r="J777" s="13"/>
      <c r="L777" s="213">
        <f t="shared" si="37"/>
        <v>1</v>
      </c>
      <c r="M777" s="214">
        <f t="shared" si="38"/>
        <v>0</v>
      </c>
    </row>
    <row r="778" spans="1:14" x14ac:dyDescent="0.2">
      <c r="A778" s="220"/>
      <c r="B778" s="820"/>
      <c r="C778" s="215" t="s">
        <v>545</v>
      </c>
      <c r="D778" s="216">
        <v>1</v>
      </c>
      <c r="E778" s="15">
        <f>(M778*prices!$E$6)+M778</f>
        <v>0</v>
      </c>
      <c r="F778" s="212"/>
      <c r="G778" s="82"/>
      <c r="H778" s="860"/>
      <c r="I778" s="13"/>
      <c r="J778" s="13"/>
      <c r="L778" s="213">
        <f t="shared" si="37"/>
        <v>1</v>
      </c>
      <c r="M778" s="214">
        <f t="shared" si="38"/>
        <v>0</v>
      </c>
    </row>
    <row r="779" spans="1:14" x14ac:dyDescent="0.2">
      <c r="A779" s="220"/>
      <c r="B779" s="820"/>
      <c r="C779" s="215" t="s">
        <v>545</v>
      </c>
      <c r="D779" s="216">
        <v>1</v>
      </c>
      <c r="E779" s="15">
        <f>(M779*prices!$E$6)+M779</f>
        <v>0</v>
      </c>
      <c r="F779" s="212"/>
      <c r="G779" s="82"/>
      <c r="H779" s="860"/>
      <c r="I779" s="13"/>
      <c r="J779" s="13"/>
      <c r="L779" s="213">
        <f t="shared" si="37"/>
        <v>1</v>
      </c>
      <c r="M779" s="214">
        <f t="shared" si="38"/>
        <v>0</v>
      </c>
    </row>
    <row r="780" spans="1:14" x14ac:dyDescent="0.2">
      <c r="A780" s="220"/>
      <c r="B780" s="820"/>
      <c r="C780" s="215" t="s">
        <v>545</v>
      </c>
      <c r="D780" s="216">
        <v>1</v>
      </c>
      <c r="E780" s="15">
        <f>(M780*prices!$E$6)+M780</f>
        <v>0</v>
      </c>
      <c r="F780" s="212"/>
      <c r="G780" s="82"/>
      <c r="H780" s="860"/>
      <c r="I780" s="13"/>
      <c r="J780" s="13"/>
      <c r="L780" s="213">
        <f t="shared" si="37"/>
        <v>1</v>
      </c>
      <c r="M780" s="214">
        <f t="shared" si="38"/>
        <v>0</v>
      </c>
    </row>
    <row r="781" spans="1:14" x14ac:dyDescent="0.2">
      <c r="A781" s="220"/>
      <c r="B781" s="820"/>
      <c r="C781" s="215" t="s">
        <v>545</v>
      </c>
      <c r="D781" s="216">
        <v>1</v>
      </c>
      <c r="E781" s="15">
        <f>(M781*prices!$E$6)+M781</f>
        <v>0</v>
      </c>
      <c r="F781" s="212"/>
      <c r="G781" s="82"/>
      <c r="H781" s="860"/>
      <c r="I781" s="13"/>
      <c r="J781" s="13"/>
      <c r="L781" s="213">
        <f t="shared" si="37"/>
        <v>1</v>
      </c>
      <c r="M781" s="214">
        <f t="shared" si="38"/>
        <v>0</v>
      </c>
    </row>
    <row r="782" spans="1:14" x14ac:dyDescent="0.2">
      <c r="A782" s="220"/>
      <c r="B782" s="820"/>
      <c r="C782" s="215" t="s">
        <v>545</v>
      </c>
      <c r="D782" s="216">
        <v>1</v>
      </c>
      <c r="E782" s="15">
        <f>(M782*prices!$E$6)+M782</f>
        <v>0</v>
      </c>
      <c r="F782" s="212"/>
      <c r="G782" s="82"/>
      <c r="H782" s="860"/>
      <c r="I782" s="13"/>
      <c r="J782" s="13"/>
      <c r="L782" s="213">
        <f t="shared" si="37"/>
        <v>1</v>
      </c>
      <c r="M782" s="214">
        <f t="shared" si="38"/>
        <v>0</v>
      </c>
    </row>
    <row r="783" spans="1:14" x14ac:dyDescent="0.2">
      <c r="A783" s="220"/>
      <c r="B783" s="820"/>
      <c r="C783" s="215" t="s">
        <v>545</v>
      </c>
      <c r="D783" s="216">
        <v>1</v>
      </c>
      <c r="E783" s="15">
        <f>(M783*prices!$E$6)+M783</f>
        <v>0</v>
      </c>
      <c r="F783" s="212"/>
      <c r="G783" s="82"/>
      <c r="H783" s="860"/>
      <c r="I783" s="13"/>
      <c r="J783" s="13"/>
      <c r="L783" s="213">
        <f t="shared" si="37"/>
        <v>1</v>
      </c>
      <c r="M783" s="214">
        <f t="shared" si="38"/>
        <v>0</v>
      </c>
    </row>
    <row r="784" spans="1:14" x14ac:dyDescent="0.2">
      <c r="A784" s="220"/>
      <c r="B784" s="820"/>
      <c r="C784" s="215" t="s">
        <v>545</v>
      </c>
      <c r="D784" s="216">
        <v>1</v>
      </c>
      <c r="E784" s="15">
        <f>(M784*prices!$E$6)+M784</f>
        <v>0</v>
      </c>
      <c r="F784" s="212"/>
      <c r="G784" s="82"/>
      <c r="H784" s="860"/>
      <c r="I784" s="13"/>
      <c r="J784" s="13"/>
      <c r="L784" s="213">
        <f t="shared" si="37"/>
        <v>1</v>
      </c>
      <c r="M784" s="214">
        <f t="shared" si="38"/>
        <v>0</v>
      </c>
    </row>
    <row r="785" spans="1:13" x14ac:dyDescent="0.2">
      <c r="A785" s="220"/>
      <c r="B785" s="820"/>
      <c r="C785" s="215" t="s">
        <v>545</v>
      </c>
      <c r="D785" s="216">
        <v>1</v>
      </c>
      <c r="E785" s="15">
        <f>(M785*prices!$E$6)+M785</f>
        <v>0</v>
      </c>
      <c r="F785" s="212"/>
      <c r="G785" s="82"/>
      <c r="H785" s="860"/>
      <c r="I785" s="13"/>
      <c r="J785" s="13"/>
      <c r="L785" s="213">
        <f t="shared" si="37"/>
        <v>1</v>
      </c>
      <c r="M785" s="214">
        <f t="shared" si="38"/>
        <v>0</v>
      </c>
    </row>
    <row r="786" spans="1:13" x14ac:dyDescent="0.2">
      <c r="A786" s="220"/>
      <c r="B786" s="820"/>
      <c r="C786" s="215" t="s">
        <v>545</v>
      </c>
      <c r="D786" s="216">
        <v>1</v>
      </c>
      <c r="E786" s="15">
        <f>(M786*prices!$E$6)+M786</f>
        <v>0</v>
      </c>
      <c r="F786" s="212"/>
      <c r="G786" s="82"/>
      <c r="H786" s="860"/>
      <c r="I786" s="13"/>
      <c r="J786" s="13"/>
      <c r="L786" s="213">
        <f t="shared" si="37"/>
        <v>1</v>
      </c>
      <c r="M786" s="214">
        <f t="shared" si="38"/>
        <v>0</v>
      </c>
    </row>
    <row r="787" spans="1:13" x14ac:dyDescent="0.2">
      <c r="A787" s="220"/>
      <c r="B787" s="820"/>
      <c r="C787" s="215" t="s">
        <v>545</v>
      </c>
      <c r="D787" s="216">
        <v>1</v>
      </c>
      <c r="E787" s="15">
        <f>(M787*prices!$E$6)+M787</f>
        <v>0</v>
      </c>
      <c r="F787" s="212"/>
      <c r="G787" s="82"/>
      <c r="H787" s="860"/>
      <c r="I787" s="13"/>
      <c r="J787" s="13"/>
      <c r="L787" s="213">
        <f t="shared" si="37"/>
        <v>1</v>
      </c>
      <c r="M787" s="214">
        <f t="shared" si="38"/>
        <v>0</v>
      </c>
    </row>
    <row r="788" spans="1:13" x14ac:dyDescent="0.2">
      <c r="A788" s="220"/>
      <c r="B788" s="820"/>
      <c r="C788" s="215" t="s">
        <v>545</v>
      </c>
      <c r="D788" s="216">
        <v>1</v>
      </c>
      <c r="E788" s="15">
        <f>(M788*prices!$E$6)+M788</f>
        <v>0</v>
      </c>
      <c r="F788" s="212"/>
      <c r="G788" s="82"/>
      <c r="H788" s="860"/>
      <c r="I788" s="13"/>
      <c r="J788" s="13"/>
      <c r="L788" s="213">
        <f t="shared" si="37"/>
        <v>1</v>
      </c>
      <c r="M788" s="214">
        <f t="shared" si="38"/>
        <v>0</v>
      </c>
    </row>
    <row r="789" spans="1:13" x14ac:dyDescent="0.2">
      <c r="A789" s="220"/>
      <c r="B789" s="820"/>
      <c r="C789" s="215" t="s">
        <v>545</v>
      </c>
      <c r="D789" s="216">
        <v>1</v>
      </c>
      <c r="E789" s="15">
        <f>(M789*prices!$E$6)+M789</f>
        <v>0</v>
      </c>
      <c r="F789" s="212"/>
      <c r="G789" s="82"/>
      <c r="H789" s="860"/>
      <c r="I789" s="13"/>
      <c r="J789" s="13"/>
      <c r="L789" s="213">
        <f t="shared" si="37"/>
        <v>1</v>
      </c>
      <c r="M789" s="214">
        <f t="shared" si="38"/>
        <v>0</v>
      </c>
    </row>
    <row r="790" spans="1:13" x14ac:dyDescent="0.2">
      <c r="A790" s="220"/>
      <c r="B790" s="820"/>
      <c r="C790" s="215" t="s">
        <v>545</v>
      </c>
      <c r="D790" s="216">
        <v>1</v>
      </c>
      <c r="E790" s="15">
        <f>(M790*prices!$E$6)+M790</f>
        <v>0</v>
      </c>
      <c r="F790" s="212"/>
      <c r="G790" s="82"/>
      <c r="H790" s="860"/>
      <c r="I790" s="13"/>
      <c r="J790" s="13"/>
      <c r="L790" s="213">
        <f t="shared" si="37"/>
        <v>1</v>
      </c>
      <c r="M790" s="214">
        <f t="shared" si="38"/>
        <v>0</v>
      </c>
    </row>
    <row r="791" spans="1:13" x14ac:dyDescent="0.2">
      <c r="A791" s="220"/>
      <c r="B791" s="820"/>
      <c r="C791" s="215" t="s">
        <v>545</v>
      </c>
      <c r="D791" s="216">
        <v>1</v>
      </c>
      <c r="E791" s="15">
        <f>(M791*prices!$E$6)+M791</f>
        <v>0</v>
      </c>
      <c r="F791" s="212"/>
      <c r="G791" s="82"/>
      <c r="H791" s="860"/>
      <c r="I791" s="13"/>
      <c r="J791" s="13"/>
      <c r="L791" s="213">
        <f t="shared" si="37"/>
        <v>1</v>
      </c>
      <c r="M791" s="214">
        <f t="shared" si="38"/>
        <v>0</v>
      </c>
    </row>
    <row r="792" spans="1:13" x14ac:dyDescent="0.2">
      <c r="A792" s="220"/>
      <c r="B792" s="820"/>
      <c r="C792" s="215" t="s">
        <v>545</v>
      </c>
      <c r="D792" s="216">
        <v>1</v>
      </c>
      <c r="E792" s="15">
        <f>(M792*prices!$E$6)+M792</f>
        <v>0</v>
      </c>
      <c r="F792" s="212"/>
      <c r="G792" s="82"/>
      <c r="H792" s="860"/>
      <c r="I792" s="13"/>
      <c r="J792" s="13"/>
      <c r="L792" s="213">
        <f t="shared" si="37"/>
        <v>1</v>
      </c>
      <c r="M792" s="214">
        <f t="shared" si="38"/>
        <v>0</v>
      </c>
    </row>
    <row r="793" spans="1:13" x14ac:dyDescent="0.2">
      <c r="A793" s="220"/>
      <c r="B793" s="820"/>
      <c r="C793" s="215" t="s">
        <v>545</v>
      </c>
      <c r="D793" s="216">
        <v>1</v>
      </c>
      <c r="E793" s="15">
        <f>(M793*prices!$E$6)+M793</f>
        <v>0</v>
      </c>
      <c r="F793" s="212"/>
      <c r="G793" s="82"/>
      <c r="H793" s="860"/>
      <c r="I793" s="13"/>
      <c r="J793" s="13"/>
      <c r="L793" s="213">
        <f t="shared" si="37"/>
        <v>1</v>
      </c>
      <c r="M793" s="214">
        <f t="shared" si="38"/>
        <v>0</v>
      </c>
    </row>
    <row r="794" spans="1:13" x14ac:dyDescent="0.2">
      <c r="A794" s="220"/>
      <c r="B794" s="820"/>
      <c r="C794" s="215" t="s">
        <v>545</v>
      </c>
      <c r="D794" s="216">
        <v>1</v>
      </c>
      <c r="E794" s="15">
        <f>(M794*prices!$E$6)+M794</f>
        <v>0</v>
      </c>
      <c r="F794" s="212"/>
      <c r="G794" s="82"/>
      <c r="H794" s="860"/>
      <c r="I794" s="13"/>
      <c r="J794" s="13"/>
      <c r="L794" s="213">
        <f t="shared" si="37"/>
        <v>1</v>
      </c>
      <c r="M794" s="214">
        <f t="shared" si="38"/>
        <v>0</v>
      </c>
    </row>
    <row r="795" spans="1:13" x14ac:dyDescent="0.2">
      <c r="A795" s="220"/>
      <c r="B795" s="820"/>
      <c r="C795" s="215" t="s">
        <v>545</v>
      </c>
      <c r="D795" s="216">
        <v>1</v>
      </c>
      <c r="E795" s="15">
        <f>(M795*prices!$E$6)+M795</f>
        <v>0</v>
      </c>
      <c r="F795" s="212"/>
      <c r="G795" s="82"/>
      <c r="H795" s="860"/>
      <c r="I795" s="13"/>
      <c r="J795" s="13"/>
      <c r="L795" s="213">
        <f t="shared" si="37"/>
        <v>1</v>
      </c>
      <c r="M795" s="214">
        <f t="shared" si="38"/>
        <v>0</v>
      </c>
    </row>
    <row r="796" spans="1:13" x14ac:dyDescent="0.2">
      <c r="A796" s="220"/>
      <c r="B796" s="820"/>
      <c r="C796" s="215" t="s">
        <v>545</v>
      </c>
      <c r="D796" s="216">
        <v>1</v>
      </c>
      <c r="E796" s="15">
        <f>(M796*prices!$E$6)+M796</f>
        <v>0</v>
      </c>
      <c r="F796" s="212"/>
      <c r="G796" s="82"/>
      <c r="H796" s="860"/>
      <c r="I796" s="13"/>
      <c r="J796" s="13"/>
      <c r="L796" s="213">
        <f t="shared" si="37"/>
        <v>1</v>
      </c>
      <c r="M796" s="214">
        <f t="shared" si="38"/>
        <v>0</v>
      </c>
    </row>
    <row r="797" spans="1:13" x14ac:dyDescent="0.2">
      <c r="A797" s="220"/>
      <c r="B797" s="820"/>
      <c r="C797" s="215" t="s">
        <v>545</v>
      </c>
      <c r="D797" s="216">
        <v>1</v>
      </c>
      <c r="E797" s="15">
        <f>(M797*prices!$E$6)+M797</f>
        <v>0</v>
      </c>
      <c r="F797" s="212"/>
      <c r="G797" s="82"/>
      <c r="H797" s="860"/>
      <c r="I797" s="13"/>
      <c r="J797" s="13"/>
      <c r="L797" s="213">
        <f t="shared" si="37"/>
        <v>1</v>
      </c>
      <c r="M797" s="214">
        <f t="shared" si="38"/>
        <v>0</v>
      </c>
    </row>
    <row r="798" spans="1:13" x14ac:dyDescent="0.2">
      <c r="A798" s="220"/>
      <c r="B798" s="820"/>
      <c r="C798" s="215" t="s">
        <v>545</v>
      </c>
      <c r="D798" s="216">
        <v>1</v>
      </c>
      <c r="E798" s="15">
        <f>(M798*prices!$E$6)+M798</f>
        <v>0</v>
      </c>
      <c r="F798" s="212"/>
      <c r="G798" s="82"/>
      <c r="H798" s="860"/>
      <c r="I798" s="13"/>
      <c r="J798" s="13"/>
      <c r="L798" s="213">
        <f t="shared" si="37"/>
        <v>1</v>
      </c>
      <c r="M798" s="214">
        <f t="shared" si="38"/>
        <v>0</v>
      </c>
    </row>
    <row r="799" spans="1:13" x14ac:dyDescent="0.2">
      <c r="A799" s="220"/>
      <c r="B799" s="820"/>
      <c r="C799" s="215" t="s">
        <v>545</v>
      </c>
      <c r="D799" s="216">
        <v>1</v>
      </c>
      <c r="E799" s="15">
        <f>(M799*prices!$E$6)+M799</f>
        <v>0</v>
      </c>
      <c r="F799" s="212"/>
      <c r="G799" s="82"/>
      <c r="H799" s="860"/>
      <c r="I799" s="13"/>
      <c r="J799" s="13"/>
      <c r="L799" s="213">
        <f t="shared" si="37"/>
        <v>1</v>
      </c>
      <c r="M799" s="214">
        <f t="shared" si="38"/>
        <v>0</v>
      </c>
    </row>
    <row r="800" spans="1:13" x14ac:dyDescent="0.2">
      <c r="A800" s="220"/>
      <c r="B800" s="820"/>
      <c r="C800" s="215" t="s">
        <v>545</v>
      </c>
      <c r="D800" s="216">
        <v>1</v>
      </c>
      <c r="E800" s="15">
        <f>(M800*prices!$E$6)+M800</f>
        <v>0</v>
      </c>
      <c r="F800" s="212"/>
      <c r="G800" s="82"/>
      <c r="H800" s="860"/>
      <c r="I800" s="13"/>
      <c r="J800" s="13"/>
      <c r="L800" s="213">
        <f t="shared" si="37"/>
        <v>1</v>
      </c>
      <c r="M800" s="214">
        <f t="shared" si="38"/>
        <v>0</v>
      </c>
    </row>
    <row r="801" spans="1:44" x14ac:dyDescent="0.2">
      <c r="A801" s="220"/>
      <c r="B801" s="820"/>
      <c r="C801" s="215" t="s">
        <v>545</v>
      </c>
      <c r="D801" s="216">
        <v>1</v>
      </c>
      <c r="E801" s="15">
        <f>(M801*prices!$E$6)+M801</f>
        <v>0</v>
      </c>
      <c r="F801" s="212"/>
      <c r="G801" s="82"/>
      <c r="H801" s="860"/>
      <c r="I801" s="13"/>
      <c r="J801" s="13"/>
      <c r="L801" s="213">
        <f t="shared" si="37"/>
        <v>1</v>
      </c>
      <c r="M801" s="214">
        <f t="shared" si="38"/>
        <v>0</v>
      </c>
    </row>
    <row r="802" spans="1:44" x14ac:dyDescent="0.2">
      <c r="A802" s="220"/>
      <c r="B802" s="820"/>
      <c r="C802" s="215" t="s">
        <v>545</v>
      </c>
      <c r="D802" s="216">
        <v>1</v>
      </c>
      <c r="E802" s="15">
        <f>(M802*prices!$E$6)+M802</f>
        <v>0</v>
      </c>
      <c r="F802" s="212"/>
      <c r="G802" s="82"/>
      <c r="H802" s="860"/>
      <c r="I802" s="13"/>
      <c r="J802" s="13"/>
      <c r="L802" s="213">
        <f t="shared" si="37"/>
        <v>1</v>
      </c>
      <c r="M802" s="214">
        <f t="shared" si="38"/>
        <v>0</v>
      </c>
    </row>
    <row r="803" spans="1:44" x14ac:dyDescent="0.2">
      <c r="A803" s="220"/>
      <c r="B803" s="820"/>
      <c r="C803" s="215" t="s">
        <v>545</v>
      </c>
      <c r="D803" s="216">
        <v>1</v>
      </c>
      <c r="E803" s="15">
        <f>(M803*prices!$E$6)+M803</f>
        <v>0</v>
      </c>
      <c r="F803" s="212"/>
      <c r="G803" s="82"/>
      <c r="H803" s="860"/>
      <c r="I803" s="13"/>
      <c r="J803" s="13"/>
      <c r="L803" s="213">
        <f t="shared" si="37"/>
        <v>1</v>
      </c>
      <c r="M803" s="214">
        <f t="shared" si="38"/>
        <v>0</v>
      </c>
    </row>
    <row r="804" spans="1:44" x14ac:dyDescent="0.2">
      <c r="A804" s="220"/>
      <c r="B804" s="820"/>
      <c r="C804" s="215" t="s">
        <v>545</v>
      </c>
      <c r="D804" s="216">
        <v>1</v>
      </c>
      <c r="E804" s="15">
        <f>(M804*prices!$E$6)+M804</f>
        <v>0</v>
      </c>
      <c r="F804" s="212"/>
      <c r="G804" s="82"/>
      <c r="H804" s="860"/>
      <c r="I804" s="13"/>
      <c r="J804" s="13"/>
      <c r="L804" s="213">
        <f t="shared" si="37"/>
        <v>1</v>
      </c>
      <c r="M804" s="214">
        <f t="shared" si="38"/>
        <v>0</v>
      </c>
    </row>
    <row r="805" spans="1:44" x14ac:dyDescent="0.2">
      <c r="A805" s="220"/>
      <c r="B805" s="820"/>
      <c r="C805" s="215" t="s">
        <v>545</v>
      </c>
      <c r="D805" s="216">
        <v>1</v>
      </c>
      <c r="E805" s="15">
        <f>(M805*prices!$E$6)+M805</f>
        <v>0</v>
      </c>
      <c r="F805" s="212"/>
      <c r="G805" s="82"/>
      <c r="H805" s="860"/>
      <c r="I805" s="13"/>
      <c r="J805" s="13"/>
      <c r="L805" s="213">
        <f t="shared" si="37"/>
        <v>1</v>
      </c>
      <c r="M805" s="214">
        <f t="shared" si="38"/>
        <v>0</v>
      </c>
    </row>
    <row r="806" spans="1:44" x14ac:dyDescent="0.2">
      <c r="A806" s="220"/>
      <c r="B806" s="820"/>
      <c r="C806" s="215" t="s">
        <v>545</v>
      </c>
      <c r="D806" s="216">
        <v>1</v>
      </c>
      <c r="E806" s="15">
        <f>(M806*prices!$E$6)+M806</f>
        <v>0</v>
      </c>
      <c r="F806" s="212"/>
      <c r="G806" s="82"/>
      <c r="H806" s="860"/>
      <c r="I806" s="13"/>
      <c r="J806" s="13"/>
      <c r="L806" s="213">
        <f t="shared" si="37"/>
        <v>1</v>
      </c>
      <c r="M806" s="214">
        <f t="shared" si="38"/>
        <v>0</v>
      </c>
    </row>
    <row r="807" spans="1:44" x14ac:dyDescent="0.2">
      <c r="A807" s="220"/>
      <c r="B807" s="820">
        <v>1</v>
      </c>
      <c r="C807" s="215" t="s">
        <v>546</v>
      </c>
      <c r="D807" s="216">
        <v>320</v>
      </c>
      <c r="E807" s="15">
        <f>(M807*prices!$E$6)+M807</f>
        <v>512</v>
      </c>
      <c r="F807" s="212"/>
      <c r="G807" s="82"/>
      <c r="H807" s="860"/>
      <c r="I807" s="13"/>
      <c r="J807" s="13"/>
      <c r="L807" s="213">
        <f t="shared" si="37"/>
        <v>1</v>
      </c>
      <c r="M807" s="214">
        <f t="shared" si="38"/>
        <v>320</v>
      </c>
    </row>
    <row r="808" spans="1:44" x14ac:dyDescent="0.2">
      <c r="A808" s="220"/>
      <c r="B808" s="820"/>
      <c r="C808" s="215"/>
      <c r="D808" s="216"/>
      <c r="E808" s="15">
        <f>(M808*prices!$E$6)+M808</f>
        <v>0</v>
      </c>
      <c r="F808" s="212"/>
      <c r="G808" s="82"/>
      <c r="H808" s="860"/>
      <c r="I808" s="13"/>
      <c r="J808" s="13"/>
      <c r="L808" s="213" t="str">
        <f t="shared" si="37"/>
        <v/>
      </c>
      <c r="M808" s="214">
        <f t="shared" si="38"/>
        <v>0</v>
      </c>
    </row>
    <row r="809" spans="1:44" x14ac:dyDescent="0.2">
      <c r="A809" s="220"/>
      <c r="B809" s="858"/>
      <c r="C809" s="221"/>
      <c r="D809" s="222"/>
      <c r="E809" s="223">
        <f>(M809*prices!E6)+M809</f>
        <v>0</v>
      </c>
      <c r="F809" s="224"/>
      <c r="G809" s="225"/>
      <c r="H809" s="861"/>
      <c r="I809" s="13"/>
      <c r="J809" s="13"/>
      <c r="L809" s="213" t="str">
        <f t="shared" si="37"/>
        <v/>
      </c>
      <c r="M809" s="214">
        <f t="shared" si="38"/>
        <v>0</v>
      </c>
    </row>
    <row r="810" spans="1:44" x14ac:dyDescent="0.2">
      <c r="A810" s="220"/>
      <c r="B810" s="862"/>
      <c r="C810" s="226" t="s">
        <v>547</v>
      </c>
      <c r="D810" s="227">
        <v>0</v>
      </c>
      <c r="E810" s="154">
        <f>(D810*B810)*prices!E6+D810</f>
        <v>0</v>
      </c>
      <c r="F810" s="228"/>
      <c r="G810" s="154"/>
      <c r="H810" s="800"/>
      <c r="I810" s="13"/>
      <c r="J810" s="13"/>
    </row>
    <row r="811" spans="1:44" x14ac:dyDescent="0.2">
      <c r="A811" s="220"/>
      <c r="B811" s="862"/>
      <c r="C811" s="226"/>
      <c r="D811" s="227"/>
      <c r="E811" s="154"/>
      <c r="F811" s="228"/>
      <c r="G811" s="154"/>
      <c r="H811" s="800"/>
      <c r="I811" s="13"/>
      <c r="J811" s="13"/>
    </row>
    <row r="812" spans="1:44" x14ac:dyDescent="0.2">
      <c r="A812" s="220"/>
      <c r="B812" s="820"/>
      <c r="C812" s="39" t="s">
        <v>548</v>
      </c>
      <c r="D812" s="15">
        <f>prices!F1123</f>
        <v>56</v>
      </c>
      <c r="E812" s="15"/>
      <c r="F812" s="61"/>
      <c r="G812" s="15">
        <f>D812*B812</f>
        <v>0</v>
      </c>
      <c r="H812" s="800"/>
      <c r="I812" s="13"/>
      <c r="J812" s="13"/>
    </row>
    <row r="813" spans="1:44" x14ac:dyDescent="0.2">
      <c r="A813" s="220"/>
      <c r="B813" s="820"/>
      <c r="C813" s="39"/>
      <c r="D813" s="15"/>
      <c r="E813" s="15"/>
      <c r="F813" s="61"/>
      <c r="G813" s="15"/>
      <c r="H813" s="800"/>
      <c r="I813" s="13"/>
      <c r="J813" s="13"/>
    </row>
    <row r="814" spans="1:44" ht="13.5" thickBot="1" x14ac:dyDescent="0.25">
      <c r="A814" s="229"/>
      <c r="B814" s="822"/>
      <c r="C814" s="64"/>
      <c r="D814" s="97"/>
      <c r="E814" s="97"/>
      <c r="F814" s="208"/>
      <c r="G814" s="97"/>
      <c r="H814" s="810"/>
      <c r="I814" s="13"/>
      <c r="J814" s="13"/>
    </row>
    <row r="815" spans="1:44" ht="14.25" thickTop="1" thickBot="1" x14ac:dyDescent="0.25">
      <c r="A815" s="229"/>
      <c r="B815" s="822"/>
      <c r="C815" s="230" t="s">
        <v>549</v>
      </c>
      <c r="D815" s="231" t="e">
        <f>F815/prices!F1143</f>
        <v>#N/A</v>
      </c>
      <c r="E815" s="232"/>
      <c r="F815" s="233" t="e">
        <f>SUM(F1:F814)+SUM(F822:F824)</f>
        <v>#N/A</v>
      </c>
      <c r="G815" s="232"/>
      <c r="H815" s="863"/>
      <c r="I815" s="13"/>
      <c r="J815" s="13"/>
    </row>
    <row r="816" spans="1:44" ht="14.25" thickTop="1" thickBot="1" x14ac:dyDescent="0.25">
      <c r="A816" s="229"/>
      <c r="B816" s="822"/>
      <c r="C816" s="230" t="s">
        <v>550</v>
      </c>
      <c r="D816" s="234">
        <f>G816/prices!F1016</f>
        <v>0.14659926470588236</v>
      </c>
      <c r="E816" s="235"/>
      <c r="F816" s="236"/>
      <c r="G816" s="237">
        <f>SUM(G1:G814)</f>
        <v>319</v>
      </c>
      <c r="H816" s="864"/>
      <c r="I816" s="13"/>
      <c r="J816" s="13"/>
      <c r="AR816" s="3">
        <v>0</v>
      </c>
    </row>
    <row r="817" spans="1:44" ht="13.5" thickTop="1" x14ac:dyDescent="0.2">
      <c r="A817" s="229"/>
      <c r="B817" s="822"/>
      <c r="C817" s="230"/>
      <c r="D817" s="238"/>
      <c r="E817" s="239"/>
      <c r="F817" s="72"/>
      <c r="G817" s="240"/>
      <c r="H817" s="865"/>
      <c r="I817" s="13"/>
      <c r="J817" s="13"/>
      <c r="AR817" s="3">
        <v>22</v>
      </c>
    </row>
    <row r="818" spans="1:44" x14ac:dyDescent="0.2">
      <c r="A818" s="229"/>
      <c r="B818" s="822"/>
      <c r="C818" s="230"/>
      <c r="D818" s="238"/>
      <c r="E818" s="239"/>
      <c r="F818" s="72"/>
      <c r="G818" s="240"/>
      <c r="H818" s="865"/>
      <c r="I818" s="13"/>
      <c r="J818" s="13"/>
      <c r="AR818" s="3">
        <v>23</v>
      </c>
    </row>
    <row r="819" spans="1:44" x14ac:dyDescent="0.2">
      <c r="A819" s="229"/>
      <c r="B819" s="866"/>
      <c r="C819" s="63" t="s">
        <v>551</v>
      </c>
      <c r="D819" s="242"/>
      <c r="E819" s="242"/>
      <c r="F819" s="242"/>
      <c r="G819" s="242"/>
      <c r="H819" s="867"/>
      <c r="I819" s="13"/>
      <c r="J819" s="13"/>
      <c r="AR819" s="3">
        <v>24</v>
      </c>
    </row>
    <row r="820" spans="1:44" x14ac:dyDescent="0.2">
      <c r="A820" s="229"/>
      <c r="B820" s="866"/>
      <c r="C820" s="64"/>
      <c r="D820" s="242"/>
      <c r="E820" s="242"/>
      <c r="F820" s="242"/>
      <c r="G820" s="242"/>
      <c r="H820" s="867"/>
      <c r="I820" s="13"/>
      <c r="J820" s="13"/>
      <c r="AR820" s="3">
        <v>25</v>
      </c>
    </row>
    <row r="821" spans="1:44" x14ac:dyDescent="0.2">
      <c r="A821" s="229"/>
      <c r="B821" s="868">
        <v>0.5</v>
      </c>
      <c r="C821" s="39" t="s">
        <v>552</v>
      </c>
      <c r="D821" s="15">
        <f>prices!F1153</f>
        <v>128</v>
      </c>
      <c r="E821" s="15"/>
      <c r="F821" s="61">
        <f>D821*B821</f>
        <v>64</v>
      </c>
      <c r="G821" s="15"/>
      <c r="H821" s="800"/>
      <c r="I821" s="13"/>
      <c r="J821" s="13"/>
      <c r="AR821" s="3">
        <v>26</v>
      </c>
    </row>
    <row r="822" spans="1:44" x14ac:dyDescent="0.2">
      <c r="A822" s="229"/>
      <c r="B822" s="869">
        <v>0</v>
      </c>
      <c r="C822" s="243" t="s">
        <v>553</v>
      </c>
      <c r="D822" s="15">
        <f>prices!F1147*1.5</f>
        <v>192</v>
      </c>
      <c r="E822" s="15"/>
      <c r="F822" s="61">
        <f>D822*B822</f>
        <v>0</v>
      </c>
      <c r="G822" s="15"/>
      <c r="H822" s="800"/>
      <c r="I822" s="13"/>
      <c r="J822" s="13"/>
      <c r="AR822" s="3">
        <v>27</v>
      </c>
    </row>
    <row r="823" spans="1:44" x14ac:dyDescent="0.2">
      <c r="A823" s="229"/>
      <c r="B823" s="869"/>
      <c r="C823" s="243" t="s">
        <v>554</v>
      </c>
      <c r="D823" s="15">
        <f>prices!F1147*2</f>
        <v>256</v>
      </c>
      <c r="E823" s="15"/>
      <c r="F823" s="61">
        <f t="shared" ref="F823:F824" si="39">D823*B823</f>
        <v>0</v>
      </c>
      <c r="G823" s="15"/>
      <c r="H823" s="800"/>
      <c r="I823" s="13"/>
      <c r="J823" s="13"/>
      <c r="AR823" s="3">
        <v>28</v>
      </c>
    </row>
    <row r="824" spans="1:44" x14ac:dyDescent="0.2">
      <c r="A824" s="229"/>
      <c r="B824" s="869"/>
      <c r="C824" s="243" t="s">
        <v>555</v>
      </c>
      <c r="D824" s="15">
        <f>prices!F1147*3</f>
        <v>384</v>
      </c>
      <c r="E824" s="15"/>
      <c r="F824" s="61">
        <f t="shared" si="39"/>
        <v>0</v>
      </c>
      <c r="G824" s="15"/>
      <c r="H824" s="800"/>
      <c r="I824" s="13"/>
      <c r="J824" s="13"/>
      <c r="AR824" s="3">
        <v>29</v>
      </c>
    </row>
    <row r="825" spans="1:44" x14ac:dyDescent="0.2">
      <c r="A825" s="229"/>
      <c r="B825" s="868">
        <v>0</v>
      </c>
      <c r="C825" s="143" t="s">
        <v>556</v>
      </c>
      <c r="D825" s="15">
        <f>prices!F1018/2</f>
        <v>136</v>
      </c>
      <c r="E825" s="11"/>
      <c r="F825" s="15"/>
      <c r="G825" s="80">
        <f>D825*B825</f>
        <v>0</v>
      </c>
      <c r="H825" s="800"/>
      <c r="I825" s="13"/>
      <c r="J825" s="13"/>
      <c r="AR825" s="3">
        <v>30</v>
      </c>
    </row>
    <row r="826" spans="1:44" x14ac:dyDescent="0.2">
      <c r="A826" s="244"/>
      <c r="B826" s="825" t="e">
        <f>#REF!</f>
        <v>#REF!</v>
      </c>
      <c r="C826" s="39" t="s">
        <v>557</v>
      </c>
      <c r="D826" s="15">
        <f>prices!F1154</f>
        <v>128</v>
      </c>
      <c r="E826" s="15"/>
      <c r="F826" s="61" t="e">
        <f>IF(B826="Y",D826,0)</f>
        <v>#REF!</v>
      </c>
      <c r="G826" s="15"/>
      <c r="H826" s="800"/>
      <c r="I826" s="13"/>
      <c r="J826" s="13"/>
      <c r="AR826" s="3">
        <v>31</v>
      </c>
    </row>
    <row r="827" spans="1:44" x14ac:dyDescent="0.2">
      <c r="A827" s="244"/>
      <c r="B827" s="870" t="e">
        <f>IF(#REF!&gt;2.999,"Y","N")</f>
        <v>#REF!</v>
      </c>
      <c r="C827" s="39" t="s">
        <v>558</v>
      </c>
      <c r="D827" s="15"/>
      <c r="E827" s="11"/>
      <c r="F827" s="61" t="e">
        <f>IF(B827="Y",F815*0.3,0)</f>
        <v>#REF!</v>
      </c>
      <c r="G827" s="15"/>
      <c r="H827" s="800"/>
      <c r="I827" s="13"/>
      <c r="J827" s="13"/>
      <c r="AR827" s="3">
        <v>32</v>
      </c>
    </row>
    <row r="828" spans="1:44" x14ac:dyDescent="0.2">
      <c r="A828" s="244"/>
      <c r="B828" s="870" t="e">
        <f>IF(#REF!&gt;7.2,"Y","N")</f>
        <v>#REF!</v>
      </c>
      <c r="C828" s="39" t="s">
        <v>559</v>
      </c>
      <c r="D828" s="15"/>
      <c r="E828" s="11"/>
      <c r="F828" s="61" t="e">
        <f>IF(B828="Y",F815*0.3,0)</f>
        <v>#REF!</v>
      </c>
      <c r="G828" s="15"/>
      <c r="H828" s="800"/>
      <c r="I828" s="13"/>
      <c r="J828" s="13"/>
      <c r="AR828" s="3">
        <v>33</v>
      </c>
    </row>
    <row r="829" spans="1:44" ht="12" customHeight="1" x14ac:dyDescent="0.2">
      <c r="A829" s="229"/>
      <c r="B829" s="871"/>
      <c r="C829" s="39"/>
      <c r="D829" s="15"/>
      <c r="E829" s="15"/>
      <c r="F829" s="15"/>
      <c r="G829" s="15"/>
      <c r="H829" s="800"/>
      <c r="I829" s="13"/>
      <c r="J829" s="13"/>
      <c r="AR829" s="3">
        <v>34</v>
      </c>
    </row>
    <row r="830" spans="1:44" ht="12" customHeight="1" x14ac:dyDescent="0.2">
      <c r="A830" s="229"/>
      <c r="B830" s="872"/>
      <c r="C830" s="245" t="s">
        <v>560</v>
      </c>
      <c r="D830" s="80"/>
      <c r="E830" s="80"/>
      <c r="F830" s="80"/>
      <c r="G830" s="246"/>
      <c r="H830" s="853"/>
      <c r="I830" s="13"/>
      <c r="J830" s="13"/>
      <c r="AR830" s="3">
        <v>35</v>
      </c>
    </row>
    <row r="831" spans="1:44" x14ac:dyDescent="0.2">
      <c r="B831" s="872"/>
      <c r="C831" s="247"/>
      <c r="D831" s="80"/>
      <c r="E831" s="80"/>
      <c r="F831" s="80"/>
      <c r="G831" s="246"/>
      <c r="H831" s="853"/>
      <c r="I831" s="110"/>
      <c r="J831" s="13"/>
      <c r="AR831" s="3">
        <v>36</v>
      </c>
    </row>
    <row r="832" spans="1:44" x14ac:dyDescent="0.2">
      <c r="A832" s="229"/>
      <c r="B832" s="873"/>
      <c r="C832" s="39" t="s">
        <v>561</v>
      </c>
      <c r="D832" s="15">
        <f>prices!F1150</f>
        <v>29.86666666666666</v>
      </c>
      <c r="E832" s="15"/>
      <c r="F832" s="61">
        <f>D832*B832</f>
        <v>0</v>
      </c>
      <c r="G832" s="15"/>
      <c r="H832" s="800"/>
      <c r="I832" s="110"/>
      <c r="J832" s="13"/>
      <c r="AR832" s="3">
        <v>37</v>
      </c>
    </row>
    <row r="833" spans="1:44" x14ac:dyDescent="0.2">
      <c r="A833" s="229"/>
      <c r="B833" s="873"/>
      <c r="C833" s="39" t="s">
        <v>562</v>
      </c>
      <c r="D833" s="248">
        <f>prices!F1150</f>
        <v>29.86666666666666</v>
      </c>
      <c r="E833" s="15" t="e">
        <f>D833*#REF!</f>
        <v>#REF!</v>
      </c>
      <c r="F833" s="249">
        <f>D833*B833</f>
        <v>0</v>
      </c>
      <c r="G833" s="250"/>
      <c r="H833" s="874"/>
      <c r="I833" s="110"/>
      <c r="J833" s="13"/>
      <c r="L833" s="3" t="s">
        <v>563</v>
      </c>
      <c r="AR833" s="3">
        <v>38</v>
      </c>
    </row>
    <row r="834" spans="1:44" x14ac:dyDescent="0.2">
      <c r="A834" s="229"/>
      <c r="B834" s="873"/>
      <c r="C834" s="39" t="s">
        <v>564</v>
      </c>
      <c r="D834" s="248">
        <f>prices!F1152</f>
        <v>64</v>
      </c>
      <c r="E834" s="15"/>
      <c r="F834" s="249">
        <f>D834*B834</f>
        <v>0</v>
      </c>
      <c r="G834" s="250"/>
      <c r="H834" s="874"/>
      <c r="I834" s="110"/>
      <c r="J834" s="13"/>
    </row>
    <row r="835" spans="1:44" x14ac:dyDescent="0.2">
      <c r="A835" s="787"/>
      <c r="B835" s="825">
        <f>(B832+B833+B834)*0.2</f>
        <v>0</v>
      </c>
      <c r="C835" s="39" t="s">
        <v>565</v>
      </c>
      <c r="D835" s="15"/>
      <c r="E835" s="15"/>
      <c r="F835" s="15"/>
      <c r="G835" s="15"/>
      <c r="H835" s="800"/>
      <c r="I835" s="13"/>
      <c r="J835" s="13"/>
      <c r="L835" s="253">
        <f>IF(B835&gt;0.1,1,0)</f>
        <v>0</v>
      </c>
      <c r="AR835" s="3">
        <v>40</v>
      </c>
    </row>
    <row r="836" spans="1:44" x14ac:dyDescent="0.2">
      <c r="A836" s="787"/>
      <c r="B836" s="875"/>
      <c r="C836" s="39" t="s">
        <v>566</v>
      </c>
      <c r="D836" s="15">
        <f>prices!F1429+prices!F1432</f>
        <v>1248</v>
      </c>
      <c r="E836" s="15">
        <f>D836*B836</f>
        <v>0</v>
      </c>
      <c r="F836" s="15"/>
      <c r="G836" s="15"/>
      <c r="H836" s="800"/>
      <c r="I836" s="13"/>
      <c r="J836" s="13"/>
      <c r="L836" s="253">
        <f>IF(B835&lt;4,1,0)</f>
        <v>1</v>
      </c>
      <c r="AR836" s="3">
        <v>41</v>
      </c>
    </row>
    <row r="837" spans="1:44" x14ac:dyDescent="0.2">
      <c r="A837" s="787"/>
      <c r="B837" s="875"/>
      <c r="C837" s="39" t="s">
        <v>567</v>
      </c>
      <c r="D837" s="15">
        <f>prices!F1430+prices!F1432</f>
        <v>1440</v>
      </c>
      <c r="E837" s="82">
        <f>D837*B837</f>
        <v>0</v>
      </c>
      <c r="F837" s="15"/>
      <c r="G837" s="15"/>
      <c r="H837" s="800"/>
      <c r="I837" s="13"/>
      <c r="J837" s="13"/>
      <c r="L837" s="253">
        <f>IF(B835&lt;7.2,1,0)</f>
        <v>1</v>
      </c>
      <c r="AR837" s="3">
        <v>42</v>
      </c>
    </row>
    <row r="838" spans="1:44" x14ac:dyDescent="0.2">
      <c r="A838" s="787"/>
      <c r="B838" s="876"/>
      <c r="C838" s="254" t="s">
        <v>568</v>
      </c>
      <c r="D838" s="15">
        <f>prices!F1431+prices!F1432</f>
        <v>1632</v>
      </c>
      <c r="E838" s="82">
        <f>D838*B838</f>
        <v>0</v>
      </c>
      <c r="F838" s="15"/>
      <c r="G838" s="15"/>
      <c r="H838" s="800"/>
      <c r="I838" s="13"/>
      <c r="J838" s="13"/>
      <c r="L838" s="253">
        <f>IF(B835&lt;9,1,0)</f>
        <v>1</v>
      </c>
      <c r="AR838" s="3">
        <v>43</v>
      </c>
    </row>
    <row r="839" spans="1:44" x14ac:dyDescent="0.2">
      <c r="A839" s="255"/>
      <c r="B839" s="876"/>
      <c r="C839" s="254" t="s">
        <v>569</v>
      </c>
      <c r="D839" s="15">
        <f>prices!F1430*2+prices!F1432</f>
        <v>2640</v>
      </c>
      <c r="E839" s="82">
        <f>D839*B839</f>
        <v>0</v>
      </c>
      <c r="F839" s="15"/>
      <c r="G839" s="15"/>
      <c r="H839" s="800"/>
      <c r="I839" s="13"/>
      <c r="J839" s="13"/>
      <c r="L839" s="256">
        <f>IF(B835&lt;14.1,1,0)</f>
        <v>1</v>
      </c>
      <c r="AR839" s="3">
        <v>44</v>
      </c>
    </row>
    <row r="840" spans="1:44" x14ac:dyDescent="0.2">
      <c r="A840" s="229"/>
      <c r="B840" s="828"/>
      <c r="C840" s="39"/>
      <c r="D840" s="15"/>
      <c r="E840" s="15"/>
      <c r="F840" s="15"/>
      <c r="G840" s="15"/>
      <c r="H840" s="800"/>
      <c r="I840" s="13"/>
      <c r="J840" s="13"/>
      <c r="AR840" s="3">
        <v>45</v>
      </c>
    </row>
    <row r="841" spans="1:44" x14ac:dyDescent="0.2">
      <c r="A841" s="229"/>
      <c r="B841" s="842"/>
      <c r="C841" s="39" t="s">
        <v>570</v>
      </c>
      <c r="D841" s="15">
        <f>prices!F1434</f>
        <v>80</v>
      </c>
      <c r="E841" s="15">
        <f>D841*B841</f>
        <v>0</v>
      </c>
      <c r="F841" s="15"/>
      <c r="G841" s="15"/>
      <c r="H841" s="800"/>
      <c r="I841" s="13"/>
      <c r="J841" s="13"/>
      <c r="AR841" s="3">
        <v>46</v>
      </c>
    </row>
    <row r="842" spans="1:44" x14ac:dyDescent="0.2">
      <c r="A842" s="229"/>
      <c r="B842" s="828"/>
      <c r="C842" s="254"/>
      <c r="D842" s="15"/>
      <c r="E842" s="15"/>
      <c r="F842" s="15"/>
      <c r="G842" s="15"/>
      <c r="H842" s="800"/>
      <c r="I842" s="13"/>
      <c r="J842" s="13"/>
      <c r="AR842" s="3">
        <v>47</v>
      </c>
    </row>
    <row r="843" spans="1:44" ht="12.75" customHeight="1" x14ac:dyDescent="0.2">
      <c r="A843" s="229"/>
      <c r="B843" s="820"/>
      <c r="C843" s="915" t="s">
        <v>571</v>
      </c>
      <c r="D843" s="15"/>
      <c r="E843" s="15"/>
      <c r="F843" s="15"/>
      <c r="G843" s="15"/>
      <c r="H843" s="800"/>
      <c r="I843" s="13"/>
      <c r="J843" s="13"/>
      <c r="AR843" s="3">
        <v>48</v>
      </c>
    </row>
    <row r="844" spans="1:44" ht="12.75" customHeight="1" x14ac:dyDescent="0.2">
      <c r="A844" s="229"/>
      <c r="B844" s="820"/>
      <c r="C844" s="916"/>
      <c r="D844" s="15"/>
      <c r="E844" s="15"/>
      <c r="F844" s="15"/>
      <c r="G844" s="15"/>
      <c r="H844" s="800"/>
      <c r="I844" s="13"/>
      <c r="J844" s="13"/>
      <c r="AR844" s="3">
        <v>49</v>
      </c>
    </row>
    <row r="845" spans="1:44" x14ac:dyDescent="0.2">
      <c r="A845" s="229"/>
      <c r="B845" s="820"/>
      <c r="C845" s="39"/>
      <c r="D845" s="15"/>
      <c r="E845" s="15"/>
      <c r="F845" s="15"/>
      <c r="G845" s="15"/>
      <c r="H845" s="800"/>
      <c r="I845" s="13"/>
      <c r="J845" s="13"/>
      <c r="AR845" s="3">
        <v>50</v>
      </c>
    </row>
    <row r="846" spans="1:44" x14ac:dyDescent="0.2">
      <c r="A846" s="229"/>
      <c r="B846" s="877">
        <v>1</v>
      </c>
      <c r="C846" s="64" t="s">
        <v>572</v>
      </c>
      <c r="D846" s="15"/>
      <c r="E846" s="161" t="e">
        <f>IF(B846&lt;1,0,(IF(D711&gt;D710,D711,D710)))</f>
        <v>#REF!</v>
      </c>
      <c r="F846" s="15"/>
      <c r="G846" s="15"/>
      <c r="H846" s="800"/>
      <c r="I846" s="13"/>
      <c r="J846" s="13"/>
      <c r="AR846" s="3">
        <v>51</v>
      </c>
    </row>
    <row r="847" spans="1:44" x14ac:dyDescent="0.2">
      <c r="A847" s="257">
        <f>SUM(B92:B95,B137:B142,B137:B142,B137:B142,B149:B153,B195:B197,B204:B207,B204:B207,B204:B207,B214:B218,B224:B228)+B473</f>
        <v>0</v>
      </c>
      <c r="B847" s="878"/>
      <c r="C847" s="64" t="s">
        <v>573</v>
      </c>
      <c r="D847" s="15">
        <f>prices!F198</f>
        <v>4.6399999999999997</v>
      </c>
      <c r="E847" s="15">
        <f>D847*A847*B847</f>
        <v>0</v>
      </c>
      <c r="F847" s="15"/>
      <c r="G847" s="15"/>
      <c r="H847" s="800"/>
      <c r="I847" s="13"/>
      <c r="J847" s="13"/>
      <c r="AR847" s="3">
        <v>53</v>
      </c>
    </row>
    <row r="848" spans="1:44" x14ac:dyDescent="0.2">
      <c r="A848" s="229"/>
      <c r="B848" s="877"/>
      <c r="C848" s="64" t="s">
        <v>574</v>
      </c>
      <c r="D848" s="15">
        <f>P889</f>
        <v>290.73599999999999</v>
      </c>
      <c r="E848" s="15">
        <f>D848*B848</f>
        <v>0</v>
      </c>
      <c r="F848" s="15"/>
      <c r="G848" s="15"/>
      <c r="H848" s="800"/>
      <c r="I848" s="13"/>
      <c r="J848" s="13"/>
      <c r="AR848" s="3">
        <v>54</v>
      </c>
    </row>
    <row r="849" spans="1:28" x14ac:dyDescent="0.2">
      <c r="A849" s="229"/>
      <c r="B849" s="823"/>
      <c r="C849" s="258" t="s">
        <v>575</v>
      </c>
      <c r="D849" s="82" t="e">
        <f>#REF!</f>
        <v>#REF!</v>
      </c>
      <c r="E849" s="15" t="e">
        <f>D849*B849</f>
        <v>#REF!</v>
      </c>
      <c r="F849" s="15"/>
      <c r="G849" s="15"/>
      <c r="H849" s="800"/>
      <c r="I849" s="13"/>
      <c r="J849" s="13"/>
    </row>
    <row r="850" spans="1:28" x14ac:dyDescent="0.2">
      <c r="A850" s="229"/>
      <c r="B850" s="823"/>
      <c r="C850" s="258" t="s">
        <v>576</v>
      </c>
      <c r="D850" s="82" t="e">
        <f>#REF!</f>
        <v>#REF!</v>
      </c>
      <c r="E850" s="15">
        <f>IF(B850&gt;0,Quotation!D850,0)</f>
        <v>0</v>
      </c>
      <c r="F850" s="15"/>
      <c r="G850" s="15"/>
      <c r="H850" s="800"/>
      <c r="I850" s="13"/>
      <c r="J850" s="13"/>
    </row>
    <row r="851" spans="1:28" x14ac:dyDescent="0.2">
      <c r="A851" s="229"/>
      <c r="B851" s="823"/>
      <c r="C851" s="63" t="s">
        <v>577</v>
      </c>
      <c r="D851" s="82" t="e">
        <f>#REF!</f>
        <v>#REF!</v>
      </c>
      <c r="E851" s="82">
        <f>IF(B851&lt;1,0,#REF!)</f>
        <v>0</v>
      </c>
      <c r="F851" s="15">
        <f>IF(B851&lt;1,0,#REF!)</f>
        <v>0</v>
      </c>
      <c r="G851" s="15"/>
      <c r="H851" s="800"/>
      <c r="I851" s="13"/>
      <c r="J851" s="13"/>
      <c r="AB851" s="177">
        <v>1</v>
      </c>
    </row>
    <row r="852" spans="1:28" x14ac:dyDescent="0.2">
      <c r="A852" s="229"/>
      <c r="B852" s="823"/>
      <c r="C852" s="63" t="s">
        <v>578</v>
      </c>
      <c r="D852" s="82" t="e">
        <f>#REF!</f>
        <v>#REF!</v>
      </c>
      <c r="E852" s="82" t="e">
        <f>D852*B852</f>
        <v>#REF!</v>
      </c>
      <c r="F852" s="15"/>
      <c r="G852" s="15"/>
      <c r="H852" s="800"/>
      <c r="I852" s="13"/>
      <c r="J852" s="13"/>
      <c r="AB852" s="177"/>
    </row>
    <row r="853" spans="1:28" x14ac:dyDescent="0.2">
      <c r="A853" s="229"/>
      <c r="B853" s="823"/>
      <c r="C853" s="63" t="s">
        <v>579</v>
      </c>
      <c r="D853" s="82" t="e">
        <f>#REF!</f>
        <v>#REF!</v>
      </c>
      <c r="E853" s="82" t="e">
        <f>#REF!*Quotation!B853</f>
        <v>#REF!</v>
      </c>
      <c r="F853" s="15" t="e">
        <f>#REF!*Quotation!B853</f>
        <v>#REF!</v>
      </c>
      <c r="G853" s="15"/>
      <c r="H853" s="800"/>
      <c r="I853" s="13"/>
      <c r="J853" s="13"/>
      <c r="AB853" s="177"/>
    </row>
    <row r="854" spans="1:28" x14ac:dyDescent="0.2">
      <c r="A854" s="229"/>
      <c r="B854" s="823"/>
      <c r="C854" s="259" t="s">
        <v>580</v>
      </c>
      <c r="D854" s="82"/>
      <c r="E854" s="82"/>
      <c r="F854" s="15"/>
      <c r="G854" s="15"/>
      <c r="H854" s="800"/>
      <c r="I854" s="13"/>
      <c r="J854" s="13"/>
    </row>
    <row r="855" spans="1:28" x14ac:dyDescent="0.2">
      <c r="A855" s="229"/>
      <c r="B855" s="823"/>
      <c r="C855" s="259" t="s">
        <v>581</v>
      </c>
      <c r="D855" s="82"/>
      <c r="E855" s="15"/>
      <c r="F855" s="15"/>
      <c r="G855" s="15"/>
      <c r="H855" s="800"/>
      <c r="I855" s="13"/>
      <c r="J855" s="13"/>
    </row>
    <row r="856" spans="1:28" x14ac:dyDescent="0.2">
      <c r="A856" s="229"/>
      <c r="B856" s="879"/>
      <c r="C856" s="259"/>
      <c r="D856" s="82">
        <f>prices!F76</f>
        <v>0</v>
      </c>
      <c r="E856" s="15">
        <f>D856*B856</f>
        <v>0</v>
      </c>
      <c r="F856" s="15"/>
      <c r="G856" s="15"/>
      <c r="H856" s="800"/>
      <c r="I856" s="13"/>
      <c r="J856" s="13"/>
    </row>
    <row r="857" spans="1:28" ht="13.5" thickBot="1" x14ac:dyDescent="0.25">
      <c r="A857" s="229"/>
      <c r="B857" s="879"/>
      <c r="C857" s="41"/>
      <c r="D857" s="82"/>
      <c r="E857" s="15">
        <f>D857*B857</f>
        <v>0</v>
      </c>
      <c r="F857" s="15"/>
      <c r="G857" s="15"/>
      <c r="H857" s="800"/>
      <c r="I857" s="13"/>
      <c r="J857" s="13"/>
    </row>
    <row r="858" spans="1:28" ht="13.5" thickBot="1" x14ac:dyDescent="0.25">
      <c r="A858" s="229"/>
      <c r="B858" s="820"/>
      <c r="C858" s="260" t="s">
        <v>582</v>
      </c>
      <c r="D858" s="82"/>
      <c r="F858" s="261" t="e">
        <f>F815+SUM(F821:F857)</f>
        <v>#N/A</v>
      </c>
      <c r="G858" s="261">
        <f>G816+SUM(G819:G857)</f>
        <v>319</v>
      </c>
      <c r="H858" s="880"/>
      <c r="I858" s="13"/>
      <c r="J858" s="13"/>
      <c r="L858" s="917" t="s">
        <v>583</v>
      </c>
      <c r="M858" s="918"/>
      <c r="N858" s="919"/>
      <c r="O858" s="262"/>
    </row>
    <row r="859" spans="1:28" ht="13.5" thickTop="1" x14ac:dyDescent="0.2">
      <c r="A859" s="229"/>
      <c r="B859" s="820"/>
      <c r="C859" s="260" t="s">
        <v>584</v>
      </c>
      <c r="D859" s="82"/>
      <c r="E859" s="263" t="e">
        <f>SUM(E1:E855)</f>
        <v>#REF!</v>
      </c>
      <c r="F859" s="264" t="e">
        <f>IF(F858&gt;prices!F1144,F858,prices!F1144)</f>
        <v>#N/A</v>
      </c>
      <c r="G859" s="264">
        <f>IF(G858&gt;prices!F1017,G858,prices!F1017)</f>
        <v>2176</v>
      </c>
      <c r="H859" s="881"/>
      <c r="I859" s="13"/>
      <c r="J859" s="13"/>
      <c r="L859" s="265" t="s">
        <v>585</v>
      </c>
      <c r="M859" s="265" t="s">
        <v>586</v>
      </c>
      <c r="N859" s="265" t="s">
        <v>587</v>
      </c>
    </row>
    <row r="860" spans="1:28" x14ac:dyDescent="0.2">
      <c r="A860" s="229"/>
      <c r="B860" s="820"/>
      <c r="C860" s="260" t="s">
        <v>588</v>
      </c>
      <c r="D860" s="82"/>
      <c r="E860" s="266">
        <f>IF(B855&gt;0,-(F859-F858),0)</f>
        <v>0</v>
      </c>
      <c r="F860" s="267" t="e">
        <f>F859/prices!F1143</f>
        <v>#N/A</v>
      </c>
      <c r="G860" s="267">
        <f>G859/prices!F1016</f>
        <v>1</v>
      </c>
      <c r="H860" s="881"/>
      <c r="I860" s="13"/>
      <c r="J860" s="13"/>
      <c r="L860" s="268" t="e">
        <f>(#REF!-50)*4</f>
        <v>#REF!</v>
      </c>
      <c r="M860" s="268" t="e">
        <f>(#REF!-50)*2</f>
        <v>#REF!</v>
      </c>
      <c r="N860" s="268" t="e">
        <f>(#REF!-50)*2</f>
        <v>#REF!</v>
      </c>
    </row>
    <row r="861" spans="1:28" x14ac:dyDescent="0.2">
      <c r="A861" s="229"/>
      <c r="B861" s="820"/>
      <c r="C861" s="260"/>
      <c r="D861" s="82"/>
      <c r="E861" s="266">
        <f>IF(B854&gt;0,-(G859+E394+E397),0)</f>
        <v>0</v>
      </c>
      <c r="F861" s="267"/>
      <c r="G861" s="267"/>
      <c r="H861" s="881"/>
      <c r="I861" s="13"/>
      <c r="J861" s="13"/>
      <c r="L861" s="269" t="e">
        <f>ROUND(F860+0.49,0)</f>
        <v>#N/A</v>
      </c>
      <c r="M861" s="269">
        <f>ROUND(G860+0.49,0)</f>
        <v>1</v>
      </c>
      <c r="N861" s="269">
        <v>3</v>
      </c>
    </row>
    <row r="862" spans="1:28" x14ac:dyDescent="0.2">
      <c r="A862" s="229"/>
      <c r="B862" s="820"/>
      <c r="C862" s="10" t="s">
        <v>589</v>
      </c>
      <c r="D862" s="82"/>
      <c r="E862" s="77" t="e">
        <f>E859+E860+F859+G859+E861</f>
        <v>#REF!</v>
      </c>
      <c r="F862" s="15"/>
      <c r="G862" s="15"/>
      <c r="H862" s="800"/>
      <c r="I862" s="13"/>
      <c r="J862" s="13">
        <f>IF(J861&gt;J860,1,0)</f>
        <v>0</v>
      </c>
      <c r="L862" s="268" t="e">
        <f>IF(L860&gt;0.01,L860,0)</f>
        <v>#REF!</v>
      </c>
      <c r="M862" s="268" t="e">
        <f>IF(M860&gt;0.01,M860,0)</f>
        <v>#REF!</v>
      </c>
      <c r="N862" s="268" t="e">
        <f>IF(N860&gt;0.01,N860,0)</f>
        <v>#REF!</v>
      </c>
    </row>
    <row r="863" spans="1:28" ht="15.75" thickBot="1" x14ac:dyDescent="0.3">
      <c r="A863" s="229"/>
      <c r="B863" s="820"/>
      <c r="C863" s="10"/>
      <c r="D863" s="82"/>
      <c r="E863" s="15" t="s">
        <v>1</v>
      </c>
      <c r="F863" s="15"/>
      <c r="G863" s="15"/>
      <c r="H863" s="800"/>
      <c r="I863" s="13"/>
      <c r="J863" s="13"/>
      <c r="L863" s="270" t="e">
        <f>(L862*F860)*1.1</f>
        <v>#REF!</v>
      </c>
      <c r="M863" s="270" t="e">
        <f>(M862*G860)*1.1</f>
        <v>#REF!</v>
      </c>
      <c r="N863" s="271" t="e">
        <f>(M862*N861)*1.1</f>
        <v>#REF!</v>
      </c>
    </row>
    <row r="864" spans="1:28" x14ac:dyDescent="0.2">
      <c r="A864" s="229"/>
      <c r="B864" s="820"/>
      <c r="C864" s="272" t="s">
        <v>590</v>
      </c>
      <c r="D864" s="82"/>
      <c r="E864" s="15"/>
      <c r="F864" s="15"/>
      <c r="G864" s="15"/>
      <c r="H864" s="800"/>
      <c r="I864" s="13"/>
      <c r="J864" s="13"/>
    </row>
    <row r="865" spans="1:17" x14ac:dyDescent="0.2">
      <c r="A865" s="229"/>
      <c r="B865" s="378"/>
      <c r="C865" s="39" t="s">
        <v>591</v>
      </c>
      <c r="D865" s="15"/>
      <c r="E865" s="225">
        <f>IF(C900&gt;300000,prices!F37,IF(C900&gt;290000,prices!F36,IF(C900&gt;280000,prices!F35,IF(C900&gt;270000,prices!F34,IF(C900&gt;260000,prices!F33,IF(C900&gt;250000,prices!F32,IF(C900&gt;240000,prices!F31,IF(C900&gt;230000,prices!F30,IF(C900&gt;220000,prices!F29,IF(C900&gt;210000,prices!F28,IF(C900&gt;200000,prices!F27,IF(C900&gt;190000,prices!F26,IF(C900&gt;180000,prices!F25,IF(C900&gt;170000,prices!F24,IF(C900&gt;160000,prices!F23,IF(C900&gt;150000,prices!F22,IF(C900&gt;140000,prices!F21,IF(C900&gt;130000,prices!F20,IF(C900&gt;120000,prices!F19,IF(C900&gt;110000,prices!F18,IF(C900&gt;100000,prices!F17,IF(C900&gt;90000,prices!F16,IF(C900&gt;80000,prices!F15,IF(C900&gt;70000,prices!F14,IF(C900&gt;60000,prices!F13,IF(C900&gt;50000,prices!F13,IF(C900&gt;40000,prices!F12,IF(C900&gt;30000,prices!F11,IF(C900&gt;5000,prices!F10,IF(B562&gt;0.01,prices!F68,0))))))))))))))))))))))))))))))+prices!F54+prices!F55+prices!F57</f>
        <v>2133.04</v>
      </c>
      <c r="F865" s="15"/>
      <c r="G865" s="15"/>
      <c r="H865" s="800"/>
      <c r="I865" s="13"/>
      <c r="J865" s="13"/>
    </row>
    <row r="866" spans="1:17" x14ac:dyDescent="0.2">
      <c r="A866" s="229"/>
      <c r="B866" s="378"/>
      <c r="C866" s="2" t="s">
        <v>592</v>
      </c>
      <c r="D866" s="15"/>
      <c r="E866" s="225">
        <f>IF(C900&gt;350001,prices!F51,IF(C900&gt;300001,prices!F50,IF(C900&gt;250001,prices!F49,IF(C900&gt;200001,prices!F48,IF(C900&gt;150001,prices!F47,IF(C900&gt;100001,prices!F46,IF(C900&gt;75001,prices!F45,IF(C900&gt;50001,prices!F44,IF(C900&gt;25001,prices!F43,IF(C900&gt;16001,prices!F42,))))))))))</f>
        <v>0</v>
      </c>
      <c r="F866" s="15"/>
      <c r="G866" s="15"/>
      <c r="H866" s="800"/>
      <c r="I866" s="13"/>
      <c r="J866" s="13"/>
    </row>
    <row r="867" spans="1:17" x14ac:dyDescent="0.2">
      <c r="A867" s="229"/>
      <c r="B867" s="378">
        <v>1</v>
      </c>
      <c r="C867" s="10" t="s">
        <v>593</v>
      </c>
      <c r="D867" s="273"/>
      <c r="E867" s="882">
        <f>prices!F58*Quotation!B867</f>
        <v>64</v>
      </c>
      <c r="F867" s="15"/>
      <c r="G867" s="15"/>
      <c r="H867" s="800"/>
    </row>
    <row r="868" spans="1:17" x14ac:dyDescent="0.2">
      <c r="A868" s="229"/>
      <c r="B868" s="378"/>
      <c r="C868" s="10"/>
      <c r="D868" s="15"/>
      <c r="E868" s="15"/>
      <c r="F868" s="15"/>
      <c r="G868" s="15"/>
      <c r="H868" s="800"/>
    </row>
    <row r="869" spans="1:17" x14ac:dyDescent="0.2">
      <c r="A869" s="229"/>
      <c r="B869" s="378"/>
      <c r="C869" s="272" t="s">
        <v>594</v>
      </c>
      <c r="D869" s="15"/>
      <c r="E869" s="15"/>
      <c r="F869" s="15"/>
      <c r="G869" s="15"/>
      <c r="H869" s="800"/>
    </row>
    <row r="870" spans="1:17" x14ac:dyDescent="0.2">
      <c r="A870" s="244"/>
      <c r="B870" s="883" t="e">
        <f>#REF!</f>
        <v>#REF!</v>
      </c>
      <c r="C870" s="39" t="s">
        <v>595</v>
      </c>
      <c r="D870" s="15">
        <f>prices!F1438+prices!F1444+prices!F1443*2</f>
        <v>448</v>
      </c>
      <c r="E870" s="15" t="e">
        <f>IF(B870="Y",D870,0)</f>
        <v>#REF!</v>
      </c>
      <c r="F870" s="15"/>
      <c r="G870" s="15" t="s">
        <v>596</v>
      </c>
      <c r="H870" s="800" t="s">
        <v>1</v>
      </c>
    </row>
    <row r="871" spans="1:17" x14ac:dyDescent="0.2">
      <c r="A871" s="274" t="e">
        <f>(ROUNDUP(F860,0)-2)</f>
        <v>#N/A</v>
      </c>
      <c r="B871" s="883" t="s">
        <v>1</v>
      </c>
      <c r="C871" s="39" t="s">
        <v>597</v>
      </c>
      <c r="D871" s="15">
        <f>prices!F1439+prices!F1444</f>
        <v>96</v>
      </c>
      <c r="E871" s="15" t="e">
        <f>IF(B870="Y",IF(A871&gt;0,A871*D871,0),0)</f>
        <v>#REF!</v>
      </c>
      <c r="F871" s="15"/>
      <c r="G871" s="189"/>
      <c r="H871" s="800"/>
    </row>
    <row r="872" spans="1:17" ht="13.5" thickBot="1" x14ac:dyDescent="0.25">
      <c r="A872" s="275" t="s">
        <v>598</v>
      </c>
      <c r="B872" s="883" t="e">
        <f>#REF!</f>
        <v>#REF!</v>
      </c>
      <c r="C872" s="106" t="s">
        <v>599</v>
      </c>
      <c r="D872" s="15">
        <f>prices!F1440</f>
        <v>1200</v>
      </c>
      <c r="E872" s="15" t="e">
        <f>IF(B872="Y",D872,0)</f>
        <v>#REF!</v>
      </c>
      <c r="F872" s="15"/>
      <c r="G872" s="15"/>
      <c r="H872" s="800"/>
      <c r="O872" s="276"/>
      <c r="P872" s="276"/>
    </row>
    <row r="873" spans="1:17" x14ac:dyDescent="0.2">
      <c r="A873" s="229"/>
      <c r="B873" s="826"/>
      <c r="C873" s="39" t="s">
        <v>600</v>
      </c>
      <c r="D873" s="15">
        <f>prices!F1441</f>
        <v>40</v>
      </c>
      <c r="E873" s="15">
        <f>D873*B873</f>
        <v>0</v>
      </c>
      <c r="F873" s="15"/>
      <c r="G873" s="15"/>
      <c r="H873" s="800"/>
      <c r="O873" s="277">
        <f>SUM(O91:O872)</f>
        <v>206.65600000000001</v>
      </c>
      <c r="P873" s="278">
        <f>SUM(P91:P872)</f>
        <v>497.392</v>
      </c>
      <c r="Q873" s="912" t="s">
        <v>601</v>
      </c>
    </row>
    <row r="874" spans="1:17" ht="16.5" customHeight="1" x14ac:dyDescent="0.2">
      <c r="A874" s="229"/>
      <c r="B874" s="316"/>
      <c r="C874" s="10" t="s">
        <v>1</v>
      </c>
      <c r="D874" s="103"/>
      <c r="E874" s="263"/>
      <c r="F874" s="15"/>
      <c r="G874" s="15"/>
      <c r="H874" s="800"/>
      <c r="O874" s="279"/>
      <c r="Q874" s="913"/>
    </row>
    <row r="875" spans="1:17" x14ac:dyDescent="0.2">
      <c r="A875" s="280"/>
      <c r="B875" s="823"/>
      <c r="C875" s="281" t="s">
        <v>602</v>
      </c>
      <c r="D875" s="282"/>
      <c r="E875" s="283" t="e">
        <f>E862+E865+E866+E870+E871+E872+E873+E867</f>
        <v>#REF!</v>
      </c>
      <c r="F875" s="77"/>
      <c r="G875" s="77"/>
      <c r="H875" s="808"/>
      <c r="O875" s="279"/>
      <c r="Q875" s="913"/>
    </row>
    <row r="876" spans="1:17" x14ac:dyDescent="0.2">
      <c r="A876" s="280"/>
      <c r="B876" s="823"/>
      <c r="C876" s="281" t="s">
        <v>603</v>
      </c>
      <c r="D876" s="284" t="e">
        <f>IF(E875&lt;5000,1,0)</f>
        <v>#REF!</v>
      </c>
      <c r="E876" s="283" t="e">
        <f>IF(D876&gt;0.1,E875*12%,0)</f>
        <v>#REF!</v>
      </c>
      <c r="F876" s="77"/>
      <c r="G876" s="77"/>
      <c r="H876" s="808"/>
      <c r="O876" s="279"/>
      <c r="Q876" s="913"/>
    </row>
    <row r="877" spans="1:17" ht="12" customHeight="1" x14ac:dyDescent="0.2">
      <c r="A877" s="280"/>
      <c r="B877" s="884" t="e">
        <f>IF(E875&gt;25000,1,0)</f>
        <v>#REF!</v>
      </c>
      <c r="C877" s="281"/>
      <c r="D877" s="286"/>
      <c r="E877" s="77"/>
      <c r="F877" s="77"/>
      <c r="G877" s="77"/>
      <c r="H877" s="808"/>
      <c r="O877" s="279"/>
      <c r="Q877" s="913"/>
    </row>
    <row r="878" spans="1:17" ht="12" customHeight="1" x14ac:dyDescent="0.2">
      <c r="A878" s="280"/>
      <c r="B878" s="823"/>
      <c r="C878" s="281" t="s">
        <v>604</v>
      </c>
      <c r="D878" s="284"/>
      <c r="E878" s="223" t="e">
        <f>E875*#REF!</f>
        <v>#REF!</v>
      </c>
      <c r="F878" s="77"/>
      <c r="G878" s="77"/>
      <c r="H878" s="808"/>
      <c r="O878" s="279"/>
      <c r="Q878" s="913"/>
    </row>
    <row r="879" spans="1:17" ht="12" customHeight="1" x14ac:dyDescent="0.2">
      <c r="A879" s="280"/>
      <c r="B879" s="884"/>
      <c r="C879" s="281"/>
      <c r="D879" s="287"/>
      <c r="E879" s="77"/>
      <c r="F879" s="77"/>
      <c r="G879" s="77"/>
      <c r="H879" s="808"/>
      <c r="O879" s="279"/>
      <c r="Q879" s="913"/>
    </row>
    <row r="880" spans="1:17" ht="12" customHeight="1" x14ac:dyDescent="0.2">
      <c r="A880" s="280"/>
      <c r="B880" s="884"/>
      <c r="C880" s="281"/>
      <c r="D880" s="287"/>
      <c r="E880" s="77"/>
      <c r="F880" s="77"/>
      <c r="G880" s="77"/>
      <c r="H880" s="808"/>
      <c r="O880" s="279"/>
      <c r="Q880" s="913"/>
    </row>
    <row r="881" spans="1:17" x14ac:dyDescent="0.2">
      <c r="A881" s="280"/>
      <c r="B881" s="884"/>
      <c r="C881" s="281"/>
      <c r="D881" s="285"/>
      <c r="E881" s="77"/>
      <c r="F881" s="77"/>
      <c r="G881" s="77"/>
      <c r="H881" s="808"/>
      <c r="O881" s="279"/>
      <c r="Q881" s="913"/>
    </row>
    <row r="882" spans="1:17" x14ac:dyDescent="0.2">
      <c r="A882" s="280"/>
      <c r="B882" s="884"/>
      <c r="C882" s="288" t="s">
        <v>605</v>
      </c>
      <c r="D882" s="285"/>
      <c r="E882" s="77"/>
      <c r="F882" s="77"/>
      <c r="G882" s="77"/>
      <c r="H882" s="808"/>
      <c r="O882" s="279"/>
      <c r="Q882" s="913"/>
    </row>
    <row r="883" spans="1:17" x14ac:dyDescent="0.2">
      <c r="A883" s="280"/>
      <c r="B883" s="884"/>
      <c r="C883" s="289" t="s">
        <v>606</v>
      </c>
      <c r="D883" s="285"/>
      <c r="E883" s="290">
        <v>0.03</v>
      </c>
      <c r="F883" s="77" t="s">
        <v>607</v>
      </c>
      <c r="G883" s="77"/>
      <c r="H883" s="808"/>
      <c r="O883" s="279"/>
      <c r="Q883" s="913"/>
    </row>
    <row r="884" spans="1:17" x14ac:dyDescent="0.2">
      <c r="A884" s="280"/>
      <c r="B884" s="884"/>
      <c r="C884" s="289" t="s">
        <v>608</v>
      </c>
      <c r="D884" s="285"/>
      <c r="E884" s="291" t="e">
        <f>(E875+E876+E877+E878)*E883</f>
        <v>#REF!</v>
      </c>
      <c r="F884" s="77"/>
      <c r="G884" s="77"/>
      <c r="H884" s="808"/>
      <c r="O884" s="279"/>
      <c r="Q884" s="913"/>
    </row>
    <row r="885" spans="1:17" x14ac:dyDescent="0.2">
      <c r="A885" s="280"/>
      <c r="B885" s="884"/>
      <c r="C885" s="281"/>
      <c r="D885" s="285"/>
      <c r="E885" s="77">
        <f>IF(B885&gt;0.1,1000,0)</f>
        <v>0</v>
      </c>
      <c r="F885" s="77"/>
      <c r="G885" s="77"/>
      <c r="H885" s="808"/>
      <c r="I885" s="81"/>
      <c r="O885" s="279"/>
      <c r="Q885" s="913"/>
    </row>
    <row r="886" spans="1:17" x14ac:dyDescent="0.2">
      <c r="A886" s="280"/>
      <c r="B886" s="823"/>
      <c r="C886" s="281" t="s">
        <v>609</v>
      </c>
      <c r="E886" s="77" t="e">
        <f>E875+E876+E877+E878+E881+E882+E885</f>
        <v>#REF!</v>
      </c>
      <c r="F886" s="77"/>
      <c r="G886" s="77"/>
      <c r="H886" s="808"/>
      <c r="O886" s="279"/>
      <c r="Q886" s="913"/>
    </row>
    <row r="887" spans="1:17" x14ac:dyDescent="0.2">
      <c r="B887" s="815"/>
      <c r="H887" s="857"/>
      <c r="O887" s="279"/>
      <c r="Q887" s="913"/>
    </row>
    <row r="888" spans="1:17" x14ac:dyDescent="0.2">
      <c r="A888" s="280"/>
      <c r="B888" s="823"/>
      <c r="C888" s="885" t="s">
        <v>610</v>
      </c>
      <c r="D888" s="292"/>
      <c r="E888" s="293"/>
      <c r="F888" s="77"/>
      <c r="G888" s="77"/>
      <c r="H888" s="808"/>
      <c r="L888" s="8"/>
      <c r="O888" s="294"/>
      <c r="P888" s="276"/>
      <c r="Q888" s="913"/>
    </row>
    <row r="889" spans="1:17" ht="13.5" thickBot="1" x14ac:dyDescent="0.25">
      <c r="A889" s="229"/>
      <c r="B889" s="355"/>
      <c r="C889" s="3" t="s">
        <v>611</v>
      </c>
      <c r="D889" s="70">
        <f>E889*0%</f>
        <v>0</v>
      </c>
      <c r="E889" s="295"/>
      <c r="F889" s="82"/>
      <c r="G889" s="82"/>
      <c r="H889" s="356"/>
      <c r="L889" s="8"/>
      <c r="O889" s="296"/>
      <c r="P889" s="297">
        <f>P873-O873</f>
        <v>290.73599999999999</v>
      </c>
      <c r="Q889" s="914"/>
    </row>
    <row r="890" spans="1:17" x14ac:dyDescent="0.2">
      <c r="A890" s="229"/>
      <c r="B890" s="355"/>
      <c r="E890" s="295"/>
      <c r="F890" s="89"/>
      <c r="G890" s="82"/>
      <c r="H890" s="356"/>
      <c r="L890" s="8"/>
      <c r="O890" s="298"/>
      <c r="P890" s="299"/>
      <c r="Q890" s="300"/>
    </row>
    <row r="891" spans="1:17" ht="15" x14ac:dyDescent="0.25">
      <c r="A891" s="229"/>
      <c r="B891" s="355"/>
      <c r="D891" s="301"/>
      <c r="E891" s="202" t="e">
        <f>E884</f>
        <v>#REF!</v>
      </c>
      <c r="F891" s="72"/>
      <c r="G891" s="216" t="s">
        <v>1</v>
      </c>
      <c r="H891" s="800"/>
      <c r="J891" s="3" t="s">
        <v>1</v>
      </c>
      <c r="L891" s="302"/>
      <c r="O891" s="303"/>
      <c r="P891" s="303"/>
    </row>
    <row r="892" spans="1:17" ht="13.5" thickBot="1" x14ac:dyDescent="0.25">
      <c r="A892" s="304"/>
      <c r="B892" s="355"/>
      <c r="C892" s="305" t="s">
        <v>612</v>
      </c>
      <c r="D892" s="306"/>
      <c r="E892" s="307" t="e">
        <f>E891+E886</f>
        <v>#REF!</v>
      </c>
      <c r="F892" s="15"/>
      <c r="G892" s="216"/>
      <c r="H892" s="800"/>
      <c r="L892" s="8"/>
    </row>
    <row r="893" spans="1:17" ht="14.25" thickTop="1" thickBot="1" x14ac:dyDescent="0.25">
      <c r="A893" s="782"/>
      <c r="B893" s="355"/>
      <c r="C893" s="308" t="s">
        <v>613</v>
      </c>
      <c r="D893" s="306"/>
      <c r="E893" s="15"/>
      <c r="F893" s="15"/>
      <c r="G893" s="216"/>
      <c r="H893" s="800"/>
    </row>
    <row r="894" spans="1:17" x14ac:dyDescent="0.2">
      <c r="A894" s="405"/>
      <c r="B894" s="886"/>
      <c r="C894" s="920" t="e">
        <f>ROUNDUP((E892)*1.1,0)</f>
        <v>#REF!</v>
      </c>
      <c r="D894" s="310"/>
      <c r="E894" s="15"/>
      <c r="F894" s="15"/>
      <c r="G894" s="216"/>
      <c r="H894" s="800"/>
      <c r="L894" s="8"/>
    </row>
    <row r="895" spans="1:17" x14ac:dyDescent="0.2">
      <c r="A895" s="405"/>
      <c r="B895" s="887"/>
      <c r="C895" s="921"/>
      <c r="D895" s="310"/>
      <c r="E895" s="263"/>
      <c r="F895" s="311" t="s">
        <v>1</v>
      </c>
      <c r="G895" s="311" t="s">
        <v>1</v>
      </c>
      <c r="H895" s="812"/>
    </row>
    <row r="896" spans="1:17" ht="13.5" thickBot="1" x14ac:dyDescent="0.25">
      <c r="A896" s="405"/>
      <c r="B896" s="888"/>
      <c r="C896" s="922"/>
      <c r="D896" s="310" t="s">
        <v>1</v>
      </c>
      <c r="E896" s="15" t="s">
        <v>1</v>
      </c>
      <c r="F896" s="161" t="s">
        <v>1</v>
      </c>
      <c r="G896" s="161" t="s">
        <v>596</v>
      </c>
      <c r="H896" s="889"/>
    </row>
    <row r="897" spans="1:43" ht="13.5" thickBot="1" x14ac:dyDescent="0.25">
      <c r="A897" s="405"/>
      <c r="B897" s="890"/>
      <c r="C897" s="891"/>
      <c r="D897" s="892"/>
      <c r="E897" s="893" t="s">
        <v>1</v>
      </c>
      <c r="F897" s="894" t="s">
        <v>1</v>
      </c>
      <c r="G897" s="894" t="s">
        <v>1</v>
      </c>
      <c r="H897" s="895"/>
    </row>
    <row r="898" spans="1:43" ht="13.5" thickBot="1" x14ac:dyDescent="0.25">
      <c r="A898" s="309"/>
      <c r="B898" s="794"/>
      <c r="C898" s="795" t="s">
        <v>1</v>
      </c>
      <c r="D898" s="312"/>
      <c r="E898" s="165"/>
      <c r="F898" s="313"/>
      <c r="G898" s="313"/>
      <c r="H898" s="313"/>
    </row>
    <row r="899" spans="1:43" ht="13.5" thickBot="1" x14ac:dyDescent="0.25">
      <c r="A899" s="309"/>
      <c r="B899" s="309"/>
      <c r="C899" s="314" t="s">
        <v>614</v>
      </c>
      <c r="D899" s="923" t="s">
        <v>615</v>
      </c>
      <c r="E899" s="924"/>
      <c r="F899" s="924"/>
      <c r="G899" s="925"/>
      <c r="H899" s="315" t="s">
        <v>1</v>
      </c>
      <c r="L899" s="3" t="s">
        <v>540</v>
      </c>
    </row>
    <row r="900" spans="1:43" ht="13.5" customHeight="1" thickBot="1" x14ac:dyDescent="0.25">
      <c r="A900" s="309"/>
      <c r="B900" s="309"/>
      <c r="C900" s="903">
        <v>15000</v>
      </c>
      <c r="D900" s="316"/>
      <c r="F900" s="317"/>
      <c r="G900" s="318" t="s">
        <v>1</v>
      </c>
      <c r="L900" s="319">
        <f>ROW()</f>
        <v>900</v>
      </c>
    </row>
    <row r="901" spans="1:43" ht="13.5" customHeight="1" thickBot="1" x14ac:dyDescent="0.25">
      <c r="A901" s="309"/>
      <c r="B901" s="309"/>
      <c r="C901" s="904"/>
      <c r="D901" s="906" t="s">
        <v>616</v>
      </c>
      <c r="E901" s="907"/>
      <c r="F901" s="320"/>
      <c r="G901" s="321">
        <f>IF(C900&lt;19999.99,C900*10%,C900*5%)</f>
        <v>1500</v>
      </c>
      <c r="H901" s="2"/>
      <c r="L901" s="319">
        <f>ROW()</f>
        <v>901</v>
      </c>
    </row>
    <row r="902" spans="1:43" ht="13.5" customHeight="1" thickBot="1" x14ac:dyDescent="0.25">
      <c r="A902" s="322"/>
      <c r="B902" s="322"/>
      <c r="C902" s="904"/>
      <c r="D902" s="908" t="s">
        <v>617</v>
      </c>
      <c r="E902" s="909"/>
      <c r="F902" s="320"/>
      <c r="G902" s="321">
        <f>C900*10%</f>
        <v>1500</v>
      </c>
      <c r="H902" s="2"/>
      <c r="L902" s="319">
        <f>ROW()</f>
        <v>902</v>
      </c>
    </row>
    <row r="903" spans="1:43" ht="13.5" customHeight="1" thickBot="1" x14ac:dyDescent="0.25">
      <c r="A903" s="323"/>
      <c r="B903" s="323"/>
      <c r="C903" s="905"/>
      <c r="D903" s="910" t="s">
        <v>618</v>
      </c>
      <c r="E903" s="911"/>
      <c r="F903" s="324"/>
      <c r="G903" s="325">
        <f>C900*30%</f>
        <v>4500</v>
      </c>
      <c r="H903" s="2"/>
      <c r="L903" s="319">
        <f>ROW()</f>
        <v>903</v>
      </c>
    </row>
    <row r="904" spans="1:43" ht="14.25" thickTop="1" thickBot="1" x14ac:dyDescent="0.25">
      <c r="D904" s="897" t="s">
        <v>619</v>
      </c>
      <c r="E904" s="898"/>
      <c r="F904" s="326"/>
      <c r="G904" s="327">
        <f>C900*35%</f>
        <v>5250</v>
      </c>
      <c r="H904" s="2"/>
      <c r="L904" s="319">
        <f>ROW()</f>
        <v>904</v>
      </c>
    </row>
    <row r="905" spans="1:43" ht="13.5" thickBot="1" x14ac:dyDescent="0.25">
      <c r="A905" s="328"/>
      <c r="B905" s="329"/>
      <c r="D905" s="897" t="s">
        <v>620</v>
      </c>
      <c r="E905" s="898"/>
      <c r="F905" s="326"/>
      <c r="G905" s="327">
        <f>IF(C900&lt;19999.99,C900*15%,C900*20%)</f>
        <v>2250</v>
      </c>
      <c r="H905" s="2"/>
      <c r="L905" s="319">
        <f>ROW()</f>
        <v>905</v>
      </c>
    </row>
    <row r="906" spans="1:43" ht="13.5" customHeight="1" thickBot="1" x14ac:dyDescent="0.25">
      <c r="A906" s="328"/>
      <c r="B906" s="329"/>
      <c r="D906" s="897" t="s">
        <v>621</v>
      </c>
      <c r="E906" s="898"/>
      <c r="F906" s="330"/>
      <c r="G906" s="331">
        <f>SUM(G901:G905)</f>
        <v>15000</v>
      </c>
      <c r="H906" s="2"/>
      <c r="L906" s="319">
        <f>ROW()</f>
        <v>906</v>
      </c>
      <c r="O906" s="140"/>
      <c r="P906" s="140"/>
    </row>
    <row r="907" spans="1:43" ht="13.5" customHeight="1" x14ac:dyDescent="0.2">
      <c r="A907" s="328"/>
      <c r="B907" s="329"/>
      <c r="D907" s="81"/>
      <c r="E907" s="89"/>
      <c r="F907" s="89"/>
      <c r="G907" s="89"/>
      <c r="H907" s="89"/>
      <c r="O907" s="140"/>
      <c r="P907" s="140"/>
    </row>
    <row r="908" spans="1:43" ht="13.5" customHeight="1" x14ac:dyDescent="0.2">
      <c r="A908" s="328"/>
      <c r="B908" s="329"/>
      <c r="D908" s="3" t="s">
        <v>622</v>
      </c>
      <c r="E908" s="89"/>
      <c r="F908" s="89"/>
      <c r="G908" s="89"/>
      <c r="H908" s="89"/>
      <c r="O908" s="140"/>
      <c r="P908" s="140"/>
    </row>
    <row r="909" spans="1:43" ht="13.5" customHeight="1" x14ac:dyDescent="0.2">
      <c r="A909" s="329" t="s">
        <v>623</v>
      </c>
      <c r="B909" s="332" t="e">
        <f>(E846*1.05)*1.1</f>
        <v>#REF!</v>
      </c>
      <c r="C909" s="3" t="s">
        <v>624</v>
      </c>
      <c r="D909" s="333">
        <f>IF(C900&gt;350000,"Check home owners warranty insurance ",0)</f>
        <v>0</v>
      </c>
      <c r="E909" s="89"/>
      <c r="F909" s="89"/>
      <c r="G909" s="89"/>
      <c r="H909" s="89"/>
      <c r="O909" s="140"/>
      <c r="P909" s="140"/>
    </row>
    <row r="910" spans="1:43" ht="13.5" customHeight="1" thickBot="1" x14ac:dyDescent="0.25">
      <c r="A910" s="329" t="s">
        <v>625</v>
      </c>
      <c r="B910" s="334" t="e">
        <f>SUM(L863:N863)</f>
        <v>#REF!</v>
      </c>
      <c r="C910" s="3" t="s">
        <v>624</v>
      </c>
      <c r="D910" s="81"/>
      <c r="E910" s="89"/>
      <c r="F910" s="89"/>
      <c r="G910" s="89"/>
      <c r="H910" s="89"/>
      <c r="O910" s="335"/>
      <c r="P910" s="335"/>
    </row>
    <row r="911" spans="1:43" ht="13.5" customHeight="1" x14ac:dyDescent="0.2">
      <c r="A911" s="328" t="s">
        <v>626</v>
      </c>
      <c r="B911" s="317" t="e">
        <f>E891</f>
        <v>#REF!</v>
      </c>
      <c r="D911" s="81"/>
      <c r="E911" s="336"/>
      <c r="F911" s="89"/>
      <c r="G911" s="89"/>
      <c r="H911" s="89"/>
      <c r="I911" s="337"/>
      <c r="J911" s="338"/>
      <c r="K911" s="338"/>
      <c r="L911" s="338"/>
      <c r="M911" s="338"/>
      <c r="N911" s="339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  <c r="AL911" s="338"/>
      <c r="AM911" s="338"/>
      <c r="AN911" s="338"/>
      <c r="AO911" s="338"/>
      <c r="AP911" s="338"/>
      <c r="AQ911" s="340"/>
    </row>
    <row r="912" spans="1:43" ht="13.5" customHeight="1" x14ac:dyDescent="0.2">
      <c r="A912" s="341"/>
      <c r="B912" s="317" t="e">
        <f>E878</f>
        <v>#REF!</v>
      </c>
      <c r="D912" s="315"/>
      <c r="E912" s="315"/>
      <c r="F912" s="315"/>
      <c r="G912" s="315"/>
      <c r="H912" s="315"/>
      <c r="I912" s="342"/>
      <c r="J912" s="140"/>
      <c r="K912" s="140"/>
      <c r="L912" s="140"/>
      <c r="M912" s="140"/>
      <c r="N912" s="343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  <c r="AA912" s="140"/>
      <c r="AB912" s="140"/>
      <c r="AC912" s="140"/>
      <c r="AD912" s="140"/>
      <c r="AE912" s="140"/>
      <c r="AF912" s="140"/>
      <c r="AG912" s="140"/>
      <c r="AH912" s="140"/>
      <c r="AI912" s="140"/>
      <c r="AJ912" s="140"/>
      <c r="AK912" s="140"/>
      <c r="AL912" s="140"/>
      <c r="AM912" s="140"/>
      <c r="AN912" s="140"/>
      <c r="AO912" s="140"/>
      <c r="AP912" s="344">
        <v>0.1</v>
      </c>
      <c r="AQ912" s="345"/>
    </row>
    <row r="913" spans="1:43" ht="13.5" customHeight="1" x14ac:dyDescent="0.2">
      <c r="A913" s="328"/>
      <c r="B913" s="329"/>
      <c r="D913" s="81"/>
      <c r="E913" s="89"/>
      <c r="F913" s="89"/>
      <c r="G913" s="89"/>
      <c r="I913" s="346" t="s">
        <v>627</v>
      </c>
      <c r="J913" s="140"/>
      <c r="K913" s="140"/>
      <c r="L913" s="140"/>
      <c r="M913" s="140"/>
      <c r="N913" s="343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  <c r="AA913" s="140"/>
      <c r="AB913" s="140"/>
      <c r="AC913" s="140"/>
      <c r="AD913" s="140"/>
      <c r="AE913" s="140"/>
      <c r="AF913" s="140"/>
      <c r="AG913" s="140"/>
      <c r="AH913" s="140"/>
      <c r="AI913" s="140"/>
      <c r="AJ913" s="140"/>
      <c r="AK913" s="140"/>
      <c r="AL913" s="140"/>
      <c r="AM913" s="140"/>
      <c r="AN913" s="140"/>
      <c r="AO913" s="140"/>
      <c r="AP913" s="140"/>
      <c r="AQ913" s="347">
        <f>G901</f>
        <v>1500</v>
      </c>
    </row>
    <row r="914" spans="1:43" ht="13.5" customHeight="1" x14ac:dyDescent="0.2">
      <c r="A914" s="328"/>
      <c r="B914" s="329"/>
      <c r="D914" s="81"/>
      <c r="E914" s="89"/>
      <c r="F914" s="89"/>
      <c r="G914" s="89"/>
      <c r="I914" s="348" t="s">
        <v>628</v>
      </c>
      <c r="J914" s="140"/>
      <c r="K914" s="140"/>
      <c r="L914" s="140"/>
      <c r="M914" s="140"/>
      <c r="N914" s="343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  <c r="AA914" s="140"/>
      <c r="AB914" s="140"/>
      <c r="AC914" s="140"/>
      <c r="AD914" s="140"/>
      <c r="AE914" s="140"/>
      <c r="AF914" s="140"/>
      <c r="AG914" s="140"/>
      <c r="AH914" s="140"/>
      <c r="AI914" s="140"/>
      <c r="AJ914" s="140"/>
      <c r="AK914" s="140"/>
      <c r="AL914" s="140"/>
      <c r="AM914" s="140"/>
      <c r="AN914" s="140"/>
      <c r="AO914" s="214"/>
      <c r="AP914" s="214">
        <f>AO914*$AP$912</f>
        <v>0</v>
      </c>
      <c r="AQ914" s="347">
        <f>AO914+AP914</f>
        <v>0</v>
      </c>
    </row>
    <row r="915" spans="1:43" ht="13.5" customHeight="1" thickBot="1" x14ac:dyDescent="0.25">
      <c r="A915" s="328"/>
      <c r="B915" s="329"/>
      <c r="D915" s="81"/>
      <c r="E915" s="89"/>
      <c r="F915" s="89"/>
      <c r="G915" s="89"/>
      <c r="I915" s="349" t="s">
        <v>629</v>
      </c>
      <c r="J915" s="140"/>
      <c r="K915" s="140"/>
      <c r="L915" s="140"/>
      <c r="M915" s="140"/>
      <c r="N915" s="343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  <c r="AA915" s="140"/>
      <c r="AB915" s="140"/>
      <c r="AC915" s="140"/>
      <c r="AD915" s="140"/>
      <c r="AE915" s="140"/>
      <c r="AF915" s="140"/>
      <c r="AG915" s="140"/>
      <c r="AH915" s="140"/>
      <c r="AI915" s="140"/>
      <c r="AJ915" s="140"/>
      <c r="AK915" s="140"/>
      <c r="AL915" s="140"/>
      <c r="AM915" s="140"/>
      <c r="AN915" s="140"/>
      <c r="AO915" s="214"/>
      <c r="AP915" s="214">
        <f t="shared" ref="AP915:AP918" si="40">AO915*$AP$912</f>
        <v>0</v>
      </c>
      <c r="AQ915" s="347">
        <f t="shared" ref="AQ915:AQ918" si="41">AO915+AP915</f>
        <v>0</v>
      </c>
    </row>
    <row r="916" spans="1:43" ht="13.5" customHeight="1" x14ac:dyDescent="0.2">
      <c r="A916" s="328"/>
      <c r="B916" s="350"/>
      <c r="C916" s="338" t="s">
        <v>630</v>
      </c>
      <c r="D916" s="351"/>
      <c r="E916" s="352"/>
      <c r="F916" s="352"/>
      <c r="G916" s="353"/>
      <c r="I916" s="354" t="s">
        <v>631</v>
      </c>
      <c r="J916" s="140"/>
      <c r="K916" s="140"/>
      <c r="L916" s="140"/>
      <c r="M916" s="140"/>
      <c r="N916" s="343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  <c r="AA916" s="140"/>
      <c r="AB916" s="140"/>
      <c r="AC916" s="140"/>
      <c r="AD916" s="140"/>
      <c r="AE916" s="140"/>
      <c r="AF916" s="140"/>
      <c r="AG916" s="140"/>
      <c r="AH916" s="140"/>
      <c r="AI916" s="140"/>
      <c r="AJ916" s="140"/>
      <c r="AK916" s="140"/>
      <c r="AL916" s="140"/>
      <c r="AM916" s="140"/>
      <c r="AN916" s="140"/>
      <c r="AO916" s="214"/>
      <c r="AP916" s="214">
        <f t="shared" si="40"/>
        <v>0</v>
      </c>
      <c r="AQ916" s="347">
        <f t="shared" si="41"/>
        <v>0</v>
      </c>
    </row>
    <row r="917" spans="1:43" ht="13.5" customHeight="1" x14ac:dyDescent="0.2">
      <c r="A917" s="328"/>
      <c r="B917" s="355"/>
      <c r="C917" s="140"/>
      <c r="D917" s="214"/>
      <c r="E917" s="82"/>
      <c r="F917" s="82"/>
      <c r="G917" s="356"/>
      <c r="I917" s="357" t="s">
        <v>632</v>
      </c>
      <c r="J917" s="140"/>
      <c r="K917" s="140"/>
      <c r="L917" s="140"/>
      <c r="M917" s="140"/>
      <c r="N917" s="343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  <c r="AA917" s="140"/>
      <c r="AB917" s="140"/>
      <c r="AC917" s="140"/>
      <c r="AD917" s="140"/>
      <c r="AE917" s="140"/>
      <c r="AF917" s="140"/>
      <c r="AG917" s="140"/>
      <c r="AH917" s="140"/>
      <c r="AI917" s="140"/>
      <c r="AJ917" s="140"/>
      <c r="AK917" s="140"/>
      <c r="AL917" s="140"/>
      <c r="AM917" s="140"/>
      <c r="AN917" s="140"/>
      <c r="AO917" s="214"/>
      <c r="AP917" s="214">
        <f t="shared" si="40"/>
        <v>0</v>
      </c>
      <c r="AQ917" s="347">
        <f t="shared" si="41"/>
        <v>0</v>
      </c>
    </row>
    <row r="918" spans="1:43" ht="13.5" customHeight="1" x14ac:dyDescent="0.2">
      <c r="A918" s="328"/>
      <c r="B918" s="355"/>
      <c r="C918" s="140" t="s">
        <v>633</v>
      </c>
      <c r="D918" s="214" t="s">
        <v>634</v>
      </c>
      <c r="E918" s="358" t="s">
        <v>635</v>
      </c>
      <c r="F918" s="358"/>
      <c r="G918" s="359"/>
      <c r="I918" s="342" t="s">
        <v>636</v>
      </c>
      <c r="J918" s="140"/>
      <c r="K918" s="140"/>
      <c r="L918" s="140"/>
      <c r="M918" s="140"/>
      <c r="N918" s="343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  <c r="AA918" s="140"/>
      <c r="AB918" s="140"/>
      <c r="AC918" s="140"/>
      <c r="AD918" s="140"/>
      <c r="AE918" s="140"/>
      <c r="AF918" s="140"/>
      <c r="AG918" s="140"/>
      <c r="AH918" s="140"/>
      <c r="AI918" s="140"/>
      <c r="AJ918" s="140"/>
      <c r="AK918" s="140"/>
      <c r="AL918" s="140"/>
      <c r="AM918" s="140"/>
      <c r="AN918" s="140"/>
      <c r="AO918" s="214"/>
      <c r="AP918" s="214">
        <f t="shared" si="40"/>
        <v>0</v>
      </c>
      <c r="AQ918" s="347">
        <f t="shared" si="41"/>
        <v>0</v>
      </c>
    </row>
    <row r="919" spans="1:43" ht="13.5" customHeight="1" x14ac:dyDescent="0.2">
      <c r="A919" s="360"/>
      <c r="B919" s="361"/>
      <c r="C919" s="140"/>
      <c r="D919" s="214"/>
      <c r="E919" s="362"/>
      <c r="F919" s="82"/>
      <c r="G919" s="356"/>
      <c r="H919" s="89"/>
      <c r="I919" s="342"/>
      <c r="J919" s="140"/>
      <c r="K919" s="140"/>
      <c r="L919" s="140"/>
      <c r="M919" s="140"/>
      <c r="N919" s="343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  <c r="AA919" s="140"/>
      <c r="AB919" s="140"/>
      <c r="AC919" s="140"/>
      <c r="AD919" s="140"/>
      <c r="AE919" s="140"/>
      <c r="AF919" s="140"/>
      <c r="AG919" s="140"/>
      <c r="AH919" s="140"/>
      <c r="AI919" s="140"/>
      <c r="AJ919" s="140"/>
      <c r="AK919" s="140"/>
      <c r="AL919" s="140"/>
      <c r="AM919" s="140"/>
      <c r="AN919" s="140"/>
      <c r="AO919" s="214"/>
      <c r="AP919" s="214"/>
      <c r="AQ919" s="347"/>
    </row>
    <row r="920" spans="1:43" ht="13.5" customHeight="1" thickBot="1" x14ac:dyDescent="0.25">
      <c r="A920" s="360"/>
      <c r="B920" s="361"/>
      <c r="C920" s="140" t="s">
        <v>637</v>
      </c>
      <c r="D920" s="214"/>
      <c r="E920" s="362"/>
      <c r="F920" s="363" t="e">
        <f>B911</f>
        <v>#REF!</v>
      </c>
      <c r="G920" s="356"/>
      <c r="H920" s="89"/>
      <c r="I920" s="364"/>
      <c r="J920" s="365"/>
      <c r="K920" s="365"/>
      <c r="L920" s="365"/>
      <c r="M920" s="365"/>
      <c r="N920" s="366"/>
      <c r="O920" s="365"/>
      <c r="P920" s="365"/>
      <c r="Q920" s="365"/>
      <c r="R920" s="365"/>
      <c r="S920" s="365"/>
      <c r="T920" s="365"/>
      <c r="U920" s="365"/>
      <c r="V920" s="365"/>
      <c r="W920" s="365"/>
      <c r="X920" s="365"/>
      <c r="Y920" s="365"/>
      <c r="Z920" s="365"/>
      <c r="AA920" s="365"/>
      <c r="AB920" s="365"/>
      <c r="AC920" s="365"/>
      <c r="AD920" s="365"/>
      <c r="AE920" s="365"/>
      <c r="AF920" s="365"/>
      <c r="AG920" s="365"/>
      <c r="AH920" s="365"/>
      <c r="AI920" s="365"/>
      <c r="AJ920" s="365"/>
      <c r="AK920" s="365"/>
      <c r="AL920" s="365"/>
      <c r="AM920" s="365"/>
      <c r="AN920" s="365"/>
      <c r="AO920" s="367"/>
      <c r="AP920" s="367"/>
      <c r="AQ920" s="368">
        <f>SUM(AQ913:AQ919)</f>
        <v>1500</v>
      </c>
    </row>
    <row r="921" spans="1:43" ht="13.5" customHeight="1" x14ac:dyDescent="0.2">
      <c r="A921" s="360"/>
      <c r="B921" s="369"/>
      <c r="C921" s="140" t="s">
        <v>593</v>
      </c>
      <c r="D921" s="370">
        <f>E867</f>
        <v>64</v>
      </c>
      <c r="E921" s="371">
        <v>36.81</v>
      </c>
      <c r="F921" s="363">
        <f>D921-E921</f>
        <v>27.189999999999998</v>
      </c>
      <c r="G921" s="372"/>
      <c r="H921" s="373"/>
      <c r="O921" s="374"/>
      <c r="P921" s="374"/>
    </row>
    <row r="922" spans="1:43" ht="13.5" customHeight="1" x14ac:dyDescent="0.2">
      <c r="A922" s="360"/>
      <c r="B922" s="369"/>
      <c r="C922" s="140" t="s">
        <v>638</v>
      </c>
      <c r="D922" s="370">
        <f>E866</f>
        <v>0</v>
      </c>
      <c r="E922" s="371"/>
      <c r="F922" s="363">
        <f t="shared" ref="F922:F937" si="42">D922-E922</f>
        <v>0</v>
      </c>
      <c r="G922" s="372"/>
      <c r="H922" s="373"/>
    </row>
    <row r="923" spans="1:43" ht="13.5" customHeight="1" x14ac:dyDescent="0.2">
      <c r="A923" s="360"/>
      <c r="B923" s="369"/>
      <c r="C923" s="140" t="s">
        <v>639</v>
      </c>
      <c r="D923" s="370">
        <f>E865</f>
        <v>2133.04</v>
      </c>
      <c r="E923" s="371">
        <f>42.9+20.98</f>
        <v>63.879999999999995</v>
      </c>
      <c r="F923" s="363">
        <f t="shared" si="42"/>
        <v>2069.16</v>
      </c>
      <c r="G923" s="372"/>
      <c r="H923" s="373"/>
    </row>
    <row r="924" spans="1:43" x14ac:dyDescent="0.2">
      <c r="A924" s="375"/>
      <c r="B924" s="376"/>
      <c r="C924" s="140"/>
      <c r="D924" s="370"/>
      <c r="E924" s="371"/>
      <c r="F924" s="363">
        <f t="shared" si="42"/>
        <v>0</v>
      </c>
      <c r="G924" s="372"/>
      <c r="H924" s="373"/>
    </row>
    <row r="925" spans="1:43" x14ac:dyDescent="0.2">
      <c r="A925" s="377"/>
      <c r="B925" s="378"/>
      <c r="C925" s="140"/>
      <c r="D925" s="370"/>
      <c r="E925" s="371"/>
      <c r="F925" s="363">
        <f t="shared" si="42"/>
        <v>0</v>
      </c>
      <c r="G925" s="372"/>
      <c r="H925" s="373"/>
    </row>
    <row r="926" spans="1:43" x14ac:dyDescent="0.2">
      <c r="A926" s="379"/>
      <c r="B926" s="380"/>
      <c r="C926" s="140"/>
      <c r="D926" s="370"/>
      <c r="E926" s="371"/>
      <c r="F926" s="363">
        <f t="shared" si="42"/>
        <v>0</v>
      </c>
      <c r="G926" s="372"/>
      <c r="H926" s="373"/>
    </row>
    <row r="927" spans="1:43" x14ac:dyDescent="0.2">
      <c r="A927" s="381"/>
      <c r="B927" s="380"/>
      <c r="C927" s="140"/>
      <c r="D927" s="370"/>
      <c r="E927" s="371"/>
      <c r="F927" s="363">
        <f t="shared" si="42"/>
        <v>0</v>
      </c>
      <c r="G927" s="372"/>
      <c r="H927" s="373"/>
    </row>
    <row r="928" spans="1:43" x14ac:dyDescent="0.2">
      <c r="A928" s="382"/>
      <c r="B928" s="380"/>
      <c r="C928" s="140"/>
      <c r="D928" s="370"/>
      <c r="E928" s="371"/>
      <c r="F928" s="363">
        <f t="shared" si="42"/>
        <v>0</v>
      </c>
      <c r="G928" s="372"/>
      <c r="H928" s="373"/>
    </row>
    <row r="929" spans="1:42" x14ac:dyDescent="0.2">
      <c r="A929" s="381"/>
      <c r="B929" s="380"/>
      <c r="C929" s="140"/>
      <c r="D929" s="370"/>
      <c r="E929" s="371"/>
      <c r="F929" s="363">
        <f t="shared" si="42"/>
        <v>0</v>
      </c>
      <c r="G929" s="372"/>
      <c r="H929" s="373"/>
    </row>
    <row r="930" spans="1:42" x14ac:dyDescent="0.2">
      <c r="A930" s="381"/>
      <c r="B930" s="380"/>
      <c r="C930" s="140"/>
      <c r="D930" s="370"/>
      <c r="E930" s="371"/>
      <c r="F930" s="363">
        <f t="shared" si="42"/>
        <v>0</v>
      </c>
      <c r="G930" s="372"/>
      <c r="H930" s="373"/>
    </row>
    <row r="931" spans="1:42" x14ac:dyDescent="0.2">
      <c r="A931" s="379"/>
      <c r="B931" s="380"/>
      <c r="C931" s="140"/>
      <c r="D931" s="370"/>
      <c r="E931" s="371"/>
      <c r="F931" s="363">
        <f t="shared" si="42"/>
        <v>0</v>
      </c>
      <c r="G931" s="372"/>
      <c r="H931" s="373"/>
    </row>
    <row r="932" spans="1:42" x14ac:dyDescent="0.2">
      <c r="A932" s="379"/>
      <c r="B932" s="380"/>
      <c r="C932" s="140"/>
      <c r="D932" s="370"/>
      <c r="E932" s="371"/>
      <c r="F932" s="363">
        <f t="shared" si="42"/>
        <v>0</v>
      </c>
      <c r="G932" s="372"/>
      <c r="H932" s="373"/>
    </row>
    <row r="933" spans="1:42" x14ac:dyDescent="0.2">
      <c r="A933" s="383"/>
      <c r="B933" s="380"/>
      <c r="C933" s="140"/>
      <c r="D933" s="370"/>
      <c r="E933" s="371"/>
      <c r="F933" s="363">
        <f t="shared" si="42"/>
        <v>0</v>
      </c>
      <c r="G933" s="372"/>
      <c r="H933" s="373"/>
    </row>
    <row r="934" spans="1:42" x14ac:dyDescent="0.2">
      <c r="A934" s="384"/>
      <c r="B934" s="378"/>
      <c r="C934" s="140"/>
      <c r="D934" s="370"/>
      <c r="E934" s="371"/>
      <c r="F934" s="363">
        <f t="shared" si="42"/>
        <v>0</v>
      </c>
      <c r="G934" s="372"/>
      <c r="H934" s="373"/>
    </row>
    <row r="935" spans="1:42" x14ac:dyDescent="0.2">
      <c r="A935" s="384"/>
      <c r="B935" s="378"/>
      <c r="C935" s="140"/>
      <c r="D935" s="370"/>
      <c r="E935" s="371"/>
      <c r="F935" s="363">
        <f t="shared" si="42"/>
        <v>0</v>
      </c>
      <c r="G935" s="372"/>
      <c r="H935" s="373"/>
    </row>
    <row r="936" spans="1:42" ht="15.75" x14ac:dyDescent="0.2">
      <c r="A936" s="384"/>
      <c r="B936" s="378"/>
      <c r="C936" s="385"/>
      <c r="D936" s="370"/>
      <c r="E936" s="371"/>
      <c r="F936" s="363">
        <f t="shared" si="42"/>
        <v>0</v>
      </c>
      <c r="G936" s="372"/>
      <c r="H936" s="373"/>
      <c r="AO936" s="899" t="e">
        <f>F938+H964</f>
        <v>#REF!</v>
      </c>
      <c r="AP936" s="900"/>
    </row>
    <row r="937" spans="1:42" ht="15.75" x14ac:dyDescent="0.2">
      <c r="A937" s="386"/>
      <c r="B937" s="378"/>
      <c r="C937" s="385"/>
      <c r="D937" s="370"/>
      <c r="E937" s="371"/>
      <c r="F937" s="363">
        <f t="shared" si="42"/>
        <v>0</v>
      </c>
      <c r="G937" s="356"/>
      <c r="H937" s="89"/>
      <c r="AO937" s="900"/>
      <c r="AP937" s="900"/>
    </row>
    <row r="938" spans="1:42" ht="15.75" x14ac:dyDescent="0.25">
      <c r="A938" s="328"/>
      <c r="B938" s="387"/>
      <c r="C938" s="388" t="s">
        <v>640</v>
      </c>
      <c r="D938" s="389"/>
      <c r="E938" s="362"/>
      <c r="F938" s="82" t="e">
        <f>SUM(F920:F937)</f>
        <v>#REF!</v>
      </c>
      <c r="G938" s="356"/>
      <c r="H938" s="89"/>
    </row>
    <row r="939" spans="1:42" ht="16.5" thickBot="1" x14ac:dyDescent="0.3">
      <c r="A939" s="328"/>
      <c r="B939" s="390"/>
      <c r="C939" s="365"/>
      <c r="D939" s="391"/>
      <c r="E939" s="392"/>
      <c r="F939" s="393"/>
      <c r="G939" s="394"/>
      <c r="H939" s="89"/>
    </row>
    <row r="940" spans="1:42" x14ac:dyDescent="0.2">
      <c r="A940" s="328"/>
      <c r="B940" s="395"/>
      <c r="D940" s="89"/>
      <c r="E940" s="89"/>
      <c r="F940" s="89"/>
      <c r="G940" s="396"/>
      <c r="H940" s="89"/>
    </row>
    <row r="941" spans="1:42" x14ac:dyDescent="0.2">
      <c r="A941" s="328"/>
      <c r="B941" s="395"/>
      <c r="D941" s="396"/>
      <c r="E941" s="396"/>
      <c r="F941" s="396"/>
      <c r="G941" s="396"/>
      <c r="H941" s="89"/>
    </row>
    <row r="942" spans="1:42" ht="13.5" thickBot="1" x14ac:dyDescent="0.25">
      <c r="A942" s="328"/>
      <c r="B942" s="395"/>
    </row>
    <row r="943" spans="1:42" x14ac:dyDescent="0.2">
      <c r="A943" s="328"/>
      <c r="B943" s="397"/>
      <c r="C943" s="338"/>
      <c r="D943" s="338" t="s">
        <v>641</v>
      </c>
      <c r="E943" s="338"/>
      <c r="F943" s="338"/>
      <c r="G943" s="338"/>
      <c r="H943" s="340"/>
    </row>
    <row r="944" spans="1:42" x14ac:dyDescent="0.2">
      <c r="A944" s="328"/>
      <c r="B944" s="398" t="s">
        <v>642</v>
      </c>
      <c r="C944" s="140"/>
      <c r="D944" s="140" t="s">
        <v>643</v>
      </c>
      <c r="E944" s="140" t="s">
        <v>644</v>
      </c>
      <c r="F944" s="140" t="s">
        <v>645</v>
      </c>
      <c r="G944" s="140"/>
      <c r="H944" s="345"/>
    </row>
    <row r="945" spans="1:8" x14ac:dyDescent="0.2">
      <c r="A945" s="328"/>
      <c r="B945" s="398"/>
      <c r="C945" s="140"/>
      <c r="D945" s="399">
        <v>75</v>
      </c>
      <c r="E945" s="214">
        <v>70</v>
      </c>
      <c r="F945" s="214">
        <v>60</v>
      </c>
      <c r="G945" s="140"/>
      <c r="H945" s="345"/>
    </row>
    <row r="946" spans="1:8" x14ac:dyDescent="0.2">
      <c r="A946" s="328"/>
      <c r="B946" s="398"/>
      <c r="C946" s="140"/>
      <c r="D946" s="214"/>
      <c r="E946" s="214"/>
      <c r="F946" s="214"/>
      <c r="G946" s="140"/>
      <c r="H946" s="345"/>
    </row>
    <row r="947" spans="1:8" x14ac:dyDescent="0.2">
      <c r="A947" s="328"/>
      <c r="B947" s="398"/>
      <c r="C947" s="140"/>
      <c r="D947" s="214"/>
      <c r="E947" s="214"/>
      <c r="F947" s="214"/>
      <c r="G947" s="140"/>
      <c r="H947" s="345"/>
    </row>
    <row r="948" spans="1:8" x14ac:dyDescent="0.2">
      <c r="A948" s="328"/>
      <c r="B948" s="398"/>
      <c r="C948" s="140"/>
      <c r="D948" s="214"/>
      <c r="E948" s="214"/>
      <c r="F948" s="214"/>
      <c r="G948" s="140"/>
      <c r="H948" s="345"/>
    </row>
    <row r="949" spans="1:8" x14ac:dyDescent="0.2">
      <c r="A949" s="328"/>
      <c r="B949" s="398"/>
      <c r="C949" s="140"/>
      <c r="D949" s="214"/>
      <c r="E949" s="214"/>
      <c r="F949" s="214"/>
      <c r="G949" s="140"/>
      <c r="H949" s="345"/>
    </row>
    <row r="950" spans="1:8" x14ac:dyDescent="0.2">
      <c r="A950" s="328"/>
      <c r="B950" s="398"/>
      <c r="C950" s="140"/>
      <c r="D950" s="214"/>
      <c r="E950" s="214"/>
      <c r="F950" s="214"/>
      <c r="G950" s="140"/>
      <c r="H950" s="345"/>
    </row>
    <row r="951" spans="1:8" x14ac:dyDescent="0.2">
      <c r="A951" s="400"/>
      <c r="B951" s="398"/>
      <c r="C951" s="140"/>
      <c r="D951" s="214"/>
      <c r="E951" s="214"/>
      <c r="F951" s="214"/>
      <c r="G951" s="140"/>
      <c r="H951" s="345"/>
    </row>
    <row r="952" spans="1:8" x14ac:dyDescent="0.2">
      <c r="A952" s="328"/>
      <c r="B952" s="398"/>
      <c r="C952" s="140"/>
      <c r="D952" s="214"/>
      <c r="E952" s="214"/>
      <c r="F952" s="214"/>
      <c r="G952" s="140"/>
      <c r="H952" s="345"/>
    </row>
    <row r="953" spans="1:8" x14ac:dyDescent="0.2">
      <c r="A953" s="328"/>
      <c r="B953" s="398"/>
      <c r="C953" s="140"/>
      <c r="D953" s="214"/>
      <c r="E953" s="214"/>
      <c r="F953" s="214"/>
      <c r="G953" s="140"/>
      <c r="H953" s="345"/>
    </row>
    <row r="954" spans="1:8" x14ac:dyDescent="0.2">
      <c r="A954" s="328"/>
      <c r="B954" s="398"/>
      <c r="C954" s="140"/>
      <c r="D954" s="214"/>
      <c r="E954" s="214"/>
      <c r="F954" s="214"/>
      <c r="G954" s="140"/>
      <c r="H954" s="345"/>
    </row>
    <row r="955" spans="1:8" x14ac:dyDescent="0.2">
      <c r="A955" s="328"/>
      <c r="B955" s="398"/>
      <c r="C955" s="140"/>
      <c r="D955" s="214"/>
      <c r="E955" s="214"/>
      <c r="F955" s="214"/>
      <c r="G955" s="140"/>
      <c r="H955" s="345"/>
    </row>
    <row r="956" spans="1:8" x14ac:dyDescent="0.2">
      <c r="A956" s="328"/>
      <c r="B956" s="398"/>
      <c r="C956" s="140"/>
      <c r="D956" s="214"/>
      <c r="E956" s="214"/>
      <c r="F956" s="214"/>
      <c r="G956" s="140"/>
      <c r="H956" s="345"/>
    </row>
    <row r="957" spans="1:8" x14ac:dyDescent="0.2">
      <c r="A957" s="328"/>
      <c r="B957" s="398"/>
      <c r="C957" s="140"/>
      <c r="D957" s="214"/>
      <c r="E957" s="214"/>
      <c r="F957" s="214"/>
      <c r="G957" s="140"/>
      <c r="H957" s="345"/>
    </row>
    <row r="958" spans="1:8" x14ac:dyDescent="0.2">
      <c r="A958" s="328"/>
      <c r="B958" s="398"/>
      <c r="C958" s="140"/>
      <c r="D958" s="214"/>
      <c r="E958" s="214"/>
      <c r="F958" s="214"/>
      <c r="G958" s="140"/>
      <c r="H958" s="345"/>
    </row>
    <row r="959" spans="1:8" x14ac:dyDescent="0.2">
      <c r="A959" s="328"/>
      <c r="B959" s="398"/>
      <c r="C959" s="140"/>
      <c r="D959" s="214"/>
      <c r="E959" s="214"/>
      <c r="F959" s="214"/>
      <c r="G959" s="140"/>
      <c r="H959" s="345"/>
    </row>
    <row r="960" spans="1:8" x14ac:dyDescent="0.2">
      <c r="A960" s="328"/>
      <c r="B960" s="398"/>
      <c r="C960" s="140"/>
      <c r="D960" s="214"/>
      <c r="E960" s="214"/>
      <c r="F960" s="214"/>
      <c r="G960" s="140"/>
      <c r="H960" s="345"/>
    </row>
    <row r="961" spans="1:8" x14ac:dyDescent="0.2">
      <c r="A961" s="328"/>
      <c r="B961" s="398"/>
      <c r="C961" s="140"/>
      <c r="D961" s="214"/>
      <c r="E961" s="214"/>
      <c r="F961" s="214"/>
      <c r="G961" s="140"/>
      <c r="H961" s="345"/>
    </row>
    <row r="962" spans="1:8" x14ac:dyDescent="0.2">
      <c r="A962" s="328"/>
      <c r="B962" s="398"/>
      <c r="C962" s="140"/>
      <c r="D962" s="214"/>
      <c r="E962" s="214"/>
      <c r="F962" s="214"/>
      <c r="G962" s="140"/>
      <c r="H962" s="345"/>
    </row>
    <row r="963" spans="1:8" x14ac:dyDescent="0.2">
      <c r="A963" s="328"/>
      <c r="B963" s="398"/>
      <c r="C963" s="140"/>
      <c r="D963" s="214"/>
      <c r="E963" s="214"/>
      <c r="F963" s="214"/>
      <c r="G963" s="140"/>
      <c r="H963" s="345"/>
    </row>
    <row r="964" spans="1:8" x14ac:dyDescent="0.2">
      <c r="A964" s="328"/>
      <c r="B964" s="398" t="s">
        <v>640</v>
      </c>
      <c r="C964" s="140"/>
      <c r="D964" s="214">
        <f>SUM(D946:D963)</f>
        <v>0</v>
      </c>
      <c r="E964" s="214">
        <f>SUM(E946:E963)</f>
        <v>0</v>
      </c>
      <c r="F964" s="214">
        <f>SUM(F946:F963)</f>
        <v>0</v>
      </c>
      <c r="G964" s="401">
        <f>SUM(D964:F964)</f>
        <v>0</v>
      </c>
      <c r="H964" s="402" t="e">
        <f>F859-G964</f>
        <v>#N/A</v>
      </c>
    </row>
    <row r="965" spans="1:8" ht="13.5" thickBot="1" x14ac:dyDescent="0.25">
      <c r="A965" s="328"/>
      <c r="B965" s="390"/>
      <c r="C965" s="365"/>
      <c r="D965" s="367"/>
      <c r="E965" s="367"/>
      <c r="F965" s="367"/>
      <c r="G965" s="365"/>
      <c r="H965" s="403"/>
    </row>
    <row r="966" spans="1:8" x14ac:dyDescent="0.2">
      <c r="A966" s="328"/>
      <c r="B966" s="395"/>
      <c r="D966" s="81"/>
      <c r="E966" s="81"/>
      <c r="F966" s="81"/>
    </row>
    <row r="967" spans="1:8" x14ac:dyDescent="0.2">
      <c r="A967" s="328"/>
      <c r="B967" s="395"/>
      <c r="D967" s="81"/>
      <c r="E967" s="81"/>
      <c r="F967" s="81"/>
    </row>
    <row r="968" spans="1:8" x14ac:dyDescent="0.2">
      <c r="A968" s="328"/>
      <c r="B968" s="395"/>
      <c r="D968" s="81"/>
      <c r="E968" s="81"/>
      <c r="F968" s="81"/>
    </row>
    <row r="969" spans="1:8" x14ac:dyDescent="0.2">
      <c r="A969" s="328"/>
      <c r="B969" s="395"/>
    </row>
    <row r="970" spans="1:8" x14ac:dyDescent="0.2">
      <c r="A970" s="328"/>
      <c r="B970" s="395"/>
    </row>
    <row r="971" spans="1:8" x14ac:dyDescent="0.2">
      <c r="A971" s="328"/>
      <c r="B971" s="395"/>
    </row>
    <row r="972" spans="1:8" x14ac:dyDescent="0.2">
      <c r="A972" s="328"/>
      <c r="B972" s="395"/>
    </row>
    <row r="973" spans="1:8" x14ac:dyDescent="0.2">
      <c r="A973" s="328"/>
      <c r="B973" s="395"/>
    </row>
    <row r="974" spans="1:8" x14ac:dyDescent="0.2">
      <c r="A974" s="328"/>
      <c r="B974" s="395"/>
    </row>
    <row r="975" spans="1:8" x14ac:dyDescent="0.2">
      <c r="A975" s="328"/>
      <c r="B975" s="395"/>
    </row>
    <row r="976" spans="1:8" x14ac:dyDescent="0.2">
      <c r="A976" s="328"/>
      <c r="B976" s="395"/>
    </row>
    <row r="977" spans="1:2" x14ac:dyDescent="0.2">
      <c r="A977" s="328"/>
      <c r="B977" s="395"/>
    </row>
    <row r="978" spans="1:2" x14ac:dyDescent="0.2">
      <c r="A978" s="328"/>
      <c r="B978" s="395"/>
    </row>
    <row r="979" spans="1:2" x14ac:dyDescent="0.2">
      <c r="A979" s="328"/>
      <c r="B979" s="395"/>
    </row>
    <row r="980" spans="1:2" x14ac:dyDescent="0.2">
      <c r="A980" s="328"/>
      <c r="B980" s="395"/>
    </row>
    <row r="981" spans="1:2" x14ac:dyDescent="0.2">
      <c r="A981" s="328"/>
      <c r="B981" s="395"/>
    </row>
    <row r="982" spans="1:2" x14ac:dyDescent="0.2">
      <c r="A982" s="328"/>
      <c r="B982" s="395"/>
    </row>
    <row r="983" spans="1:2" x14ac:dyDescent="0.2">
      <c r="A983" s="328"/>
      <c r="B983" s="395"/>
    </row>
    <row r="984" spans="1:2" x14ac:dyDescent="0.2">
      <c r="A984" s="328"/>
      <c r="B984" s="395"/>
    </row>
    <row r="985" spans="1:2" x14ac:dyDescent="0.2">
      <c r="A985" s="328"/>
      <c r="B985" s="395"/>
    </row>
    <row r="986" spans="1:2" x14ac:dyDescent="0.2">
      <c r="A986" s="328"/>
      <c r="B986" s="395"/>
    </row>
    <row r="987" spans="1:2" x14ac:dyDescent="0.2">
      <c r="A987" s="328"/>
      <c r="B987" s="395"/>
    </row>
    <row r="988" spans="1:2" x14ac:dyDescent="0.2">
      <c r="A988" s="328"/>
      <c r="B988" s="395"/>
    </row>
    <row r="989" spans="1:2" x14ac:dyDescent="0.2">
      <c r="A989" s="328"/>
      <c r="B989" s="395"/>
    </row>
    <row r="990" spans="1:2" x14ac:dyDescent="0.2">
      <c r="A990" s="328"/>
      <c r="B990" s="395"/>
    </row>
    <row r="991" spans="1:2" x14ac:dyDescent="0.2">
      <c r="A991" s="328"/>
      <c r="B991" s="395"/>
    </row>
    <row r="992" spans="1:2" x14ac:dyDescent="0.2">
      <c r="A992" s="328"/>
      <c r="B992" s="395"/>
    </row>
    <row r="993" spans="1:2" x14ac:dyDescent="0.2">
      <c r="A993" s="328"/>
      <c r="B993" s="395"/>
    </row>
    <row r="994" spans="1:2" x14ac:dyDescent="0.2">
      <c r="A994" s="328"/>
      <c r="B994" s="395"/>
    </row>
    <row r="995" spans="1:2" x14ac:dyDescent="0.2">
      <c r="A995" s="328"/>
      <c r="B995" s="395"/>
    </row>
    <row r="996" spans="1:2" x14ac:dyDescent="0.2">
      <c r="A996" s="328"/>
      <c r="B996" s="395"/>
    </row>
    <row r="997" spans="1:2" x14ac:dyDescent="0.2">
      <c r="A997" s="328"/>
      <c r="B997" s="395"/>
    </row>
    <row r="998" spans="1:2" x14ac:dyDescent="0.2">
      <c r="A998" s="328"/>
      <c r="B998" s="395"/>
    </row>
    <row r="999" spans="1:2" x14ac:dyDescent="0.2">
      <c r="A999" s="328"/>
      <c r="B999" s="395"/>
    </row>
    <row r="1000" spans="1:2" x14ac:dyDescent="0.2">
      <c r="A1000" s="328"/>
      <c r="B1000" s="395"/>
    </row>
    <row r="1001" spans="1:2" x14ac:dyDescent="0.2">
      <c r="A1001" s="328"/>
      <c r="B1001" s="395"/>
    </row>
    <row r="1002" spans="1:2" x14ac:dyDescent="0.2">
      <c r="A1002" s="328"/>
      <c r="B1002" s="395"/>
    </row>
    <row r="1003" spans="1:2" x14ac:dyDescent="0.2">
      <c r="A1003" s="328"/>
      <c r="B1003" s="395"/>
    </row>
    <row r="1004" spans="1:2" x14ac:dyDescent="0.2">
      <c r="A1004" s="328"/>
      <c r="B1004" s="395"/>
    </row>
    <row r="1005" spans="1:2" x14ac:dyDescent="0.2">
      <c r="A1005" s="328"/>
      <c r="B1005" s="395"/>
    </row>
    <row r="1006" spans="1:2" x14ac:dyDescent="0.2">
      <c r="A1006" s="328"/>
      <c r="B1006" s="395"/>
    </row>
    <row r="1007" spans="1:2" x14ac:dyDescent="0.2">
      <c r="A1007" s="328"/>
      <c r="B1007" s="395"/>
    </row>
    <row r="1008" spans="1:2" x14ac:dyDescent="0.2">
      <c r="A1008" s="328"/>
      <c r="B1008" s="395"/>
    </row>
    <row r="1009" spans="1:20" x14ac:dyDescent="0.2">
      <c r="A1009" s="328"/>
      <c r="B1009" s="395"/>
    </row>
    <row r="1010" spans="1:20" x14ac:dyDescent="0.2">
      <c r="A1010" s="328"/>
      <c r="B1010" s="395"/>
    </row>
    <row r="1011" spans="1:20" x14ac:dyDescent="0.2">
      <c r="A1011" s="328"/>
      <c r="B1011" s="395"/>
    </row>
    <row r="1012" spans="1:20" x14ac:dyDescent="0.2">
      <c r="A1012" s="328"/>
      <c r="B1012" s="395"/>
    </row>
    <row r="1013" spans="1:20" x14ac:dyDescent="0.2">
      <c r="A1013" s="328"/>
      <c r="B1013" s="395"/>
    </row>
    <row r="1014" spans="1:20" x14ac:dyDescent="0.2">
      <c r="A1014" s="328"/>
      <c r="B1014" s="395"/>
    </row>
    <row r="1015" spans="1:20" x14ac:dyDescent="0.2">
      <c r="A1015" s="328"/>
      <c r="B1015" s="395"/>
    </row>
    <row r="1016" spans="1:20" x14ac:dyDescent="0.2">
      <c r="A1016" s="328"/>
      <c r="B1016" s="395"/>
    </row>
    <row r="1017" spans="1:20" x14ac:dyDescent="0.2">
      <c r="A1017" s="328"/>
      <c r="B1017" s="395"/>
    </row>
    <row r="1018" spans="1:20" ht="13.5" customHeight="1" thickBot="1" x14ac:dyDescent="0.25">
      <c r="A1018" s="328"/>
      <c r="B1018" s="395"/>
    </row>
    <row r="1019" spans="1:20" ht="13.5" customHeight="1" thickTop="1" x14ac:dyDescent="0.2">
      <c r="A1019" s="404">
        <f>E890</f>
        <v>0</v>
      </c>
      <c r="B1019" s="405"/>
      <c r="C1019" s="901" t="s">
        <v>646</v>
      </c>
      <c r="D1019" s="406"/>
      <c r="E1019" s="140"/>
      <c r="F1019" s="140"/>
      <c r="G1019" s="140"/>
      <c r="H1019" s="252"/>
      <c r="Q1019" s="8" t="s">
        <v>647</v>
      </c>
      <c r="R1019" s="3" t="s">
        <v>648</v>
      </c>
      <c r="S1019" s="3" t="s">
        <v>649</v>
      </c>
      <c r="T1019" s="3" t="s">
        <v>650</v>
      </c>
    </row>
    <row r="1020" spans="1:20" ht="13.5" thickBot="1" x14ac:dyDescent="0.25">
      <c r="A1020" s="407"/>
      <c r="B1020" s="33"/>
      <c r="C1020" s="902"/>
      <c r="D1020" s="106"/>
      <c r="E1020" s="11"/>
      <c r="F1020" s="11"/>
      <c r="G1020" s="250"/>
      <c r="H1020" s="251"/>
      <c r="Q1020" s="408">
        <v>1.8</v>
      </c>
      <c r="S1020" s="8"/>
      <c r="T1020" s="8">
        <v>0</v>
      </c>
    </row>
    <row r="1021" spans="1:20" ht="13.5" thickTop="1" x14ac:dyDescent="0.2">
      <c r="A1021" s="407"/>
      <c r="B1021" s="23"/>
      <c r="C1021" s="409"/>
      <c r="D1021" s="11"/>
      <c r="E1021" s="11"/>
      <c r="F1021" s="11"/>
      <c r="G1021" s="250"/>
      <c r="H1021" s="251"/>
      <c r="Q1021" s="408">
        <v>2.4</v>
      </c>
      <c r="R1021" s="8">
        <v>1</v>
      </c>
      <c r="S1021" s="8">
        <v>0.2</v>
      </c>
      <c r="T1021" s="8">
        <v>6.5000000000000002E-2</v>
      </c>
    </row>
    <row r="1022" spans="1:20" x14ac:dyDescent="0.2">
      <c r="A1022" s="407"/>
      <c r="B1022" s="410">
        <v>6</v>
      </c>
      <c r="C1022" s="64" t="s">
        <v>651</v>
      </c>
      <c r="D1022" s="11"/>
      <c r="E1022" s="411"/>
      <c r="F1022" s="411"/>
      <c r="G1022" s="412"/>
      <c r="H1022" s="251"/>
      <c r="Q1022" s="408">
        <v>3</v>
      </c>
      <c r="R1022" s="8">
        <v>2</v>
      </c>
      <c r="S1022" s="8">
        <v>0.4</v>
      </c>
      <c r="T1022" s="8">
        <v>8.5000000000000006E-2</v>
      </c>
    </row>
    <row r="1023" spans="1:20" x14ac:dyDescent="0.2">
      <c r="A1023" s="413">
        <f>B1023/B1026</f>
        <v>1.8</v>
      </c>
      <c r="B1023" s="410">
        <v>3.6</v>
      </c>
      <c r="C1023" s="64" t="s">
        <v>652</v>
      </c>
      <c r="D1023" s="11"/>
      <c r="E1023" s="411"/>
      <c r="F1023" s="411"/>
      <c r="G1023" s="412"/>
      <c r="H1023" s="251"/>
      <c r="Q1023" s="8">
        <v>3.6</v>
      </c>
      <c r="R1023" s="8">
        <v>3</v>
      </c>
      <c r="S1023" s="8">
        <v>0.6</v>
      </c>
      <c r="T1023" s="8">
        <v>0.13500000000000001</v>
      </c>
    </row>
    <row r="1024" spans="1:20" x14ac:dyDescent="0.2">
      <c r="A1024" s="407"/>
      <c r="B1024" s="410">
        <v>0.2</v>
      </c>
      <c r="C1024" s="64" t="s">
        <v>653</v>
      </c>
      <c r="D1024" s="15">
        <f>(B1024+0.6)*prices!F152+(prices!F780+prices!F753*2)+prices!F80*2</f>
        <v>52.325237333333334</v>
      </c>
      <c r="E1024" s="77">
        <f>D1024*B1028</f>
        <v>523.25237333333337</v>
      </c>
      <c r="F1024" s="78">
        <f>prices!F1157+prices!F1175*Quotation!B1028</f>
        <v>490.66666666666663</v>
      </c>
      <c r="G1024" s="412"/>
      <c r="H1024" s="251"/>
      <c r="Q1024" s="408">
        <v>4.2</v>
      </c>
      <c r="R1024" s="8">
        <v>4</v>
      </c>
      <c r="S1024" s="8">
        <v>0.8</v>
      </c>
      <c r="T1024" s="8"/>
    </row>
    <row r="1025" spans="1:20" x14ac:dyDescent="0.2">
      <c r="A1025" s="407"/>
      <c r="B1025" s="23"/>
      <c r="C1025" s="64"/>
      <c r="D1025" s="11"/>
      <c r="E1025" s="411"/>
      <c r="F1025" s="411"/>
      <c r="G1025" s="412"/>
      <c r="H1025" s="251"/>
      <c r="Q1025" s="408">
        <v>4.8</v>
      </c>
      <c r="R1025" s="8">
        <v>5</v>
      </c>
      <c r="S1025" s="8">
        <v>1</v>
      </c>
      <c r="T1025" s="8"/>
    </row>
    <row r="1026" spans="1:20" x14ac:dyDescent="0.2">
      <c r="A1026" s="407"/>
      <c r="B1026" s="410">
        <v>2</v>
      </c>
      <c r="C1026" s="64" t="s">
        <v>654</v>
      </c>
      <c r="D1026" s="11"/>
      <c r="E1026" s="411"/>
      <c r="F1026" s="411"/>
      <c r="G1026" s="412"/>
      <c r="H1026" s="251"/>
      <c r="Q1026" s="408">
        <v>5.4</v>
      </c>
      <c r="R1026" s="8">
        <v>6</v>
      </c>
      <c r="S1026" s="8">
        <v>1.2</v>
      </c>
      <c r="T1026" s="8"/>
    </row>
    <row r="1027" spans="1:20" x14ac:dyDescent="0.2">
      <c r="A1027" s="407"/>
      <c r="B1027" s="414">
        <f>ROUND(B1022/0.45,0)+1</f>
        <v>14</v>
      </c>
      <c r="C1027" s="64" t="s">
        <v>655</v>
      </c>
      <c r="D1027" s="11"/>
      <c r="E1027" s="411"/>
      <c r="F1027" s="411"/>
      <c r="G1027" s="412"/>
      <c r="H1027" s="251"/>
      <c r="Q1027" s="408">
        <v>6</v>
      </c>
      <c r="R1027" s="8">
        <v>7</v>
      </c>
      <c r="S1027" s="8">
        <v>1.4</v>
      </c>
      <c r="T1027" s="8"/>
    </row>
    <row r="1028" spans="1:20" x14ac:dyDescent="0.2">
      <c r="A1028" s="415">
        <f>ROUND(B1022/1.5,0)+1</f>
        <v>5</v>
      </c>
      <c r="B1028" s="414">
        <f>A1028*B1026</f>
        <v>10</v>
      </c>
      <c r="C1028" s="64" t="s">
        <v>656</v>
      </c>
      <c r="D1028" s="11"/>
      <c r="E1028" s="411"/>
      <c r="F1028" s="411"/>
      <c r="G1028" s="412"/>
      <c r="H1028" s="251"/>
      <c r="Q1028" s="408"/>
      <c r="R1028" s="8">
        <v>8</v>
      </c>
      <c r="S1028" s="8"/>
    </row>
    <row r="1029" spans="1:20" x14ac:dyDescent="0.2">
      <c r="A1029" s="415"/>
      <c r="B1029" s="414">
        <f>B1022</f>
        <v>6</v>
      </c>
      <c r="C1029" s="64" t="s">
        <v>657</v>
      </c>
      <c r="D1029" s="15">
        <f>prices!F203+prices!F762*2</f>
        <v>20.0032</v>
      </c>
      <c r="E1029" s="77">
        <f>D1029*B1029</f>
        <v>120.0192</v>
      </c>
      <c r="F1029" s="78">
        <f>prices!F1386*B1029</f>
        <v>184.32</v>
      </c>
      <c r="G1029" s="412"/>
      <c r="H1029" s="251"/>
      <c r="Q1029" s="408"/>
      <c r="R1029" s="8">
        <v>9</v>
      </c>
      <c r="S1029" s="8"/>
    </row>
    <row r="1030" spans="1:20" x14ac:dyDescent="0.2">
      <c r="A1030" s="415"/>
      <c r="B1030" s="414">
        <f>B1026*B1022</f>
        <v>12</v>
      </c>
      <c r="C1030" s="64" t="s">
        <v>658</v>
      </c>
      <c r="D1030" s="15">
        <f>prices!F204*2+prices!F753*4</f>
        <v>29.367274666666667</v>
      </c>
      <c r="E1030" s="77">
        <f>D1030*B1030</f>
        <v>352.40729599999997</v>
      </c>
      <c r="F1030" s="78">
        <f>prices!F1382*Quotation!B1030</f>
        <v>384</v>
      </c>
      <c r="G1030" s="412"/>
      <c r="H1030" s="251"/>
      <c r="Q1030" s="408">
        <v>6.6</v>
      </c>
      <c r="R1030" s="8">
        <v>10</v>
      </c>
      <c r="S1030" s="8">
        <v>1.6</v>
      </c>
    </row>
    <row r="1031" spans="1:20" x14ac:dyDescent="0.2">
      <c r="A1031" s="407"/>
      <c r="B1031" s="416">
        <v>0.13500000000000001</v>
      </c>
      <c r="C1031" s="64" t="s">
        <v>652</v>
      </c>
      <c r="D1031" s="11"/>
      <c r="E1031" s="411"/>
      <c r="F1031" s="411"/>
      <c r="G1031" s="412"/>
      <c r="H1031" s="251"/>
      <c r="Q1031" s="408"/>
      <c r="R1031" s="8">
        <v>11</v>
      </c>
      <c r="S1031" s="8"/>
    </row>
    <row r="1032" spans="1:20" x14ac:dyDescent="0.2">
      <c r="A1032" s="407"/>
      <c r="B1032" s="23"/>
      <c r="C1032" s="64"/>
      <c r="D1032" s="417">
        <f>IF(B1031=0,0,(B1023/B1031)*B1022)</f>
        <v>160</v>
      </c>
      <c r="E1032" s="418">
        <f>IF(B1031=0.065,prices!F321,IF(B1031=0.085,prices!F322,IF(B1031=0.135,prices!F323,0)))*D1032</f>
        <v>2918.4000000000005</v>
      </c>
      <c r="F1032" s="78">
        <f>IF(B1031=0.135,D1032*prices!F1399,D1032*prices!F1400)</f>
        <v>750.93333333333339</v>
      </c>
      <c r="G1032" s="412"/>
      <c r="H1032" s="251"/>
      <c r="Q1032" s="408"/>
      <c r="R1032" s="8">
        <v>12</v>
      </c>
      <c r="S1032" s="8"/>
    </row>
    <row r="1033" spans="1:20" x14ac:dyDescent="0.2">
      <c r="A1033" s="407"/>
      <c r="B1033" s="23"/>
      <c r="C1033" s="64"/>
      <c r="D1033" s="11"/>
      <c r="E1033" s="411"/>
      <c r="F1033" s="411"/>
      <c r="G1033" s="412"/>
      <c r="H1033" s="251"/>
      <c r="Q1033" s="408">
        <v>7.2</v>
      </c>
      <c r="R1033" s="8">
        <v>13</v>
      </c>
      <c r="S1033" s="8">
        <v>1.8</v>
      </c>
    </row>
    <row r="1034" spans="1:20" x14ac:dyDescent="0.2">
      <c r="A1034" s="407"/>
      <c r="B1034" s="23">
        <f>IF(A1023&lt;5.4001,B1040,IF(A1023&lt;4.6001,B1039,IF(A1023&lt;3.7001,B1038,IF(A1023&lt;3.001,B1037,IF(A1023&lt;1.8001,B1036)))))</f>
        <v>50.4</v>
      </c>
      <c r="C1034" s="64" t="s">
        <v>659</v>
      </c>
      <c r="D1034" s="11"/>
      <c r="E1034" s="411"/>
      <c r="F1034" s="411"/>
      <c r="G1034" s="412"/>
      <c r="H1034" s="251"/>
      <c r="Q1034" s="408">
        <v>8.4</v>
      </c>
      <c r="R1034" s="8">
        <v>14</v>
      </c>
      <c r="S1034" s="8">
        <v>2</v>
      </c>
    </row>
    <row r="1035" spans="1:20" x14ac:dyDescent="0.2">
      <c r="A1035" s="407"/>
      <c r="B1035" s="23"/>
      <c r="C1035" s="64" t="s">
        <v>660</v>
      </c>
      <c r="D1035" s="11"/>
      <c r="E1035" s="411"/>
      <c r="F1035" s="411"/>
      <c r="G1035" s="412"/>
      <c r="H1035" s="251"/>
      <c r="Q1035" s="408">
        <v>9</v>
      </c>
      <c r="R1035" s="8">
        <v>15</v>
      </c>
      <c r="S1035" s="8">
        <v>2.2000000000000002</v>
      </c>
    </row>
    <row r="1036" spans="1:20" x14ac:dyDescent="0.2">
      <c r="A1036" s="33">
        <f>IF(A1023&lt;1.8001,1,0)</f>
        <v>1</v>
      </c>
      <c r="B1036" s="23">
        <f>B1027*B1023</f>
        <v>50.4</v>
      </c>
      <c r="C1036" s="64" t="s">
        <v>661</v>
      </c>
      <c r="D1036" s="15">
        <f>prices!F203</f>
        <v>19.04</v>
      </c>
      <c r="E1036" s="77">
        <f>A1036*B1036*D1036</f>
        <v>959.61599999999999</v>
      </c>
      <c r="F1036" s="77">
        <f>A1036*B1036*prices!F1390</f>
        <v>645.12</v>
      </c>
      <c r="G1036" s="412"/>
      <c r="H1036" s="251"/>
      <c r="Q1036" s="408">
        <v>9.6</v>
      </c>
      <c r="R1036" s="8" t="s">
        <v>1</v>
      </c>
      <c r="S1036" s="8">
        <v>2.4</v>
      </c>
    </row>
    <row r="1037" spans="1:20" x14ac:dyDescent="0.2">
      <c r="A1037" s="33">
        <f>IF(A1023&lt;1.8001,0,IF(A1023&gt;3.001,0,1))</f>
        <v>0</v>
      </c>
      <c r="B1037" s="23">
        <f>B1027*B1023</f>
        <v>50.4</v>
      </c>
      <c r="C1037" s="64" t="s">
        <v>662</v>
      </c>
      <c r="D1037" s="15">
        <f>prices!F202</f>
        <v>24.48</v>
      </c>
      <c r="E1037" s="77">
        <f>A1037*B1037*D1037</f>
        <v>0</v>
      </c>
      <c r="F1037" s="77">
        <f>A1037*B1037*prices!F1390</f>
        <v>0</v>
      </c>
      <c r="G1037" s="412"/>
      <c r="H1037" s="251"/>
      <c r="Q1037" s="408">
        <v>10.199999999999999</v>
      </c>
      <c r="R1037" s="8" t="s">
        <v>1</v>
      </c>
      <c r="S1037" s="8">
        <v>2.6</v>
      </c>
    </row>
    <row r="1038" spans="1:20" x14ac:dyDescent="0.2">
      <c r="A1038" s="33">
        <f>IF(A1023&lt;3.0001,0,IF(A1023&gt;3.7001,0,1))</f>
        <v>0</v>
      </c>
      <c r="B1038" s="23">
        <f>B1027*B1023</f>
        <v>50.4</v>
      </c>
      <c r="C1038" s="64" t="s">
        <v>663</v>
      </c>
      <c r="D1038" s="15">
        <f>prices!F201</f>
        <v>33.44</v>
      </c>
      <c r="E1038" s="77">
        <f>A1038*B1038*D1038</f>
        <v>0</v>
      </c>
      <c r="F1038" s="77">
        <f>A1038*B1038*prices!F1390</f>
        <v>0</v>
      </c>
      <c r="G1038" s="412"/>
      <c r="H1038" s="251"/>
      <c r="Q1038" s="408">
        <v>10.8</v>
      </c>
      <c r="R1038" s="8" t="s">
        <v>1</v>
      </c>
      <c r="S1038" s="8">
        <v>2.8</v>
      </c>
    </row>
    <row r="1039" spans="1:20" x14ac:dyDescent="0.2">
      <c r="A1039" s="33">
        <f>IF(A1023&lt;3.7001,0,IF(A1023&gt;4.6001,0,1))</f>
        <v>0</v>
      </c>
      <c r="B1039" s="23">
        <f>B1027*B1023</f>
        <v>50.4</v>
      </c>
      <c r="C1039" s="64" t="s">
        <v>664</v>
      </c>
      <c r="D1039" s="15">
        <f>prices!F200</f>
        <v>41.567999999999998</v>
      </c>
      <c r="E1039" s="77">
        <f>A1039*B1039*D1039</f>
        <v>0</v>
      </c>
      <c r="F1039" s="77">
        <f>A1039*B1039*prices!F1390</f>
        <v>0</v>
      </c>
      <c r="G1039" s="412"/>
      <c r="H1039" s="251"/>
      <c r="Q1039" s="408">
        <v>11.4</v>
      </c>
      <c r="R1039" s="8" t="s">
        <v>1</v>
      </c>
      <c r="S1039" s="8">
        <v>3</v>
      </c>
    </row>
    <row r="1040" spans="1:20" x14ac:dyDescent="0.2">
      <c r="A1040" s="33">
        <f>IF(A1023&lt;4.6001,0,IF(A1023&gt;5.4001,0,1))</f>
        <v>0</v>
      </c>
      <c r="B1040" s="23">
        <f>B1027*B1023</f>
        <v>50.4</v>
      </c>
      <c r="C1040" s="64" t="s">
        <v>665</v>
      </c>
      <c r="D1040" s="15">
        <f>prices!F199</f>
        <v>61.760000000000005</v>
      </c>
      <c r="E1040" s="77">
        <f>A1040*B1040*D1040</f>
        <v>0</v>
      </c>
      <c r="F1040" s="77">
        <f>A1040*B1040*prices!F1390</f>
        <v>0</v>
      </c>
      <c r="G1040" s="412"/>
      <c r="H1040" s="251"/>
      <c r="I1040" s="3">
        <f>B1022*B1023</f>
        <v>21.6</v>
      </c>
      <c r="Q1040" s="408">
        <v>12</v>
      </c>
      <c r="S1040" s="8">
        <v>3.2</v>
      </c>
    </row>
    <row r="1041" spans="1:19" x14ac:dyDescent="0.2">
      <c r="A1041" s="419"/>
      <c r="B1041" s="23"/>
      <c r="C1041" s="64"/>
      <c r="D1041" s="11"/>
      <c r="E1041" s="77">
        <f>SUM(E1024:E1040)</f>
        <v>4873.6948693333343</v>
      </c>
      <c r="F1041" s="77">
        <f>SUM(F1024:F1040)</f>
        <v>2455.04</v>
      </c>
      <c r="G1041" s="412"/>
      <c r="H1041" s="420">
        <f>E1041+F1041</f>
        <v>7328.7348693333342</v>
      </c>
      <c r="I1041" s="81">
        <f>H1041/I1040</f>
        <v>339.29328098765433</v>
      </c>
      <c r="J1041" s="81">
        <f>F1041/I1040</f>
        <v>113.65925925925924</v>
      </c>
      <c r="Q1041" s="408">
        <v>12.6</v>
      </c>
      <c r="S1041" s="8">
        <v>3.4</v>
      </c>
    </row>
    <row r="1042" spans="1:19" x14ac:dyDescent="0.2">
      <c r="A1042" s="421"/>
      <c r="B1042" s="23"/>
      <c r="C1042" s="64"/>
      <c r="D1042" s="11"/>
      <c r="E1042" s="411"/>
      <c r="F1042" s="411"/>
      <c r="G1042" s="412"/>
      <c r="H1042" s="251"/>
      <c r="Q1042" s="408">
        <v>13.2</v>
      </c>
      <c r="S1042" s="8">
        <v>3.6</v>
      </c>
    </row>
    <row r="1043" spans="1:19" x14ac:dyDescent="0.2">
      <c r="A1043" s="421"/>
      <c r="B1043" s="23"/>
      <c r="C1043" s="39" t="s">
        <v>666</v>
      </c>
      <c r="D1043" s="11"/>
      <c r="E1043" s="11"/>
      <c r="F1043" s="11"/>
      <c r="G1043" s="250"/>
      <c r="H1043" s="251"/>
      <c r="Q1043" s="408">
        <v>13.8</v>
      </c>
      <c r="S1043" s="8">
        <v>3.8</v>
      </c>
    </row>
    <row r="1044" spans="1:19" x14ac:dyDescent="0.2">
      <c r="A1044" s="421"/>
      <c r="B1044" s="23"/>
      <c r="C1044" s="39" t="s">
        <v>666</v>
      </c>
      <c r="D1044" s="248">
        <v>1</v>
      </c>
      <c r="E1044" s="248">
        <f>D1044*B1044</f>
        <v>0</v>
      </c>
      <c r="F1044" s="111">
        <f>D1044*B1044</f>
        <v>0</v>
      </c>
      <c r="G1044" s="250"/>
      <c r="H1044" s="251"/>
      <c r="Q1044" s="408">
        <v>14.4</v>
      </c>
      <c r="S1044" s="8">
        <v>4</v>
      </c>
    </row>
    <row r="1045" spans="1:19" x14ac:dyDescent="0.2">
      <c r="A1045" s="421"/>
      <c r="B1045" s="23"/>
      <c r="C1045" s="39" t="s">
        <v>667</v>
      </c>
      <c r="D1045" s="248" t="e">
        <f>prices!F1091*1+prices!F1458+prices!#REF!*4</f>
        <v>#REF!</v>
      </c>
      <c r="E1045" s="248" t="e">
        <f>D1045*B1045</f>
        <v>#REF!</v>
      </c>
      <c r="F1045" s="111">
        <f>prices!F1797*B1045</f>
        <v>0</v>
      </c>
      <c r="G1045" s="250"/>
      <c r="H1045" s="251"/>
      <c r="Q1045" s="408">
        <v>15</v>
      </c>
      <c r="S1045" s="8">
        <v>4.2</v>
      </c>
    </row>
    <row r="1046" spans="1:19" x14ac:dyDescent="0.2">
      <c r="A1046" s="421"/>
      <c r="B1046" s="23"/>
      <c r="C1046" s="39" t="s">
        <v>668</v>
      </c>
      <c r="D1046" s="248" t="e">
        <f>prices!F1091*1.2+prices!F1458+prices!#REF!*4</f>
        <v>#REF!</v>
      </c>
      <c r="E1046" s="248" t="e">
        <f>D1046*B1046</f>
        <v>#REF!</v>
      </c>
      <c r="F1046" s="111">
        <f>prices!F1797*B1046</f>
        <v>0</v>
      </c>
      <c r="G1046" s="250"/>
      <c r="H1046" s="251"/>
      <c r="Q1046" s="408">
        <v>15.6</v>
      </c>
      <c r="S1046" s="8">
        <v>4.4000000000000004</v>
      </c>
    </row>
    <row r="1047" spans="1:19" x14ac:dyDescent="0.2">
      <c r="A1047" s="421"/>
      <c r="B1047" s="23"/>
      <c r="C1047" s="39" t="s">
        <v>669</v>
      </c>
      <c r="D1047" s="248" t="e">
        <f>prices!F1091*1.4+prices!F1458+prices!#REF!*4</f>
        <v>#REF!</v>
      </c>
      <c r="E1047" s="248" t="e">
        <f t="shared" ref="E1047:E1054" si="43">D1047*B1047</f>
        <v>#REF!</v>
      </c>
      <c r="F1047" s="111">
        <f>prices!F1797*B1047</f>
        <v>0</v>
      </c>
      <c r="G1047" s="250"/>
      <c r="H1047" s="251"/>
      <c r="Q1047" s="408">
        <v>16.2</v>
      </c>
      <c r="S1047" s="8">
        <v>4.5999999999999996</v>
      </c>
    </row>
    <row r="1048" spans="1:19" x14ac:dyDescent="0.2">
      <c r="A1048" s="421"/>
      <c r="B1048" s="23"/>
      <c r="C1048" s="39" t="s">
        <v>670</v>
      </c>
      <c r="D1048" s="248" t="e">
        <f>prices!F1091*1.6+prices!F1458+prices!#REF!*4</f>
        <v>#REF!</v>
      </c>
      <c r="E1048" s="248" t="e">
        <f t="shared" si="43"/>
        <v>#REF!</v>
      </c>
      <c r="F1048" s="111">
        <f>prices!F1798*B1048</f>
        <v>0</v>
      </c>
      <c r="G1048" s="250"/>
      <c r="H1048" s="251"/>
      <c r="Q1048" s="408">
        <v>16.8</v>
      </c>
      <c r="S1048" s="8">
        <v>4.8</v>
      </c>
    </row>
    <row r="1049" spans="1:19" x14ac:dyDescent="0.2">
      <c r="A1049" s="421"/>
      <c r="B1049" s="23"/>
      <c r="C1049" s="39" t="s">
        <v>671</v>
      </c>
      <c r="D1049" s="248" t="e">
        <f>prices!F1091*1.8+prices!F1458+prices!#REF!*4</f>
        <v>#REF!</v>
      </c>
      <c r="E1049" s="248" t="e">
        <f t="shared" si="43"/>
        <v>#REF!</v>
      </c>
      <c r="F1049" s="111">
        <f>prices!F1798*B1049</f>
        <v>0</v>
      </c>
      <c r="G1049" s="250"/>
      <c r="H1049" s="251"/>
      <c r="Q1049" s="408">
        <v>17.399999999999999</v>
      </c>
      <c r="S1049" s="8">
        <v>5</v>
      </c>
    </row>
    <row r="1050" spans="1:19" x14ac:dyDescent="0.2">
      <c r="A1050" s="421"/>
      <c r="B1050" s="23"/>
      <c r="C1050" s="39" t="s">
        <v>672</v>
      </c>
      <c r="D1050" s="248" t="e">
        <f>prices!F1091*2+prices!F1458+prices!#REF!*4</f>
        <v>#REF!</v>
      </c>
      <c r="E1050" s="248" t="e">
        <f t="shared" si="43"/>
        <v>#REF!</v>
      </c>
      <c r="F1050" s="111">
        <f>prices!F1798*B1050</f>
        <v>0</v>
      </c>
      <c r="G1050" s="250"/>
      <c r="H1050" s="251"/>
      <c r="Q1050" s="408">
        <v>18</v>
      </c>
      <c r="S1050" s="8">
        <v>5.2</v>
      </c>
    </row>
    <row r="1051" spans="1:19" x14ac:dyDescent="0.2">
      <c r="A1051" s="421"/>
      <c r="B1051" s="23"/>
      <c r="C1051" s="39" t="s">
        <v>673</v>
      </c>
      <c r="D1051" s="248" t="e">
        <f>prices!F1091*2.2+prices!F1458+prices!#REF!*4</f>
        <v>#REF!</v>
      </c>
      <c r="E1051" s="248" t="e">
        <f t="shared" si="43"/>
        <v>#REF!</v>
      </c>
      <c r="F1051" s="111">
        <f>prices!F1798*B1051</f>
        <v>0</v>
      </c>
      <c r="G1051" s="250"/>
      <c r="H1051" s="251"/>
      <c r="Q1051" s="408">
        <v>18.600000000000001</v>
      </c>
      <c r="S1051" s="8">
        <v>5.4</v>
      </c>
    </row>
    <row r="1052" spans="1:19" x14ac:dyDescent="0.2">
      <c r="A1052" s="421"/>
      <c r="B1052" s="23"/>
      <c r="C1052" s="39" t="s">
        <v>674</v>
      </c>
      <c r="D1052" s="248" t="e">
        <f>prices!F1092*2.4+prices!F1458+prices!#REF!*4</f>
        <v>#REF!</v>
      </c>
      <c r="E1052" s="248" t="e">
        <f t="shared" si="43"/>
        <v>#REF!</v>
      </c>
      <c r="F1052" s="111">
        <f>prices!F1798*B1052</f>
        <v>0</v>
      </c>
      <c r="G1052" s="250"/>
      <c r="H1052" s="251"/>
      <c r="Q1052" s="408">
        <v>19.2</v>
      </c>
      <c r="S1052" s="8">
        <v>5.6</v>
      </c>
    </row>
    <row r="1053" spans="1:19" x14ac:dyDescent="0.2">
      <c r="A1053" s="421"/>
      <c r="B1053" s="23"/>
      <c r="C1053" s="39" t="s">
        <v>675</v>
      </c>
      <c r="D1053" s="248" t="e">
        <f>prices!F1092*2.7+prices!F1458+prices!#REF!*4</f>
        <v>#REF!</v>
      </c>
      <c r="E1053" s="248" t="e">
        <f t="shared" si="43"/>
        <v>#REF!</v>
      </c>
      <c r="F1053" s="111">
        <f>prices!F1799*B1053</f>
        <v>0</v>
      </c>
      <c r="G1053" s="250"/>
      <c r="H1053" s="251"/>
      <c r="Q1053" s="408">
        <v>19.8</v>
      </c>
      <c r="S1053" s="8">
        <v>5.8</v>
      </c>
    </row>
    <row r="1054" spans="1:19" x14ac:dyDescent="0.2">
      <c r="A1054" s="421"/>
      <c r="B1054" s="23"/>
      <c r="C1054" s="39" t="s">
        <v>676</v>
      </c>
      <c r="D1054" s="248" t="e">
        <f>prices!F1092*3+prices!F1458+prices!#REF!*4</f>
        <v>#REF!</v>
      </c>
      <c r="E1054" s="248" t="e">
        <f t="shared" si="43"/>
        <v>#REF!</v>
      </c>
      <c r="F1054" s="111">
        <f>prices!F1799*B1054</f>
        <v>0</v>
      </c>
      <c r="G1054" s="250"/>
      <c r="H1054" s="251"/>
    </row>
    <row r="1055" spans="1:19" x14ac:dyDescent="0.2">
      <c r="A1055" s="220"/>
      <c r="B1055" s="138"/>
      <c r="C1055" s="39"/>
      <c r="D1055" s="25"/>
      <c r="E1055" s="15"/>
      <c r="F1055" s="61"/>
      <c r="G1055" s="15"/>
      <c r="H1055" s="16"/>
      <c r="I1055" s="13"/>
      <c r="J1055" s="13"/>
    </row>
    <row r="1056" spans="1:19" x14ac:dyDescent="0.2">
      <c r="A1056" s="328"/>
      <c r="B1056" s="395"/>
    </row>
    <row r="1057" spans="1:2" x14ac:dyDescent="0.2">
      <c r="A1057" s="328"/>
      <c r="B1057" s="395"/>
    </row>
    <row r="1058" spans="1:2" x14ac:dyDescent="0.2">
      <c r="A1058" s="328"/>
      <c r="B1058" s="395"/>
    </row>
    <row r="1059" spans="1:2" x14ac:dyDescent="0.2">
      <c r="A1059" s="328"/>
      <c r="B1059" s="395"/>
    </row>
    <row r="1060" spans="1:2" x14ac:dyDescent="0.2">
      <c r="A1060" s="328"/>
      <c r="B1060" s="395"/>
    </row>
    <row r="1061" spans="1:2" x14ac:dyDescent="0.2">
      <c r="A1061" s="328"/>
      <c r="B1061" s="395"/>
    </row>
    <row r="1062" spans="1:2" x14ac:dyDescent="0.2">
      <c r="A1062" s="328"/>
      <c r="B1062" s="395"/>
    </row>
    <row r="1063" spans="1:2" x14ac:dyDescent="0.2">
      <c r="A1063" s="328"/>
      <c r="B1063" s="395"/>
    </row>
    <row r="1064" spans="1:2" x14ac:dyDescent="0.2">
      <c r="A1064" s="328"/>
      <c r="B1064" s="395"/>
    </row>
    <row r="1065" spans="1:2" x14ac:dyDescent="0.2">
      <c r="A1065" s="328"/>
      <c r="B1065" s="395"/>
    </row>
    <row r="1066" spans="1:2" x14ac:dyDescent="0.2">
      <c r="A1066" s="328"/>
      <c r="B1066" s="395"/>
    </row>
    <row r="1067" spans="1:2" x14ac:dyDescent="0.2">
      <c r="A1067" s="328"/>
      <c r="B1067" s="395"/>
    </row>
    <row r="1068" spans="1:2" x14ac:dyDescent="0.2">
      <c r="A1068" s="328"/>
      <c r="B1068" s="395"/>
    </row>
    <row r="1069" spans="1:2" x14ac:dyDescent="0.2">
      <c r="A1069" s="328"/>
      <c r="B1069" s="395"/>
    </row>
    <row r="1070" spans="1:2" x14ac:dyDescent="0.2">
      <c r="A1070" s="328"/>
      <c r="B1070" s="395"/>
    </row>
    <row r="1071" spans="1:2" x14ac:dyDescent="0.2">
      <c r="A1071" s="328"/>
      <c r="B1071" s="395"/>
    </row>
    <row r="1072" spans="1:2" x14ac:dyDescent="0.2">
      <c r="A1072" s="328"/>
      <c r="B1072" s="395"/>
    </row>
    <row r="1073" spans="1:2" x14ac:dyDescent="0.2">
      <c r="A1073" s="328"/>
      <c r="B1073" s="395"/>
    </row>
    <row r="1074" spans="1:2" x14ac:dyDescent="0.2">
      <c r="A1074" s="328"/>
      <c r="B1074" s="395"/>
    </row>
    <row r="1075" spans="1:2" x14ac:dyDescent="0.2">
      <c r="A1075" s="328"/>
      <c r="B1075" s="395"/>
    </row>
    <row r="1076" spans="1:2" x14ac:dyDescent="0.2">
      <c r="A1076" s="328"/>
      <c r="B1076" s="395"/>
    </row>
    <row r="1077" spans="1:2" x14ac:dyDescent="0.2">
      <c r="A1077" s="328"/>
      <c r="B1077" s="395"/>
    </row>
    <row r="1078" spans="1:2" x14ac:dyDescent="0.2">
      <c r="A1078" s="328"/>
      <c r="B1078" s="395"/>
    </row>
    <row r="1079" spans="1:2" x14ac:dyDescent="0.2">
      <c r="A1079" s="328"/>
      <c r="B1079" s="395"/>
    </row>
    <row r="1080" spans="1:2" x14ac:dyDescent="0.2">
      <c r="A1080" s="328"/>
      <c r="B1080" s="395"/>
    </row>
    <row r="1081" spans="1:2" x14ac:dyDescent="0.2">
      <c r="A1081" s="328"/>
      <c r="B1081" s="395"/>
    </row>
    <row r="1082" spans="1:2" x14ac:dyDescent="0.2">
      <c r="A1082" s="328"/>
      <c r="B1082" s="395"/>
    </row>
    <row r="1083" spans="1:2" x14ac:dyDescent="0.2">
      <c r="A1083" s="328"/>
      <c r="B1083" s="395"/>
    </row>
    <row r="1084" spans="1:2" x14ac:dyDescent="0.2">
      <c r="A1084" s="328"/>
      <c r="B1084" s="395"/>
    </row>
    <row r="1085" spans="1:2" x14ac:dyDescent="0.2">
      <c r="A1085" s="328"/>
      <c r="B1085" s="395"/>
    </row>
    <row r="1086" spans="1:2" x14ac:dyDescent="0.2">
      <c r="A1086" s="328"/>
      <c r="B1086" s="395"/>
    </row>
    <row r="1087" spans="1:2" x14ac:dyDescent="0.2">
      <c r="A1087" s="328"/>
      <c r="B1087" s="395"/>
    </row>
    <row r="1088" spans="1:2" x14ac:dyDescent="0.2">
      <c r="A1088" s="328"/>
      <c r="B1088" s="395"/>
    </row>
    <row r="1089" spans="1:2" x14ac:dyDescent="0.2">
      <c r="A1089" s="328"/>
      <c r="B1089" s="395"/>
    </row>
    <row r="1090" spans="1:2" x14ac:dyDescent="0.2">
      <c r="A1090" s="328"/>
      <c r="B1090" s="395"/>
    </row>
    <row r="1091" spans="1:2" x14ac:dyDescent="0.2">
      <c r="A1091" s="328"/>
      <c r="B1091" s="395"/>
    </row>
    <row r="1092" spans="1:2" x14ac:dyDescent="0.2">
      <c r="A1092" s="328"/>
      <c r="B1092" s="395"/>
    </row>
    <row r="1093" spans="1:2" x14ac:dyDescent="0.2">
      <c r="A1093" s="328"/>
      <c r="B1093" s="395"/>
    </row>
    <row r="1094" spans="1:2" x14ac:dyDescent="0.2">
      <c r="A1094" s="328"/>
      <c r="B1094" s="395"/>
    </row>
    <row r="1095" spans="1:2" x14ac:dyDescent="0.2">
      <c r="A1095" s="328"/>
      <c r="B1095" s="395"/>
    </row>
    <row r="1096" spans="1:2" x14ac:dyDescent="0.2">
      <c r="A1096" s="328"/>
      <c r="B1096" s="395"/>
    </row>
    <row r="1097" spans="1:2" x14ac:dyDescent="0.2">
      <c r="A1097" s="328"/>
      <c r="B1097" s="395"/>
    </row>
    <row r="1098" spans="1:2" x14ac:dyDescent="0.2">
      <c r="A1098" s="328"/>
      <c r="B1098" s="395"/>
    </row>
    <row r="1099" spans="1:2" x14ac:dyDescent="0.2">
      <c r="A1099" s="328"/>
      <c r="B1099" s="395"/>
    </row>
    <row r="1100" spans="1:2" x14ac:dyDescent="0.2">
      <c r="A1100" s="328"/>
      <c r="B1100" s="395"/>
    </row>
    <row r="1101" spans="1:2" x14ac:dyDescent="0.2">
      <c r="A1101" s="328"/>
      <c r="B1101" s="395"/>
    </row>
    <row r="1102" spans="1:2" x14ac:dyDescent="0.2">
      <c r="A1102" s="328"/>
      <c r="B1102" s="395"/>
    </row>
    <row r="1103" spans="1:2" x14ac:dyDescent="0.2">
      <c r="A1103" s="328"/>
      <c r="B1103" s="395"/>
    </row>
    <row r="1104" spans="1:2" x14ac:dyDescent="0.2">
      <c r="A1104" s="328"/>
      <c r="B1104" s="395"/>
    </row>
    <row r="1105" spans="1:2" x14ac:dyDescent="0.2">
      <c r="A1105" s="328"/>
      <c r="B1105" s="395"/>
    </row>
    <row r="1106" spans="1:2" x14ac:dyDescent="0.2">
      <c r="A1106" s="328"/>
      <c r="B1106" s="395"/>
    </row>
    <row r="1107" spans="1:2" x14ac:dyDescent="0.2">
      <c r="A1107" s="328"/>
      <c r="B1107" s="395"/>
    </row>
    <row r="1108" spans="1:2" x14ac:dyDescent="0.2">
      <c r="A1108" s="328"/>
      <c r="B1108" s="395"/>
    </row>
    <row r="1109" spans="1:2" x14ac:dyDescent="0.2">
      <c r="A1109" s="328"/>
      <c r="B1109" s="395"/>
    </row>
    <row r="1110" spans="1:2" x14ac:dyDescent="0.2">
      <c r="A1110" s="328"/>
      <c r="B1110" s="395"/>
    </row>
    <row r="1111" spans="1:2" x14ac:dyDescent="0.2">
      <c r="A1111" s="328"/>
      <c r="B1111" s="395"/>
    </row>
    <row r="1112" spans="1:2" x14ac:dyDescent="0.2">
      <c r="A1112" s="328"/>
      <c r="B1112" s="395"/>
    </row>
    <row r="1113" spans="1:2" x14ac:dyDescent="0.2">
      <c r="A1113" s="328"/>
      <c r="B1113" s="395"/>
    </row>
    <row r="1114" spans="1:2" x14ac:dyDescent="0.2">
      <c r="A1114" s="328"/>
      <c r="B1114" s="395"/>
    </row>
    <row r="1115" spans="1:2" x14ac:dyDescent="0.2">
      <c r="A1115" s="328"/>
      <c r="B1115" s="395"/>
    </row>
    <row r="1116" spans="1:2" x14ac:dyDescent="0.2">
      <c r="A1116" s="328"/>
      <c r="B1116" s="395"/>
    </row>
    <row r="1117" spans="1:2" x14ac:dyDescent="0.2">
      <c r="A1117" s="328"/>
      <c r="B1117" s="395"/>
    </row>
    <row r="1118" spans="1:2" x14ac:dyDescent="0.2">
      <c r="A1118" s="328"/>
      <c r="B1118" s="395"/>
    </row>
    <row r="1119" spans="1:2" x14ac:dyDescent="0.2">
      <c r="A1119" s="328"/>
      <c r="B1119" s="395"/>
    </row>
    <row r="1120" spans="1:2" x14ac:dyDescent="0.2">
      <c r="A1120" s="328"/>
      <c r="B1120" s="395"/>
    </row>
    <row r="1121" spans="1:2" x14ac:dyDescent="0.2">
      <c r="A1121" s="328"/>
      <c r="B1121" s="395"/>
    </row>
    <row r="1122" spans="1:2" x14ac:dyDescent="0.2">
      <c r="A1122" s="328"/>
      <c r="B1122" s="395"/>
    </row>
    <row r="1123" spans="1:2" x14ac:dyDescent="0.2">
      <c r="A1123" s="328"/>
      <c r="B1123" s="395"/>
    </row>
    <row r="1124" spans="1:2" x14ac:dyDescent="0.2">
      <c r="A1124" s="328"/>
      <c r="B1124" s="395"/>
    </row>
    <row r="1125" spans="1:2" x14ac:dyDescent="0.2">
      <c r="A1125" s="328"/>
      <c r="B1125" s="395"/>
    </row>
    <row r="1126" spans="1:2" x14ac:dyDescent="0.2">
      <c r="A1126" s="328"/>
      <c r="B1126" s="395"/>
    </row>
    <row r="1127" spans="1:2" x14ac:dyDescent="0.2">
      <c r="A1127" s="328"/>
      <c r="B1127" s="395"/>
    </row>
    <row r="1128" spans="1:2" x14ac:dyDescent="0.2">
      <c r="A1128" s="328"/>
      <c r="B1128" s="395"/>
    </row>
    <row r="1129" spans="1:2" x14ac:dyDescent="0.2">
      <c r="A1129" s="328"/>
      <c r="B1129" s="395"/>
    </row>
    <row r="1130" spans="1:2" x14ac:dyDescent="0.2">
      <c r="A1130" s="328"/>
      <c r="B1130" s="395"/>
    </row>
    <row r="1131" spans="1:2" x14ac:dyDescent="0.2">
      <c r="A1131" s="328"/>
      <c r="B1131" s="395"/>
    </row>
    <row r="1132" spans="1:2" x14ac:dyDescent="0.2">
      <c r="A1132" s="328"/>
      <c r="B1132" s="395"/>
    </row>
    <row r="1133" spans="1:2" x14ac:dyDescent="0.2">
      <c r="A1133" s="328"/>
      <c r="B1133" s="395"/>
    </row>
    <row r="1134" spans="1:2" x14ac:dyDescent="0.2">
      <c r="A1134" s="328"/>
      <c r="B1134" s="395"/>
    </row>
    <row r="1135" spans="1:2" x14ac:dyDescent="0.2">
      <c r="A1135" s="328"/>
      <c r="B1135" s="395"/>
    </row>
    <row r="1136" spans="1:2" x14ac:dyDescent="0.2">
      <c r="A1136" s="328"/>
      <c r="B1136" s="395"/>
    </row>
    <row r="1137" spans="1:2" x14ac:dyDescent="0.2">
      <c r="A1137" s="328"/>
      <c r="B1137" s="395"/>
    </row>
    <row r="1138" spans="1:2" x14ac:dyDescent="0.2">
      <c r="A1138" s="328"/>
      <c r="B1138" s="395"/>
    </row>
    <row r="1139" spans="1:2" x14ac:dyDescent="0.2">
      <c r="B1139" s="395"/>
    </row>
    <row r="1140" spans="1:2" x14ac:dyDescent="0.2">
      <c r="B1140" s="395"/>
    </row>
    <row r="1141" spans="1:2" x14ac:dyDescent="0.2">
      <c r="B1141" s="395"/>
    </row>
    <row r="1142" spans="1:2" x14ac:dyDescent="0.2">
      <c r="B1142" s="395"/>
    </row>
    <row r="1143" spans="1:2" x14ac:dyDescent="0.2">
      <c r="B1143" s="395"/>
    </row>
    <row r="1144" spans="1:2" x14ac:dyDescent="0.2">
      <c r="B1144" s="395"/>
    </row>
    <row r="1145" spans="1:2" x14ac:dyDescent="0.2">
      <c r="B1145" s="395"/>
    </row>
    <row r="1146" spans="1:2" x14ac:dyDescent="0.2">
      <c r="B1146" s="395"/>
    </row>
    <row r="1147" spans="1:2" x14ac:dyDescent="0.2">
      <c r="B1147" s="395"/>
    </row>
    <row r="1148" spans="1:2" x14ac:dyDescent="0.2">
      <c r="B1148" s="395"/>
    </row>
    <row r="1149" spans="1:2" x14ac:dyDescent="0.2">
      <c r="B1149" s="395"/>
    </row>
    <row r="1150" spans="1:2" x14ac:dyDescent="0.2">
      <c r="B1150" s="395"/>
    </row>
    <row r="1151" spans="1:2" x14ac:dyDescent="0.2">
      <c r="B1151" s="395"/>
    </row>
    <row r="1152" spans="1:2" x14ac:dyDescent="0.2">
      <c r="B1152" s="395"/>
    </row>
    <row r="1153" spans="2:2" x14ac:dyDescent="0.2">
      <c r="B1153" s="395"/>
    </row>
    <row r="1154" spans="2:2" x14ac:dyDescent="0.2">
      <c r="B1154" s="395"/>
    </row>
    <row r="1155" spans="2:2" x14ac:dyDescent="0.2">
      <c r="B1155" s="395"/>
    </row>
    <row r="1156" spans="2:2" x14ac:dyDescent="0.2">
      <c r="B1156" s="395"/>
    </row>
    <row r="1157" spans="2:2" x14ac:dyDescent="0.2">
      <c r="B1157" s="395"/>
    </row>
    <row r="1158" spans="2:2" x14ac:dyDescent="0.2">
      <c r="B1158" s="395"/>
    </row>
    <row r="1159" spans="2:2" x14ac:dyDescent="0.2">
      <c r="B1159" s="395"/>
    </row>
    <row r="1160" spans="2:2" x14ac:dyDescent="0.2">
      <c r="B1160" s="395"/>
    </row>
    <row r="1161" spans="2:2" x14ac:dyDescent="0.2">
      <c r="B1161" s="395"/>
    </row>
    <row r="1162" spans="2:2" x14ac:dyDescent="0.2">
      <c r="B1162" s="395"/>
    </row>
    <row r="1163" spans="2:2" x14ac:dyDescent="0.2">
      <c r="B1163" s="395"/>
    </row>
    <row r="1164" spans="2:2" x14ac:dyDescent="0.2">
      <c r="B1164" s="395"/>
    </row>
    <row r="1165" spans="2:2" x14ac:dyDescent="0.2">
      <c r="B1165" s="395"/>
    </row>
    <row r="1166" spans="2:2" x14ac:dyDescent="0.2">
      <c r="B1166" s="395"/>
    </row>
    <row r="1167" spans="2:2" x14ac:dyDescent="0.2">
      <c r="B1167" s="395"/>
    </row>
    <row r="1168" spans="2:2" x14ac:dyDescent="0.2">
      <c r="B1168" s="395"/>
    </row>
    <row r="1169" spans="2:2" x14ac:dyDescent="0.2">
      <c r="B1169" s="395"/>
    </row>
    <row r="1170" spans="2:2" x14ac:dyDescent="0.2">
      <c r="B1170" s="395"/>
    </row>
    <row r="1171" spans="2:2" x14ac:dyDescent="0.2">
      <c r="B1171" s="395"/>
    </row>
    <row r="1172" spans="2:2" x14ac:dyDescent="0.2">
      <c r="B1172" s="395"/>
    </row>
    <row r="1173" spans="2:2" x14ac:dyDescent="0.2">
      <c r="B1173" s="395"/>
    </row>
    <row r="1174" spans="2:2" x14ac:dyDescent="0.2">
      <c r="B1174" s="395"/>
    </row>
    <row r="1175" spans="2:2" x14ac:dyDescent="0.2">
      <c r="B1175" s="395"/>
    </row>
    <row r="1176" spans="2:2" x14ac:dyDescent="0.2">
      <c r="B1176" s="395"/>
    </row>
    <row r="1177" spans="2:2" x14ac:dyDescent="0.2">
      <c r="B1177" s="395"/>
    </row>
    <row r="1178" spans="2:2" x14ac:dyDescent="0.2">
      <c r="B1178" s="395"/>
    </row>
    <row r="1179" spans="2:2" x14ac:dyDescent="0.2">
      <c r="B1179" s="395"/>
    </row>
    <row r="1180" spans="2:2" x14ac:dyDescent="0.2">
      <c r="B1180" s="395"/>
    </row>
    <row r="1181" spans="2:2" x14ac:dyDescent="0.2">
      <c r="B1181" s="395"/>
    </row>
    <row r="1182" spans="2:2" x14ac:dyDescent="0.2">
      <c r="B1182" s="395"/>
    </row>
    <row r="1183" spans="2:2" x14ac:dyDescent="0.2">
      <c r="B1183" s="395"/>
    </row>
    <row r="1184" spans="2:2" x14ac:dyDescent="0.2">
      <c r="B1184" s="395"/>
    </row>
    <row r="1185" spans="2:2" x14ac:dyDescent="0.2">
      <c r="B1185" s="395"/>
    </row>
    <row r="1186" spans="2:2" x14ac:dyDescent="0.2">
      <c r="B1186" s="395"/>
    </row>
    <row r="1187" spans="2:2" x14ac:dyDescent="0.2">
      <c r="B1187" s="395"/>
    </row>
    <row r="1188" spans="2:2" x14ac:dyDescent="0.2">
      <c r="B1188" s="395"/>
    </row>
    <row r="1189" spans="2:2" x14ac:dyDescent="0.2">
      <c r="B1189" s="395"/>
    </row>
    <row r="1190" spans="2:2" x14ac:dyDescent="0.2">
      <c r="B1190" s="395"/>
    </row>
    <row r="1191" spans="2:2" x14ac:dyDescent="0.2">
      <c r="B1191" s="395"/>
    </row>
    <row r="1192" spans="2:2" x14ac:dyDescent="0.2">
      <c r="B1192" s="395"/>
    </row>
    <row r="1193" spans="2:2" x14ac:dyDescent="0.2">
      <c r="B1193" s="395"/>
    </row>
    <row r="1194" spans="2:2" x14ac:dyDescent="0.2">
      <c r="B1194" s="395"/>
    </row>
    <row r="1195" spans="2:2" x14ac:dyDescent="0.2">
      <c r="B1195" s="395"/>
    </row>
    <row r="1196" spans="2:2" x14ac:dyDescent="0.2">
      <c r="B1196" s="395"/>
    </row>
    <row r="1197" spans="2:2" x14ac:dyDescent="0.2">
      <c r="B1197" s="395"/>
    </row>
    <row r="1198" spans="2:2" x14ac:dyDescent="0.2">
      <c r="B1198" s="395"/>
    </row>
    <row r="1199" spans="2:2" x14ac:dyDescent="0.2">
      <c r="B1199" s="395"/>
    </row>
    <row r="1200" spans="2:2" x14ac:dyDescent="0.2">
      <c r="B1200" s="395"/>
    </row>
    <row r="1201" spans="2:2" x14ac:dyDescent="0.2">
      <c r="B1201" s="395"/>
    </row>
    <row r="1202" spans="2:2" x14ac:dyDescent="0.2">
      <c r="B1202" s="395"/>
    </row>
    <row r="1203" spans="2:2" x14ac:dyDescent="0.2">
      <c r="B1203" s="395"/>
    </row>
    <row r="1204" spans="2:2" x14ac:dyDescent="0.2">
      <c r="B1204" s="395"/>
    </row>
    <row r="1205" spans="2:2" x14ac:dyDescent="0.2">
      <c r="B1205" s="395"/>
    </row>
    <row r="1206" spans="2:2" x14ac:dyDescent="0.2">
      <c r="B1206" s="395"/>
    </row>
    <row r="1207" spans="2:2" x14ac:dyDescent="0.2">
      <c r="B1207" s="395"/>
    </row>
    <row r="1208" spans="2:2" x14ac:dyDescent="0.2">
      <c r="B1208" s="395"/>
    </row>
    <row r="1209" spans="2:2" x14ac:dyDescent="0.2">
      <c r="B1209" s="395"/>
    </row>
    <row r="1210" spans="2:2" x14ac:dyDescent="0.2">
      <c r="B1210" s="395"/>
    </row>
    <row r="1211" spans="2:2" x14ac:dyDescent="0.2">
      <c r="B1211" s="395"/>
    </row>
    <row r="1212" spans="2:2" x14ac:dyDescent="0.2">
      <c r="B1212" s="395"/>
    </row>
    <row r="1213" spans="2:2" x14ac:dyDescent="0.2">
      <c r="B1213" s="395"/>
    </row>
    <row r="1214" spans="2:2" x14ac:dyDescent="0.2">
      <c r="B1214" s="395"/>
    </row>
    <row r="1215" spans="2:2" x14ac:dyDescent="0.2">
      <c r="B1215" s="395"/>
    </row>
    <row r="1216" spans="2:2" x14ac:dyDescent="0.2">
      <c r="B1216" s="395"/>
    </row>
    <row r="1217" spans="2:2" x14ac:dyDescent="0.2">
      <c r="B1217" s="395"/>
    </row>
    <row r="1218" spans="2:2" x14ac:dyDescent="0.2">
      <c r="B1218" s="395"/>
    </row>
    <row r="1219" spans="2:2" x14ac:dyDescent="0.2">
      <c r="B1219" s="395"/>
    </row>
    <row r="1220" spans="2:2" x14ac:dyDescent="0.2">
      <c r="B1220" s="395"/>
    </row>
    <row r="1221" spans="2:2" x14ac:dyDescent="0.2">
      <c r="B1221" s="395"/>
    </row>
    <row r="1222" spans="2:2" x14ac:dyDescent="0.2">
      <c r="B1222" s="395"/>
    </row>
    <row r="1223" spans="2:2" x14ac:dyDescent="0.2">
      <c r="B1223" s="395"/>
    </row>
    <row r="1224" spans="2:2" x14ac:dyDescent="0.2">
      <c r="B1224" s="395"/>
    </row>
    <row r="1225" spans="2:2" x14ac:dyDescent="0.2">
      <c r="B1225" s="395"/>
    </row>
    <row r="1226" spans="2:2" x14ac:dyDescent="0.2">
      <c r="B1226" s="395"/>
    </row>
    <row r="1227" spans="2:2" x14ac:dyDescent="0.2">
      <c r="B1227" s="395"/>
    </row>
    <row r="1228" spans="2:2" x14ac:dyDescent="0.2">
      <c r="B1228" s="395"/>
    </row>
    <row r="1229" spans="2:2" x14ac:dyDescent="0.2">
      <c r="B1229" s="395"/>
    </row>
    <row r="1230" spans="2:2" x14ac:dyDescent="0.2">
      <c r="B1230" s="395"/>
    </row>
    <row r="1231" spans="2:2" x14ac:dyDescent="0.2">
      <c r="B1231" s="395"/>
    </row>
    <row r="1232" spans="2:2" x14ac:dyDescent="0.2">
      <c r="B1232" s="395"/>
    </row>
    <row r="1233" spans="2:2" x14ac:dyDescent="0.2">
      <c r="B1233" s="395"/>
    </row>
    <row r="1234" spans="2:2" x14ac:dyDescent="0.2">
      <c r="B1234" s="395"/>
    </row>
    <row r="1235" spans="2:2" x14ac:dyDescent="0.2">
      <c r="B1235" s="395"/>
    </row>
    <row r="1236" spans="2:2" x14ac:dyDescent="0.2">
      <c r="B1236" s="395"/>
    </row>
    <row r="1237" spans="2:2" x14ac:dyDescent="0.2">
      <c r="B1237" s="395"/>
    </row>
    <row r="1238" spans="2:2" x14ac:dyDescent="0.2">
      <c r="B1238" s="395"/>
    </row>
    <row r="1239" spans="2:2" x14ac:dyDescent="0.2">
      <c r="B1239" s="395"/>
    </row>
    <row r="1240" spans="2:2" x14ac:dyDescent="0.2">
      <c r="B1240" s="395"/>
    </row>
    <row r="1241" spans="2:2" x14ac:dyDescent="0.2">
      <c r="B1241" s="395"/>
    </row>
    <row r="1242" spans="2:2" x14ac:dyDescent="0.2">
      <c r="B1242" s="395"/>
    </row>
    <row r="1243" spans="2:2" x14ac:dyDescent="0.2">
      <c r="B1243" s="395"/>
    </row>
    <row r="1244" spans="2:2" x14ac:dyDescent="0.2">
      <c r="B1244" s="395"/>
    </row>
    <row r="1245" spans="2:2" x14ac:dyDescent="0.2">
      <c r="B1245" s="395"/>
    </row>
    <row r="1246" spans="2:2" x14ac:dyDescent="0.2">
      <c r="B1246" s="395"/>
    </row>
    <row r="1247" spans="2:2" x14ac:dyDescent="0.2">
      <c r="B1247" s="395"/>
    </row>
    <row r="1248" spans="2:2" x14ac:dyDescent="0.2">
      <c r="B1248" s="395"/>
    </row>
    <row r="1249" spans="2:2" x14ac:dyDescent="0.2">
      <c r="B1249" s="395"/>
    </row>
    <row r="1250" spans="2:2" x14ac:dyDescent="0.2">
      <c r="B1250" s="395"/>
    </row>
    <row r="1251" spans="2:2" x14ac:dyDescent="0.2">
      <c r="B1251" s="395"/>
    </row>
    <row r="1252" spans="2:2" x14ac:dyDescent="0.2">
      <c r="B1252" s="395"/>
    </row>
    <row r="1253" spans="2:2" x14ac:dyDescent="0.2">
      <c r="B1253" s="395"/>
    </row>
    <row r="1254" spans="2:2" x14ac:dyDescent="0.2">
      <c r="B1254" s="395"/>
    </row>
    <row r="1255" spans="2:2" x14ac:dyDescent="0.2">
      <c r="B1255" s="395"/>
    </row>
    <row r="1256" spans="2:2" x14ac:dyDescent="0.2">
      <c r="B1256" s="395"/>
    </row>
    <row r="1257" spans="2:2" x14ac:dyDescent="0.2">
      <c r="B1257" s="395"/>
    </row>
    <row r="1258" spans="2:2" x14ac:dyDescent="0.2">
      <c r="B1258" s="395"/>
    </row>
    <row r="1259" spans="2:2" x14ac:dyDescent="0.2">
      <c r="B1259" s="395"/>
    </row>
    <row r="1260" spans="2:2" x14ac:dyDescent="0.2">
      <c r="B1260" s="395"/>
    </row>
    <row r="1261" spans="2:2" x14ac:dyDescent="0.2">
      <c r="B1261" s="395"/>
    </row>
    <row r="1262" spans="2:2" x14ac:dyDescent="0.2">
      <c r="B1262" s="395"/>
    </row>
    <row r="1263" spans="2:2" x14ac:dyDescent="0.2">
      <c r="B1263" s="395"/>
    </row>
    <row r="1264" spans="2:2" x14ac:dyDescent="0.2">
      <c r="B1264" s="395"/>
    </row>
    <row r="1265" spans="2:2" x14ac:dyDescent="0.2">
      <c r="B1265" s="395"/>
    </row>
    <row r="1266" spans="2:2" x14ac:dyDescent="0.2">
      <c r="B1266" s="395"/>
    </row>
    <row r="1267" spans="2:2" x14ac:dyDescent="0.2">
      <c r="B1267" s="395"/>
    </row>
    <row r="1268" spans="2:2" x14ac:dyDescent="0.2">
      <c r="B1268" s="395"/>
    </row>
    <row r="1269" spans="2:2" x14ac:dyDescent="0.2">
      <c r="B1269" s="395"/>
    </row>
    <row r="1270" spans="2:2" x14ac:dyDescent="0.2">
      <c r="B1270" s="395"/>
    </row>
    <row r="1271" spans="2:2" x14ac:dyDescent="0.2">
      <c r="B1271" s="395"/>
    </row>
    <row r="1272" spans="2:2" x14ac:dyDescent="0.2">
      <c r="B1272" s="395"/>
    </row>
    <row r="1273" spans="2:2" x14ac:dyDescent="0.2">
      <c r="B1273" s="395"/>
    </row>
    <row r="1274" spans="2:2" x14ac:dyDescent="0.2">
      <c r="B1274" s="395"/>
    </row>
    <row r="1275" spans="2:2" x14ac:dyDescent="0.2">
      <c r="B1275" s="395"/>
    </row>
    <row r="1276" spans="2:2" x14ac:dyDescent="0.2">
      <c r="B1276" s="395"/>
    </row>
    <row r="1277" spans="2:2" x14ac:dyDescent="0.2">
      <c r="B1277" s="395"/>
    </row>
    <row r="1278" spans="2:2" x14ac:dyDescent="0.2">
      <c r="B1278" s="395"/>
    </row>
    <row r="1279" spans="2:2" x14ac:dyDescent="0.2">
      <c r="B1279" s="395"/>
    </row>
    <row r="1280" spans="2:2" x14ac:dyDescent="0.2">
      <c r="B1280" s="395"/>
    </row>
    <row r="1281" spans="2:2" x14ac:dyDescent="0.2">
      <c r="B1281" s="395"/>
    </row>
    <row r="1282" spans="2:2" x14ac:dyDescent="0.2">
      <c r="B1282" s="395"/>
    </row>
    <row r="1283" spans="2:2" x14ac:dyDescent="0.2">
      <c r="B1283" s="395"/>
    </row>
    <row r="1284" spans="2:2" x14ac:dyDescent="0.2">
      <c r="B1284" s="395"/>
    </row>
    <row r="1285" spans="2:2" x14ac:dyDescent="0.2">
      <c r="B1285" s="395"/>
    </row>
    <row r="1286" spans="2:2" x14ac:dyDescent="0.2">
      <c r="B1286" s="395"/>
    </row>
    <row r="1287" spans="2:2" x14ac:dyDescent="0.2">
      <c r="B1287" s="395"/>
    </row>
    <row r="1288" spans="2:2" x14ac:dyDescent="0.2">
      <c r="B1288" s="395"/>
    </row>
    <row r="1289" spans="2:2" x14ac:dyDescent="0.2">
      <c r="B1289" s="395"/>
    </row>
    <row r="1290" spans="2:2" x14ac:dyDescent="0.2">
      <c r="B1290" s="395"/>
    </row>
    <row r="1291" spans="2:2" x14ac:dyDescent="0.2">
      <c r="B1291" s="395"/>
    </row>
    <row r="1292" spans="2:2" x14ac:dyDescent="0.2">
      <c r="B1292" s="395"/>
    </row>
    <row r="1293" spans="2:2" x14ac:dyDescent="0.2">
      <c r="B1293" s="395"/>
    </row>
    <row r="1294" spans="2:2" x14ac:dyDescent="0.2">
      <c r="B1294" s="395"/>
    </row>
    <row r="1295" spans="2:2" x14ac:dyDescent="0.2">
      <c r="B1295" s="395"/>
    </row>
    <row r="1296" spans="2:2" x14ac:dyDescent="0.2">
      <c r="B1296" s="395"/>
    </row>
    <row r="1297" spans="2:2" x14ac:dyDescent="0.2">
      <c r="B1297" s="395"/>
    </row>
    <row r="1298" spans="2:2" x14ac:dyDescent="0.2">
      <c r="B1298" s="395"/>
    </row>
    <row r="1299" spans="2:2" x14ac:dyDescent="0.2">
      <c r="B1299" s="395"/>
    </row>
    <row r="1300" spans="2:2" x14ac:dyDescent="0.2">
      <c r="B1300" s="395"/>
    </row>
    <row r="1301" spans="2:2" x14ac:dyDescent="0.2">
      <c r="B1301" s="395"/>
    </row>
    <row r="1302" spans="2:2" x14ac:dyDescent="0.2">
      <c r="B1302" s="395"/>
    </row>
    <row r="1303" spans="2:2" x14ac:dyDescent="0.2">
      <c r="B1303" s="395"/>
    </row>
    <row r="1304" spans="2:2" x14ac:dyDescent="0.2">
      <c r="B1304" s="395"/>
    </row>
    <row r="1305" spans="2:2" x14ac:dyDescent="0.2">
      <c r="B1305" s="395"/>
    </row>
    <row r="1306" spans="2:2" x14ac:dyDescent="0.2">
      <c r="B1306" s="395"/>
    </row>
    <row r="1307" spans="2:2" x14ac:dyDescent="0.2">
      <c r="B1307" s="395"/>
    </row>
    <row r="1308" spans="2:2" x14ac:dyDescent="0.2">
      <c r="B1308" s="395"/>
    </row>
    <row r="1309" spans="2:2" x14ac:dyDescent="0.2">
      <c r="B1309" s="395"/>
    </row>
    <row r="1310" spans="2:2" x14ac:dyDescent="0.2">
      <c r="B1310" s="395"/>
    </row>
    <row r="1311" spans="2:2" x14ac:dyDescent="0.2">
      <c r="B1311" s="395"/>
    </row>
    <row r="1312" spans="2:2" x14ac:dyDescent="0.2">
      <c r="B1312" s="395"/>
    </row>
    <row r="1313" spans="2:2" x14ac:dyDescent="0.2">
      <c r="B1313" s="395"/>
    </row>
    <row r="1314" spans="2:2" x14ac:dyDescent="0.2">
      <c r="B1314" s="395"/>
    </row>
    <row r="1315" spans="2:2" x14ac:dyDescent="0.2">
      <c r="B1315" s="395"/>
    </row>
    <row r="1316" spans="2:2" x14ac:dyDescent="0.2">
      <c r="B1316" s="395"/>
    </row>
    <row r="1317" spans="2:2" x14ac:dyDescent="0.2">
      <c r="B1317" s="395"/>
    </row>
    <row r="1318" spans="2:2" x14ac:dyDescent="0.2">
      <c r="B1318" s="395"/>
    </row>
    <row r="1319" spans="2:2" x14ac:dyDescent="0.2">
      <c r="B1319" s="395"/>
    </row>
    <row r="1320" spans="2:2" x14ac:dyDescent="0.2">
      <c r="B1320" s="395"/>
    </row>
    <row r="1321" spans="2:2" x14ac:dyDescent="0.2">
      <c r="B1321" s="395"/>
    </row>
    <row r="1322" spans="2:2" x14ac:dyDescent="0.2">
      <c r="B1322" s="395"/>
    </row>
    <row r="1323" spans="2:2" x14ac:dyDescent="0.2">
      <c r="B1323" s="395"/>
    </row>
    <row r="1324" spans="2:2" x14ac:dyDescent="0.2">
      <c r="B1324" s="395"/>
    </row>
    <row r="1325" spans="2:2" x14ac:dyDescent="0.2">
      <c r="B1325" s="395"/>
    </row>
    <row r="1326" spans="2:2" x14ac:dyDescent="0.2">
      <c r="B1326" s="395"/>
    </row>
    <row r="1327" spans="2:2" x14ac:dyDescent="0.2">
      <c r="B1327" s="395"/>
    </row>
    <row r="1328" spans="2:2" x14ac:dyDescent="0.2">
      <c r="B1328" s="395"/>
    </row>
    <row r="1329" spans="2:2" x14ac:dyDescent="0.2">
      <c r="B1329" s="395"/>
    </row>
    <row r="1330" spans="2:2" x14ac:dyDescent="0.2">
      <c r="B1330" s="395"/>
    </row>
    <row r="1331" spans="2:2" x14ac:dyDescent="0.2">
      <c r="B1331" s="395"/>
    </row>
    <row r="1332" spans="2:2" x14ac:dyDescent="0.2">
      <c r="B1332" s="395"/>
    </row>
    <row r="1333" spans="2:2" x14ac:dyDescent="0.2">
      <c r="B1333" s="395"/>
    </row>
    <row r="1334" spans="2:2" x14ac:dyDescent="0.2">
      <c r="B1334" s="395"/>
    </row>
    <row r="1335" spans="2:2" x14ac:dyDescent="0.2">
      <c r="B1335" s="395"/>
    </row>
    <row r="1336" spans="2:2" x14ac:dyDescent="0.2">
      <c r="B1336" s="395"/>
    </row>
    <row r="1337" spans="2:2" x14ac:dyDescent="0.2">
      <c r="B1337" s="395"/>
    </row>
    <row r="1338" spans="2:2" x14ac:dyDescent="0.2">
      <c r="B1338" s="395"/>
    </row>
    <row r="1339" spans="2:2" x14ac:dyDescent="0.2">
      <c r="B1339" s="395"/>
    </row>
    <row r="1340" spans="2:2" x14ac:dyDescent="0.2">
      <c r="B1340" s="395"/>
    </row>
    <row r="1341" spans="2:2" x14ac:dyDescent="0.2">
      <c r="B1341" s="395"/>
    </row>
    <row r="1342" spans="2:2" x14ac:dyDescent="0.2">
      <c r="B1342" s="395"/>
    </row>
    <row r="1343" spans="2:2" x14ac:dyDescent="0.2">
      <c r="B1343" s="395"/>
    </row>
    <row r="1344" spans="2:2" x14ac:dyDescent="0.2">
      <c r="B1344" s="395"/>
    </row>
    <row r="1345" spans="2:2" x14ac:dyDescent="0.2">
      <c r="B1345" s="395"/>
    </row>
    <row r="1346" spans="2:2" x14ac:dyDescent="0.2">
      <c r="B1346" s="395"/>
    </row>
    <row r="1347" spans="2:2" x14ac:dyDescent="0.2">
      <c r="B1347" s="395"/>
    </row>
    <row r="1348" spans="2:2" x14ac:dyDescent="0.2">
      <c r="B1348" s="395"/>
    </row>
    <row r="1349" spans="2:2" x14ac:dyDescent="0.2">
      <c r="B1349" s="395"/>
    </row>
    <row r="1350" spans="2:2" x14ac:dyDescent="0.2">
      <c r="B1350" s="395"/>
    </row>
    <row r="1351" spans="2:2" x14ac:dyDescent="0.2">
      <c r="B1351" s="395"/>
    </row>
    <row r="1352" spans="2:2" x14ac:dyDescent="0.2">
      <c r="B1352" s="395"/>
    </row>
    <row r="1353" spans="2:2" x14ac:dyDescent="0.2">
      <c r="B1353" s="395"/>
    </row>
    <row r="1354" spans="2:2" x14ac:dyDescent="0.2">
      <c r="B1354" s="395"/>
    </row>
    <row r="1355" spans="2:2" x14ac:dyDescent="0.2">
      <c r="B1355" s="395"/>
    </row>
    <row r="1356" spans="2:2" x14ac:dyDescent="0.2">
      <c r="B1356" s="395"/>
    </row>
    <row r="1357" spans="2:2" x14ac:dyDescent="0.2">
      <c r="B1357" s="395"/>
    </row>
    <row r="1358" spans="2:2" x14ac:dyDescent="0.2">
      <c r="B1358" s="395"/>
    </row>
    <row r="1359" spans="2:2" x14ac:dyDescent="0.2">
      <c r="B1359" s="395"/>
    </row>
    <row r="1360" spans="2:2" x14ac:dyDescent="0.2">
      <c r="B1360" s="395"/>
    </row>
    <row r="1361" spans="2:2" x14ac:dyDescent="0.2">
      <c r="B1361" s="395"/>
    </row>
    <row r="1362" spans="2:2" x14ac:dyDescent="0.2">
      <c r="B1362" s="395"/>
    </row>
    <row r="1363" spans="2:2" x14ac:dyDescent="0.2">
      <c r="B1363" s="395"/>
    </row>
    <row r="1364" spans="2:2" x14ac:dyDescent="0.2">
      <c r="B1364" s="395"/>
    </row>
    <row r="1365" spans="2:2" x14ac:dyDescent="0.2">
      <c r="B1365" s="395"/>
    </row>
    <row r="1366" spans="2:2" x14ac:dyDescent="0.2">
      <c r="B1366" s="395"/>
    </row>
    <row r="1367" spans="2:2" x14ac:dyDescent="0.2">
      <c r="B1367" s="395"/>
    </row>
    <row r="1368" spans="2:2" x14ac:dyDescent="0.2">
      <c r="B1368" s="395"/>
    </row>
    <row r="1369" spans="2:2" x14ac:dyDescent="0.2">
      <c r="B1369" s="395"/>
    </row>
    <row r="1370" spans="2:2" x14ac:dyDescent="0.2">
      <c r="B1370" s="395"/>
    </row>
    <row r="1371" spans="2:2" x14ac:dyDescent="0.2">
      <c r="B1371" s="395"/>
    </row>
    <row r="1372" spans="2:2" x14ac:dyDescent="0.2">
      <c r="B1372" s="395"/>
    </row>
    <row r="1373" spans="2:2" x14ac:dyDescent="0.2">
      <c r="B1373" s="395"/>
    </row>
    <row r="1374" spans="2:2" x14ac:dyDescent="0.2">
      <c r="B1374" s="395"/>
    </row>
    <row r="1375" spans="2:2" x14ac:dyDescent="0.2">
      <c r="B1375" s="395"/>
    </row>
    <row r="1376" spans="2:2" x14ac:dyDescent="0.2">
      <c r="B1376" s="395"/>
    </row>
    <row r="1377" spans="2:2" x14ac:dyDescent="0.2">
      <c r="B1377" s="395"/>
    </row>
    <row r="1378" spans="2:2" x14ac:dyDescent="0.2">
      <c r="B1378" s="395"/>
    </row>
    <row r="1379" spans="2:2" x14ac:dyDescent="0.2">
      <c r="B1379" s="395"/>
    </row>
    <row r="1380" spans="2:2" x14ac:dyDescent="0.2">
      <c r="B1380" s="395"/>
    </row>
    <row r="1381" spans="2:2" x14ac:dyDescent="0.2">
      <c r="B1381" s="395"/>
    </row>
    <row r="1382" spans="2:2" x14ac:dyDescent="0.2">
      <c r="B1382" s="395"/>
    </row>
    <row r="1383" spans="2:2" x14ac:dyDescent="0.2">
      <c r="B1383" s="395"/>
    </row>
    <row r="1384" spans="2:2" x14ac:dyDescent="0.2">
      <c r="B1384" s="395"/>
    </row>
    <row r="1385" spans="2:2" x14ac:dyDescent="0.2">
      <c r="B1385" s="395"/>
    </row>
    <row r="1386" spans="2:2" x14ac:dyDescent="0.2">
      <c r="B1386" s="395"/>
    </row>
    <row r="1387" spans="2:2" x14ac:dyDescent="0.2">
      <c r="B1387" s="395"/>
    </row>
    <row r="1388" spans="2:2" x14ac:dyDescent="0.2">
      <c r="B1388" s="395"/>
    </row>
    <row r="1389" spans="2:2" x14ac:dyDescent="0.2">
      <c r="B1389" s="395"/>
    </row>
    <row r="1390" spans="2:2" x14ac:dyDescent="0.2">
      <c r="B1390" s="395"/>
    </row>
    <row r="1391" spans="2:2" x14ac:dyDescent="0.2">
      <c r="B1391" s="395"/>
    </row>
    <row r="1392" spans="2:2" x14ac:dyDescent="0.2">
      <c r="B1392" s="395"/>
    </row>
    <row r="1393" spans="2:2" x14ac:dyDescent="0.2">
      <c r="B1393" s="395"/>
    </row>
    <row r="1394" spans="2:2" x14ac:dyDescent="0.2">
      <c r="B1394" s="395"/>
    </row>
    <row r="1395" spans="2:2" x14ac:dyDescent="0.2">
      <c r="B1395" s="395"/>
    </row>
    <row r="1396" spans="2:2" x14ac:dyDescent="0.2">
      <c r="B1396" s="395"/>
    </row>
    <row r="1397" spans="2:2" x14ac:dyDescent="0.2">
      <c r="B1397" s="395"/>
    </row>
    <row r="1398" spans="2:2" x14ac:dyDescent="0.2">
      <c r="B1398" s="395"/>
    </row>
    <row r="1399" spans="2:2" x14ac:dyDescent="0.2">
      <c r="B1399" s="395"/>
    </row>
    <row r="1400" spans="2:2" x14ac:dyDescent="0.2">
      <c r="B1400" s="395"/>
    </row>
    <row r="1401" spans="2:2" x14ac:dyDescent="0.2">
      <c r="B1401" s="395"/>
    </row>
    <row r="1402" spans="2:2" x14ac:dyDescent="0.2">
      <c r="B1402" s="395"/>
    </row>
    <row r="1403" spans="2:2" x14ac:dyDescent="0.2">
      <c r="B1403" s="395"/>
    </row>
    <row r="1404" spans="2:2" x14ac:dyDescent="0.2">
      <c r="B1404" s="395"/>
    </row>
    <row r="1405" spans="2:2" x14ac:dyDescent="0.2">
      <c r="B1405" s="395"/>
    </row>
    <row r="1406" spans="2:2" x14ac:dyDescent="0.2">
      <c r="B1406" s="395"/>
    </row>
    <row r="1407" spans="2:2" x14ac:dyDescent="0.2">
      <c r="B1407" s="395"/>
    </row>
    <row r="1408" spans="2:2" x14ac:dyDescent="0.2">
      <c r="B1408" s="395"/>
    </row>
    <row r="1409" spans="2:2" x14ac:dyDescent="0.2">
      <c r="B1409" s="395"/>
    </row>
    <row r="1410" spans="2:2" x14ac:dyDescent="0.2">
      <c r="B1410" s="395"/>
    </row>
    <row r="1411" spans="2:2" x14ac:dyDescent="0.2">
      <c r="B1411" s="395"/>
    </row>
    <row r="1412" spans="2:2" x14ac:dyDescent="0.2">
      <c r="B1412" s="395"/>
    </row>
    <row r="1413" spans="2:2" x14ac:dyDescent="0.2">
      <c r="B1413" s="395"/>
    </row>
    <row r="1414" spans="2:2" x14ac:dyDescent="0.2">
      <c r="B1414" s="395"/>
    </row>
    <row r="1415" spans="2:2" x14ac:dyDescent="0.2">
      <c r="B1415" s="395"/>
    </row>
    <row r="1416" spans="2:2" x14ac:dyDescent="0.2">
      <c r="B1416" s="395"/>
    </row>
    <row r="1417" spans="2:2" x14ac:dyDescent="0.2">
      <c r="B1417" s="395"/>
    </row>
    <row r="1418" spans="2:2" x14ac:dyDescent="0.2">
      <c r="B1418" s="395"/>
    </row>
    <row r="1419" spans="2:2" x14ac:dyDescent="0.2">
      <c r="B1419" s="395"/>
    </row>
    <row r="1420" spans="2:2" x14ac:dyDescent="0.2">
      <c r="B1420" s="395"/>
    </row>
    <row r="1421" spans="2:2" x14ac:dyDescent="0.2">
      <c r="B1421" s="395"/>
    </row>
    <row r="1422" spans="2:2" x14ac:dyDescent="0.2">
      <c r="B1422" s="395"/>
    </row>
    <row r="1423" spans="2:2" x14ac:dyDescent="0.2">
      <c r="B1423" s="395"/>
    </row>
    <row r="1424" spans="2:2" x14ac:dyDescent="0.2">
      <c r="B1424" s="395"/>
    </row>
    <row r="1425" spans="2:2" x14ac:dyDescent="0.2">
      <c r="B1425" s="395"/>
    </row>
    <row r="1426" spans="2:2" x14ac:dyDescent="0.2">
      <c r="B1426" s="395"/>
    </row>
    <row r="1427" spans="2:2" x14ac:dyDescent="0.2">
      <c r="B1427" s="395"/>
    </row>
    <row r="1428" spans="2:2" x14ac:dyDescent="0.2">
      <c r="B1428" s="395"/>
    </row>
    <row r="1429" spans="2:2" x14ac:dyDescent="0.2">
      <c r="B1429" s="395"/>
    </row>
    <row r="1430" spans="2:2" x14ac:dyDescent="0.2">
      <c r="B1430" s="395"/>
    </row>
    <row r="1431" spans="2:2" x14ac:dyDescent="0.2">
      <c r="B1431" s="395"/>
    </row>
    <row r="1432" spans="2:2" x14ac:dyDescent="0.2">
      <c r="B1432" s="395"/>
    </row>
    <row r="1433" spans="2:2" x14ac:dyDescent="0.2">
      <c r="B1433" s="395"/>
    </row>
    <row r="1434" spans="2:2" x14ac:dyDescent="0.2">
      <c r="B1434" s="395"/>
    </row>
    <row r="1435" spans="2:2" x14ac:dyDescent="0.2">
      <c r="B1435" s="395"/>
    </row>
    <row r="1436" spans="2:2" x14ac:dyDescent="0.2">
      <c r="B1436" s="395"/>
    </row>
    <row r="1437" spans="2:2" x14ac:dyDescent="0.2">
      <c r="B1437" s="395"/>
    </row>
    <row r="1438" spans="2:2" x14ac:dyDescent="0.2">
      <c r="B1438" s="395"/>
    </row>
    <row r="1439" spans="2:2" x14ac:dyDescent="0.2">
      <c r="B1439" s="395"/>
    </row>
    <row r="1440" spans="2:2" x14ac:dyDescent="0.2">
      <c r="B1440" s="395"/>
    </row>
    <row r="1441" spans="2:2" x14ac:dyDescent="0.2">
      <c r="B1441" s="395"/>
    </row>
    <row r="1442" spans="2:2" x14ac:dyDescent="0.2">
      <c r="B1442" s="395"/>
    </row>
    <row r="1443" spans="2:2" x14ac:dyDescent="0.2">
      <c r="B1443" s="395"/>
    </row>
    <row r="1444" spans="2:2" x14ac:dyDescent="0.2">
      <c r="B1444" s="395"/>
    </row>
    <row r="1445" spans="2:2" x14ac:dyDescent="0.2">
      <c r="B1445" s="395"/>
    </row>
    <row r="1446" spans="2:2" x14ac:dyDescent="0.2">
      <c r="B1446" s="395"/>
    </row>
    <row r="1447" spans="2:2" x14ac:dyDescent="0.2">
      <c r="B1447" s="395"/>
    </row>
    <row r="1448" spans="2:2" x14ac:dyDescent="0.2">
      <c r="B1448" s="395"/>
    </row>
    <row r="1449" spans="2:2" x14ac:dyDescent="0.2">
      <c r="B1449" s="395"/>
    </row>
    <row r="1450" spans="2:2" x14ac:dyDescent="0.2">
      <c r="B1450" s="395"/>
    </row>
    <row r="1451" spans="2:2" x14ac:dyDescent="0.2">
      <c r="B1451" s="395"/>
    </row>
    <row r="1452" spans="2:2" x14ac:dyDescent="0.2">
      <c r="B1452" s="395"/>
    </row>
    <row r="1453" spans="2:2" x14ac:dyDescent="0.2">
      <c r="B1453" s="395"/>
    </row>
    <row r="1454" spans="2:2" x14ac:dyDescent="0.2">
      <c r="B1454" s="395"/>
    </row>
    <row r="1455" spans="2:2" x14ac:dyDescent="0.2">
      <c r="B1455" s="395"/>
    </row>
    <row r="1456" spans="2:2" x14ac:dyDescent="0.2">
      <c r="B1456" s="395"/>
    </row>
    <row r="1457" spans="2:2" x14ac:dyDescent="0.2">
      <c r="B1457" s="395"/>
    </row>
    <row r="1458" spans="2:2" x14ac:dyDescent="0.2">
      <c r="B1458" s="395"/>
    </row>
    <row r="1459" spans="2:2" x14ac:dyDescent="0.2">
      <c r="B1459" s="395"/>
    </row>
    <row r="1460" spans="2:2" x14ac:dyDescent="0.2">
      <c r="B1460" s="395"/>
    </row>
    <row r="1461" spans="2:2" x14ac:dyDescent="0.2">
      <c r="B1461" s="395"/>
    </row>
    <row r="1462" spans="2:2" x14ac:dyDescent="0.2">
      <c r="B1462" s="395"/>
    </row>
    <row r="1463" spans="2:2" x14ac:dyDescent="0.2">
      <c r="B1463" s="395"/>
    </row>
    <row r="1464" spans="2:2" x14ac:dyDescent="0.2">
      <c r="B1464" s="395"/>
    </row>
    <row r="1465" spans="2:2" x14ac:dyDescent="0.2">
      <c r="B1465" s="395"/>
    </row>
    <row r="1466" spans="2:2" x14ac:dyDescent="0.2">
      <c r="B1466" s="395"/>
    </row>
    <row r="1467" spans="2:2" x14ac:dyDescent="0.2">
      <c r="B1467" s="395"/>
    </row>
    <row r="1468" spans="2:2" x14ac:dyDescent="0.2">
      <c r="B1468" s="395"/>
    </row>
    <row r="1469" spans="2:2" x14ac:dyDescent="0.2">
      <c r="B1469" s="395"/>
    </row>
    <row r="1470" spans="2:2" x14ac:dyDescent="0.2">
      <c r="B1470" s="395"/>
    </row>
    <row r="1471" spans="2:2" x14ac:dyDescent="0.2">
      <c r="B1471" s="395"/>
    </row>
    <row r="1472" spans="2:2" x14ac:dyDescent="0.2">
      <c r="B1472" s="395"/>
    </row>
    <row r="1473" spans="2:2" x14ac:dyDescent="0.2">
      <c r="B1473" s="395"/>
    </row>
    <row r="1474" spans="2:2" x14ac:dyDescent="0.2">
      <c r="B1474" s="395"/>
    </row>
    <row r="1475" spans="2:2" x14ac:dyDescent="0.2">
      <c r="B1475" s="395"/>
    </row>
    <row r="1476" spans="2:2" x14ac:dyDescent="0.2">
      <c r="B1476" s="395"/>
    </row>
    <row r="1477" spans="2:2" x14ac:dyDescent="0.2">
      <c r="B1477" s="395"/>
    </row>
    <row r="1478" spans="2:2" x14ac:dyDescent="0.2">
      <c r="B1478" s="395"/>
    </row>
    <row r="1479" spans="2:2" x14ac:dyDescent="0.2">
      <c r="B1479" s="395"/>
    </row>
    <row r="1480" spans="2:2" x14ac:dyDescent="0.2">
      <c r="B1480" s="395"/>
    </row>
    <row r="1481" spans="2:2" x14ac:dyDescent="0.2">
      <c r="B1481" s="395"/>
    </row>
    <row r="1482" spans="2:2" x14ac:dyDescent="0.2">
      <c r="B1482" s="395"/>
    </row>
    <row r="1483" spans="2:2" x14ac:dyDescent="0.2">
      <c r="B1483" s="395"/>
    </row>
    <row r="1484" spans="2:2" x14ac:dyDescent="0.2">
      <c r="B1484" s="395"/>
    </row>
    <row r="1485" spans="2:2" x14ac:dyDescent="0.2">
      <c r="B1485" s="395"/>
    </row>
    <row r="1486" spans="2:2" x14ac:dyDescent="0.2">
      <c r="B1486" s="395"/>
    </row>
    <row r="1487" spans="2:2" x14ac:dyDescent="0.2">
      <c r="B1487" s="395"/>
    </row>
    <row r="1488" spans="2:2" x14ac:dyDescent="0.2">
      <c r="B1488" s="395"/>
    </row>
    <row r="1489" spans="2:2" x14ac:dyDescent="0.2">
      <c r="B1489" s="395"/>
    </row>
    <row r="1490" spans="2:2" x14ac:dyDescent="0.2">
      <c r="B1490" s="395"/>
    </row>
    <row r="1491" spans="2:2" x14ac:dyDescent="0.2">
      <c r="B1491" s="395"/>
    </row>
    <row r="1492" spans="2:2" x14ac:dyDescent="0.2">
      <c r="B1492" s="395"/>
    </row>
    <row r="1493" spans="2:2" x14ac:dyDescent="0.2">
      <c r="B1493" s="395"/>
    </row>
    <row r="1494" spans="2:2" x14ac:dyDescent="0.2">
      <c r="B1494" s="395"/>
    </row>
    <row r="1495" spans="2:2" x14ac:dyDescent="0.2">
      <c r="B1495" s="395"/>
    </row>
    <row r="1496" spans="2:2" x14ac:dyDescent="0.2">
      <c r="B1496" s="395"/>
    </row>
    <row r="1497" spans="2:2" x14ac:dyDescent="0.2">
      <c r="B1497" s="395"/>
    </row>
    <row r="1498" spans="2:2" x14ac:dyDescent="0.2">
      <c r="B1498" s="395"/>
    </row>
    <row r="1499" spans="2:2" x14ac:dyDescent="0.2">
      <c r="B1499" s="395"/>
    </row>
    <row r="1500" spans="2:2" x14ac:dyDescent="0.2">
      <c r="B1500" s="395"/>
    </row>
    <row r="1501" spans="2:2" x14ac:dyDescent="0.2">
      <c r="B1501" s="395"/>
    </row>
    <row r="1502" spans="2:2" x14ac:dyDescent="0.2">
      <c r="B1502" s="395"/>
    </row>
    <row r="1503" spans="2:2" x14ac:dyDescent="0.2">
      <c r="B1503" s="395"/>
    </row>
    <row r="1504" spans="2:2" x14ac:dyDescent="0.2">
      <c r="B1504" s="395"/>
    </row>
    <row r="1505" spans="2:2" x14ac:dyDescent="0.2">
      <c r="B1505" s="395"/>
    </row>
    <row r="1506" spans="2:2" x14ac:dyDescent="0.2">
      <c r="B1506" s="395"/>
    </row>
    <row r="1507" spans="2:2" x14ac:dyDescent="0.2">
      <c r="B1507" s="395"/>
    </row>
    <row r="1508" spans="2:2" x14ac:dyDescent="0.2">
      <c r="B1508" s="395"/>
    </row>
    <row r="1509" spans="2:2" x14ac:dyDescent="0.2">
      <c r="B1509" s="395"/>
    </row>
    <row r="1510" spans="2:2" x14ac:dyDescent="0.2">
      <c r="B1510" s="395"/>
    </row>
    <row r="1511" spans="2:2" x14ac:dyDescent="0.2">
      <c r="B1511" s="395"/>
    </row>
    <row r="1512" spans="2:2" x14ac:dyDescent="0.2">
      <c r="B1512" s="395"/>
    </row>
    <row r="1513" spans="2:2" x14ac:dyDescent="0.2">
      <c r="B1513" s="395"/>
    </row>
    <row r="1514" spans="2:2" x14ac:dyDescent="0.2">
      <c r="B1514" s="395"/>
    </row>
    <row r="1515" spans="2:2" x14ac:dyDescent="0.2">
      <c r="B1515" s="395"/>
    </row>
    <row r="1516" spans="2:2" x14ac:dyDescent="0.2">
      <c r="B1516" s="395"/>
    </row>
    <row r="1517" spans="2:2" x14ac:dyDescent="0.2">
      <c r="B1517" s="395"/>
    </row>
    <row r="1518" spans="2:2" x14ac:dyDescent="0.2">
      <c r="B1518" s="395"/>
    </row>
    <row r="1519" spans="2:2" x14ac:dyDescent="0.2">
      <c r="B1519" s="395"/>
    </row>
    <row r="1520" spans="2:2" x14ac:dyDescent="0.2">
      <c r="B1520" s="395"/>
    </row>
    <row r="1521" spans="2:2" x14ac:dyDescent="0.2">
      <c r="B1521" s="395"/>
    </row>
    <row r="1522" spans="2:2" x14ac:dyDescent="0.2">
      <c r="B1522" s="395"/>
    </row>
    <row r="1523" spans="2:2" x14ac:dyDescent="0.2">
      <c r="B1523" s="395"/>
    </row>
    <row r="1524" spans="2:2" x14ac:dyDescent="0.2">
      <c r="B1524" s="395"/>
    </row>
    <row r="1525" spans="2:2" x14ac:dyDescent="0.2">
      <c r="B1525" s="395"/>
    </row>
    <row r="1526" spans="2:2" x14ac:dyDescent="0.2">
      <c r="B1526" s="395"/>
    </row>
    <row r="1527" spans="2:2" x14ac:dyDescent="0.2">
      <c r="B1527" s="395"/>
    </row>
    <row r="1528" spans="2:2" x14ac:dyDescent="0.2">
      <c r="B1528" s="395"/>
    </row>
    <row r="1529" spans="2:2" x14ac:dyDescent="0.2">
      <c r="B1529" s="395"/>
    </row>
    <row r="1530" spans="2:2" x14ac:dyDescent="0.2">
      <c r="B1530" s="395"/>
    </row>
    <row r="1531" spans="2:2" x14ac:dyDescent="0.2">
      <c r="B1531" s="395"/>
    </row>
    <row r="1532" spans="2:2" x14ac:dyDescent="0.2">
      <c r="B1532" s="395"/>
    </row>
    <row r="1533" spans="2:2" x14ac:dyDescent="0.2">
      <c r="B1533" s="395"/>
    </row>
    <row r="1534" spans="2:2" x14ac:dyDescent="0.2">
      <c r="B1534" s="395"/>
    </row>
    <row r="1535" spans="2:2" x14ac:dyDescent="0.2">
      <c r="B1535" s="395"/>
    </row>
    <row r="1536" spans="2:2" x14ac:dyDescent="0.2">
      <c r="B1536" s="395"/>
    </row>
    <row r="1537" spans="2:2" x14ac:dyDescent="0.2">
      <c r="B1537" s="395"/>
    </row>
    <row r="1538" spans="2:2" x14ac:dyDescent="0.2">
      <c r="B1538" s="395"/>
    </row>
    <row r="1539" spans="2:2" x14ac:dyDescent="0.2">
      <c r="B1539" s="395"/>
    </row>
    <row r="1540" spans="2:2" x14ac:dyDescent="0.2">
      <c r="B1540" s="395"/>
    </row>
    <row r="1541" spans="2:2" x14ac:dyDescent="0.2">
      <c r="B1541" s="395"/>
    </row>
    <row r="1542" spans="2:2" x14ac:dyDescent="0.2">
      <c r="B1542" s="395"/>
    </row>
    <row r="1543" spans="2:2" x14ac:dyDescent="0.2">
      <c r="B1543" s="395"/>
    </row>
    <row r="1544" spans="2:2" x14ac:dyDescent="0.2">
      <c r="B1544" s="395"/>
    </row>
    <row r="1545" spans="2:2" x14ac:dyDescent="0.2">
      <c r="B1545" s="395"/>
    </row>
    <row r="1546" spans="2:2" x14ac:dyDescent="0.2">
      <c r="B1546" s="395"/>
    </row>
    <row r="1547" spans="2:2" x14ac:dyDescent="0.2">
      <c r="B1547" s="395"/>
    </row>
    <row r="1548" spans="2:2" x14ac:dyDescent="0.2">
      <c r="B1548" s="395"/>
    </row>
    <row r="1549" spans="2:2" x14ac:dyDescent="0.2">
      <c r="B1549" s="395"/>
    </row>
    <row r="1550" spans="2:2" x14ac:dyDescent="0.2">
      <c r="B1550" s="395"/>
    </row>
    <row r="1551" spans="2:2" x14ac:dyDescent="0.2">
      <c r="B1551" s="395"/>
    </row>
    <row r="1552" spans="2:2" x14ac:dyDescent="0.2">
      <c r="B1552" s="395"/>
    </row>
    <row r="1553" spans="2:2" x14ac:dyDescent="0.2">
      <c r="B1553" s="395"/>
    </row>
    <row r="1554" spans="2:2" x14ac:dyDescent="0.2">
      <c r="B1554" s="395"/>
    </row>
    <row r="1555" spans="2:2" x14ac:dyDescent="0.2">
      <c r="B1555" s="395"/>
    </row>
    <row r="1556" spans="2:2" x14ac:dyDescent="0.2">
      <c r="B1556" s="395"/>
    </row>
    <row r="1557" spans="2:2" x14ac:dyDescent="0.2">
      <c r="B1557" s="395"/>
    </row>
    <row r="1558" spans="2:2" x14ac:dyDescent="0.2">
      <c r="B1558" s="395"/>
    </row>
    <row r="1559" spans="2:2" x14ac:dyDescent="0.2">
      <c r="B1559" s="395"/>
    </row>
    <row r="1560" spans="2:2" x14ac:dyDescent="0.2">
      <c r="B1560" s="395"/>
    </row>
    <row r="1561" spans="2:2" x14ac:dyDescent="0.2">
      <c r="B1561" s="395"/>
    </row>
    <row r="1562" spans="2:2" x14ac:dyDescent="0.2">
      <c r="B1562" s="395"/>
    </row>
    <row r="1563" spans="2:2" x14ac:dyDescent="0.2">
      <c r="B1563" s="395"/>
    </row>
    <row r="1564" spans="2:2" x14ac:dyDescent="0.2">
      <c r="B1564" s="395"/>
    </row>
    <row r="1565" spans="2:2" x14ac:dyDescent="0.2">
      <c r="B1565" s="395"/>
    </row>
    <row r="1566" spans="2:2" x14ac:dyDescent="0.2">
      <c r="B1566" s="395"/>
    </row>
    <row r="1567" spans="2:2" x14ac:dyDescent="0.2">
      <c r="B1567" s="395"/>
    </row>
    <row r="1568" spans="2:2" x14ac:dyDescent="0.2">
      <c r="B1568" s="395"/>
    </row>
    <row r="1569" spans="2:2" x14ac:dyDescent="0.2">
      <c r="B1569" s="395"/>
    </row>
    <row r="1570" spans="2:2" x14ac:dyDescent="0.2">
      <c r="B1570" s="395"/>
    </row>
    <row r="1571" spans="2:2" x14ac:dyDescent="0.2">
      <c r="B1571" s="395"/>
    </row>
    <row r="1572" spans="2:2" x14ac:dyDescent="0.2">
      <c r="B1572" s="395"/>
    </row>
    <row r="1573" spans="2:2" x14ac:dyDescent="0.2">
      <c r="B1573" s="395"/>
    </row>
    <row r="1574" spans="2:2" x14ac:dyDescent="0.2">
      <c r="B1574" s="395"/>
    </row>
    <row r="1575" spans="2:2" x14ac:dyDescent="0.2">
      <c r="B1575" s="395"/>
    </row>
    <row r="1576" spans="2:2" x14ac:dyDescent="0.2">
      <c r="B1576" s="395"/>
    </row>
    <row r="1577" spans="2:2" x14ac:dyDescent="0.2">
      <c r="B1577" s="395"/>
    </row>
    <row r="1578" spans="2:2" x14ac:dyDescent="0.2">
      <c r="B1578" s="395"/>
    </row>
    <row r="1579" spans="2:2" x14ac:dyDescent="0.2">
      <c r="B1579" s="395"/>
    </row>
    <row r="1580" spans="2:2" x14ac:dyDescent="0.2">
      <c r="B1580" s="395"/>
    </row>
    <row r="1581" spans="2:2" x14ac:dyDescent="0.2">
      <c r="B1581" s="395"/>
    </row>
    <row r="1582" spans="2:2" x14ac:dyDescent="0.2">
      <c r="B1582" s="395"/>
    </row>
    <row r="1583" spans="2:2" x14ac:dyDescent="0.2">
      <c r="B1583" s="395"/>
    </row>
    <row r="1584" spans="2:2" x14ac:dyDescent="0.2">
      <c r="B1584" s="395"/>
    </row>
    <row r="1585" spans="2:2" x14ac:dyDescent="0.2">
      <c r="B1585" s="395"/>
    </row>
    <row r="1586" spans="2:2" x14ac:dyDescent="0.2">
      <c r="B1586" s="395"/>
    </row>
    <row r="1587" spans="2:2" x14ac:dyDescent="0.2">
      <c r="B1587" s="395"/>
    </row>
    <row r="1588" spans="2:2" x14ac:dyDescent="0.2">
      <c r="B1588" s="395"/>
    </row>
    <row r="1589" spans="2:2" x14ac:dyDescent="0.2">
      <c r="B1589" s="395"/>
    </row>
    <row r="1590" spans="2:2" x14ac:dyDescent="0.2">
      <c r="B1590" s="395"/>
    </row>
    <row r="1591" spans="2:2" x14ac:dyDescent="0.2">
      <c r="B1591" s="395"/>
    </row>
    <row r="1592" spans="2:2" x14ac:dyDescent="0.2">
      <c r="B1592" s="395"/>
    </row>
    <row r="1593" spans="2:2" x14ac:dyDescent="0.2">
      <c r="B1593" s="395"/>
    </row>
    <row r="1594" spans="2:2" x14ac:dyDescent="0.2">
      <c r="B1594" s="395"/>
    </row>
    <row r="1595" spans="2:2" x14ac:dyDescent="0.2">
      <c r="B1595" s="395"/>
    </row>
    <row r="1596" spans="2:2" x14ac:dyDescent="0.2">
      <c r="B1596" s="395"/>
    </row>
    <row r="1597" spans="2:2" x14ac:dyDescent="0.2">
      <c r="B1597" s="395"/>
    </row>
    <row r="1598" spans="2:2" x14ac:dyDescent="0.2">
      <c r="B1598" s="395"/>
    </row>
    <row r="1599" spans="2:2" x14ac:dyDescent="0.2">
      <c r="B1599" s="395"/>
    </row>
    <row r="1600" spans="2:2" x14ac:dyDescent="0.2">
      <c r="B1600" s="395"/>
    </row>
    <row r="1601" spans="2:2" x14ac:dyDescent="0.2">
      <c r="B1601" s="395"/>
    </row>
    <row r="1602" spans="2:2" x14ac:dyDescent="0.2">
      <c r="B1602" s="395"/>
    </row>
    <row r="1603" spans="2:2" x14ac:dyDescent="0.2">
      <c r="B1603" s="395"/>
    </row>
    <row r="1604" spans="2:2" x14ac:dyDescent="0.2">
      <c r="B1604" s="395"/>
    </row>
    <row r="1605" spans="2:2" x14ac:dyDescent="0.2">
      <c r="B1605" s="395"/>
    </row>
    <row r="1606" spans="2:2" x14ac:dyDescent="0.2">
      <c r="B1606" s="395"/>
    </row>
    <row r="1607" spans="2:2" x14ac:dyDescent="0.2">
      <c r="B1607" s="395"/>
    </row>
    <row r="1608" spans="2:2" x14ac:dyDescent="0.2">
      <c r="B1608" s="395"/>
    </row>
    <row r="1609" spans="2:2" x14ac:dyDescent="0.2">
      <c r="B1609" s="395"/>
    </row>
    <row r="1610" spans="2:2" x14ac:dyDescent="0.2">
      <c r="B1610" s="395"/>
    </row>
    <row r="1611" spans="2:2" x14ac:dyDescent="0.2">
      <c r="B1611" s="395"/>
    </row>
    <row r="1612" spans="2:2" x14ac:dyDescent="0.2">
      <c r="B1612" s="395"/>
    </row>
    <row r="1613" spans="2:2" x14ac:dyDescent="0.2">
      <c r="B1613" s="395"/>
    </row>
    <row r="1614" spans="2:2" x14ac:dyDescent="0.2">
      <c r="B1614" s="395"/>
    </row>
    <row r="1615" spans="2:2" x14ac:dyDescent="0.2">
      <c r="B1615" s="395"/>
    </row>
    <row r="1616" spans="2:2" x14ac:dyDescent="0.2">
      <c r="B1616" s="395"/>
    </row>
    <row r="1617" spans="2:2" x14ac:dyDescent="0.2">
      <c r="B1617" s="395"/>
    </row>
    <row r="1618" spans="2:2" x14ac:dyDescent="0.2">
      <c r="B1618" s="395"/>
    </row>
    <row r="1619" spans="2:2" x14ac:dyDescent="0.2">
      <c r="B1619" s="395"/>
    </row>
    <row r="1620" spans="2:2" x14ac:dyDescent="0.2">
      <c r="B1620" s="395"/>
    </row>
    <row r="1621" spans="2:2" x14ac:dyDescent="0.2">
      <c r="B1621" s="395"/>
    </row>
    <row r="1622" spans="2:2" x14ac:dyDescent="0.2">
      <c r="B1622" s="395"/>
    </row>
    <row r="1623" spans="2:2" x14ac:dyDescent="0.2">
      <c r="B1623" s="395"/>
    </row>
    <row r="1624" spans="2:2" x14ac:dyDescent="0.2">
      <c r="B1624" s="395"/>
    </row>
    <row r="1625" spans="2:2" x14ac:dyDescent="0.2">
      <c r="B1625" s="395"/>
    </row>
    <row r="1626" spans="2:2" x14ac:dyDescent="0.2">
      <c r="B1626" s="395"/>
    </row>
    <row r="1627" spans="2:2" x14ac:dyDescent="0.2">
      <c r="B1627" s="395"/>
    </row>
    <row r="1628" spans="2:2" x14ac:dyDescent="0.2">
      <c r="B1628" s="395"/>
    </row>
    <row r="1629" spans="2:2" x14ac:dyDescent="0.2">
      <c r="B1629" s="395"/>
    </row>
    <row r="1630" spans="2:2" x14ac:dyDescent="0.2">
      <c r="B1630" s="395"/>
    </row>
    <row r="1631" spans="2:2" x14ac:dyDescent="0.2">
      <c r="B1631" s="395"/>
    </row>
    <row r="1632" spans="2:2" x14ac:dyDescent="0.2">
      <c r="B1632" s="395"/>
    </row>
    <row r="1633" spans="2:2" x14ac:dyDescent="0.2">
      <c r="B1633" s="395"/>
    </row>
    <row r="1634" spans="2:2" x14ac:dyDescent="0.2">
      <c r="B1634" s="395"/>
    </row>
    <row r="1635" spans="2:2" x14ac:dyDescent="0.2">
      <c r="B1635" s="395"/>
    </row>
    <row r="1636" spans="2:2" x14ac:dyDescent="0.2">
      <c r="B1636" s="395"/>
    </row>
    <row r="1637" spans="2:2" x14ac:dyDescent="0.2">
      <c r="B1637" s="395"/>
    </row>
    <row r="1638" spans="2:2" x14ac:dyDescent="0.2">
      <c r="B1638" s="395"/>
    </row>
    <row r="1639" spans="2:2" x14ac:dyDescent="0.2">
      <c r="B1639" s="395"/>
    </row>
    <row r="1640" spans="2:2" x14ac:dyDescent="0.2">
      <c r="B1640" s="395"/>
    </row>
    <row r="1641" spans="2:2" x14ac:dyDescent="0.2">
      <c r="B1641" s="395"/>
    </row>
    <row r="1642" spans="2:2" x14ac:dyDescent="0.2">
      <c r="B1642" s="395"/>
    </row>
    <row r="1643" spans="2:2" x14ac:dyDescent="0.2">
      <c r="B1643" s="395"/>
    </row>
    <row r="1644" spans="2:2" x14ac:dyDescent="0.2">
      <c r="B1644" s="395"/>
    </row>
    <row r="1645" spans="2:2" x14ac:dyDescent="0.2">
      <c r="B1645" s="395"/>
    </row>
    <row r="1646" spans="2:2" x14ac:dyDescent="0.2">
      <c r="B1646" s="395"/>
    </row>
    <row r="1647" spans="2:2" x14ac:dyDescent="0.2">
      <c r="B1647" s="395"/>
    </row>
    <row r="1648" spans="2:2" x14ac:dyDescent="0.2">
      <c r="B1648" s="395"/>
    </row>
    <row r="1649" spans="2:2" x14ac:dyDescent="0.2">
      <c r="B1649" s="395"/>
    </row>
    <row r="1650" spans="2:2" x14ac:dyDescent="0.2">
      <c r="B1650" s="395"/>
    </row>
    <row r="1651" spans="2:2" x14ac:dyDescent="0.2">
      <c r="B1651" s="395"/>
    </row>
    <row r="1652" spans="2:2" x14ac:dyDescent="0.2">
      <c r="B1652" s="395"/>
    </row>
    <row r="1653" spans="2:2" x14ac:dyDescent="0.2">
      <c r="B1653" s="395"/>
    </row>
    <row r="1654" spans="2:2" x14ac:dyDescent="0.2">
      <c r="B1654" s="395"/>
    </row>
    <row r="1655" spans="2:2" x14ac:dyDescent="0.2">
      <c r="B1655" s="395"/>
    </row>
    <row r="1656" spans="2:2" x14ac:dyDescent="0.2">
      <c r="B1656" s="395"/>
    </row>
    <row r="1657" spans="2:2" x14ac:dyDescent="0.2">
      <c r="B1657" s="395"/>
    </row>
    <row r="1658" spans="2:2" x14ac:dyDescent="0.2">
      <c r="B1658" s="395"/>
    </row>
    <row r="1659" spans="2:2" x14ac:dyDescent="0.2">
      <c r="B1659" s="395"/>
    </row>
    <row r="1660" spans="2:2" x14ac:dyDescent="0.2">
      <c r="B1660" s="395"/>
    </row>
    <row r="1661" spans="2:2" x14ac:dyDescent="0.2">
      <c r="B1661" s="395"/>
    </row>
    <row r="1662" spans="2:2" x14ac:dyDescent="0.2">
      <c r="B1662" s="395"/>
    </row>
    <row r="1663" spans="2:2" x14ac:dyDescent="0.2">
      <c r="B1663" s="395"/>
    </row>
    <row r="1664" spans="2:2" x14ac:dyDescent="0.2">
      <c r="B1664" s="395"/>
    </row>
    <row r="1665" spans="2:2" x14ac:dyDescent="0.2">
      <c r="B1665" s="395"/>
    </row>
    <row r="1666" spans="2:2" x14ac:dyDescent="0.2">
      <c r="B1666" s="395"/>
    </row>
    <row r="1667" spans="2:2" x14ac:dyDescent="0.2">
      <c r="B1667" s="395"/>
    </row>
    <row r="1668" spans="2:2" x14ac:dyDescent="0.2">
      <c r="B1668" s="395"/>
    </row>
    <row r="1669" spans="2:2" x14ac:dyDescent="0.2">
      <c r="B1669" s="395"/>
    </row>
    <row r="1670" spans="2:2" x14ac:dyDescent="0.2">
      <c r="B1670" s="395"/>
    </row>
    <row r="1671" spans="2:2" x14ac:dyDescent="0.2">
      <c r="B1671" s="395"/>
    </row>
    <row r="1672" spans="2:2" x14ac:dyDescent="0.2">
      <c r="B1672" s="395"/>
    </row>
    <row r="1673" spans="2:2" x14ac:dyDescent="0.2">
      <c r="B1673" s="395"/>
    </row>
    <row r="1674" spans="2:2" x14ac:dyDescent="0.2">
      <c r="B1674" s="395"/>
    </row>
    <row r="1675" spans="2:2" x14ac:dyDescent="0.2">
      <c r="B1675" s="395"/>
    </row>
    <row r="1676" spans="2:2" x14ac:dyDescent="0.2">
      <c r="B1676" s="395"/>
    </row>
    <row r="1677" spans="2:2" x14ac:dyDescent="0.2">
      <c r="B1677" s="395"/>
    </row>
    <row r="1678" spans="2:2" x14ac:dyDescent="0.2">
      <c r="B1678" s="395"/>
    </row>
    <row r="1679" spans="2:2" x14ac:dyDescent="0.2">
      <c r="B1679" s="395"/>
    </row>
    <row r="1680" spans="2:2" x14ac:dyDescent="0.2">
      <c r="B1680" s="395"/>
    </row>
    <row r="1681" spans="2:2" x14ac:dyDescent="0.2">
      <c r="B1681" s="395"/>
    </row>
    <row r="1682" spans="2:2" x14ac:dyDescent="0.2">
      <c r="B1682" s="395"/>
    </row>
    <row r="1683" spans="2:2" x14ac:dyDescent="0.2">
      <c r="B1683" s="395"/>
    </row>
    <row r="1684" spans="2:2" x14ac:dyDescent="0.2">
      <c r="B1684" s="395"/>
    </row>
    <row r="1685" spans="2:2" x14ac:dyDescent="0.2">
      <c r="B1685" s="395"/>
    </row>
    <row r="1686" spans="2:2" x14ac:dyDescent="0.2">
      <c r="B1686" s="395"/>
    </row>
    <row r="1687" spans="2:2" x14ac:dyDescent="0.2">
      <c r="B1687" s="395"/>
    </row>
    <row r="1688" spans="2:2" x14ac:dyDescent="0.2">
      <c r="B1688" s="395"/>
    </row>
    <row r="1689" spans="2:2" x14ac:dyDescent="0.2">
      <c r="B1689" s="395"/>
    </row>
    <row r="1690" spans="2:2" x14ac:dyDescent="0.2">
      <c r="B1690" s="395"/>
    </row>
    <row r="1691" spans="2:2" x14ac:dyDescent="0.2">
      <c r="B1691" s="395"/>
    </row>
    <row r="1692" spans="2:2" x14ac:dyDescent="0.2">
      <c r="B1692" s="395"/>
    </row>
    <row r="1693" spans="2:2" x14ac:dyDescent="0.2">
      <c r="B1693" s="395"/>
    </row>
    <row r="1694" spans="2:2" x14ac:dyDescent="0.2">
      <c r="B1694" s="395"/>
    </row>
    <row r="1695" spans="2:2" x14ac:dyDescent="0.2">
      <c r="B1695" s="395"/>
    </row>
    <row r="1696" spans="2:2" x14ac:dyDescent="0.2">
      <c r="B1696" s="395"/>
    </row>
    <row r="1697" spans="2:2" x14ac:dyDescent="0.2">
      <c r="B1697" s="395"/>
    </row>
    <row r="1698" spans="2:2" x14ac:dyDescent="0.2">
      <c r="B1698" s="395"/>
    </row>
    <row r="1699" spans="2:2" x14ac:dyDescent="0.2">
      <c r="B1699" s="395"/>
    </row>
    <row r="1700" spans="2:2" x14ac:dyDescent="0.2">
      <c r="B1700" s="395"/>
    </row>
    <row r="1701" spans="2:2" x14ac:dyDescent="0.2">
      <c r="B1701" s="395"/>
    </row>
    <row r="1702" spans="2:2" x14ac:dyDescent="0.2">
      <c r="B1702" s="395"/>
    </row>
    <row r="1703" spans="2:2" x14ac:dyDescent="0.2">
      <c r="B1703" s="395"/>
    </row>
    <row r="1704" spans="2:2" x14ac:dyDescent="0.2">
      <c r="B1704" s="395"/>
    </row>
    <row r="1705" spans="2:2" x14ac:dyDescent="0.2">
      <c r="B1705" s="395"/>
    </row>
    <row r="1706" spans="2:2" x14ac:dyDescent="0.2">
      <c r="B1706" s="395"/>
    </row>
    <row r="1707" spans="2:2" x14ac:dyDescent="0.2">
      <c r="B1707" s="395"/>
    </row>
    <row r="1708" spans="2:2" x14ac:dyDescent="0.2">
      <c r="B1708" s="395"/>
    </row>
    <row r="1709" spans="2:2" x14ac:dyDescent="0.2">
      <c r="B1709" s="395"/>
    </row>
    <row r="1710" spans="2:2" x14ac:dyDescent="0.2">
      <c r="B1710" s="395"/>
    </row>
    <row r="1711" spans="2:2" x14ac:dyDescent="0.2">
      <c r="B1711" s="395"/>
    </row>
    <row r="1712" spans="2:2" x14ac:dyDescent="0.2">
      <c r="B1712" s="395"/>
    </row>
    <row r="1713" spans="2:2" x14ac:dyDescent="0.2">
      <c r="B1713" s="395"/>
    </row>
    <row r="1714" spans="2:2" x14ac:dyDescent="0.2">
      <c r="B1714" s="395"/>
    </row>
    <row r="1715" spans="2:2" x14ac:dyDescent="0.2">
      <c r="B1715" s="395"/>
    </row>
    <row r="1716" spans="2:2" x14ac:dyDescent="0.2">
      <c r="B1716" s="395"/>
    </row>
    <row r="1717" spans="2:2" x14ac:dyDescent="0.2">
      <c r="B1717" s="395"/>
    </row>
    <row r="1718" spans="2:2" x14ac:dyDescent="0.2">
      <c r="B1718" s="395"/>
    </row>
    <row r="1719" spans="2:2" x14ac:dyDescent="0.2">
      <c r="B1719" s="395"/>
    </row>
    <row r="1720" spans="2:2" x14ac:dyDescent="0.2">
      <c r="B1720" s="395"/>
    </row>
    <row r="1721" spans="2:2" x14ac:dyDescent="0.2">
      <c r="B1721" s="395"/>
    </row>
    <row r="1722" spans="2:2" x14ac:dyDescent="0.2">
      <c r="B1722" s="395"/>
    </row>
    <row r="1723" spans="2:2" x14ac:dyDescent="0.2">
      <c r="B1723" s="395"/>
    </row>
    <row r="1724" spans="2:2" x14ac:dyDescent="0.2">
      <c r="B1724" s="395"/>
    </row>
    <row r="1725" spans="2:2" x14ac:dyDescent="0.2">
      <c r="B1725" s="395"/>
    </row>
    <row r="1726" spans="2:2" x14ac:dyDescent="0.2">
      <c r="B1726" s="395"/>
    </row>
    <row r="1727" spans="2:2" x14ac:dyDescent="0.2">
      <c r="B1727" s="395"/>
    </row>
    <row r="1728" spans="2:2" x14ac:dyDescent="0.2">
      <c r="B1728" s="395"/>
    </row>
    <row r="1729" spans="2:2" x14ac:dyDescent="0.2">
      <c r="B1729" s="395"/>
    </row>
    <row r="1730" spans="2:2" x14ac:dyDescent="0.2">
      <c r="B1730" s="395"/>
    </row>
    <row r="1731" spans="2:2" x14ac:dyDescent="0.2">
      <c r="B1731" s="395"/>
    </row>
    <row r="1732" spans="2:2" x14ac:dyDescent="0.2">
      <c r="B1732" s="395"/>
    </row>
    <row r="1733" spans="2:2" x14ac:dyDescent="0.2">
      <c r="B1733" s="395"/>
    </row>
    <row r="1734" spans="2:2" x14ac:dyDescent="0.2">
      <c r="B1734" s="395"/>
    </row>
    <row r="1735" spans="2:2" x14ac:dyDescent="0.2">
      <c r="B1735" s="395"/>
    </row>
    <row r="1736" spans="2:2" x14ac:dyDescent="0.2">
      <c r="B1736" s="395"/>
    </row>
    <row r="1737" spans="2:2" x14ac:dyDescent="0.2">
      <c r="B1737" s="395"/>
    </row>
    <row r="1738" spans="2:2" x14ac:dyDescent="0.2">
      <c r="B1738" s="395"/>
    </row>
    <row r="1739" spans="2:2" x14ac:dyDescent="0.2">
      <c r="B1739" s="395"/>
    </row>
    <row r="1740" spans="2:2" x14ac:dyDescent="0.2">
      <c r="B1740" s="395"/>
    </row>
    <row r="1741" spans="2:2" x14ac:dyDescent="0.2">
      <c r="B1741" s="395"/>
    </row>
    <row r="1742" spans="2:2" x14ac:dyDescent="0.2">
      <c r="B1742" s="395"/>
    </row>
    <row r="1743" spans="2:2" x14ac:dyDescent="0.2">
      <c r="B1743" s="395"/>
    </row>
    <row r="1744" spans="2:2" x14ac:dyDescent="0.2">
      <c r="B1744" s="395"/>
    </row>
    <row r="1745" spans="2:2" x14ac:dyDescent="0.2">
      <c r="B1745" s="395"/>
    </row>
    <row r="1746" spans="2:2" x14ac:dyDescent="0.2">
      <c r="B1746" s="395"/>
    </row>
    <row r="1747" spans="2:2" x14ac:dyDescent="0.2">
      <c r="B1747" s="395"/>
    </row>
    <row r="1748" spans="2:2" x14ac:dyDescent="0.2">
      <c r="B1748" s="395"/>
    </row>
    <row r="1749" spans="2:2" x14ac:dyDescent="0.2">
      <c r="B1749" s="395"/>
    </row>
    <row r="1750" spans="2:2" x14ac:dyDescent="0.2">
      <c r="B1750" s="395"/>
    </row>
    <row r="1751" spans="2:2" x14ac:dyDescent="0.2">
      <c r="B1751" s="395"/>
    </row>
    <row r="1752" spans="2:2" x14ac:dyDescent="0.2">
      <c r="B1752" s="395"/>
    </row>
    <row r="1753" spans="2:2" x14ac:dyDescent="0.2">
      <c r="B1753" s="395"/>
    </row>
    <row r="1754" spans="2:2" x14ac:dyDescent="0.2">
      <c r="B1754" s="395"/>
    </row>
    <row r="1755" spans="2:2" x14ac:dyDescent="0.2">
      <c r="B1755" s="395"/>
    </row>
    <row r="1756" spans="2:2" x14ac:dyDescent="0.2">
      <c r="B1756" s="395"/>
    </row>
    <row r="1757" spans="2:2" x14ac:dyDescent="0.2">
      <c r="B1757" s="395"/>
    </row>
    <row r="1758" spans="2:2" x14ac:dyDescent="0.2">
      <c r="B1758" s="395"/>
    </row>
    <row r="1759" spans="2:2" x14ac:dyDescent="0.2">
      <c r="B1759" s="395"/>
    </row>
    <row r="1760" spans="2:2" x14ac:dyDescent="0.2">
      <c r="B1760" s="395"/>
    </row>
    <row r="1761" spans="2:2" x14ac:dyDescent="0.2">
      <c r="B1761" s="395"/>
    </row>
    <row r="1762" spans="2:2" x14ac:dyDescent="0.2">
      <c r="B1762" s="395"/>
    </row>
    <row r="1763" spans="2:2" x14ac:dyDescent="0.2">
      <c r="B1763" s="395"/>
    </row>
    <row r="1764" spans="2:2" x14ac:dyDescent="0.2">
      <c r="B1764" s="395"/>
    </row>
    <row r="1765" spans="2:2" x14ac:dyDescent="0.2">
      <c r="B1765" s="395"/>
    </row>
    <row r="1766" spans="2:2" x14ac:dyDescent="0.2">
      <c r="B1766" s="395"/>
    </row>
    <row r="1767" spans="2:2" x14ac:dyDescent="0.2">
      <c r="B1767" s="395"/>
    </row>
    <row r="1768" spans="2:2" x14ac:dyDescent="0.2">
      <c r="B1768" s="395"/>
    </row>
    <row r="1769" spans="2:2" x14ac:dyDescent="0.2">
      <c r="B1769" s="395"/>
    </row>
    <row r="1770" spans="2:2" x14ac:dyDescent="0.2">
      <c r="B1770" s="395"/>
    </row>
    <row r="1771" spans="2:2" x14ac:dyDescent="0.2">
      <c r="B1771" s="395"/>
    </row>
    <row r="1772" spans="2:2" x14ac:dyDescent="0.2">
      <c r="B1772" s="395"/>
    </row>
    <row r="1773" spans="2:2" x14ac:dyDescent="0.2">
      <c r="B1773" s="395"/>
    </row>
    <row r="1774" spans="2:2" x14ac:dyDescent="0.2">
      <c r="B1774" s="395"/>
    </row>
    <row r="1775" spans="2:2" x14ac:dyDescent="0.2">
      <c r="B1775" s="395"/>
    </row>
    <row r="1776" spans="2:2" x14ac:dyDescent="0.2">
      <c r="B1776" s="395"/>
    </row>
    <row r="1777" spans="2:2" x14ac:dyDescent="0.2">
      <c r="B1777" s="395"/>
    </row>
    <row r="1778" spans="2:2" x14ac:dyDescent="0.2">
      <c r="B1778" s="395"/>
    </row>
    <row r="1779" spans="2:2" x14ac:dyDescent="0.2">
      <c r="B1779" s="395"/>
    </row>
    <row r="1780" spans="2:2" x14ac:dyDescent="0.2">
      <c r="B1780" s="395"/>
    </row>
    <row r="1781" spans="2:2" x14ac:dyDescent="0.2">
      <c r="B1781" s="395"/>
    </row>
    <row r="1782" spans="2:2" x14ac:dyDescent="0.2">
      <c r="B1782" s="395"/>
    </row>
    <row r="1783" spans="2:2" x14ac:dyDescent="0.2">
      <c r="B1783" s="395"/>
    </row>
    <row r="1784" spans="2:2" x14ac:dyDescent="0.2">
      <c r="B1784" s="395"/>
    </row>
    <row r="1785" spans="2:2" x14ac:dyDescent="0.2">
      <c r="B1785" s="395"/>
    </row>
    <row r="1786" spans="2:2" x14ac:dyDescent="0.2">
      <c r="B1786" s="395"/>
    </row>
    <row r="1787" spans="2:2" x14ac:dyDescent="0.2">
      <c r="B1787" s="395"/>
    </row>
    <row r="1788" spans="2:2" x14ac:dyDescent="0.2">
      <c r="B1788" s="395"/>
    </row>
    <row r="1789" spans="2:2" x14ac:dyDescent="0.2">
      <c r="B1789" s="395"/>
    </row>
    <row r="1790" spans="2:2" x14ac:dyDescent="0.2">
      <c r="B1790" s="395"/>
    </row>
    <row r="1791" spans="2:2" x14ac:dyDescent="0.2">
      <c r="B1791" s="395"/>
    </row>
    <row r="1792" spans="2:2" x14ac:dyDescent="0.2">
      <c r="B1792" s="395"/>
    </row>
    <row r="1793" spans="2:2" x14ac:dyDescent="0.2">
      <c r="B1793" s="395"/>
    </row>
    <row r="1794" spans="2:2" x14ac:dyDescent="0.2">
      <c r="B1794" s="395"/>
    </row>
    <row r="1795" spans="2:2" x14ac:dyDescent="0.2">
      <c r="B1795" s="395"/>
    </row>
    <row r="1796" spans="2:2" x14ac:dyDescent="0.2">
      <c r="B1796" s="395"/>
    </row>
    <row r="1797" spans="2:2" x14ac:dyDescent="0.2">
      <c r="B1797" s="395"/>
    </row>
    <row r="1798" spans="2:2" x14ac:dyDescent="0.2">
      <c r="B1798" s="395"/>
    </row>
    <row r="1799" spans="2:2" x14ac:dyDescent="0.2">
      <c r="B1799" s="395"/>
    </row>
    <row r="1800" spans="2:2" x14ac:dyDescent="0.2">
      <c r="B1800" s="395"/>
    </row>
    <row r="1801" spans="2:2" x14ac:dyDescent="0.2">
      <c r="B1801" s="395"/>
    </row>
    <row r="1802" spans="2:2" x14ac:dyDescent="0.2">
      <c r="B1802" s="395"/>
    </row>
    <row r="1803" spans="2:2" x14ac:dyDescent="0.2">
      <c r="B1803" s="395"/>
    </row>
    <row r="1804" spans="2:2" x14ac:dyDescent="0.2">
      <c r="B1804" s="395"/>
    </row>
    <row r="1805" spans="2:2" x14ac:dyDescent="0.2">
      <c r="B1805" s="395"/>
    </row>
    <row r="1806" spans="2:2" x14ac:dyDescent="0.2">
      <c r="B1806" s="395"/>
    </row>
    <row r="1807" spans="2:2" x14ac:dyDescent="0.2">
      <c r="B1807" s="395"/>
    </row>
    <row r="1808" spans="2:2" x14ac:dyDescent="0.2">
      <c r="B1808" s="395"/>
    </row>
    <row r="1809" spans="2:2" x14ac:dyDescent="0.2">
      <c r="B1809" s="395"/>
    </row>
    <row r="1810" spans="2:2" x14ac:dyDescent="0.2">
      <c r="B1810" s="395"/>
    </row>
    <row r="1811" spans="2:2" x14ac:dyDescent="0.2">
      <c r="B1811" s="395"/>
    </row>
    <row r="1812" spans="2:2" x14ac:dyDescent="0.2">
      <c r="B1812" s="395"/>
    </row>
    <row r="1813" spans="2:2" x14ac:dyDescent="0.2">
      <c r="B1813" s="395"/>
    </row>
    <row r="1814" spans="2:2" x14ac:dyDescent="0.2">
      <c r="B1814" s="395"/>
    </row>
    <row r="1815" spans="2:2" x14ac:dyDescent="0.2">
      <c r="B1815" s="395"/>
    </row>
    <row r="1816" spans="2:2" x14ac:dyDescent="0.2">
      <c r="B1816" s="395"/>
    </row>
    <row r="1817" spans="2:2" x14ac:dyDescent="0.2">
      <c r="B1817" s="395"/>
    </row>
    <row r="1818" spans="2:2" x14ac:dyDescent="0.2">
      <c r="B1818" s="395"/>
    </row>
    <row r="1819" spans="2:2" x14ac:dyDescent="0.2">
      <c r="B1819" s="395"/>
    </row>
    <row r="1820" spans="2:2" x14ac:dyDescent="0.2">
      <c r="B1820" s="395"/>
    </row>
    <row r="1821" spans="2:2" x14ac:dyDescent="0.2">
      <c r="B1821" s="395"/>
    </row>
    <row r="1822" spans="2:2" x14ac:dyDescent="0.2">
      <c r="B1822" s="395"/>
    </row>
    <row r="1823" spans="2:2" x14ac:dyDescent="0.2">
      <c r="B1823" s="395"/>
    </row>
    <row r="1824" spans="2:2" x14ac:dyDescent="0.2">
      <c r="B1824" s="395"/>
    </row>
    <row r="1825" spans="2:2" x14ac:dyDescent="0.2">
      <c r="B1825" s="395"/>
    </row>
    <row r="1826" spans="2:2" x14ac:dyDescent="0.2">
      <c r="B1826" s="395"/>
    </row>
    <row r="1827" spans="2:2" x14ac:dyDescent="0.2">
      <c r="B1827" s="395"/>
    </row>
    <row r="1828" spans="2:2" x14ac:dyDescent="0.2">
      <c r="B1828" s="395"/>
    </row>
    <row r="1829" spans="2:2" x14ac:dyDescent="0.2">
      <c r="B1829" s="395"/>
    </row>
    <row r="1830" spans="2:2" x14ac:dyDescent="0.2">
      <c r="B1830" s="395"/>
    </row>
    <row r="1831" spans="2:2" x14ac:dyDescent="0.2">
      <c r="B1831" s="395"/>
    </row>
    <row r="1832" spans="2:2" x14ac:dyDescent="0.2">
      <c r="B1832" s="395"/>
    </row>
    <row r="1833" spans="2:2" x14ac:dyDescent="0.2">
      <c r="B1833" s="395"/>
    </row>
    <row r="1834" spans="2:2" x14ac:dyDescent="0.2">
      <c r="B1834" s="395"/>
    </row>
    <row r="1835" spans="2:2" x14ac:dyDescent="0.2">
      <c r="B1835" s="395"/>
    </row>
    <row r="1836" spans="2:2" x14ac:dyDescent="0.2">
      <c r="B1836" s="395"/>
    </row>
    <row r="1837" spans="2:2" x14ac:dyDescent="0.2">
      <c r="B1837" s="395"/>
    </row>
    <row r="1838" spans="2:2" x14ac:dyDescent="0.2">
      <c r="B1838" s="395"/>
    </row>
    <row r="1839" spans="2:2" x14ac:dyDescent="0.2">
      <c r="B1839" s="395"/>
    </row>
    <row r="1840" spans="2:2" x14ac:dyDescent="0.2">
      <c r="B1840" s="395"/>
    </row>
    <row r="1841" spans="2:2" x14ac:dyDescent="0.2">
      <c r="B1841" s="395"/>
    </row>
    <row r="1842" spans="2:2" x14ac:dyDescent="0.2">
      <c r="B1842" s="395"/>
    </row>
    <row r="1843" spans="2:2" x14ac:dyDescent="0.2">
      <c r="B1843" s="395"/>
    </row>
    <row r="1844" spans="2:2" x14ac:dyDescent="0.2">
      <c r="B1844" s="395"/>
    </row>
    <row r="1845" spans="2:2" x14ac:dyDescent="0.2">
      <c r="B1845" s="395"/>
    </row>
    <row r="1846" spans="2:2" x14ac:dyDescent="0.2">
      <c r="B1846" s="395"/>
    </row>
    <row r="1847" spans="2:2" x14ac:dyDescent="0.2">
      <c r="B1847" s="395"/>
    </row>
    <row r="1848" spans="2:2" x14ac:dyDescent="0.2">
      <c r="B1848" s="395"/>
    </row>
    <row r="1849" spans="2:2" x14ac:dyDescent="0.2">
      <c r="B1849" s="395"/>
    </row>
    <row r="1850" spans="2:2" x14ac:dyDescent="0.2">
      <c r="B1850" s="395"/>
    </row>
    <row r="1851" spans="2:2" x14ac:dyDescent="0.2">
      <c r="B1851" s="395"/>
    </row>
    <row r="1852" spans="2:2" x14ac:dyDescent="0.2">
      <c r="B1852" s="395"/>
    </row>
    <row r="1853" spans="2:2" x14ac:dyDescent="0.2">
      <c r="B1853" s="395"/>
    </row>
    <row r="1854" spans="2:2" x14ac:dyDescent="0.2">
      <c r="B1854" s="395"/>
    </row>
    <row r="1855" spans="2:2" x14ac:dyDescent="0.2">
      <c r="B1855" s="395"/>
    </row>
    <row r="1856" spans="2:2" x14ac:dyDescent="0.2">
      <c r="B1856" s="395"/>
    </row>
    <row r="1857" spans="2:2" x14ac:dyDescent="0.2">
      <c r="B1857" s="395"/>
    </row>
    <row r="1858" spans="2:2" x14ac:dyDescent="0.2">
      <c r="B1858" s="395"/>
    </row>
    <row r="1859" spans="2:2" x14ac:dyDescent="0.2">
      <c r="B1859" s="395"/>
    </row>
    <row r="1860" spans="2:2" x14ac:dyDescent="0.2">
      <c r="B1860" s="395"/>
    </row>
    <row r="1861" spans="2:2" x14ac:dyDescent="0.2">
      <c r="B1861" s="395"/>
    </row>
    <row r="1862" spans="2:2" x14ac:dyDescent="0.2">
      <c r="B1862" s="395"/>
    </row>
    <row r="1863" spans="2:2" x14ac:dyDescent="0.2">
      <c r="B1863" s="395"/>
    </row>
    <row r="1864" spans="2:2" x14ac:dyDescent="0.2">
      <c r="B1864" s="395"/>
    </row>
    <row r="1865" spans="2:2" x14ac:dyDescent="0.2">
      <c r="B1865" s="395"/>
    </row>
    <row r="1866" spans="2:2" x14ac:dyDescent="0.2">
      <c r="B1866" s="395"/>
    </row>
    <row r="1867" spans="2:2" x14ac:dyDescent="0.2">
      <c r="B1867" s="395"/>
    </row>
    <row r="1868" spans="2:2" x14ac:dyDescent="0.2">
      <c r="B1868" s="395"/>
    </row>
    <row r="1869" spans="2:2" x14ac:dyDescent="0.2">
      <c r="B1869" s="395"/>
    </row>
    <row r="1870" spans="2:2" x14ac:dyDescent="0.2">
      <c r="B1870" s="395"/>
    </row>
    <row r="1871" spans="2:2" x14ac:dyDescent="0.2">
      <c r="B1871" s="395"/>
    </row>
    <row r="1872" spans="2:2" x14ac:dyDescent="0.2">
      <c r="B1872" s="395"/>
    </row>
    <row r="1873" spans="2:2" x14ac:dyDescent="0.2">
      <c r="B1873" s="395"/>
    </row>
    <row r="1874" spans="2:2" x14ac:dyDescent="0.2">
      <c r="B1874" s="395"/>
    </row>
    <row r="1875" spans="2:2" x14ac:dyDescent="0.2">
      <c r="B1875" s="395"/>
    </row>
    <row r="1876" spans="2:2" x14ac:dyDescent="0.2">
      <c r="B1876" s="395"/>
    </row>
    <row r="1877" spans="2:2" x14ac:dyDescent="0.2">
      <c r="B1877" s="395"/>
    </row>
    <row r="1878" spans="2:2" x14ac:dyDescent="0.2">
      <c r="B1878" s="395"/>
    </row>
    <row r="1879" spans="2:2" x14ac:dyDescent="0.2">
      <c r="B1879" s="395"/>
    </row>
    <row r="1880" spans="2:2" x14ac:dyDescent="0.2">
      <c r="B1880" s="395"/>
    </row>
    <row r="1881" spans="2:2" x14ac:dyDescent="0.2">
      <c r="B1881" s="395"/>
    </row>
    <row r="1882" spans="2:2" x14ac:dyDescent="0.2">
      <c r="B1882" s="395"/>
    </row>
    <row r="1883" spans="2:2" x14ac:dyDescent="0.2">
      <c r="B1883" s="395"/>
    </row>
    <row r="1884" spans="2:2" x14ac:dyDescent="0.2">
      <c r="B1884" s="395"/>
    </row>
    <row r="1885" spans="2:2" x14ac:dyDescent="0.2">
      <c r="B1885" s="395"/>
    </row>
    <row r="1886" spans="2:2" x14ac:dyDescent="0.2">
      <c r="B1886" s="395"/>
    </row>
    <row r="1887" spans="2:2" x14ac:dyDescent="0.2">
      <c r="B1887" s="395"/>
    </row>
    <row r="1888" spans="2:2" x14ac:dyDescent="0.2">
      <c r="B1888" s="395"/>
    </row>
    <row r="1889" spans="2:2" x14ac:dyDescent="0.2">
      <c r="B1889" s="395"/>
    </row>
    <row r="1890" spans="2:2" x14ac:dyDescent="0.2">
      <c r="B1890" s="395"/>
    </row>
    <row r="1891" spans="2:2" x14ac:dyDescent="0.2">
      <c r="B1891" s="395"/>
    </row>
    <row r="1892" spans="2:2" x14ac:dyDescent="0.2">
      <c r="B1892" s="395"/>
    </row>
    <row r="1893" spans="2:2" x14ac:dyDescent="0.2">
      <c r="B1893" s="395"/>
    </row>
    <row r="1894" spans="2:2" x14ac:dyDescent="0.2">
      <c r="B1894" s="395"/>
    </row>
    <row r="1895" spans="2:2" x14ac:dyDescent="0.2">
      <c r="B1895" s="395"/>
    </row>
    <row r="1896" spans="2:2" x14ac:dyDescent="0.2">
      <c r="B1896" s="395"/>
    </row>
    <row r="1897" spans="2:2" x14ac:dyDescent="0.2">
      <c r="B1897" s="395"/>
    </row>
    <row r="1898" spans="2:2" x14ac:dyDescent="0.2">
      <c r="B1898" s="395"/>
    </row>
    <row r="1899" spans="2:2" x14ac:dyDescent="0.2">
      <c r="B1899" s="395"/>
    </row>
    <row r="1900" spans="2:2" x14ac:dyDescent="0.2">
      <c r="B1900" s="395"/>
    </row>
    <row r="1901" spans="2:2" x14ac:dyDescent="0.2">
      <c r="B1901" s="395"/>
    </row>
    <row r="1902" spans="2:2" x14ac:dyDescent="0.2">
      <c r="B1902" s="395"/>
    </row>
    <row r="1903" spans="2:2" x14ac:dyDescent="0.2">
      <c r="B1903" s="395"/>
    </row>
    <row r="1904" spans="2:2" x14ac:dyDescent="0.2">
      <c r="B1904" s="395"/>
    </row>
    <row r="1905" spans="2:2" x14ac:dyDescent="0.2">
      <c r="B1905" s="395"/>
    </row>
    <row r="1906" spans="2:2" x14ac:dyDescent="0.2">
      <c r="B1906" s="395"/>
    </row>
    <row r="1907" spans="2:2" x14ac:dyDescent="0.2">
      <c r="B1907" s="395"/>
    </row>
    <row r="1908" spans="2:2" x14ac:dyDescent="0.2">
      <c r="B1908" s="395"/>
    </row>
    <row r="1909" spans="2:2" x14ac:dyDescent="0.2">
      <c r="B1909" s="395"/>
    </row>
    <row r="1910" spans="2:2" x14ac:dyDescent="0.2">
      <c r="B1910" s="395"/>
    </row>
    <row r="1911" spans="2:2" x14ac:dyDescent="0.2">
      <c r="B1911" s="395"/>
    </row>
    <row r="1912" spans="2:2" x14ac:dyDescent="0.2">
      <c r="B1912" s="395"/>
    </row>
    <row r="1913" spans="2:2" x14ac:dyDescent="0.2">
      <c r="B1913" s="395"/>
    </row>
    <row r="1914" spans="2:2" x14ac:dyDescent="0.2">
      <c r="B1914" s="395"/>
    </row>
    <row r="1915" spans="2:2" x14ac:dyDescent="0.2">
      <c r="B1915" s="395"/>
    </row>
    <row r="1916" spans="2:2" x14ac:dyDescent="0.2">
      <c r="B1916" s="395"/>
    </row>
    <row r="1917" spans="2:2" x14ac:dyDescent="0.2">
      <c r="B1917" s="395"/>
    </row>
    <row r="1918" spans="2:2" x14ac:dyDescent="0.2">
      <c r="B1918" s="395"/>
    </row>
    <row r="1919" spans="2:2" x14ac:dyDescent="0.2">
      <c r="B1919" s="395"/>
    </row>
    <row r="1920" spans="2:2" x14ac:dyDescent="0.2">
      <c r="B1920" s="395"/>
    </row>
    <row r="1921" spans="2:2" x14ac:dyDescent="0.2">
      <c r="B1921" s="395"/>
    </row>
    <row r="1922" spans="2:2" x14ac:dyDescent="0.2">
      <c r="B1922" s="395"/>
    </row>
    <row r="1923" spans="2:2" x14ac:dyDescent="0.2">
      <c r="B1923" s="395"/>
    </row>
    <row r="1924" spans="2:2" x14ac:dyDescent="0.2">
      <c r="B1924" s="395"/>
    </row>
    <row r="1925" spans="2:2" x14ac:dyDescent="0.2">
      <c r="B1925" s="395"/>
    </row>
    <row r="1926" spans="2:2" x14ac:dyDescent="0.2">
      <c r="B1926" s="395"/>
    </row>
    <row r="1927" spans="2:2" x14ac:dyDescent="0.2">
      <c r="B1927" s="395"/>
    </row>
    <row r="1928" spans="2:2" x14ac:dyDescent="0.2">
      <c r="B1928" s="395"/>
    </row>
    <row r="1929" spans="2:2" x14ac:dyDescent="0.2">
      <c r="B1929" s="395"/>
    </row>
    <row r="1930" spans="2:2" x14ac:dyDescent="0.2">
      <c r="B1930" s="395"/>
    </row>
    <row r="1931" spans="2:2" x14ac:dyDescent="0.2">
      <c r="B1931" s="395"/>
    </row>
    <row r="1932" spans="2:2" x14ac:dyDescent="0.2">
      <c r="B1932" s="395"/>
    </row>
    <row r="1933" spans="2:2" x14ac:dyDescent="0.2">
      <c r="B1933" s="395"/>
    </row>
    <row r="1934" spans="2:2" x14ac:dyDescent="0.2">
      <c r="B1934" s="395"/>
    </row>
    <row r="1935" spans="2:2" x14ac:dyDescent="0.2">
      <c r="B1935" s="395"/>
    </row>
    <row r="1936" spans="2:2" x14ac:dyDescent="0.2">
      <c r="B1936" s="395"/>
    </row>
    <row r="1937" spans="2:2" x14ac:dyDescent="0.2">
      <c r="B1937" s="395"/>
    </row>
    <row r="1938" spans="2:2" x14ac:dyDescent="0.2">
      <c r="B1938" s="395"/>
    </row>
    <row r="1939" spans="2:2" x14ac:dyDescent="0.2">
      <c r="B1939" s="395"/>
    </row>
    <row r="1940" spans="2:2" x14ac:dyDescent="0.2">
      <c r="B1940" s="395"/>
    </row>
    <row r="1941" spans="2:2" x14ac:dyDescent="0.2">
      <c r="B1941" s="395"/>
    </row>
    <row r="1942" spans="2:2" x14ac:dyDescent="0.2">
      <c r="B1942" s="395"/>
    </row>
    <row r="1943" spans="2:2" x14ac:dyDescent="0.2">
      <c r="B1943" s="395"/>
    </row>
    <row r="1944" spans="2:2" x14ac:dyDescent="0.2">
      <c r="B1944" s="395"/>
    </row>
    <row r="1945" spans="2:2" x14ac:dyDescent="0.2">
      <c r="B1945" s="395"/>
    </row>
    <row r="1946" spans="2:2" x14ac:dyDescent="0.2">
      <c r="B1946" s="395"/>
    </row>
    <row r="1947" spans="2:2" x14ac:dyDescent="0.2">
      <c r="B1947" s="395"/>
    </row>
    <row r="1948" spans="2:2" x14ac:dyDescent="0.2">
      <c r="B1948" s="395"/>
    </row>
    <row r="1949" spans="2:2" x14ac:dyDescent="0.2">
      <c r="B1949" s="395"/>
    </row>
    <row r="1950" spans="2:2" x14ac:dyDescent="0.2">
      <c r="B1950" s="395"/>
    </row>
    <row r="1951" spans="2:2" x14ac:dyDescent="0.2">
      <c r="B1951" s="395"/>
    </row>
    <row r="1952" spans="2:2" x14ac:dyDescent="0.2">
      <c r="B1952" s="395"/>
    </row>
    <row r="1953" spans="2:2" x14ac:dyDescent="0.2">
      <c r="B1953" s="395"/>
    </row>
    <row r="1954" spans="2:2" x14ac:dyDescent="0.2">
      <c r="B1954" s="395"/>
    </row>
    <row r="1955" spans="2:2" x14ac:dyDescent="0.2">
      <c r="B1955" s="395"/>
    </row>
    <row r="1956" spans="2:2" x14ac:dyDescent="0.2">
      <c r="B1956" s="395"/>
    </row>
    <row r="1957" spans="2:2" x14ac:dyDescent="0.2">
      <c r="B1957" s="395"/>
    </row>
    <row r="1958" spans="2:2" x14ac:dyDescent="0.2">
      <c r="B1958" s="395"/>
    </row>
    <row r="1959" spans="2:2" x14ac:dyDescent="0.2">
      <c r="B1959" s="395"/>
    </row>
    <row r="1960" spans="2:2" x14ac:dyDescent="0.2">
      <c r="B1960" s="395"/>
    </row>
    <row r="1961" spans="2:2" x14ac:dyDescent="0.2">
      <c r="B1961" s="395"/>
    </row>
    <row r="1962" spans="2:2" x14ac:dyDescent="0.2">
      <c r="B1962" s="395"/>
    </row>
    <row r="1963" spans="2:2" x14ac:dyDescent="0.2">
      <c r="B1963" s="395"/>
    </row>
    <row r="1964" spans="2:2" x14ac:dyDescent="0.2">
      <c r="B1964" s="395"/>
    </row>
    <row r="1965" spans="2:2" x14ac:dyDescent="0.2">
      <c r="B1965" s="395"/>
    </row>
    <row r="1966" spans="2:2" x14ac:dyDescent="0.2">
      <c r="B1966" s="395"/>
    </row>
    <row r="1967" spans="2:2" x14ac:dyDescent="0.2">
      <c r="B1967" s="395"/>
    </row>
    <row r="1968" spans="2:2" x14ac:dyDescent="0.2">
      <c r="B1968" s="395"/>
    </row>
    <row r="1969" spans="2:2" x14ac:dyDescent="0.2">
      <c r="B1969" s="395"/>
    </row>
    <row r="1970" spans="2:2" x14ac:dyDescent="0.2">
      <c r="B1970" s="395"/>
    </row>
    <row r="1971" spans="2:2" x14ac:dyDescent="0.2">
      <c r="B1971" s="395"/>
    </row>
    <row r="1972" spans="2:2" x14ac:dyDescent="0.2">
      <c r="B1972" s="395"/>
    </row>
    <row r="1973" spans="2:2" x14ac:dyDescent="0.2">
      <c r="B1973" s="395"/>
    </row>
    <row r="1974" spans="2:2" x14ac:dyDescent="0.2">
      <c r="B1974" s="395"/>
    </row>
    <row r="1975" spans="2:2" x14ac:dyDescent="0.2">
      <c r="B1975" s="395"/>
    </row>
    <row r="1976" spans="2:2" x14ac:dyDescent="0.2">
      <c r="B1976" s="395"/>
    </row>
    <row r="1977" spans="2:2" x14ac:dyDescent="0.2">
      <c r="B1977" s="395"/>
    </row>
    <row r="1978" spans="2:2" x14ac:dyDescent="0.2">
      <c r="B1978" s="395"/>
    </row>
    <row r="1979" spans="2:2" x14ac:dyDescent="0.2">
      <c r="B1979" s="395"/>
    </row>
    <row r="1980" spans="2:2" x14ac:dyDescent="0.2">
      <c r="B1980" s="395"/>
    </row>
    <row r="1981" spans="2:2" x14ac:dyDescent="0.2">
      <c r="B1981" s="395"/>
    </row>
    <row r="1982" spans="2:2" x14ac:dyDescent="0.2">
      <c r="B1982" s="395"/>
    </row>
    <row r="1983" spans="2:2" x14ac:dyDescent="0.2">
      <c r="B1983" s="395"/>
    </row>
    <row r="1984" spans="2:2" x14ac:dyDescent="0.2">
      <c r="B1984" s="395"/>
    </row>
    <row r="1985" spans="2:2" x14ac:dyDescent="0.2">
      <c r="B1985" s="395"/>
    </row>
    <row r="1986" spans="2:2" x14ac:dyDescent="0.2">
      <c r="B1986" s="395"/>
    </row>
    <row r="1987" spans="2:2" x14ac:dyDescent="0.2">
      <c r="B1987" s="395"/>
    </row>
    <row r="1988" spans="2:2" x14ac:dyDescent="0.2">
      <c r="B1988" s="395"/>
    </row>
    <row r="1989" spans="2:2" x14ac:dyDescent="0.2">
      <c r="B1989" s="395"/>
    </row>
    <row r="1990" spans="2:2" x14ac:dyDescent="0.2">
      <c r="B1990" s="395"/>
    </row>
    <row r="1991" spans="2:2" x14ac:dyDescent="0.2">
      <c r="B1991" s="395"/>
    </row>
    <row r="1992" spans="2:2" x14ac:dyDescent="0.2">
      <c r="B1992" s="395"/>
    </row>
    <row r="1993" spans="2:2" x14ac:dyDescent="0.2">
      <c r="B1993" s="395"/>
    </row>
    <row r="1994" spans="2:2" x14ac:dyDescent="0.2">
      <c r="B1994" s="395"/>
    </row>
    <row r="1995" spans="2:2" x14ac:dyDescent="0.2">
      <c r="B1995" s="395"/>
    </row>
    <row r="1996" spans="2:2" x14ac:dyDescent="0.2">
      <c r="B1996" s="395"/>
    </row>
    <row r="1997" spans="2:2" x14ac:dyDescent="0.2">
      <c r="B1997" s="395"/>
    </row>
    <row r="1998" spans="2:2" x14ac:dyDescent="0.2">
      <c r="B1998" s="395"/>
    </row>
    <row r="1999" spans="2:2" x14ac:dyDescent="0.2">
      <c r="B1999" s="395"/>
    </row>
    <row r="2000" spans="2:2" x14ac:dyDescent="0.2">
      <c r="B2000" s="395"/>
    </row>
    <row r="2001" spans="2:2" x14ac:dyDescent="0.2">
      <c r="B2001" s="395"/>
    </row>
    <row r="2002" spans="2:2" x14ac:dyDescent="0.2">
      <c r="B2002" s="395"/>
    </row>
    <row r="2003" spans="2:2" x14ac:dyDescent="0.2">
      <c r="B2003" s="395"/>
    </row>
    <row r="2004" spans="2:2" x14ac:dyDescent="0.2">
      <c r="B2004" s="395"/>
    </row>
    <row r="2005" spans="2:2" x14ac:dyDescent="0.2">
      <c r="B2005" s="395"/>
    </row>
    <row r="2006" spans="2:2" x14ac:dyDescent="0.2">
      <c r="B2006" s="395"/>
    </row>
    <row r="2007" spans="2:2" x14ac:dyDescent="0.2">
      <c r="B2007" s="395"/>
    </row>
    <row r="2008" spans="2:2" x14ac:dyDescent="0.2">
      <c r="B2008" s="395"/>
    </row>
    <row r="2009" spans="2:2" x14ac:dyDescent="0.2">
      <c r="B2009" s="395"/>
    </row>
    <row r="2010" spans="2:2" x14ac:dyDescent="0.2">
      <c r="B2010" s="395"/>
    </row>
    <row r="2011" spans="2:2" x14ac:dyDescent="0.2">
      <c r="B2011" s="395"/>
    </row>
    <row r="2012" spans="2:2" x14ac:dyDescent="0.2">
      <c r="B2012" s="395"/>
    </row>
    <row r="2013" spans="2:2" x14ac:dyDescent="0.2">
      <c r="B2013" s="395"/>
    </row>
    <row r="2014" spans="2:2" x14ac:dyDescent="0.2">
      <c r="B2014" s="395"/>
    </row>
    <row r="2015" spans="2:2" x14ac:dyDescent="0.2">
      <c r="B2015" s="395"/>
    </row>
    <row r="2016" spans="2:2" x14ac:dyDescent="0.2">
      <c r="B2016" s="395"/>
    </row>
    <row r="2017" spans="2:2" x14ac:dyDescent="0.2">
      <c r="B2017" s="395"/>
    </row>
    <row r="2018" spans="2:2" x14ac:dyDescent="0.2">
      <c r="B2018" s="395"/>
    </row>
    <row r="2019" spans="2:2" x14ac:dyDescent="0.2">
      <c r="B2019" s="395"/>
    </row>
    <row r="2020" spans="2:2" x14ac:dyDescent="0.2">
      <c r="B2020" s="395"/>
    </row>
    <row r="2021" spans="2:2" x14ac:dyDescent="0.2">
      <c r="B2021" s="395"/>
    </row>
    <row r="2022" spans="2:2" x14ac:dyDescent="0.2">
      <c r="B2022" s="395"/>
    </row>
    <row r="2023" spans="2:2" x14ac:dyDescent="0.2">
      <c r="B2023" s="395"/>
    </row>
    <row r="2024" spans="2:2" x14ac:dyDescent="0.2">
      <c r="B2024" s="395"/>
    </row>
    <row r="2025" spans="2:2" x14ac:dyDescent="0.2">
      <c r="B2025" s="395"/>
    </row>
    <row r="2026" spans="2:2" x14ac:dyDescent="0.2">
      <c r="B2026" s="395"/>
    </row>
    <row r="2027" spans="2:2" x14ac:dyDescent="0.2">
      <c r="B2027" s="395"/>
    </row>
    <row r="2028" spans="2:2" x14ac:dyDescent="0.2">
      <c r="B2028" s="395"/>
    </row>
    <row r="2029" spans="2:2" x14ac:dyDescent="0.2">
      <c r="B2029" s="395"/>
    </row>
    <row r="2030" spans="2:2" x14ac:dyDescent="0.2">
      <c r="B2030" s="395"/>
    </row>
    <row r="2031" spans="2:2" x14ac:dyDescent="0.2">
      <c r="B2031" s="395"/>
    </row>
    <row r="2032" spans="2:2" x14ac:dyDescent="0.2">
      <c r="B2032" s="395"/>
    </row>
    <row r="2033" spans="2:2" x14ac:dyDescent="0.2">
      <c r="B2033" s="395"/>
    </row>
    <row r="2034" spans="2:2" x14ac:dyDescent="0.2">
      <c r="B2034" s="395"/>
    </row>
    <row r="2035" spans="2:2" x14ac:dyDescent="0.2">
      <c r="B2035" s="395"/>
    </row>
    <row r="2036" spans="2:2" x14ac:dyDescent="0.2">
      <c r="B2036" s="395"/>
    </row>
    <row r="2037" spans="2:2" x14ac:dyDescent="0.2">
      <c r="B2037" s="395"/>
    </row>
    <row r="2038" spans="2:2" x14ac:dyDescent="0.2">
      <c r="B2038" s="395"/>
    </row>
    <row r="2039" spans="2:2" x14ac:dyDescent="0.2">
      <c r="B2039" s="395"/>
    </row>
    <row r="2040" spans="2:2" x14ac:dyDescent="0.2">
      <c r="B2040" s="395"/>
    </row>
    <row r="2041" spans="2:2" x14ac:dyDescent="0.2">
      <c r="B2041" s="395"/>
    </row>
    <row r="2042" spans="2:2" x14ac:dyDescent="0.2">
      <c r="B2042" s="395"/>
    </row>
    <row r="2043" spans="2:2" x14ac:dyDescent="0.2">
      <c r="B2043" s="395"/>
    </row>
    <row r="2044" spans="2:2" x14ac:dyDescent="0.2">
      <c r="B2044" s="395"/>
    </row>
    <row r="2045" spans="2:2" x14ac:dyDescent="0.2">
      <c r="B2045" s="395"/>
    </row>
    <row r="2046" spans="2:2" x14ac:dyDescent="0.2">
      <c r="B2046" s="395"/>
    </row>
    <row r="2047" spans="2:2" x14ac:dyDescent="0.2">
      <c r="B2047" s="395"/>
    </row>
    <row r="2048" spans="2:2" x14ac:dyDescent="0.2">
      <c r="B2048" s="395"/>
    </row>
    <row r="2049" spans="2:2" x14ac:dyDescent="0.2">
      <c r="B2049" s="395"/>
    </row>
    <row r="2050" spans="2:2" x14ac:dyDescent="0.2">
      <c r="B2050" s="395"/>
    </row>
    <row r="2051" spans="2:2" x14ac:dyDescent="0.2">
      <c r="B2051" s="395"/>
    </row>
    <row r="2052" spans="2:2" x14ac:dyDescent="0.2">
      <c r="B2052" s="395"/>
    </row>
    <row r="2053" spans="2:2" x14ac:dyDescent="0.2">
      <c r="B2053" s="395"/>
    </row>
    <row r="2054" spans="2:2" x14ac:dyDescent="0.2">
      <c r="B2054" s="395"/>
    </row>
    <row r="2055" spans="2:2" x14ac:dyDescent="0.2">
      <c r="B2055" s="395"/>
    </row>
    <row r="2056" spans="2:2" x14ac:dyDescent="0.2">
      <c r="B2056" s="395"/>
    </row>
    <row r="2057" spans="2:2" x14ac:dyDescent="0.2">
      <c r="B2057" s="395"/>
    </row>
    <row r="2058" spans="2:2" x14ac:dyDescent="0.2">
      <c r="B2058" s="395"/>
    </row>
    <row r="2059" spans="2:2" x14ac:dyDescent="0.2">
      <c r="B2059" s="395"/>
    </row>
    <row r="2060" spans="2:2" x14ac:dyDescent="0.2">
      <c r="B2060" s="395"/>
    </row>
    <row r="2061" spans="2:2" x14ac:dyDescent="0.2">
      <c r="B2061" s="395"/>
    </row>
    <row r="2062" spans="2:2" x14ac:dyDescent="0.2">
      <c r="B2062" s="395"/>
    </row>
    <row r="2063" spans="2:2" x14ac:dyDescent="0.2">
      <c r="B2063" s="395"/>
    </row>
    <row r="2064" spans="2:2" x14ac:dyDescent="0.2">
      <c r="B2064" s="395"/>
    </row>
    <row r="2065" spans="2:2" x14ac:dyDescent="0.2">
      <c r="B2065" s="395"/>
    </row>
    <row r="2066" spans="2:2" x14ac:dyDescent="0.2">
      <c r="B2066" s="395"/>
    </row>
    <row r="2067" spans="2:2" x14ac:dyDescent="0.2">
      <c r="B2067" s="395"/>
    </row>
    <row r="2068" spans="2:2" x14ac:dyDescent="0.2">
      <c r="B2068" s="395"/>
    </row>
    <row r="2069" spans="2:2" x14ac:dyDescent="0.2">
      <c r="B2069" s="395"/>
    </row>
    <row r="2070" spans="2:2" x14ac:dyDescent="0.2">
      <c r="B2070" s="395"/>
    </row>
    <row r="2071" spans="2:2" x14ac:dyDescent="0.2">
      <c r="B2071" s="395"/>
    </row>
    <row r="2072" spans="2:2" x14ac:dyDescent="0.2">
      <c r="B2072" s="395"/>
    </row>
    <row r="2073" spans="2:2" x14ac:dyDescent="0.2">
      <c r="B2073" s="395"/>
    </row>
    <row r="2074" spans="2:2" x14ac:dyDescent="0.2">
      <c r="B2074" s="395"/>
    </row>
    <row r="2075" spans="2:2" x14ac:dyDescent="0.2">
      <c r="B2075" s="395"/>
    </row>
    <row r="2076" spans="2:2" x14ac:dyDescent="0.2">
      <c r="B2076" s="395"/>
    </row>
    <row r="2077" spans="2:2" x14ac:dyDescent="0.2">
      <c r="B2077" s="395"/>
    </row>
    <row r="2078" spans="2:2" x14ac:dyDescent="0.2">
      <c r="B2078" s="395"/>
    </row>
    <row r="2079" spans="2:2" x14ac:dyDescent="0.2">
      <c r="B2079" s="395"/>
    </row>
    <row r="2080" spans="2:2" x14ac:dyDescent="0.2">
      <c r="B2080" s="395"/>
    </row>
    <row r="2081" spans="2:2" x14ac:dyDescent="0.2">
      <c r="B2081" s="395"/>
    </row>
    <row r="2082" spans="2:2" x14ac:dyDescent="0.2">
      <c r="B2082" s="395"/>
    </row>
    <row r="2083" spans="2:2" x14ac:dyDescent="0.2">
      <c r="B2083" s="395"/>
    </row>
    <row r="2084" spans="2:2" x14ac:dyDescent="0.2">
      <c r="B2084" s="395"/>
    </row>
    <row r="2085" spans="2:2" x14ac:dyDescent="0.2">
      <c r="B2085" s="395"/>
    </row>
    <row r="2086" spans="2:2" x14ac:dyDescent="0.2">
      <c r="B2086" s="395"/>
    </row>
    <row r="2087" spans="2:2" x14ac:dyDescent="0.2">
      <c r="B2087" s="395"/>
    </row>
    <row r="2088" spans="2:2" x14ac:dyDescent="0.2">
      <c r="B2088" s="395"/>
    </row>
    <row r="2089" spans="2:2" x14ac:dyDescent="0.2">
      <c r="B2089" s="395"/>
    </row>
    <row r="2090" spans="2:2" x14ac:dyDescent="0.2">
      <c r="B2090" s="395"/>
    </row>
    <row r="2091" spans="2:2" x14ac:dyDescent="0.2">
      <c r="B2091" s="395"/>
    </row>
    <row r="2092" spans="2:2" x14ac:dyDescent="0.2">
      <c r="B2092" s="395"/>
    </row>
    <row r="2093" spans="2:2" x14ac:dyDescent="0.2">
      <c r="B2093" s="395"/>
    </row>
    <row r="2094" spans="2:2" x14ac:dyDescent="0.2">
      <c r="B2094" s="395"/>
    </row>
    <row r="2095" spans="2:2" x14ac:dyDescent="0.2">
      <c r="B2095" s="395"/>
    </row>
    <row r="2096" spans="2:2" x14ac:dyDescent="0.2">
      <c r="B2096" s="395"/>
    </row>
    <row r="2097" spans="2:2" x14ac:dyDescent="0.2">
      <c r="B2097" s="395"/>
    </row>
    <row r="2098" spans="2:2" x14ac:dyDescent="0.2">
      <c r="B2098" s="395"/>
    </row>
    <row r="2099" spans="2:2" x14ac:dyDescent="0.2">
      <c r="B2099" s="395"/>
    </row>
    <row r="2100" spans="2:2" x14ac:dyDescent="0.2">
      <c r="B2100" s="395"/>
    </row>
    <row r="2101" spans="2:2" x14ac:dyDescent="0.2">
      <c r="B2101" s="395"/>
    </row>
    <row r="2102" spans="2:2" x14ac:dyDescent="0.2">
      <c r="B2102" s="395"/>
    </row>
    <row r="2103" spans="2:2" x14ac:dyDescent="0.2">
      <c r="B2103" s="395"/>
    </row>
    <row r="2104" spans="2:2" x14ac:dyDescent="0.2">
      <c r="B2104" s="395"/>
    </row>
    <row r="2105" spans="2:2" x14ac:dyDescent="0.2">
      <c r="B2105" s="395"/>
    </row>
    <row r="2106" spans="2:2" x14ac:dyDescent="0.2">
      <c r="B2106" s="395"/>
    </row>
    <row r="2107" spans="2:2" x14ac:dyDescent="0.2">
      <c r="B2107" s="395"/>
    </row>
    <row r="2108" spans="2:2" x14ac:dyDescent="0.2">
      <c r="B2108" s="395"/>
    </row>
    <row r="2109" spans="2:2" x14ac:dyDescent="0.2">
      <c r="B2109" s="395"/>
    </row>
    <row r="2110" spans="2:2" x14ac:dyDescent="0.2">
      <c r="B2110" s="395"/>
    </row>
    <row r="2111" spans="2:2" x14ac:dyDescent="0.2">
      <c r="B2111" s="395"/>
    </row>
    <row r="2112" spans="2:2" x14ac:dyDescent="0.2">
      <c r="B2112" s="395"/>
    </row>
    <row r="2113" spans="2:2" x14ac:dyDescent="0.2">
      <c r="B2113" s="395"/>
    </row>
    <row r="2114" spans="2:2" x14ac:dyDescent="0.2">
      <c r="B2114" s="395"/>
    </row>
    <row r="2115" spans="2:2" x14ac:dyDescent="0.2">
      <c r="B2115" s="395"/>
    </row>
    <row r="2116" spans="2:2" x14ac:dyDescent="0.2">
      <c r="B2116" s="395"/>
    </row>
    <row r="2117" spans="2:2" x14ac:dyDescent="0.2">
      <c r="B2117" s="395"/>
    </row>
    <row r="2118" spans="2:2" x14ac:dyDescent="0.2">
      <c r="B2118" s="395"/>
    </row>
    <row r="2119" spans="2:2" x14ac:dyDescent="0.2">
      <c r="B2119" s="395"/>
    </row>
    <row r="2120" spans="2:2" x14ac:dyDescent="0.2">
      <c r="B2120" s="395"/>
    </row>
    <row r="2121" spans="2:2" x14ac:dyDescent="0.2">
      <c r="B2121" s="395"/>
    </row>
    <row r="2122" spans="2:2" x14ac:dyDescent="0.2">
      <c r="B2122" s="395"/>
    </row>
    <row r="2123" spans="2:2" x14ac:dyDescent="0.2">
      <c r="B2123" s="395"/>
    </row>
    <row r="2124" spans="2:2" x14ac:dyDescent="0.2">
      <c r="B2124" s="395"/>
    </row>
    <row r="2125" spans="2:2" x14ac:dyDescent="0.2">
      <c r="B2125" s="395"/>
    </row>
    <row r="2126" spans="2:2" x14ac:dyDescent="0.2">
      <c r="B2126" s="395"/>
    </row>
    <row r="2127" spans="2:2" x14ac:dyDescent="0.2">
      <c r="B2127" s="395"/>
    </row>
    <row r="2128" spans="2:2" x14ac:dyDescent="0.2">
      <c r="B2128" s="395"/>
    </row>
    <row r="2129" spans="2:2" x14ac:dyDescent="0.2">
      <c r="B2129" s="395"/>
    </row>
    <row r="2130" spans="2:2" x14ac:dyDescent="0.2">
      <c r="B2130" s="395"/>
    </row>
    <row r="2131" spans="2:2" x14ac:dyDescent="0.2">
      <c r="B2131" s="395"/>
    </row>
    <row r="2132" spans="2:2" x14ac:dyDescent="0.2">
      <c r="B2132" s="395"/>
    </row>
    <row r="2133" spans="2:2" x14ac:dyDescent="0.2">
      <c r="B2133" s="395"/>
    </row>
    <row r="2134" spans="2:2" x14ac:dyDescent="0.2">
      <c r="B2134" s="395"/>
    </row>
    <row r="2135" spans="2:2" x14ac:dyDescent="0.2">
      <c r="B2135" s="395"/>
    </row>
    <row r="2136" spans="2:2" x14ac:dyDescent="0.2">
      <c r="B2136" s="395"/>
    </row>
    <row r="2137" spans="2:2" x14ac:dyDescent="0.2">
      <c r="B2137" s="395"/>
    </row>
    <row r="2138" spans="2:2" x14ac:dyDescent="0.2">
      <c r="B2138" s="395"/>
    </row>
    <row r="2139" spans="2:2" x14ac:dyDescent="0.2">
      <c r="B2139" s="395"/>
    </row>
    <row r="2140" spans="2:2" x14ac:dyDescent="0.2">
      <c r="B2140" s="395"/>
    </row>
    <row r="2141" spans="2:2" x14ac:dyDescent="0.2">
      <c r="B2141" s="395"/>
    </row>
    <row r="2142" spans="2:2" x14ac:dyDescent="0.2">
      <c r="B2142" s="395"/>
    </row>
    <row r="2143" spans="2:2" x14ac:dyDescent="0.2">
      <c r="B2143" s="395"/>
    </row>
    <row r="2144" spans="2:2" x14ac:dyDescent="0.2">
      <c r="B2144" s="395"/>
    </row>
    <row r="2145" spans="2:2" x14ac:dyDescent="0.2">
      <c r="B2145" s="395"/>
    </row>
    <row r="2146" spans="2:2" x14ac:dyDescent="0.2">
      <c r="B2146" s="395"/>
    </row>
    <row r="2147" spans="2:2" x14ac:dyDescent="0.2">
      <c r="B2147" s="395"/>
    </row>
    <row r="2148" spans="2:2" x14ac:dyDescent="0.2">
      <c r="B2148" s="395"/>
    </row>
    <row r="2149" spans="2:2" x14ac:dyDescent="0.2">
      <c r="B2149" s="395"/>
    </row>
    <row r="2150" spans="2:2" x14ac:dyDescent="0.2">
      <c r="B2150" s="395"/>
    </row>
    <row r="2151" spans="2:2" x14ac:dyDescent="0.2">
      <c r="B2151" s="395"/>
    </row>
    <row r="2152" spans="2:2" x14ac:dyDescent="0.2">
      <c r="B2152" s="395"/>
    </row>
    <row r="2153" spans="2:2" x14ac:dyDescent="0.2">
      <c r="B2153" s="395"/>
    </row>
    <row r="2154" spans="2:2" x14ac:dyDescent="0.2">
      <c r="B2154" s="395"/>
    </row>
    <row r="2155" spans="2:2" x14ac:dyDescent="0.2">
      <c r="B2155" s="395"/>
    </row>
    <row r="2156" spans="2:2" x14ac:dyDescent="0.2">
      <c r="B2156" s="395"/>
    </row>
    <row r="2157" spans="2:2" x14ac:dyDescent="0.2">
      <c r="B2157" s="395"/>
    </row>
    <row r="2158" spans="2:2" x14ac:dyDescent="0.2">
      <c r="B2158" s="395"/>
    </row>
    <row r="2159" spans="2:2" x14ac:dyDescent="0.2">
      <c r="B2159" s="395"/>
    </row>
    <row r="2160" spans="2:2" x14ac:dyDescent="0.2">
      <c r="B2160" s="395"/>
    </row>
    <row r="2161" spans="2:2" x14ac:dyDescent="0.2">
      <c r="B2161" s="395"/>
    </row>
    <row r="2162" spans="2:2" x14ac:dyDescent="0.2">
      <c r="B2162" s="395"/>
    </row>
    <row r="2163" spans="2:2" x14ac:dyDescent="0.2">
      <c r="B2163" s="395"/>
    </row>
    <row r="2164" spans="2:2" x14ac:dyDescent="0.2">
      <c r="B2164" s="395"/>
    </row>
    <row r="2165" spans="2:2" x14ac:dyDescent="0.2">
      <c r="B2165" s="395"/>
    </row>
    <row r="2166" spans="2:2" x14ac:dyDescent="0.2">
      <c r="B2166" s="395"/>
    </row>
    <row r="2167" spans="2:2" x14ac:dyDescent="0.2">
      <c r="B2167" s="395"/>
    </row>
    <row r="2168" spans="2:2" x14ac:dyDescent="0.2">
      <c r="B2168" s="395"/>
    </row>
    <row r="2169" spans="2:2" x14ac:dyDescent="0.2">
      <c r="B2169" s="395"/>
    </row>
    <row r="2170" spans="2:2" x14ac:dyDescent="0.2">
      <c r="B2170" s="395"/>
    </row>
    <row r="2171" spans="2:2" x14ac:dyDescent="0.2">
      <c r="B2171" s="395"/>
    </row>
    <row r="2172" spans="2:2" x14ac:dyDescent="0.2">
      <c r="B2172" s="395"/>
    </row>
    <row r="2173" spans="2:2" x14ac:dyDescent="0.2">
      <c r="B2173" s="395"/>
    </row>
    <row r="2174" spans="2:2" x14ac:dyDescent="0.2">
      <c r="B2174" s="395"/>
    </row>
    <row r="2175" spans="2:2" x14ac:dyDescent="0.2">
      <c r="B2175" s="395"/>
    </row>
    <row r="2176" spans="2:2" x14ac:dyDescent="0.2">
      <c r="B2176" s="395"/>
    </row>
    <row r="2177" spans="2:2" x14ac:dyDescent="0.2">
      <c r="B2177" s="395"/>
    </row>
    <row r="2178" spans="2:2" x14ac:dyDescent="0.2">
      <c r="B2178" s="395"/>
    </row>
    <row r="2179" spans="2:2" x14ac:dyDescent="0.2">
      <c r="B2179" s="395"/>
    </row>
    <row r="2180" spans="2:2" x14ac:dyDescent="0.2">
      <c r="B2180" s="395"/>
    </row>
    <row r="2181" spans="2:2" x14ac:dyDescent="0.2">
      <c r="B2181" s="395"/>
    </row>
    <row r="2182" spans="2:2" x14ac:dyDescent="0.2">
      <c r="B2182" s="395"/>
    </row>
    <row r="2183" spans="2:2" x14ac:dyDescent="0.2">
      <c r="B2183" s="395"/>
    </row>
    <row r="2184" spans="2:2" x14ac:dyDescent="0.2">
      <c r="B2184" s="395"/>
    </row>
    <row r="2185" spans="2:2" x14ac:dyDescent="0.2">
      <c r="B2185" s="395"/>
    </row>
    <row r="2186" spans="2:2" x14ac:dyDescent="0.2">
      <c r="B2186" s="395"/>
    </row>
    <row r="2187" spans="2:2" x14ac:dyDescent="0.2">
      <c r="B2187" s="395"/>
    </row>
    <row r="2188" spans="2:2" x14ac:dyDescent="0.2">
      <c r="B2188" s="395"/>
    </row>
    <row r="2189" spans="2:2" x14ac:dyDescent="0.2">
      <c r="B2189" s="395"/>
    </row>
    <row r="2190" spans="2:2" x14ac:dyDescent="0.2">
      <c r="B2190" s="395"/>
    </row>
    <row r="2191" spans="2:2" x14ac:dyDescent="0.2">
      <c r="B2191" s="395"/>
    </row>
    <row r="2192" spans="2:2" x14ac:dyDescent="0.2">
      <c r="B2192" s="395"/>
    </row>
    <row r="2193" spans="2:2" x14ac:dyDescent="0.2">
      <c r="B2193" s="395"/>
    </row>
    <row r="2194" spans="2:2" x14ac:dyDescent="0.2">
      <c r="B2194" s="395"/>
    </row>
    <row r="2195" spans="2:2" x14ac:dyDescent="0.2">
      <c r="B2195" s="395"/>
    </row>
    <row r="2196" spans="2:2" x14ac:dyDescent="0.2">
      <c r="B2196" s="395"/>
    </row>
    <row r="2197" spans="2:2" x14ac:dyDescent="0.2">
      <c r="B2197" s="395"/>
    </row>
    <row r="2198" spans="2:2" x14ac:dyDescent="0.2">
      <c r="B2198" s="395"/>
    </row>
    <row r="2199" spans="2:2" x14ac:dyDescent="0.2">
      <c r="B2199" s="395"/>
    </row>
    <row r="2200" spans="2:2" x14ac:dyDescent="0.2">
      <c r="B2200" s="395"/>
    </row>
    <row r="2201" spans="2:2" x14ac:dyDescent="0.2">
      <c r="B2201" s="395"/>
    </row>
    <row r="2202" spans="2:2" x14ac:dyDescent="0.2">
      <c r="B2202" s="395"/>
    </row>
    <row r="2203" spans="2:2" x14ac:dyDescent="0.2">
      <c r="B2203" s="395"/>
    </row>
    <row r="2204" spans="2:2" x14ac:dyDescent="0.2">
      <c r="B2204" s="395"/>
    </row>
    <row r="2205" spans="2:2" x14ac:dyDescent="0.2">
      <c r="B2205" s="395"/>
    </row>
    <row r="2206" spans="2:2" x14ac:dyDescent="0.2">
      <c r="B2206" s="395"/>
    </row>
    <row r="2207" spans="2:2" x14ac:dyDescent="0.2">
      <c r="B2207" s="395"/>
    </row>
    <row r="2208" spans="2:2" x14ac:dyDescent="0.2">
      <c r="B2208" s="395"/>
    </row>
    <row r="2209" spans="2:2" x14ac:dyDescent="0.2">
      <c r="B2209" s="395"/>
    </row>
    <row r="2210" spans="2:2" x14ac:dyDescent="0.2">
      <c r="B2210" s="395"/>
    </row>
    <row r="2211" spans="2:2" x14ac:dyDescent="0.2">
      <c r="B2211" s="395"/>
    </row>
    <row r="2212" spans="2:2" x14ac:dyDescent="0.2">
      <c r="B2212" s="395"/>
    </row>
    <row r="2213" spans="2:2" x14ac:dyDescent="0.2">
      <c r="B2213" s="395"/>
    </row>
    <row r="2214" spans="2:2" x14ac:dyDescent="0.2">
      <c r="B2214" s="395"/>
    </row>
    <row r="2215" spans="2:2" x14ac:dyDescent="0.2">
      <c r="B2215" s="395"/>
    </row>
    <row r="2216" spans="2:2" x14ac:dyDescent="0.2">
      <c r="B2216" s="395"/>
    </row>
    <row r="2217" spans="2:2" x14ac:dyDescent="0.2">
      <c r="B2217" s="395"/>
    </row>
    <row r="2218" spans="2:2" x14ac:dyDescent="0.2">
      <c r="B2218" s="395"/>
    </row>
    <row r="2219" spans="2:2" x14ac:dyDescent="0.2">
      <c r="B2219" s="395"/>
    </row>
    <row r="2220" spans="2:2" x14ac:dyDescent="0.2">
      <c r="B2220" s="395"/>
    </row>
    <row r="2221" spans="2:2" x14ac:dyDescent="0.2">
      <c r="B2221" s="395"/>
    </row>
    <row r="2222" spans="2:2" x14ac:dyDescent="0.2">
      <c r="B2222" s="395"/>
    </row>
    <row r="2223" spans="2:2" x14ac:dyDescent="0.2">
      <c r="B2223" s="395"/>
    </row>
    <row r="2224" spans="2:2" x14ac:dyDescent="0.2">
      <c r="B2224" s="395"/>
    </row>
    <row r="2225" spans="2:2" x14ac:dyDescent="0.2">
      <c r="B2225" s="395"/>
    </row>
    <row r="2226" spans="2:2" x14ac:dyDescent="0.2">
      <c r="B2226" s="395"/>
    </row>
    <row r="2227" spans="2:2" x14ac:dyDescent="0.2">
      <c r="B2227" s="395"/>
    </row>
    <row r="2228" spans="2:2" x14ac:dyDescent="0.2">
      <c r="B2228" s="395"/>
    </row>
    <row r="2229" spans="2:2" x14ac:dyDescent="0.2">
      <c r="B2229" s="395"/>
    </row>
    <row r="2230" spans="2:2" x14ac:dyDescent="0.2">
      <c r="B2230" s="395"/>
    </row>
    <row r="2231" spans="2:2" x14ac:dyDescent="0.2">
      <c r="B2231" s="395"/>
    </row>
    <row r="2232" spans="2:2" x14ac:dyDescent="0.2">
      <c r="B2232" s="395"/>
    </row>
    <row r="2233" spans="2:2" x14ac:dyDescent="0.2">
      <c r="B2233" s="395"/>
    </row>
    <row r="2234" spans="2:2" x14ac:dyDescent="0.2">
      <c r="B2234" s="395"/>
    </row>
    <row r="2235" spans="2:2" x14ac:dyDescent="0.2">
      <c r="B2235" s="395"/>
    </row>
    <row r="2236" spans="2:2" x14ac:dyDescent="0.2">
      <c r="B2236" s="395"/>
    </row>
    <row r="2237" spans="2:2" x14ac:dyDescent="0.2">
      <c r="B2237" s="395"/>
    </row>
    <row r="2238" spans="2:2" x14ac:dyDescent="0.2">
      <c r="B2238" s="395"/>
    </row>
    <row r="2239" spans="2:2" x14ac:dyDescent="0.2">
      <c r="B2239" s="395"/>
    </row>
    <row r="2240" spans="2:2" x14ac:dyDescent="0.2">
      <c r="B2240" s="395"/>
    </row>
    <row r="2241" spans="2:2" x14ac:dyDescent="0.2">
      <c r="B2241" s="395"/>
    </row>
    <row r="2242" spans="2:2" x14ac:dyDescent="0.2">
      <c r="B2242" s="395"/>
    </row>
    <row r="2243" spans="2:2" x14ac:dyDescent="0.2">
      <c r="B2243" s="395"/>
    </row>
    <row r="2244" spans="2:2" x14ac:dyDescent="0.2">
      <c r="B2244" s="395"/>
    </row>
    <row r="2245" spans="2:2" x14ac:dyDescent="0.2">
      <c r="B2245" s="395"/>
    </row>
    <row r="2246" spans="2:2" x14ac:dyDescent="0.2">
      <c r="B2246" s="395"/>
    </row>
    <row r="2247" spans="2:2" x14ac:dyDescent="0.2">
      <c r="B2247" s="395"/>
    </row>
    <row r="2248" spans="2:2" x14ac:dyDescent="0.2">
      <c r="B2248" s="395"/>
    </row>
    <row r="2249" spans="2:2" x14ac:dyDescent="0.2">
      <c r="B2249" s="395"/>
    </row>
    <row r="2250" spans="2:2" x14ac:dyDescent="0.2">
      <c r="B2250" s="395"/>
    </row>
    <row r="2251" spans="2:2" x14ac:dyDescent="0.2">
      <c r="B2251" s="395"/>
    </row>
    <row r="2252" spans="2:2" x14ac:dyDescent="0.2">
      <c r="B2252" s="395"/>
    </row>
    <row r="2253" spans="2:2" x14ac:dyDescent="0.2">
      <c r="B2253" s="395"/>
    </row>
    <row r="2254" spans="2:2" x14ac:dyDescent="0.2">
      <c r="B2254" s="395"/>
    </row>
    <row r="2255" spans="2:2" x14ac:dyDescent="0.2">
      <c r="B2255" s="395"/>
    </row>
    <row r="2256" spans="2:2" x14ac:dyDescent="0.2">
      <c r="B2256" s="395"/>
    </row>
    <row r="2257" spans="2:2" x14ac:dyDescent="0.2">
      <c r="B2257" s="395"/>
    </row>
    <row r="2258" spans="2:2" x14ac:dyDescent="0.2">
      <c r="B2258" s="395"/>
    </row>
    <row r="2259" spans="2:2" x14ac:dyDescent="0.2">
      <c r="B2259" s="395"/>
    </row>
    <row r="2260" spans="2:2" x14ac:dyDescent="0.2">
      <c r="B2260" s="395"/>
    </row>
    <row r="2261" spans="2:2" x14ac:dyDescent="0.2">
      <c r="B2261" s="395"/>
    </row>
    <row r="2262" spans="2:2" x14ac:dyDescent="0.2">
      <c r="B2262" s="395"/>
    </row>
    <row r="2263" spans="2:2" x14ac:dyDescent="0.2">
      <c r="B2263" s="395"/>
    </row>
    <row r="2264" spans="2:2" x14ac:dyDescent="0.2">
      <c r="B2264" s="395"/>
    </row>
    <row r="2265" spans="2:2" x14ac:dyDescent="0.2">
      <c r="B2265" s="395"/>
    </row>
    <row r="2266" spans="2:2" x14ac:dyDescent="0.2">
      <c r="B2266" s="395"/>
    </row>
    <row r="2267" spans="2:2" x14ac:dyDescent="0.2">
      <c r="B2267" s="395"/>
    </row>
    <row r="2268" spans="2:2" x14ac:dyDescent="0.2">
      <c r="B2268" s="395"/>
    </row>
    <row r="2269" spans="2:2" x14ac:dyDescent="0.2">
      <c r="B2269" s="395"/>
    </row>
    <row r="2270" spans="2:2" x14ac:dyDescent="0.2">
      <c r="B2270" s="395"/>
    </row>
    <row r="2271" spans="2:2" x14ac:dyDescent="0.2">
      <c r="B2271" s="395"/>
    </row>
    <row r="2272" spans="2:2" x14ac:dyDescent="0.2">
      <c r="B2272" s="395"/>
    </row>
    <row r="2273" spans="2:2" x14ac:dyDescent="0.2">
      <c r="B2273" s="395"/>
    </row>
    <row r="2274" spans="2:2" x14ac:dyDescent="0.2">
      <c r="B2274" s="395"/>
    </row>
    <row r="2275" spans="2:2" x14ac:dyDescent="0.2">
      <c r="B2275" s="395"/>
    </row>
    <row r="2276" spans="2:2" x14ac:dyDescent="0.2">
      <c r="B2276" s="395"/>
    </row>
    <row r="2277" spans="2:2" x14ac:dyDescent="0.2">
      <c r="B2277" s="395"/>
    </row>
    <row r="2278" spans="2:2" x14ac:dyDescent="0.2">
      <c r="B2278" s="395"/>
    </row>
    <row r="2279" spans="2:2" x14ac:dyDescent="0.2">
      <c r="B2279" s="395"/>
    </row>
    <row r="2280" spans="2:2" x14ac:dyDescent="0.2">
      <c r="B2280" s="395"/>
    </row>
    <row r="2281" spans="2:2" x14ac:dyDescent="0.2">
      <c r="B2281" s="395"/>
    </row>
    <row r="2282" spans="2:2" x14ac:dyDescent="0.2">
      <c r="B2282" s="395"/>
    </row>
    <row r="2283" spans="2:2" x14ac:dyDescent="0.2">
      <c r="B2283" s="395"/>
    </row>
    <row r="2284" spans="2:2" x14ac:dyDescent="0.2">
      <c r="B2284" s="395"/>
    </row>
    <row r="2285" spans="2:2" x14ac:dyDescent="0.2">
      <c r="B2285" s="395"/>
    </row>
    <row r="2286" spans="2:2" x14ac:dyDescent="0.2">
      <c r="B2286" s="395"/>
    </row>
    <row r="2287" spans="2:2" x14ac:dyDescent="0.2">
      <c r="B2287" s="395"/>
    </row>
    <row r="2288" spans="2:2" x14ac:dyDescent="0.2">
      <c r="B2288" s="395"/>
    </row>
    <row r="2289" spans="2:2" x14ac:dyDescent="0.2">
      <c r="B2289" s="395"/>
    </row>
    <row r="2290" spans="2:2" x14ac:dyDescent="0.2">
      <c r="B2290" s="395"/>
    </row>
    <row r="2291" spans="2:2" x14ac:dyDescent="0.2">
      <c r="B2291" s="395"/>
    </row>
    <row r="2292" spans="2:2" x14ac:dyDescent="0.2">
      <c r="B2292" s="395"/>
    </row>
    <row r="2293" spans="2:2" x14ac:dyDescent="0.2">
      <c r="B2293" s="395"/>
    </row>
    <row r="2294" spans="2:2" x14ac:dyDescent="0.2">
      <c r="B2294" s="395"/>
    </row>
    <row r="2295" spans="2:2" x14ac:dyDescent="0.2">
      <c r="B2295" s="395"/>
    </row>
    <row r="2296" spans="2:2" x14ac:dyDescent="0.2">
      <c r="B2296" s="395"/>
    </row>
    <row r="2297" spans="2:2" x14ac:dyDescent="0.2">
      <c r="B2297" s="395"/>
    </row>
    <row r="2298" spans="2:2" x14ac:dyDescent="0.2">
      <c r="B2298" s="395"/>
    </row>
    <row r="2299" spans="2:2" x14ac:dyDescent="0.2">
      <c r="B2299" s="395"/>
    </row>
    <row r="2300" spans="2:2" x14ac:dyDescent="0.2">
      <c r="B2300" s="395"/>
    </row>
    <row r="2301" spans="2:2" x14ac:dyDescent="0.2">
      <c r="B2301" s="395"/>
    </row>
    <row r="2302" spans="2:2" x14ac:dyDescent="0.2">
      <c r="B2302" s="395"/>
    </row>
    <row r="2303" spans="2:2" x14ac:dyDescent="0.2">
      <c r="B2303" s="395"/>
    </row>
    <row r="2304" spans="2:2" x14ac:dyDescent="0.2">
      <c r="B2304" s="395"/>
    </row>
    <row r="2305" spans="2:2" x14ac:dyDescent="0.2">
      <c r="B2305" s="395"/>
    </row>
    <row r="2306" spans="2:2" x14ac:dyDescent="0.2">
      <c r="B2306" s="395"/>
    </row>
    <row r="2307" spans="2:2" x14ac:dyDescent="0.2">
      <c r="B2307" s="395"/>
    </row>
    <row r="2308" spans="2:2" x14ac:dyDescent="0.2">
      <c r="B2308" s="395"/>
    </row>
    <row r="2309" spans="2:2" x14ac:dyDescent="0.2">
      <c r="B2309" s="395"/>
    </row>
    <row r="2310" spans="2:2" x14ac:dyDescent="0.2">
      <c r="B2310" s="395"/>
    </row>
    <row r="2311" spans="2:2" x14ac:dyDescent="0.2">
      <c r="B2311" s="395"/>
    </row>
    <row r="2312" spans="2:2" x14ac:dyDescent="0.2">
      <c r="B2312" s="395"/>
    </row>
    <row r="2313" spans="2:2" x14ac:dyDescent="0.2">
      <c r="B2313" s="395"/>
    </row>
    <row r="2314" spans="2:2" x14ac:dyDescent="0.2">
      <c r="B2314" s="395"/>
    </row>
    <row r="2315" spans="2:2" x14ac:dyDescent="0.2">
      <c r="B2315" s="395"/>
    </row>
    <row r="2316" spans="2:2" x14ac:dyDescent="0.2">
      <c r="B2316" s="395"/>
    </row>
    <row r="2317" spans="2:2" x14ac:dyDescent="0.2">
      <c r="B2317" s="395"/>
    </row>
    <row r="2318" spans="2:2" x14ac:dyDescent="0.2">
      <c r="B2318" s="395"/>
    </row>
    <row r="2319" spans="2:2" x14ac:dyDescent="0.2">
      <c r="B2319" s="395"/>
    </row>
    <row r="2320" spans="2:2" x14ac:dyDescent="0.2">
      <c r="B2320" s="395"/>
    </row>
    <row r="2321" spans="2:2" x14ac:dyDescent="0.2">
      <c r="B2321" s="395"/>
    </row>
    <row r="2322" spans="2:2" x14ac:dyDescent="0.2">
      <c r="B2322" s="395"/>
    </row>
    <row r="2323" spans="2:2" x14ac:dyDescent="0.2">
      <c r="B2323" s="395"/>
    </row>
    <row r="2324" spans="2:2" x14ac:dyDescent="0.2">
      <c r="B2324" s="395"/>
    </row>
    <row r="2325" spans="2:2" x14ac:dyDescent="0.2">
      <c r="B2325" s="395"/>
    </row>
    <row r="2326" spans="2:2" x14ac:dyDescent="0.2">
      <c r="B2326" s="395"/>
    </row>
    <row r="2327" spans="2:2" x14ac:dyDescent="0.2">
      <c r="B2327" s="395"/>
    </row>
    <row r="2328" spans="2:2" x14ac:dyDescent="0.2">
      <c r="B2328" s="395"/>
    </row>
    <row r="2329" spans="2:2" x14ac:dyDescent="0.2">
      <c r="B2329" s="395"/>
    </row>
    <row r="2330" spans="2:2" x14ac:dyDescent="0.2">
      <c r="B2330" s="395"/>
    </row>
    <row r="2331" spans="2:2" x14ac:dyDescent="0.2">
      <c r="B2331" s="395"/>
    </row>
    <row r="2332" spans="2:2" x14ac:dyDescent="0.2">
      <c r="B2332" s="395"/>
    </row>
    <row r="2333" spans="2:2" x14ac:dyDescent="0.2">
      <c r="B2333" s="395"/>
    </row>
    <row r="2334" spans="2:2" x14ac:dyDescent="0.2">
      <c r="B2334" s="395"/>
    </row>
    <row r="2335" spans="2:2" x14ac:dyDescent="0.2">
      <c r="B2335" s="395"/>
    </row>
    <row r="2336" spans="2:2" x14ac:dyDescent="0.2">
      <c r="B2336" s="395"/>
    </row>
    <row r="2337" spans="2:2" x14ac:dyDescent="0.2">
      <c r="B2337" s="395"/>
    </row>
    <row r="2338" spans="2:2" x14ac:dyDescent="0.2">
      <c r="B2338" s="395"/>
    </row>
    <row r="2339" spans="2:2" x14ac:dyDescent="0.2">
      <c r="B2339" s="395"/>
    </row>
    <row r="2340" spans="2:2" x14ac:dyDescent="0.2">
      <c r="B2340" s="395"/>
    </row>
    <row r="2341" spans="2:2" x14ac:dyDescent="0.2">
      <c r="B2341" s="395"/>
    </row>
    <row r="2342" spans="2:2" x14ac:dyDescent="0.2">
      <c r="B2342" s="395"/>
    </row>
    <row r="2343" spans="2:2" x14ac:dyDescent="0.2">
      <c r="B2343" s="395"/>
    </row>
    <row r="2344" spans="2:2" x14ac:dyDescent="0.2">
      <c r="B2344" s="395"/>
    </row>
    <row r="2345" spans="2:2" x14ac:dyDescent="0.2">
      <c r="B2345" s="395"/>
    </row>
    <row r="2346" spans="2:2" x14ac:dyDescent="0.2">
      <c r="B2346" s="395"/>
    </row>
    <row r="2347" spans="2:2" x14ac:dyDescent="0.2">
      <c r="B2347" s="395"/>
    </row>
    <row r="2348" spans="2:2" x14ac:dyDescent="0.2">
      <c r="B2348" s="395"/>
    </row>
    <row r="2349" spans="2:2" x14ac:dyDescent="0.2">
      <c r="B2349" s="395"/>
    </row>
    <row r="2350" spans="2:2" x14ac:dyDescent="0.2">
      <c r="B2350" s="395"/>
    </row>
    <row r="2351" spans="2:2" x14ac:dyDescent="0.2">
      <c r="B2351" s="395"/>
    </row>
    <row r="2352" spans="2:2" x14ac:dyDescent="0.2">
      <c r="B2352" s="395"/>
    </row>
    <row r="2353" spans="2:2" x14ac:dyDescent="0.2">
      <c r="B2353" s="395"/>
    </row>
    <row r="2354" spans="2:2" x14ac:dyDescent="0.2">
      <c r="B2354" s="395"/>
    </row>
    <row r="2355" spans="2:2" x14ac:dyDescent="0.2">
      <c r="B2355" s="395"/>
    </row>
    <row r="2356" spans="2:2" x14ac:dyDescent="0.2">
      <c r="B2356" s="395"/>
    </row>
    <row r="2357" spans="2:2" x14ac:dyDescent="0.2">
      <c r="B2357" s="395"/>
    </row>
    <row r="2358" spans="2:2" x14ac:dyDescent="0.2">
      <c r="B2358" s="395"/>
    </row>
    <row r="2359" spans="2:2" x14ac:dyDescent="0.2">
      <c r="B2359" s="395"/>
    </row>
    <row r="2360" spans="2:2" x14ac:dyDescent="0.2">
      <c r="B2360" s="395"/>
    </row>
    <row r="2361" spans="2:2" x14ac:dyDescent="0.2">
      <c r="B2361" s="395"/>
    </row>
    <row r="2362" spans="2:2" x14ac:dyDescent="0.2">
      <c r="B2362" s="395"/>
    </row>
    <row r="2363" spans="2:2" x14ac:dyDescent="0.2">
      <c r="B2363" s="395"/>
    </row>
    <row r="2364" spans="2:2" x14ac:dyDescent="0.2">
      <c r="B2364" s="395"/>
    </row>
    <row r="2365" spans="2:2" x14ac:dyDescent="0.2">
      <c r="B2365" s="395"/>
    </row>
    <row r="2366" spans="2:2" x14ac:dyDescent="0.2">
      <c r="B2366" s="395"/>
    </row>
    <row r="2367" spans="2:2" x14ac:dyDescent="0.2">
      <c r="B2367" s="395"/>
    </row>
    <row r="2368" spans="2:2" x14ac:dyDescent="0.2">
      <c r="B2368" s="395"/>
    </row>
    <row r="2369" spans="2:2" x14ac:dyDescent="0.2">
      <c r="B2369" s="395"/>
    </row>
    <row r="2370" spans="2:2" x14ac:dyDescent="0.2">
      <c r="B2370" s="395"/>
    </row>
    <row r="2371" spans="2:2" x14ac:dyDescent="0.2">
      <c r="B2371" s="395"/>
    </row>
    <row r="2372" spans="2:2" x14ac:dyDescent="0.2">
      <c r="B2372" s="395"/>
    </row>
    <row r="2373" spans="2:2" x14ac:dyDescent="0.2">
      <c r="B2373" s="395"/>
    </row>
    <row r="2374" spans="2:2" x14ac:dyDescent="0.2">
      <c r="B2374" s="395"/>
    </row>
    <row r="2375" spans="2:2" x14ac:dyDescent="0.2">
      <c r="B2375" s="395"/>
    </row>
    <row r="2376" spans="2:2" x14ac:dyDescent="0.2">
      <c r="B2376" s="395"/>
    </row>
    <row r="2377" spans="2:2" x14ac:dyDescent="0.2">
      <c r="B2377" s="395"/>
    </row>
    <row r="2378" spans="2:2" x14ac:dyDescent="0.2">
      <c r="B2378" s="395"/>
    </row>
    <row r="2379" spans="2:2" x14ac:dyDescent="0.2">
      <c r="B2379" s="395"/>
    </row>
    <row r="2380" spans="2:2" x14ac:dyDescent="0.2">
      <c r="B2380" s="395"/>
    </row>
    <row r="2381" spans="2:2" x14ac:dyDescent="0.2">
      <c r="B2381" s="395"/>
    </row>
    <row r="2382" spans="2:2" x14ac:dyDescent="0.2">
      <c r="B2382" s="395"/>
    </row>
    <row r="2383" spans="2:2" x14ac:dyDescent="0.2">
      <c r="B2383" s="395"/>
    </row>
    <row r="2384" spans="2:2" x14ac:dyDescent="0.2">
      <c r="B2384" s="395"/>
    </row>
    <row r="2385" spans="2:2" x14ac:dyDescent="0.2">
      <c r="B2385" s="395"/>
    </row>
    <row r="2386" spans="2:2" x14ac:dyDescent="0.2">
      <c r="B2386" s="395"/>
    </row>
    <row r="2387" spans="2:2" x14ac:dyDescent="0.2">
      <c r="B2387" s="395"/>
    </row>
    <row r="2388" spans="2:2" x14ac:dyDescent="0.2">
      <c r="B2388" s="395"/>
    </row>
    <row r="2389" spans="2:2" x14ac:dyDescent="0.2">
      <c r="B2389" s="395"/>
    </row>
    <row r="2390" spans="2:2" x14ac:dyDescent="0.2">
      <c r="B2390" s="395"/>
    </row>
    <row r="2391" spans="2:2" x14ac:dyDescent="0.2">
      <c r="B2391" s="395"/>
    </row>
    <row r="2392" spans="2:2" x14ac:dyDescent="0.2">
      <c r="B2392" s="395"/>
    </row>
    <row r="2393" spans="2:2" x14ac:dyDescent="0.2">
      <c r="B2393" s="395"/>
    </row>
    <row r="2394" spans="2:2" x14ac:dyDescent="0.2">
      <c r="B2394" s="395"/>
    </row>
    <row r="2395" spans="2:2" x14ac:dyDescent="0.2">
      <c r="B2395" s="395"/>
    </row>
    <row r="2396" spans="2:2" x14ac:dyDescent="0.2">
      <c r="B2396" s="395"/>
    </row>
    <row r="2397" spans="2:2" x14ac:dyDescent="0.2">
      <c r="B2397" s="395"/>
    </row>
    <row r="2398" spans="2:2" x14ac:dyDescent="0.2">
      <c r="B2398" s="395"/>
    </row>
    <row r="2399" spans="2:2" x14ac:dyDescent="0.2">
      <c r="B2399" s="395"/>
    </row>
    <row r="2400" spans="2:2" x14ac:dyDescent="0.2">
      <c r="B2400" s="395"/>
    </row>
    <row r="2401" spans="2:2" x14ac:dyDescent="0.2">
      <c r="B2401" s="395"/>
    </row>
    <row r="2402" spans="2:2" x14ac:dyDescent="0.2">
      <c r="B2402" s="395"/>
    </row>
    <row r="2403" spans="2:2" x14ac:dyDescent="0.2">
      <c r="B2403" s="395"/>
    </row>
    <row r="2404" spans="2:2" x14ac:dyDescent="0.2">
      <c r="B2404" s="395"/>
    </row>
    <row r="2405" spans="2:2" x14ac:dyDescent="0.2">
      <c r="B2405" s="395"/>
    </row>
    <row r="2406" spans="2:2" x14ac:dyDescent="0.2">
      <c r="B2406" s="395"/>
    </row>
    <row r="2407" spans="2:2" x14ac:dyDescent="0.2">
      <c r="B2407" s="395"/>
    </row>
    <row r="2408" spans="2:2" x14ac:dyDescent="0.2">
      <c r="B2408" s="395"/>
    </row>
    <row r="2409" spans="2:2" x14ac:dyDescent="0.2">
      <c r="B2409" s="395"/>
    </row>
    <row r="2410" spans="2:2" x14ac:dyDescent="0.2">
      <c r="B2410" s="395"/>
    </row>
    <row r="2411" spans="2:2" x14ac:dyDescent="0.2">
      <c r="B2411" s="395"/>
    </row>
    <row r="2412" spans="2:2" x14ac:dyDescent="0.2">
      <c r="B2412" s="395"/>
    </row>
    <row r="2413" spans="2:2" x14ac:dyDescent="0.2">
      <c r="B2413" s="395"/>
    </row>
    <row r="2414" spans="2:2" x14ac:dyDescent="0.2">
      <c r="B2414" s="395"/>
    </row>
    <row r="2415" spans="2:2" x14ac:dyDescent="0.2">
      <c r="B2415" s="395"/>
    </row>
    <row r="2416" spans="2:2" x14ac:dyDescent="0.2">
      <c r="B2416" s="395"/>
    </row>
    <row r="2417" spans="2:2" x14ac:dyDescent="0.2">
      <c r="B2417" s="395"/>
    </row>
    <row r="2418" spans="2:2" x14ac:dyDescent="0.2">
      <c r="B2418" s="395"/>
    </row>
    <row r="2419" spans="2:2" x14ac:dyDescent="0.2">
      <c r="B2419" s="395"/>
    </row>
    <row r="2420" spans="2:2" x14ac:dyDescent="0.2">
      <c r="B2420" s="395"/>
    </row>
    <row r="2421" spans="2:2" x14ac:dyDescent="0.2">
      <c r="B2421" s="395"/>
    </row>
    <row r="2422" spans="2:2" x14ac:dyDescent="0.2">
      <c r="B2422" s="395"/>
    </row>
    <row r="2423" spans="2:2" x14ac:dyDescent="0.2">
      <c r="B2423" s="395"/>
    </row>
    <row r="2424" spans="2:2" x14ac:dyDescent="0.2">
      <c r="B2424" s="395"/>
    </row>
    <row r="2425" spans="2:2" x14ac:dyDescent="0.2">
      <c r="B2425" s="395"/>
    </row>
    <row r="2426" spans="2:2" x14ac:dyDescent="0.2">
      <c r="B2426" s="395"/>
    </row>
    <row r="2427" spans="2:2" x14ac:dyDescent="0.2">
      <c r="B2427" s="395"/>
    </row>
    <row r="2428" spans="2:2" x14ac:dyDescent="0.2">
      <c r="B2428" s="395"/>
    </row>
    <row r="2429" spans="2:2" x14ac:dyDescent="0.2">
      <c r="B2429" s="395"/>
    </row>
    <row r="2430" spans="2:2" x14ac:dyDescent="0.2">
      <c r="B2430" s="395"/>
    </row>
    <row r="2431" spans="2:2" x14ac:dyDescent="0.2">
      <c r="B2431" s="395"/>
    </row>
    <row r="2432" spans="2:2" x14ac:dyDescent="0.2">
      <c r="B2432" s="395"/>
    </row>
    <row r="2433" spans="2:2" x14ac:dyDescent="0.2">
      <c r="B2433" s="395"/>
    </row>
    <row r="2434" spans="2:2" x14ac:dyDescent="0.2">
      <c r="B2434" s="395"/>
    </row>
    <row r="2435" spans="2:2" x14ac:dyDescent="0.2">
      <c r="B2435" s="395"/>
    </row>
    <row r="2436" spans="2:2" x14ac:dyDescent="0.2">
      <c r="B2436" s="395"/>
    </row>
    <row r="2437" spans="2:2" x14ac:dyDescent="0.2">
      <c r="B2437" s="395"/>
    </row>
    <row r="2438" spans="2:2" x14ac:dyDescent="0.2">
      <c r="B2438" s="395"/>
    </row>
    <row r="2439" spans="2:2" x14ac:dyDescent="0.2">
      <c r="B2439" s="395"/>
    </row>
    <row r="2440" spans="2:2" x14ac:dyDescent="0.2">
      <c r="B2440" s="395"/>
    </row>
    <row r="2441" spans="2:2" x14ac:dyDescent="0.2">
      <c r="B2441" s="395"/>
    </row>
    <row r="2442" spans="2:2" x14ac:dyDescent="0.2">
      <c r="B2442" s="395"/>
    </row>
    <row r="2443" spans="2:2" x14ac:dyDescent="0.2">
      <c r="B2443" s="395"/>
    </row>
    <row r="2444" spans="2:2" x14ac:dyDescent="0.2">
      <c r="B2444" s="395"/>
    </row>
    <row r="2445" spans="2:2" x14ac:dyDescent="0.2">
      <c r="B2445" s="395"/>
    </row>
    <row r="2446" spans="2:2" x14ac:dyDescent="0.2">
      <c r="B2446" s="395"/>
    </row>
    <row r="2447" spans="2:2" x14ac:dyDescent="0.2">
      <c r="B2447" s="395"/>
    </row>
    <row r="2448" spans="2:2" x14ac:dyDescent="0.2">
      <c r="B2448" s="395"/>
    </row>
    <row r="2449" spans="2:2" x14ac:dyDescent="0.2">
      <c r="B2449" s="395"/>
    </row>
    <row r="2450" spans="2:2" x14ac:dyDescent="0.2">
      <c r="B2450" s="395"/>
    </row>
    <row r="2451" spans="2:2" x14ac:dyDescent="0.2">
      <c r="B2451" s="395"/>
    </row>
    <row r="2452" spans="2:2" x14ac:dyDescent="0.2">
      <c r="B2452" s="395"/>
    </row>
    <row r="2453" spans="2:2" x14ac:dyDescent="0.2">
      <c r="B2453" s="395"/>
    </row>
    <row r="2454" spans="2:2" x14ac:dyDescent="0.2">
      <c r="B2454" s="395"/>
    </row>
    <row r="2455" spans="2:2" x14ac:dyDescent="0.2">
      <c r="B2455" s="395"/>
    </row>
    <row r="2456" spans="2:2" x14ac:dyDescent="0.2">
      <c r="B2456" s="395"/>
    </row>
    <row r="2457" spans="2:2" x14ac:dyDescent="0.2">
      <c r="B2457" s="395"/>
    </row>
    <row r="2458" spans="2:2" x14ac:dyDescent="0.2">
      <c r="B2458" s="395"/>
    </row>
    <row r="2459" spans="2:2" x14ac:dyDescent="0.2">
      <c r="B2459" s="395"/>
    </row>
    <row r="2460" spans="2:2" x14ac:dyDescent="0.2">
      <c r="B2460" s="395"/>
    </row>
    <row r="2461" spans="2:2" x14ac:dyDescent="0.2">
      <c r="B2461" s="395"/>
    </row>
    <row r="2462" spans="2:2" x14ac:dyDescent="0.2">
      <c r="B2462" s="395"/>
    </row>
    <row r="2463" spans="2:2" x14ac:dyDescent="0.2">
      <c r="B2463" s="395"/>
    </row>
    <row r="2464" spans="2:2" x14ac:dyDescent="0.2">
      <c r="B2464" s="395"/>
    </row>
    <row r="2465" spans="2:2" x14ac:dyDescent="0.2">
      <c r="B2465" s="395"/>
    </row>
    <row r="2466" spans="2:2" x14ac:dyDescent="0.2">
      <c r="B2466" s="395"/>
    </row>
    <row r="2467" spans="2:2" x14ac:dyDescent="0.2">
      <c r="B2467" s="395"/>
    </row>
    <row r="2468" spans="2:2" x14ac:dyDescent="0.2">
      <c r="B2468" s="395"/>
    </row>
    <row r="2469" spans="2:2" x14ac:dyDescent="0.2">
      <c r="B2469" s="395"/>
    </row>
    <row r="2470" spans="2:2" x14ac:dyDescent="0.2">
      <c r="B2470" s="395"/>
    </row>
    <row r="2471" spans="2:2" x14ac:dyDescent="0.2">
      <c r="B2471" s="395"/>
    </row>
    <row r="2472" spans="2:2" x14ac:dyDescent="0.2">
      <c r="B2472" s="395"/>
    </row>
    <row r="2473" spans="2:2" x14ac:dyDescent="0.2">
      <c r="B2473" s="395"/>
    </row>
    <row r="2474" spans="2:2" x14ac:dyDescent="0.2">
      <c r="B2474" s="395"/>
    </row>
    <row r="2475" spans="2:2" x14ac:dyDescent="0.2">
      <c r="B2475" s="395"/>
    </row>
    <row r="2476" spans="2:2" x14ac:dyDescent="0.2">
      <c r="B2476" s="395"/>
    </row>
    <row r="2477" spans="2:2" x14ac:dyDescent="0.2">
      <c r="B2477" s="395"/>
    </row>
    <row r="2478" spans="2:2" x14ac:dyDescent="0.2">
      <c r="B2478" s="395"/>
    </row>
    <row r="2479" spans="2:2" x14ac:dyDescent="0.2">
      <c r="B2479" s="395"/>
    </row>
    <row r="2480" spans="2:2" x14ac:dyDescent="0.2">
      <c r="B2480" s="395"/>
    </row>
    <row r="2481" spans="2:2" x14ac:dyDescent="0.2">
      <c r="B2481" s="395"/>
    </row>
    <row r="2482" spans="2:2" x14ac:dyDescent="0.2">
      <c r="B2482" s="395"/>
    </row>
    <row r="2483" spans="2:2" x14ac:dyDescent="0.2">
      <c r="B2483" s="395"/>
    </row>
    <row r="2484" spans="2:2" x14ac:dyDescent="0.2">
      <c r="B2484" s="395"/>
    </row>
    <row r="2485" spans="2:2" x14ac:dyDescent="0.2">
      <c r="B2485" s="395"/>
    </row>
    <row r="2486" spans="2:2" x14ac:dyDescent="0.2">
      <c r="B2486" s="395"/>
    </row>
    <row r="2487" spans="2:2" x14ac:dyDescent="0.2">
      <c r="B2487" s="395"/>
    </row>
    <row r="2488" spans="2:2" x14ac:dyDescent="0.2">
      <c r="B2488" s="395"/>
    </row>
    <row r="2489" spans="2:2" x14ac:dyDescent="0.2">
      <c r="B2489" s="395"/>
    </row>
    <row r="2490" spans="2:2" x14ac:dyDescent="0.2">
      <c r="B2490" s="395"/>
    </row>
    <row r="2491" spans="2:2" x14ac:dyDescent="0.2">
      <c r="B2491" s="395"/>
    </row>
    <row r="2492" spans="2:2" x14ac:dyDescent="0.2">
      <c r="B2492" s="395"/>
    </row>
    <row r="2493" spans="2:2" x14ac:dyDescent="0.2">
      <c r="B2493" s="395"/>
    </row>
    <row r="2494" spans="2:2" x14ac:dyDescent="0.2">
      <c r="B2494" s="395"/>
    </row>
    <row r="2495" spans="2:2" x14ac:dyDescent="0.2">
      <c r="B2495" s="395"/>
    </row>
    <row r="2496" spans="2:2" x14ac:dyDescent="0.2">
      <c r="B2496" s="395"/>
    </row>
    <row r="2497" spans="2:2" x14ac:dyDescent="0.2">
      <c r="B2497" s="395"/>
    </row>
    <row r="2498" spans="2:2" x14ac:dyDescent="0.2">
      <c r="B2498" s="395"/>
    </row>
    <row r="2499" spans="2:2" x14ac:dyDescent="0.2">
      <c r="B2499" s="395"/>
    </row>
    <row r="2500" spans="2:2" x14ac:dyDescent="0.2">
      <c r="B2500" s="395"/>
    </row>
    <row r="2501" spans="2:2" x14ac:dyDescent="0.2">
      <c r="B2501" s="395"/>
    </row>
    <row r="2502" spans="2:2" x14ac:dyDescent="0.2">
      <c r="B2502" s="395"/>
    </row>
    <row r="2503" spans="2:2" x14ac:dyDescent="0.2">
      <c r="B2503" s="395"/>
    </row>
    <row r="2504" spans="2:2" x14ac:dyDescent="0.2">
      <c r="B2504" s="395"/>
    </row>
    <row r="2505" spans="2:2" x14ac:dyDescent="0.2">
      <c r="B2505" s="395"/>
    </row>
    <row r="2506" spans="2:2" x14ac:dyDescent="0.2">
      <c r="B2506" s="395"/>
    </row>
    <row r="2507" spans="2:2" x14ac:dyDescent="0.2">
      <c r="B2507" s="395"/>
    </row>
    <row r="2508" spans="2:2" x14ac:dyDescent="0.2">
      <c r="B2508" s="395"/>
    </row>
    <row r="2509" spans="2:2" x14ac:dyDescent="0.2">
      <c r="B2509" s="395"/>
    </row>
    <row r="2510" spans="2:2" x14ac:dyDescent="0.2">
      <c r="B2510" s="395"/>
    </row>
    <row r="2511" spans="2:2" x14ac:dyDescent="0.2">
      <c r="B2511" s="395"/>
    </row>
    <row r="2512" spans="2:2" x14ac:dyDescent="0.2">
      <c r="B2512" s="395"/>
    </row>
    <row r="2513" spans="2:2" x14ac:dyDescent="0.2">
      <c r="B2513" s="395"/>
    </row>
    <row r="2514" spans="2:2" x14ac:dyDescent="0.2">
      <c r="B2514" s="395"/>
    </row>
    <row r="2515" spans="2:2" x14ac:dyDescent="0.2">
      <c r="B2515" s="395"/>
    </row>
    <row r="2516" spans="2:2" x14ac:dyDescent="0.2">
      <c r="B2516" s="395"/>
    </row>
    <row r="2517" spans="2:2" x14ac:dyDescent="0.2">
      <c r="B2517" s="395"/>
    </row>
    <row r="2518" spans="2:2" x14ac:dyDescent="0.2">
      <c r="B2518" s="395"/>
    </row>
    <row r="2519" spans="2:2" x14ac:dyDescent="0.2">
      <c r="B2519" s="395"/>
    </row>
    <row r="2520" spans="2:2" x14ac:dyDescent="0.2">
      <c r="B2520" s="395"/>
    </row>
    <row r="2521" spans="2:2" x14ac:dyDescent="0.2">
      <c r="B2521" s="395"/>
    </row>
    <row r="2522" spans="2:2" x14ac:dyDescent="0.2">
      <c r="B2522" s="395"/>
    </row>
    <row r="2523" spans="2:2" x14ac:dyDescent="0.2">
      <c r="B2523" s="395"/>
    </row>
    <row r="2524" spans="2:2" x14ac:dyDescent="0.2">
      <c r="B2524" s="395"/>
    </row>
    <row r="2525" spans="2:2" x14ac:dyDescent="0.2">
      <c r="B2525" s="395"/>
    </row>
    <row r="2526" spans="2:2" x14ac:dyDescent="0.2">
      <c r="B2526" s="395"/>
    </row>
    <row r="2527" spans="2:2" x14ac:dyDescent="0.2">
      <c r="B2527" s="395"/>
    </row>
    <row r="2528" spans="2:2" x14ac:dyDescent="0.2">
      <c r="B2528" s="395"/>
    </row>
    <row r="2529" spans="2:2" x14ac:dyDescent="0.2">
      <c r="B2529" s="395"/>
    </row>
    <row r="2530" spans="2:2" x14ac:dyDescent="0.2">
      <c r="B2530" s="395"/>
    </row>
    <row r="2531" spans="2:2" x14ac:dyDescent="0.2">
      <c r="B2531" s="395"/>
    </row>
    <row r="2532" spans="2:2" x14ac:dyDescent="0.2">
      <c r="B2532" s="395"/>
    </row>
    <row r="2533" spans="2:2" x14ac:dyDescent="0.2">
      <c r="B2533" s="395"/>
    </row>
    <row r="2534" spans="2:2" x14ac:dyDescent="0.2">
      <c r="B2534" s="395"/>
    </row>
    <row r="2535" spans="2:2" x14ac:dyDescent="0.2">
      <c r="B2535" s="395"/>
    </row>
    <row r="2536" spans="2:2" x14ac:dyDescent="0.2">
      <c r="B2536" s="395"/>
    </row>
    <row r="2537" spans="2:2" x14ac:dyDescent="0.2">
      <c r="B2537" s="395"/>
    </row>
    <row r="2538" spans="2:2" x14ac:dyDescent="0.2">
      <c r="B2538" s="395"/>
    </row>
    <row r="2539" spans="2:2" x14ac:dyDescent="0.2">
      <c r="B2539" s="395"/>
    </row>
    <row r="2540" spans="2:2" x14ac:dyDescent="0.2">
      <c r="B2540" s="395"/>
    </row>
    <row r="2541" spans="2:2" x14ac:dyDescent="0.2">
      <c r="B2541" s="395"/>
    </row>
    <row r="2542" spans="2:2" x14ac:dyDescent="0.2">
      <c r="B2542" s="395"/>
    </row>
    <row r="2543" spans="2:2" x14ac:dyDescent="0.2">
      <c r="B2543" s="395"/>
    </row>
    <row r="2544" spans="2:2" x14ac:dyDescent="0.2">
      <c r="B2544" s="395"/>
    </row>
    <row r="2545" spans="2:2" x14ac:dyDescent="0.2">
      <c r="B2545" s="395"/>
    </row>
    <row r="2546" spans="2:2" x14ac:dyDescent="0.2">
      <c r="B2546" s="395"/>
    </row>
    <row r="2547" spans="2:2" x14ac:dyDescent="0.2">
      <c r="B2547" s="395"/>
    </row>
    <row r="2548" spans="2:2" x14ac:dyDescent="0.2">
      <c r="B2548" s="395"/>
    </row>
    <row r="2549" spans="2:2" x14ac:dyDescent="0.2">
      <c r="B2549" s="395"/>
    </row>
    <row r="2550" spans="2:2" x14ac:dyDescent="0.2">
      <c r="B2550" s="395"/>
    </row>
    <row r="2551" spans="2:2" x14ac:dyDescent="0.2">
      <c r="B2551" s="395"/>
    </row>
    <row r="2552" spans="2:2" x14ac:dyDescent="0.2">
      <c r="B2552" s="395"/>
    </row>
    <row r="2553" spans="2:2" x14ac:dyDescent="0.2">
      <c r="B2553" s="395"/>
    </row>
    <row r="2554" spans="2:2" x14ac:dyDescent="0.2">
      <c r="B2554" s="395"/>
    </row>
    <row r="2555" spans="2:2" x14ac:dyDescent="0.2">
      <c r="B2555" s="395"/>
    </row>
    <row r="2556" spans="2:2" x14ac:dyDescent="0.2">
      <c r="B2556" s="395"/>
    </row>
    <row r="2557" spans="2:2" x14ac:dyDescent="0.2">
      <c r="B2557" s="395"/>
    </row>
    <row r="2558" spans="2:2" x14ac:dyDescent="0.2">
      <c r="B2558" s="395"/>
    </row>
    <row r="2559" spans="2:2" x14ac:dyDescent="0.2">
      <c r="B2559" s="395"/>
    </row>
    <row r="2560" spans="2:2" x14ac:dyDescent="0.2">
      <c r="B2560" s="395"/>
    </row>
    <row r="2561" spans="2:2" x14ac:dyDescent="0.2">
      <c r="B2561" s="395"/>
    </row>
    <row r="2562" spans="2:2" x14ac:dyDescent="0.2">
      <c r="B2562" s="395"/>
    </row>
    <row r="2563" spans="2:2" x14ac:dyDescent="0.2">
      <c r="B2563" s="395"/>
    </row>
    <row r="2564" spans="2:2" x14ac:dyDescent="0.2">
      <c r="B2564" s="395"/>
    </row>
    <row r="2565" spans="2:2" x14ac:dyDescent="0.2">
      <c r="B2565" s="395"/>
    </row>
    <row r="2566" spans="2:2" x14ac:dyDescent="0.2">
      <c r="B2566" s="395"/>
    </row>
    <row r="2567" spans="2:2" x14ac:dyDescent="0.2">
      <c r="B2567" s="395"/>
    </row>
    <row r="2568" spans="2:2" x14ac:dyDescent="0.2">
      <c r="B2568" s="395"/>
    </row>
    <row r="2569" spans="2:2" x14ac:dyDescent="0.2">
      <c r="B2569" s="395"/>
    </row>
    <row r="2570" spans="2:2" x14ac:dyDescent="0.2">
      <c r="B2570" s="395"/>
    </row>
    <row r="2571" spans="2:2" x14ac:dyDescent="0.2">
      <c r="B2571" s="395"/>
    </row>
    <row r="2572" spans="2:2" x14ac:dyDescent="0.2">
      <c r="B2572" s="395"/>
    </row>
    <row r="2573" spans="2:2" x14ac:dyDescent="0.2">
      <c r="B2573" s="395"/>
    </row>
    <row r="2574" spans="2:2" x14ac:dyDescent="0.2">
      <c r="B2574" s="395"/>
    </row>
    <row r="2575" spans="2:2" x14ac:dyDescent="0.2">
      <c r="B2575" s="395"/>
    </row>
    <row r="2576" spans="2:2" x14ac:dyDescent="0.2">
      <c r="B2576" s="395"/>
    </row>
    <row r="2577" spans="2:2" x14ac:dyDescent="0.2">
      <c r="B2577" s="395"/>
    </row>
    <row r="2578" spans="2:2" x14ac:dyDescent="0.2">
      <c r="B2578" s="395"/>
    </row>
    <row r="2579" spans="2:2" x14ac:dyDescent="0.2">
      <c r="B2579" s="395"/>
    </row>
    <row r="2580" spans="2:2" x14ac:dyDescent="0.2">
      <c r="B2580" s="395"/>
    </row>
    <row r="2581" spans="2:2" x14ac:dyDescent="0.2">
      <c r="B2581" s="395"/>
    </row>
    <row r="2582" spans="2:2" x14ac:dyDescent="0.2">
      <c r="B2582" s="395"/>
    </row>
    <row r="2583" spans="2:2" x14ac:dyDescent="0.2">
      <c r="B2583" s="395"/>
    </row>
    <row r="2584" spans="2:2" x14ac:dyDescent="0.2">
      <c r="B2584" s="395"/>
    </row>
    <row r="2585" spans="2:2" x14ac:dyDescent="0.2">
      <c r="B2585" s="395"/>
    </row>
    <row r="2586" spans="2:2" x14ac:dyDescent="0.2">
      <c r="B2586" s="395"/>
    </row>
    <row r="2587" spans="2:2" x14ac:dyDescent="0.2">
      <c r="B2587" s="395"/>
    </row>
    <row r="2588" spans="2:2" x14ac:dyDescent="0.2">
      <c r="B2588" s="395"/>
    </row>
    <row r="2589" spans="2:2" x14ac:dyDescent="0.2">
      <c r="B2589" s="395"/>
    </row>
    <row r="2590" spans="2:2" x14ac:dyDescent="0.2">
      <c r="B2590" s="395"/>
    </row>
    <row r="2591" spans="2:2" x14ac:dyDescent="0.2">
      <c r="B2591" s="395"/>
    </row>
    <row r="2592" spans="2:2" x14ac:dyDescent="0.2">
      <c r="B2592" s="395"/>
    </row>
    <row r="2593" spans="2:2" x14ac:dyDescent="0.2">
      <c r="B2593" s="395"/>
    </row>
    <row r="2594" spans="2:2" x14ac:dyDescent="0.2">
      <c r="B2594" s="395"/>
    </row>
    <row r="2595" spans="2:2" x14ac:dyDescent="0.2">
      <c r="B2595" s="395"/>
    </row>
    <row r="2596" spans="2:2" x14ac:dyDescent="0.2">
      <c r="B2596" s="395"/>
    </row>
    <row r="2597" spans="2:2" x14ac:dyDescent="0.2">
      <c r="B2597" s="395"/>
    </row>
    <row r="2598" spans="2:2" x14ac:dyDescent="0.2">
      <c r="B2598" s="395"/>
    </row>
    <row r="2599" spans="2:2" x14ac:dyDescent="0.2">
      <c r="B2599" s="395"/>
    </row>
    <row r="2600" spans="2:2" x14ac:dyDescent="0.2">
      <c r="B2600" s="395"/>
    </row>
    <row r="2601" spans="2:2" x14ac:dyDescent="0.2">
      <c r="B2601" s="395"/>
    </row>
    <row r="2602" spans="2:2" x14ac:dyDescent="0.2">
      <c r="B2602" s="395"/>
    </row>
    <row r="2603" spans="2:2" x14ac:dyDescent="0.2">
      <c r="B2603" s="395"/>
    </row>
    <row r="2604" spans="2:2" x14ac:dyDescent="0.2">
      <c r="B2604" s="395"/>
    </row>
    <row r="2605" spans="2:2" x14ac:dyDescent="0.2">
      <c r="B2605" s="395"/>
    </row>
    <row r="2606" spans="2:2" x14ac:dyDescent="0.2">
      <c r="B2606" s="395"/>
    </row>
    <row r="2607" spans="2:2" x14ac:dyDescent="0.2">
      <c r="B2607" s="395"/>
    </row>
    <row r="2608" spans="2:2" x14ac:dyDescent="0.2">
      <c r="B2608" s="395"/>
    </row>
    <row r="2609" spans="2:2" x14ac:dyDescent="0.2">
      <c r="B2609" s="395"/>
    </row>
    <row r="2610" spans="2:2" x14ac:dyDescent="0.2">
      <c r="B2610" s="395"/>
    </row>
    <row r="2611" spans="2:2" x14ac:dyDescent="0.2">
      <c r="B2611" s="395"/>
    </row>
    <row r="2612" spans="2:2" x14ac:dyDescent="0.2">
      <c r="B2612" s="395"/>
    </row>
    <row r="2613" spans="2:2" x14ac:dyDescent="0.2">
      <c r="B2613" s="395"/>
    </row>
    <row r="2614" spans="2:2" x14ac:dyDescent="0.2">
      <c r="B2614" s="395"/>
    </row>
    <row r="2615" spans="2:2" x14ac:dyDescent="0.2">
      <c r="B2615" s="395"/>
    </row>
    <row r="2616" spans="2:2" x14ac:dyDescent="0.2">
      <c r="B2616" s="395"/>
    </row>
    <row r="2617" spans="2:2" x14ac:dyDescent="0.2">
      <c r="B2617" s="395"/>
    </row>
    <row r="2618" spans="2:2" x14ac:dyDescent="0.2">
      <c r="B2618" s="395"/>
    </row>
    <row r="2619" spans="2:2" x14ac:dyDescent="0.2">
      <c r="B2619" s="395"/>
    </row>
    <row r="2620" spans="2:2" x14ac:dyDescent="0.2">
      <c r="B2620" s="395"/>
    </row>
    <row r="2621" spans="2:2" x14ac:dyDescent="0.2">
      <c r="B2621" s="395"/>
    </row>
    <row r="2622" spans="2:2" x14ac:dyDescent="0.2">
      <c r="B2622" s="395"/>
    </row>
    <row r="2623" spans="2:2" x14ac:dyDescent="0.2">
      <c r="B2623" s="395"/>
    </row>
    <row r="2624" spans="2:2" x14ac:dyDescent="0.2">
      <c r="B2624" s="395"/>
    </row>
    <row r="2625" spans="2:2" x14ac:dyDescent="0.2">
      <c r="B2625" s="395"/>
    </row>
    <row r="2626" spans="2:2" x14ac:dyDescent="0.2">
      <c r="B2626" s="395"/>
    </row>
    <row r="2627" spans="2:2" x14ac:dyDescent="0.2">
      <c r="B2627" s="395"/>
    </row>
    <row r="2628" spans="2:2" x14ac:dyDescent="0.2">
      <c r="B2628" s="395"/>
    </row>
    <row r="2629" spans="2:2" x14ac:dyDescent="0.2">
      <c r="B2629" s="395"/>
    </row>
    <row r="2630" spans="2:2" x14ac:dyDescent="0.2">
      <c r="B2630" s="395"/>
    </row>
    <row r="2631" spans="2:2" x14ac:dyDescent="0.2">
      <c r="B2631" s="395"/>
    </row>
    <row r="2632" spans="2:2" x14ac:dyDescent="0.2">
      <c r="B2632" s="395"/>
    </row>
    <row r="2633" spans="2:2" x14ac:dyDescent="0.2">
      <c r="B2633" s="395"/>
    </row>
    <row r="2634" spans="2:2" x14ac:dyDescent="0.2">
      <c r="B2634" s="395"/>
    </row>
    <row r="2635" spans="2:2" x14ac:dyDescent="0.2">
      <c r="B2635" s="395"/>
    </row>
    <row r="2636" spans="2:2" x14ac:dyDescent="0.2">
      <c r="B2636" s="395"/>
    </row>
    <row r="2637" spans="2:2" x14ac:dyDescent="0.2">
      <c r="B2637" s="395"/>
    </row>
    <row r="2638" spans="2:2" x14ac:dyDescent="0.2">
      <c r="B2638" s="395"/>
    </row>
    <row r="2639" spans="2:2" x14ac:dyDescent="0.2">
      <c r="B2639" s="395"/>
    </row>
    <row r="2640" spans="2:2" x14ac:dyDescent="0.2">
      <c r="B2640" s="395"/>
    </row>
    <row r="2641" spans="2:2" x14ac:dyDescent="0.2">
      <c r="B2641" s="395"/>
    </row>
    <row r="2642" spans="2:2" x14ac:dyDescent="0.2">
      <c r="B2642" s="395"/>
    </row>
    <row r="2643" spans="2:2" x14ac:dyDescent="0.2">
      <c r="B2643" s="395"/>
    </row>
    <row r="2644" spans="2:2" x14ac:dyDescent="0.2">
      <c r="B2644" s="395"/>
    </row>
    <row r="2645" spans="2:2" x14ac:dyDescent="0.2">
      <c r="B2645" s="395"/>
    </row>
    <row r="2646" spans="2:2" x14ac:dyDescent="0.2">
      <c r="B2646" s="395"/>
    </row>
    <row r="2647" spans="2:2" x14ac:dyDescent="0.2">
      <c r="B2647" s="395"/>
    </row>
    <row r="2648" spans="2:2" x14ac:dyDescent="0.2">
      <c r="B2648" s="395"/>
    </row>
    <row r="2649" spans="2:2" x14ac:dyDescent="0.2">
      <c r="B2649" s="395"/>
    </row>
    <row r="2650" spans="2:2" x14ac:dyDescent="0.2">
      <c r="B2650" s="395"/>
    </row>
    <row r="2651" spans="2:2" x14ac:dyDescent="0.2">
      <c r="B2651" s="395"/>
    </row>
    <row r="2652" spans="2:2" x14ac:dyDescent="0.2">
      <c r="B2652" s="395"/>
    </row>
    <row r="2653" spans="2:2" x14ac:dyDescent="0.2">
      <c r="B2653" s="395"/>
    </row>
    <row r="2654" spans="2:2" x14ac:dyDescent="0.2">
      <c r="B2654" s="395"/>
    </row>
    <row r="2655" spans="2:2" x14ac:dyDescent="0.2">
      <c r="B2655" s="395"/>
    </row>
    <row r="2656" spans="2:2" x14ac:dyDescent="0.2">
      <c r="B2656" s="395"/>
    </row>
    <row r="2657" spans="2:2" x14ac:dyDescent="0.2">
      <c r="B2657" s="395"/>
    </row>
    <row r="2658" spans="2:2" x14ac:dyDescent="0.2">
      <c r="B2658" s="395"/>
    </row>
    <row r="2659" spans="2:2" x14ac:dyDescent="0.2">
      <c r="B2659" s="395"/>
    </row>
    <row r="2660" spans="2:2" x14ac:dyDescent="0.2">
      <c r="B2660" s="395"/>
    </row>
    <row r="2661" spans="2:2" x14ac:dyDescent="0.2">
      <c r="B2661" s="395"/>
    </row>
    <row r="2662" spans="2:2" x14ac:dyDescent="0.2">
      <c r="B2662" s="395"/>
    </row>
    <row r="2663" spans="2:2" x14ac:dyDescent="0.2">
      <c r="B2663" s="395"/>
    </row>
    <row r="2664" spans="2:2" x14ac:dyDescent="0.2">
      <c r="B2664" s="395"/>
    </row>
    <row r="2665" spans="2:2" x14ac:dyDescent="0.2">
      <c r="B2665" s="395"/>
    </row>
    <row r="2666" spans="2:2" x14ac:dyDescent="0.2">
      <c r="B2666" s="395"/>
    </row>
    <row r="2667" spans="2:2" x14ac:dyDescent="0.2">
      <c r="B2667" s="395"/>
    </row>
    <row r="2668" spans="2:2" x14ac:dyDescent="0.2">
      <c r="B2668" s="395"/>
    </row>
    <row r="2669" spans="2:2" x14ac:dyDescent="0.2">
      <c r="B2669" s="395"/>
    </row>
    <row r="2670" spans="2:2" x14ac:dyDescent="0.2">
      <c r="B2670" s="395"/>
    </row>
    <row r="2671" spans="2:2" x14ac:dyDescent="0.2">
      <c r="B2671" s="395"/>
    </row>
    <row r="2672" spans="2:2" x14ac:dyDescent="0.2">
      <c r="B2672" s="395"/>
    </row>
    <row r="2673" spans="2:2" x14ac:dyDescent="0.2">
      <c r="B2673" s="395"/>
    </row>
    <row r="2674" spans="2:2" x14ac:dyDescent="0.2">
      <c r="B2674" s="395"/>
    </row>
    <row r="2675" spans="2:2" x14ac:dyDescent="0.2">
      <c r="B2675" s="395"/>
    </row>
    <row r="2676" spans="2:2" x14ac:dyDescent="0.2">
      <c r="B2676" s="395"/>
    </row>
    <row r="2677" spans="2:2" x14ac:dyDescent="0.2">
      <c r="B2677" s="395"/>
    </row>
    <row r="2678" spans="2:2" x14ac:dyDescent="0.2">
      <c r="B2678" s="395"/>
    </row>
    <row r="2679" spans="2:2" x14ac:dyDescent="0.2">
      <c r="B2679" s="395"/>
    </row>
    <row r="2680" spans="2:2" x14ac:dyDescent="0.2">
      <c r="B2680" s="395"/>
    </row>
    <row r="2681" spans="2:2" x14ac:dyDescent="0.2">
      <c r="B2681" s="395"/>
    </row>
    <row r="2682" spans="2:2" x14ac:dyDescent="0.2">
      <c r="B2682" s="395"/>
    </row>
    <row r="2683" spans="2:2" x14ac:dyDescent="0.2">
      <c r="B2683" s="395"/>
    </row>
    <row r="2684" spans="2:2" x14ac:dyDescent="0.2">
      <c r="B2684" s="395"/>
    </row>
    <row r="2685" spans="2:2" x14ac:dyDescent="0.2">
      <c r="B2685" s="395"/>
    </row>
    <row r="2686" spans="2:2" x14ac:dyDescent="0.2">
      <c r="B2686" s="395"/>
    </row>
    <row r="2687" spans="2:2" x14ac:dyDescent="0.2">
      <c r="B2687" s="395"/>
    </row>
    <row r="2688" spans="2:2" x14ac:dyDescent="0.2">
      <c r="B2688" s="395"/>
    </row>
    <row r="2689" spans="2:2" x14ac:dyDescent="0.2">
      <c r="B2689" s="395"/>
    </row>
    <row r="2690" spans="2:2" x14ac:dyDescent="0.2">
      <c r="B2690" s="395"/>
    </row>
    <row r="2691" spans="2:2" x14ac:dyDescent="0.2">
      <c r="B2691" s="395"/>
    </row>
    <row r="2692" spans="2:2" x14ac:dyDescent="0.2">
      <c r="B2692" s="395"/>
    </row>
    <row r="2693" spans="2:2" x14ac:dyDescent="0.2">
      <c r="B2693" s="395"/>
    </row>
    <row r="2694" spans="2:2" x14ac:dyDescent="0.2">
      <c r="B2694" s="395"/>
    </row>
    <row r="2695" spans="2:2" x14ac:dyDescent="0.2">
      <c r="B2695" s="395"/>
    </row>
    <row r="2696" spans="2:2" x14ac:dyDescent="0.2">
      <c r="B2696" s="395"/>
    </row>
    <row r="2697" spans="2:2" x14ac:dyDescent="0.2">
      <c r="B2697" s="395"/>
    </row>
    <row r="2698" spans="2:2" x14ac:dyDescent="0.2">
      <c r="B2698" s="395"/>
    </row>
    <row r="2699" spans="2:2" x14ac:dyDescent="0.2">
      <c r="B2699" s="395"/>
    </row>
    <row r="2700" spans="2:2" x14ac:dyDescent="0.2">
      <c r="B2700" s="395"/>
    </row>
    <row r="2701" spans="2:2" x14ac:dyDescent="0.2">
      <c r="B2701" s="395"/>
    </row>
    <row r="2702" spans="2:2" x14ac:dyDescent="0.2">
      <c r="B2702" s="395"/>
    </row>
    <row r="2703" spans="2:2" x14ac:dyDescent="0.2">
      <c r="B2703" s="395"/>
    </row>
    <row r="2704" spans="2:2" x14ac:dyDescent="0.2">
      <c r="B2704" s="395"/>
    </row>
    <row r="2705" spans="2:2" x14ac:dyDescent="0.2">
      <c r="B2705" s="395"/>
    </row>
    <row r="2706" spans="2:2" x14ac:dyDescent="0.2">
      <c r="B2706" s="395"/>
    </row>
    <row r="2707" spans="2:2" x14ac:dyDescent="0.2">
      <c r="B2707" s="395"/>
    </row>
    <row r="2708" spans="2:2" x14ac:dyDescent="0.2">
      <c r="B2708" s="395"/>
    </row>
    <row r="2709" spans="2:2" x14ac:dyDescent="0.2">
      <c r="B2709" s="395"/>
    </row>
    <row r="2710" spans="2:2" x14ac:dyDescent="0.2">
      <c r="B2710" s="395"/>
    </row>
    <row r="2711" spans="2:2" x14ac:dyDescent="0.2">
      <c r="B2711" s="395"/>
    </row>
    <row r="2712" spans="2:2" x14ac:dyDescent="0.2">
      <c r="B2712" s="395"/>
    </row>
    <row r="2713" spans="2:2" x14ac:dyDescent="0.2">
      <c r="B2713" s="395"/>
    </row>
    <row r="2714" spans="2:2" x14ac:dyDescent="0.2">
      <c r="B2714" s="395"/>
    </row>
    <row r="2715" spans="2:2" x14ac:dyDescent="0.2">
      <c r="B2715" s="395"/>
    </row>
    <row r="2716" spans="2:2" x14ac:dyDescent="0.2">
      <c r="B2716" s="395"/>
    </row>
    <row r="2717" spans="2:2" x14ac:dyDescent="0.2">
      <c r="B2717" s="395"/>
    </row>
    <row r="2718" spans="2:2" x14ac:dyDescent="0.2">
      <c r="B2718" s="395"/>
    </row>
    <row r="2719" spans="2:2" x14ac:dyDescent="0.2">
      <c r="B2719" s="395"/>
    </row>
    <row r="2720" spans="2:2" x14ac:dyDescent="0.2">
      <c r="B2720" s="395"/>
    </row>
    <row r="2721" spans="2:2" x14ac:dyDescent="0.2">
      <c r="B2721" s="395"/>
    </row>
    <row r="2722" spans="2:2" x14ac:dyDescent="0.2">
      <c r="B2722" s="395"/>
    </row>
    <row r="2723" spans="2:2" x14ac:dyDescent="0.2">
      <c r="B2723" s="395"/>
    </row>
    <row r="2724" spans="2:2" x14ac:dyDescent="0.2">
      <c r="B2724" s="395"/>
    </row>
    <row r="2725" spans="2:2" x14ac:dyDescent="0.2">
      <c r="B2725" s="395"/>
    </row>
    <row r="2726" spans="2:2" x14ac:dyDescent="0.2">
      <c r="B2726" s="395"/>
    </row>
    <row r="2727" spans="2:2" x14ac:dyDescent="0.2">
      <c r="B2727" s="395"/>
    </row>
    <row r="2728" spans="2:2" x14ac:dyDescent="0.2">
      <c r="B2728" s="395"/>
    </row>
    <row r="2729" spans="2:2" x14ac:dyDescent="0.2">
      <c r="B2729" s="395"/>
    </row>
    <row r="2730" spans="2:2" x14ac:dyDescent="0.2">
      <c r="B2730" s="395"/>
    </row>
    <row r="2731" spans="2:2" x14ac:dyDescent="0.2">
      <c r="B2731" s="395"/>
    </row>
    <row r="2732" spans="2:2" x14ac:dyDescent="0.2">
      <c r="B2732" s="395"/>
    </row>
    <row r="2733" spans="2:2" x14ac:dyDescent="0.2">
      <c r="B2733" s="395"/>
    </row>
    <row r="2734" spans="2:2" x14ac:dyDescent="0.2">
      <c r="B2734" s="395"/>
    </row>
    <row r="2735" spans="2:2" x14ac:dyDescent="0.2">
      <c r="B2735" s="395"/>
    </row>
    <row r="2736" spans="2:2" x14ac:dyDescent="0.2">
      <c r="B2736" s="395"/>
    </row>
    <row r="2737" spans="2:2" x14ac:dyDescent="0.2">
      <c r="B2737" s="395"/>
    </row>
    <row r="2738" spans="2:2" x14ac:dyDescent="0.2">
      <c r="B2738" s="395"/>
    </row>
    <row r="2739" spans="2:2" x14ac:dyDescent="0.2">
      <c r="B2739" s="395"/>
    </row>
    <row r="2740" spans="2:2" x14ac:dyDescent="0.2">
      <c r="B2740" s="395"/>
    </row>
    <row r="2741" spans="2:2" x14ac:dyDescent="0.2">
      <c r="B2741" s="395"/>
    </row>
    <row r="2742" spans="2:2" x14ac:dyDescent="0.2">
      <c r="B2742" s="395"/>
    </row>
    <row r="2743" spans="2:2" x14ac:dyDescent="0.2">
      <c r="B2743" s="395"/>
    </row>
    <row r="2744" spans="2:2" x14ac:dyDescent="0.2">
      <c r="B2744" s="395"/>
    </row>
    <row r="2745" spans="2:2" x14ac:dyDescent="0.2">
      <c r="B2745" s="395"/>
    </row>
    <row r="2746" spans="2:2" x14ac:dyDescent="0.2">
      <c r="B2746" s="395"/>
    </row>
    <row r="2747" spans="2:2" x14ac:dyDescent="0.2">
      <c r="B2747" s="395"/>
    </row>
    <row r="2748" spans="2:2" x14ac:dyDescent="0.2">
      <c r="B2748" s="395"/>
    </row>
    <row r="2749" spans="2:2" x14ac:dyDescent="0.2">
      <c r="B2749" s="395"/>
    </row>
    <row r="2750" spans="2:2" x14ac:dyDescent="0.2">
      <c r="B2750" s="395"/>
    </row>
    <row r="2751" spans="2:2" x14ac:dyDescent="0.2">
      <c r="B2751" s="395"/>
    </row>
    <row r="2752" spans="2:2" x14ac:dyDescent="0.2">
      <c r="B2752" s="395"/>
    </row>
    <row r="2753" spans="2:2" x14ac:dyDescent="0.2">
      <c r="B2753" s="395"/>
    </row>
    <row r="2754" spans="2:2" x14ac:dyDescent="0.2">
      <c r="B2754" s="395"/>
    </row>
    <row r="2755" spans="2:2" x14ac:dyDescent="0.2">
      <c r="B2755" s="395"/>
    </row>
    <row r="2756" spans="2:2" x14ac:dyDescent="0.2">
      <c r="B2756" s="395"/>
    </row>
    <row r="2757" spans="2:2" x14ac:dyDescent="0.2">
      <c r="B2757" s="395"/>
    </row>
    <row r="2758" spans="2:2" x14ac:dyDescent="0.2">
      <c r="B2758" s="395"/>
    </row>
    <row r="2759" spans="2:2" x14ac:dyDescent="0.2">
      <c r="B2759" s="395"/>
    </row>
    <row r="2760" spans="2:2" x14ac:dyDescent="0.2">
      <c r="B2760" s="395"/>
    </row>
    <row r="2761" spans="2:2" x14ac:dyDescent="0.2">
      <c r="B2761" s="395"/>
    </row>
    <row r="2762" spans="2:2" x14ac:dyDescent="0.2">
      <c r="B2762" s="395"/>
    </row>
    <row r="2763" spans="2:2" x14ac:dyDescent="0.2">
      <c r="B2763" s="395"/>
    </row>
    <row r="2764" spans="2:2" x14ac:dyDescent="0.2">
      <c r="B2764" s="395"/>
    </row>
    <row r="2765" spans="2:2" x14ac:dyDescent="0.2">
      <c r="B2765" s="395"/>
    </row>
    <row r="2766" spans="2:2" x14ac:dyDescent="0.2">
      <c r="B2766" s="395"/>
    </row>
    <row r="2767" spans="2:2" x14ac:dyDescent="0.2">
      <c r="B2767" s="395"/>
    </row>
    <row r="2768" spans="2:2" x14ac:dyDescent="0.2">
      <c r="B2768" s="395"/>
    </row>
    <row r="2769" spans="2:2" x14ac:dyDescent="0.2">
      <c r="B2769" s="395"/>
    </row>
    <row r="2770" spans="2:2" x14ac:dyDescent="0.2">
      <c r="B2770" s="395"/>
    </row>
    <row r="2771" spans="2:2" x14ac:dyDescent="0.2">
      <c r="B2771" s="395"/>
    </row>
    <row r="2772" spans="2:2" x14ac:dyDescent="0.2">
      <c r="B2772" s="395"/>
    </row>
    <row r="2773" spans="2:2" x14ac:dyDescent="0.2">
      <c r="B2773" s="395"/>
    </row>
    <row r="2774" spans="2:2" x14ac:dyDescent="0.2">
      <c r="B2774" s="395"/>
    </row>
    <row r="2775" spans="2:2" x14ac:dyDescent="0.2">
      <c r="B2775" s="395"/>
    </row>
    <row r="2776" spans="2:2" x14ac:dyDescent="0.2">
      <c r="B2776" s="395"/>
    </row>
    <row r="2777" spans="2:2" x14ac:dyDescent="0.2">
      <c r="B2777" s="395"/>
    </row>
    <row r="2778" spans="2:2" x14ac:dyDescent="0.2">
      <c r="B2778" s="395"/>
    </row>
    <row r="2779" spans="2:2" x14ac:dyDescent="0.2">
      <c r="B2779" s="395"/>
    </row>
    <row r="2780" spans="2:2" x14ac:dyDescent="0.2">
      <c r="B2780" s="395"/>
    </row>
    <row r="2781" spans="2:2" x14ac:dyDescent="0.2">
      <c r="B2781" s="395"/>
    </row>
    <row r="2782" spans="2:2" x14ac:dyDescent="0.2">
      <c r="B2782" s="395"/>
    </row>
    <row r="2783" spans="2:2" x14ac:dyDescent="0.2">
      <c r="B2783" s="395"/>
    </row>
    <row r="2784" spans="2:2" x14ac:dyDescent="0.2">
      <c r="B2784" s="395"/>
    </row>
    <row r="2785" spans="2:2" x14ac:dyDescent="0.2">
      <c r="B2785" s="395"/>
    </row>
    <row r="2786" spans="2:2" x14ac:dyDescent="0.2">
      <c r="B2786" s="395"/>
    </row>
    <row r="2787" spans="2:2" x14ac:dyDescent="0.2">
      <c r="B2787" s="395"/>
    </row>
    <row r="2788" spans="2:2" x14ac:dyDescent="0.2">
      <c r="B2788" s="395"/>
    </row>
    <row r="2789" spans="2:2" x14ac:dyDescent="0.2">
      <c r="B2789" s="395"/>
    </row>
    <row r="2790" spans="2:2" x14ac:dyDescent="0.2">
      <c r="B2790" s="395"/>
    </row>
    <row r="2791" spans="2:2" x14ac:dyDescent="0.2">
      <c r="B2791" s="395"/>
    </row>
    <row r="2792" spans="2:2" x14ac:dyDescent="0.2">
      <c r="B2792" s="395"/>
    </row>
    <row r="2793" spans="2:2" x14ac:dyDescent="0.2">
      <c r="B2793" s="395"/>
    </row>
    <row r="2794" spans="2:2" x14ac:dyDescent="0.2">
      <c r="B2794" s="395"/>
    </row>
    <row r="2795" spans="2:2" x14ac:dyDescent="0.2">
      <c r="B2795" s="395"/>
    </row>
    <row r="2796" spans="2:2" x14ac:dyDescent="0.2">
      <c r="B2796" s="395"/>
    </row>
    <row r="2797" spans="2:2" x14ac:dyDescent="0.2">
      <c r="B2797" s="395"/>
    </row>
    <row r="2798" spans="2:2" x14ac:dyDescent="0.2">
      <c r="B2798" s="395"/>
    </row>
    <row r="2799" spans="2:2" x14ac:dyDescent="0.2">
      <c r="B2799" s="395"/>
    </row>
    <row r="2800" spans="2:2" x14ac:dyDescent="0.2">
      <c r="B2800" s="395"/>
    </row>
    <row r="2801" spans="2:2" x14ac:dyDescent="0.2">
      <c r="B2801" s="395"/>
    </row>
    <row r="2802" spans="2:2" x14ac:dyDescent="0.2">
      <c r="B2802" s="395"/>
    </row>
    <row r="2803" spans="2:2" x14ac:dyDescent="0.2">
      <c r="B2803" s="395"/>
    </row>
    <row r="2804" spans="2:2" x14ac:dyDescent="0.2">
      <c r="B2804" s="395"/>
    </row>
    <row r="2805" spans="2:2" x14ac:dyDescent="0.2">
      <c r="B2805" s="395"/>
    </row>
    <row r="2806" spans="2:2" x14ac:dyDescent="0.2">
      <c r="B2806" s="395"/>
    </row>
    <row r="2807" spans="2:2" x14ac:dyDescent="0.2">
      <c r="B2807" s="395"/>
    </row>
    <row r="2808" spans="2:2" x14ac:dyDescent="0.2">
      <c r="B2808" s="395"/>
    </row>
    <row r="2809" spans="2:2" x14ac:dyDescent="0.2">
      <c r="B2809" s="395"/>
    </row>
    <row r="2810" spans="2:2" x14ac:dyDescent="0.2">
      <c r="B2810" s="395"/>
    </row>
    <row r="2811" spans="2:2" x14ac:dyDescent="0.2">
      <c r="B2811" s="395"/>
    </row>
    <row r="2812" spans="2:2" x14ac:dyDescent="0.2">
      <c r="B2812" s="395"/>
    </row>
    <row r="2813" spans="2:2" x14ac:dyDescent="0.2">
      <c r="B2813" s="395"/>
    </row>
    <row r="2814" spans="2:2" x14ac:dyDescent="0.2">
      <c r="B2814" s="395"/>
    </row>
    <row r="2815" spans="2:2" x14ac:dyDescent="0.2">
      <c r="B2815" s="395"/>
    </row>
    <row r="2816" spans="2:2" x14ac:dyDescent="0.2">
      <c r="B2816" s="395"/>
    </row>
    <row r="2817" spans="2:2" x14ac:dyDescent="0.2">
      <c r="B2817" s="395"/>
    </row>
    <row r="2818" spans="2:2" x14ac:dyDescent="0.2">
      <c r="B2818" s="395"/>
    </row>
    <row r="2819" spans="2:2" x14ac:dyDescent="0.2">
      <c r="B2819" s="395"/>
    </row>
    <row r="2820" spans="2:2" x14ac:dyDescent="0.2">
      <c r="B2820" s="395"/>
    </row>
    <row r="2821" spans="2:2" x14ac:dyDescent="0.2">
      <c r="B2821" s="395"/>
    </row>
    <row r="2822" spans="2:2" x14ac:dyDescent="0.2">
      <c r="B2822" s="395"/>
    </row>
    <row r="2823" spans="2:2" x14ac:dyDescent="0.2">
      <c r="B2823" s="395"/>
    </row>
    <row r="2824" spans="2:2" x14ac:dyDescent="0.2">
      <c r="B2824" s="395"/>
    </row>
    <row r="2825" spans="2:2" x14ac:dyDescent="0.2">
      <c r="B2825" s="395"/>
    </row>
    <row r="2826" spans="2:2" x14ac:dyDescent="0.2">
      <c r="B2826" s="395"/>
    </row>
    <row r="2827" spans="2:2" x14ac:dyDescent="0.2">
      <c r="B2827" s="395"/>
    </row>
    <row r="2828" spans="2:2" x14ac:dyDescent="0.2">
      <c r="B2828" s="395"/>
    </row>
    <row r="2829" spans="2:2" x14ac:dyDescent="0.2">
      <c r="B2829" s="395"/>
    </row>
    <row r="2830" spans="2:2" x14ac:dyDescent="0.2">
      <c r="B2830" s="395"/>
    </row>
    <row r="2831" spans="2:2" x14ac:dyDescent="0.2">
      <c r="B2831" s="395"/>
    </row>
    <row r="2832" spans="2:2" x14ac:dyDescent="0.2">
      <c r="B2832" s="395"/>
    </row>
    <row r="2833" spans="2:2" x14ac:dyDescent="0.2">
      <c r="B2833" s="395"/>
    </row>
    <row r="2834" spans="2:2" x14ac:dyDescent="0.2">
      <c r="B2834" s="395"/>
    </row>
    <row r="2835" spans="2:2" x14ac:dyDescent="0.2">
      <c r="B2835" s="395"/>
    </row>
    <row r="2836" spans="2:2" x14ac:dyDescent="0.2">
      <c r="B2836" s="395"/>
    </row>
    <row r="2837" spans="2:2" x14ac:dyDescent="0.2">
      <c r="B2837" s="395"/>
    </row>
    <row r="2838" spans="2:2" x14ac:dyDescent="0.2">
      <c r="B2838" s="395"/>
    </row>
    <row r="2839" spans="2:2" x14ac:dyDescent="0.2">
      <c r="B2839" s="395"/>
    </row>
    <row r="2840" spans="2:2" x14ac:dyDescent="0.2">
      <c r="B2840" s="395"/>
    </row>
    <row r="2841" spans="2:2" x14ac:dyDescent="0.2">
      <c r="B2841" s="395"/>
    </row>
    <row r="2842" spans="2:2" x14ac:dyDescent="0.2">
      <c r="B2842" s="395"/>
    </row>
    <row r="2843" spans="2:2" x14ac:dyDescent="0.2">
      <c r="B2843" s="395"/>
    </row>
    <row r="2844" spans="2:2" x14ac:dyDescent="0.2">
      <c r="B2844" s="395"/>
    </row>
    <row r="2845" spans="2:2" x14ac:dyDescent="0.2">
      <c r="B2845" s="395"/>
    </row>
    <row r="2846" spans="2:2" x14ac:dyDescent="0.2">
      <c r="B2846" s="395"/>
    </row>
    <row r="2847" spans="2:2" x14ac:dyDescent="0.2">
      <c r="B2847" s="395"/>
    </row>
    <row r="2848" spans="2:2" x14ac:dyDescent="0.2">
      <c r="B2848" s="395"/>
    </row>
    <row r="2849" spans="2:2" x14ac:dyDescent="0.2">
      <c r="B2849" s="395"/>
    </row>
    <row r="2850" spans="2:2" x14ac:dyDescent="0.2">
      <c r="B2850" s="395"/>
    </row>
    <row r="2851" spans="2:2" x14ac:dyDescent="0.2">
      <c r="B2851" s="395"/>
    </row>
    <row r="2852" spans="2:2" x14ac:dyDescent="0.2">
      <c r="B2852" s="395"/>
    </row>
    <row r="2853" spans="2:2" x14ac:dyDescent="0.2">
      <c r="B2853" s="395"/>
    </row>
    <row r="2854" spans="2:2" x14ac:dyDescent="0.2">
      <c r="B2854" s="395"/>
    </row>
    <row r="2855" spans="2:2" x14ac:dyDescent="0.2">
      <c r="B2855" s="395"/>
    </row>
    <row r="2856" spans="2:2" x14ac:dyDescent="0.2">
      <c r="B2856" s="395"/>
    </row>
    <row r="2857" spans="2:2" x14ac:dyDescent="0.2">
      <c r="B2857" s="395"/>
    </row>
    <row r="2858" spans="2:2" x14ac:dyDescent="0.2">
      <c r="B2858" s="395"/>
    </row>
    <row r="2859" spans="2:2" x14ac:dyDescent="0.2">
      <c r="B2859" s="395"/>
    </row>
    <row r="2860" spans="2:2" x14ac:dyDescent="0.2">
      <c r="B2860" s="395"/>
    </row>
    <row r="2861" spans="2:2" x14ac:dyDescent="0.2">
      <c r="B2861" s="395"/>
    </row>
    <row r="2862" spans="2:2" x14ac:dyDescent="0.2">
      <c r="B2862" s="395"/>
    </row>
    <row r="2863" spans="2:2" x14ac:dyDescent="0.2">
      <c r="B2863" s="395"/>
    </row>
    <row r="2864" spans="2:2" x14ac:dyDescent="0.2">
      <c r="B2864" s="395"/>
    </row>
    <row r="2865" spans="2:2" x14ac:dyDescent="0.2">
      <c r="B2865" s="395"/>
    </row>
    <row r="2866" spans="2:2" x14ac:dyDescent="0.2">
      <c r="B2866" s="395"/>
    </row>
    <row r="2867" spans="2:2" x14ac:dyDescent="0.2">
      <c r="B2867" s="395"/>
    </row>
    <row r="2868" spans="2:2" x14ac:dyDescent="0.2">
      <c r="B2868" s="395"/>
    </row>
    <row r="2869" spans="2:2" x14ac:dyDescent="0.2">
      <c r="B2869" s="395"/>
    </row>
    <row r="2870" spans="2:2" x14ac:dyDescent="0.2">
      <c r="B2870" s="395"/>
    </row>
    <row r="2871" spans="2:2" x14ac:dyDescent="0.2">
      <c r="B2871" s="395"/>
    </row>
    <row r="2872" spans="2:2" x14ac:dyDescent="0.2">
      <c r="B2872" s="395"/>
    </row>
    <row r="2873" spans="2:2" x14ac:dyDescent="0.2">
      <c r="B2873" s="395"/>
    </row>
    <row r="2874" spans="2:2" x14ac:dyDescent="0.2">
      <c r="B2874" s="395"/>
    </row>
    <row r="2875" spans="2:2" x14ac:dyDescent="0.2">
      <c r="B2875" s="395"/>
    </row>
    <row r="2876" spans="2:2" x14ac:dyDescent="0.2">
      <c r="B2876" s="395"/>
    </row>
    <row r="2877" spans="2:2" x14ac:dyDescent="0.2">
      <c r="B2877" s="395"/>
    </row>
    <row r="2878" spans="2:2" x14ac:dyDescent="0.2">
      <c r="B2878" s="395"/>
    </row>
    <row r="2879" spans="2:2" x14ac:dyDescent="0.2">
      <c r="B2879" s="395"/>
    </row>
    <row r="2880" spans="2:2" x14ac:dyDescent="0.2">
      <c r="B2880" s="395"/>
    </row>
    <row r="2881" spans="2:2" x14ac:dyDescent="0.2">
      <c r="B2881" s="395"/>
    </row>
    <row r="2882" spans="2:2" x14ac:dyDescent="0.2">
      <c r="B2882" s="395"/>
    </row>
    <row r="2883" spans="2:2" x14ac:dyDescent="0.2">
      <c r="B2883" s="395"/>
    </row>
    <row r="2884" spans="2:2" x14ac:dyDescent="0.2">
      <c r="B2884" s="395"/>
    </row>
    <row r="2885" spans="2:2" x14ac:dyDescent="0.2">
      <c r="B2885" s="395"/>
    </row>
    <row r="2886" spans="2:2" x14ac:dyDescent="0.2">
      <c r="B2886" s="395"/>
    </row>
    <row r="2887" spans="2:2" x14ac:dyDescent="0.2">
      <c r="B2887" s="395"/>
    </row>
    <row r="2888" spans="2:2" x14ac:dyDescent="0.2">
      <c r="B2888" s="395"/>
    </row>
    <row r="2889" spans="2:2" x14ac:dyDescent="0.2">
      <c r="B2889" s="395"/>
    </row>
    <row r="2890" spans="2:2" x14ac:dyDescent="0.2">
      <c r="B2890" s="395"/>
    </row>
    <row r="2891" spans="2:2" x14ac:dyDescent="0.2">
      <c r="B2891" s="395"/>
    </row>
    <row r="2892" spans="2:2" x14ac:dyDescent="0.2">
      <c r="B2892" s="395"/>
    </row>
    <row r="2893" spans="2:2" x14ac:dyDescent="0.2">
      <c r="B2893" s="395"/>
    </row>
    <row r="2894" spans="2:2" x14ac:dyDescent="0.2">
      <c r="B2894" s="395"/>
    </row>
    <row r="2895" spans="2:2" x14ac:dyDescent="0.2">
      <c r="B2895" s="395"/>
    </row>
    <row r="2896" spans="2:2" x14ac:dyDescent="0.2">
      <c r="B2896" s="395"/>
    </row>
    <row r="2897" spans="2:2" x14ac:dyDescent="0.2">
      <c r="B2897" s="395"/>
    </row>
    <row r="2898" spans="2:2" x14ac:dyDescent="0.2">
      <c r="B2898" s="395"/>
    </row>
    <row r="2899" spans="2:2" x14ac:dyDescent="0.2">
      <c r="B2899" s="395"/>
    </row>
    <row r="2900" spans="2:2" x14ac:dyDescent="0.2">
      <c r="B2900" s="395"/>
    </row>
    <row r="2901" spans="2:2" x14ac:dyDescent="0.2">
      <c r="B2901" s="395"/>
    </row>
    <row r="2902" spans="2:2" x14ac:dyDescent="0.2">
      <c r="B2902" s="395"/>
    </row>
    <row r="2903" spans="2:2" x14ac:dyDescent="0.2">
      <c r="B2903" s="395"/>
    </row>
    <row r="2904" spans="2:2" x14ac:dyDescent="0.2">
      <c r="B2904" s="395"/>
    </row>
    <row r="2905" spans="2:2" x14ac:dyDescent="0.2">
      <c r="B2905" s="395"/>
    </row>
    <row r="2906" spans="2:2" x14ac:dyDescent="0.2">
      <c r="B2906" s="395"/>
    </row>
    <row r="2907" spans="2:2" x14ac:dyDescent="0.2">
      <c r="B2907" s="395"/>
    </row>
    <row r="2908" spans="2:2" x14ac:dyDescent="0.2">
      <c r="B2908" s="395"/>
    </row>
    <row r="2909" spans="2:2" x14ac:dyDescent="0.2">
      <c r="B2909" s="395"/>
    </row>
    <row r="2910" spans="2:2" x14ac:dyDescent="0.2">
      <c r="B2910" s="395"/>
    </row>
    <row r="2911" spans="2:2" x14ac:dyDescent="0.2">
      <c r="B2911" s="395"/>
    </row>
    <row r="2912" spans="2:2" x14ac:dyDescent="0.2">
      <c r="B2912" s="395"/>
    </row>
    <row r="2913" spans="2:2" x14ac:dyDescent="0.2">
      <c r="B2913" s="395"/>
    </row>
    <row r="2914" spans="2:2" x14ac:dyDescent="0.2">
      <c r="B2914" s="395"/>
    </row>
    <row r="2915" spans="2:2" x14ac:dyDescent="0.2">
      <c r="B2915" s="395"/>
    </row>
    <row r="2916" spans="2:2" x14ac:dyDescent="0.2">
      <c r="B2916" s="395"/>
    </row>
    <row r="2917" spans="2:2" x14ac:dyDescent="0.2">
      <c r="B2917" s="395"/>
    </row>
    <row r="2918" spans="2:2" x14ac:dyDescent="0.2">
      <c r="B2918" s="395"/>
    </row>
    <row r="2919" spans="2:2" x14ac:dyDescent="0.2">
      <c r="B2919" s="395"/>
    </row>
    <row r="2920" spans="2:2" x14ac:dyDescent="0.2">
      <c r="B2920" s="395"/>
    </row>
    <row r="2921" spans="2:2" x14ac:dyDescent="0.2">
      <c r="B2921" s="395"/>
    </row>
    <row r="2922" spans="2:2" x14ac:dyDescent="0.2">
      <c r="B2922" s="395"/>
    </row>
    <row r="2923" spans="2:2" x14ac:dyDescent="0.2">
      <c r="B2923" s="395"/>
    </row>
    <row r="2924" spans="2:2" x14ac:dyDescent="0.2">
      <c r="B2924" s="395"/>
    </row>
    <row r="2925" spans="2:2" x14ac:dyDescent="0.2">
      <c r="B2925" s="395"/>
    </row>
    <row r="2926" spans="2:2" x14ac:dyDescent="0.2">
      <c r="B2926" s="395"/>
    </row>
    <row r="2927" spans="2:2" x14ac:dyDescent="0.2">
      <c r="B2927" s="395"/>
    </row>
    <row r="2928" spans="2:2" x14ac:dyDescent="0.2">
      <c r="B2928" s="395"/>
    </row>
    <row r="2929" spans="2:2" x14ac:dyDescent="0.2">
      <c r="B2929" s="395"/>
    </row>
    <row r="2930" spans="2:2" x14ac:dyDescent="0.2">
      <c r="B2930" s="395"/>
    </row>
    <row r="2931" spans="2:2" x14ac:dyDescent="0.2">
      <c r="B2931" s="395"/>
    </row>
    <row r="2932" spans="2:2" x14ac:dyDescent="0.2">
      <c r="B2932" s="395"/>
    </row>
    <row r="2933" spans="2:2" x14ac:dyDescent="0.2">
      <c r="B2933" s="395"/>
    </row>
    <row r="2934" spans="2:2" x14ac:dyDescent="0.2">
      <c r="B2934" s="395"/>
    </row>
    <row r="2935" spans="2:2" x14ac:dyDescent="0.2">
      <c r="B2935" s="395"/>
    </row>
    <row r="2936" spans="2:2" x14ac:dyDescent="0.2">
      <c r="B2936" s="395"/>
    </row>
    <row r="2937" spans="2:2" x14ac:dyDescent="0.2">
      <c r="B2937" s="395"/>
    </row>
    <row r="2938" spans="2:2" x14ac:dyDescent="0.2">
      <c r="B2938" s="395"/>
    </row>
    <row r="2939" spans="2:2" x14ac:dyDescent="0.2">
      <c r="B2939" s="395"/>
    </row>
    <row r="2940" spans="2:2" x14ac:dyDescent="0.2">
      <c r="B2940" s="395"/>
    </row>
    <row r="2941" spans="2:2" x14ac:dyDescent="0.2">
      <c r="B2941" s="395"/>
    </row>
    <row r="2942" spans="2:2" x14ac:dyDescent="0.2">
      <c r="B2942" s="395"/>
    </row>
    <row r="2943" spans="2:2" x14ac:dyDescent="0.2">
      <c r="B2943" s="395"/>
    </row>
    <row r="2944" spans="2:2" x14ac:dyDescent="0.2">
      <c r="B2944" s="395"/>
    </row>
    <row r="2945" spans="2:2" x14ac:dyDescent="0.2">
      <c r="B2945" s="395"/>
    </row>
    <row r="2946" spans="2:2" x14ac:dyDescent="0.2">
      <c r="B2946" s="395"/>
    </row>
    <row r="2947" spans="2:2" x14ac:dyDescent="0.2">
      <c r="B2947" s="395"/>
    </row>
    <row r="2948" spans="2:2" x14ac:dyDescent="0.2">
      <c r="B2948" s="395"/>
    </row>
    <row r="2949" spans="2:2" x14ac:dyDescent="0.2">
      <c r="B2949" s="395"/>
    </row>
    <row r="2950" spans="2:2" x14ac:dyDescent="0.2">
      <c r="B2950" s="395"/>
    </row>
    <row r="2951" spans="2:2" x14ac:dyDescent="0.2">
      <c r="B2951" s="395"/>
    </row>
    <row r="2952" spans="2:2" x14ac:dyDescent="0.2">
      <c r="B2952" s="395"/>
    </row>
    <row r="2953" spans="2:2" x14ac:dyDescent="0.2">
      <c r="B2953" s="395"/>
    </row>
    <row r="2954" spans="2:2" x14ac:dyDescent="0.2">
      <c r="B2954" s="395"/>
    </row>
    <row r="2955" spans="2:2" x14ac:dyDescent="0.2">
      <c r="B2955" s="395"/>
    </row>
    <row r="2956" spans="2:2" x14ac:dyDescent="0.2">
      <c r="B2956" s="395"/>
    </row>
    <row r="2957" spans="2:2" x14ac:dyDescent="0.2">
      <c r="B2957" s="395"/>
    </row>
    <row r="2958" spans="2:2" x14ac:dyDescent="0.2">
      <c r="B2958" s="395"/>
    </row>
    <row r="2959" spans="2:2" x14ac:dyDescent="0.2">
      <c r="B2959" s="395"/>
    </row>
    <row r="2960" spans="2:2" x14ac:dyDescent="0.2">
      <c r="B2960" s="395"/>
    </row>
    <row r="2961" spans="2:2" x14ac:dyDescent="0.2">
      <c r="B2961" s="395"/>
    </row>
    <row r="2962" spans="2:2" x14ac:dyDescent="0.2">
      <c r="B2962" s="395"/>
    </row>
    <row r="2963" spans="2:2" x14ac:dyDescent="0.2">
      <c r="B2963" s="395"/>
    </row>
    <row r="2964" spans="2:2" x14ac:dyDescent="0.2">
      <c r="B2964" s="395"/>
    </row>
    <row r="2965" spans="2:2" x14ac:dyDescent="0.2">
      <c r="B2965" s="395"/>
    </row>
    <row r="2966" spans="2:2" x14ac:dyDescent="0.2">
      <c r="B2966" s="395"/>
    </row>
    <row r="2967" spans="2:2" x14ac:dyDescent="0.2">
      <c r="B2967" s="395"/>
    </row>
    <row r="2968" spans="2:2" x14ac:dyDescent="0.2">
      <c r="B2968" s="395"/>
    </row>
    <row r="2969" spans="2:2" x14ac:dyDescent="0.2">
      <c r="B2969" s="395"/>
    </row>
    <row r="2970" spans="2:2" x14ac:dyDescent="0.2">
      <c r="B2970" s="395"/>
    </row>
    <row r="2971" spans="2:2" x14ac:dyDescent="0.2">
      <c r="B2971" s="395"/>
    </row>
    <row r="2972" spans="2:2" x14ac:dyDescent="0.2">
      <c r="B2972" s="395"/>
    </row>
    <row r="2973" spans="2:2" x14ac:dyDescent="0.2">
      <c r="B2973" s="395"/>
    </row>
    <row r="2974" spans="2:2" x14ac:dyDescent="0.2">
      <c r="B2974" s="395"/>
    </row>
    <row r="2975" spans="2:2" x14ac:dyDescent="0.2">
      <c r="B2975" s="395"/>
    </row>
    <row r="2976" spans="2:2" x14ac:dyDescent="0.2">
      <c r="B2976" s="395"/>
    </row>
    <row r="2977" spans="2:2" x14ac:dyDescent="0.2">
      <c r="B2977" s="395"/>
    </row>
    <row r="2978" spans="2:2" x14ac:dyDescent="0.2">
      <c r="B2978" s="395"/>
    </row>
    <row r="2979" spans="2:2" x14ac:dyDescent="0.2">
      <c r="B2979" s="395"/>
    </row>
    <row r="2980" spans="2:2" x14ac:dyDescent="0.2">
      <c r="B2980" s="395"/>
    </row>
    <row r="2981" spans="2:2" x14ac:dyDescent="0.2">
      <c r="B2981" s="395"/>
    </row>
    <row r="2982" spans="2:2" x14ac:dyDescent="0.2">
      <c r="B2982" s="395"/>
    </row>
    <row r="2983" spans="2:2" x14ac:dyDescent="0.2">
      <c r="B2983" s="395"/>
    </row>
    <row r="2984" spans="2:2" x14ac:dyDescent="0.2">
      <c r="B2984" s="395"/>
    </row>
    <row r="2985" spans="2:2" x14ac:dyDescent="0.2">
      <c r="B2985" s="395"/>
    </row>
    <row r="2986" spans="2:2" x14ac:dyDescent="0.2">
      <c r="B2986" s="395"/>
    </row>
    <row r="2987" spans="2:2" x14ac:dyDescent="0.2">
      <c r="B2987" s="395"/>
    </row>
    <row r="2988" spans="2:2" x14ac:dyDescent="0.2">
      <c r="B2988" s="395"/>
    </row>
    <row r="2989" spans="2:2" x14ac:dyDescent="0.2">
      <c r="B2989" s="395"/>
    </row>
    <row r="2990" spans="2:2" x14ac:dyDescent="0.2">
      <c r="B2990" s="395"/>
    </row>
    <row r="2991" spans="2:2" x14ac:dyDescent="0.2">
      <c r="B2991" s="395"/>
    </row>
    <row r="2992" spans="2:2" x14ac:dyDescent="0.2">
      <c r="B2992" s="395"/>
    </row>
    <row r="2993" spans="2:2" x14ac:dyDescent="0.2">
      <c r="B2993" s="395"/>
    </row>
    <row r="2994" spans="2:2" x14ac:dyDescent="0.2">
      <c r="B2994" s="395"/>
    </row>
    <row r="2995" spans="2:2" x14ac:dyDescent="0.2">
      <c r="B2995" s="395"/>
    </row>
    <row r="2996" spans="2:2" x14ac:dyDescent="0.2">
      <c r="B2996" s="395"/>
    </row>
    <row r="2997" spans="2:2" x14ac:dyDescent="0.2">
      <c r="B2997" s="395"/>
    </row>
    <row r="2998" spans="2:2" x14ac:dyDescent="0.2">
      <c r="B2998" s="395"/>
    </row>
    <row r="2999" spans="2:2" x14ac:dyDescent="0.2">
      <c r="B2999" s="395"/>
    </row>
    <row r="3000" spans="2:2" x14ac:dyDescent="0.2">
      <c r="B3000" s="395"/>
    </row>
    <row r="3001" spans="2:2" x14ac:dyDescent="0.2">
      <c r="B3001" s="395"/>
    </row>
    <row r="3002" spans="2:2" x14ac:dyDescent="0.2">
      <c r="B3002" s="395"/>
    </row>
    <row r="3003" spans="2:2" x14ac:dyDescent="0.2">
      <c r="B3003" s="395"/>
    </row>
    <row r="3004" spans="2:2" x14ac:dyDescent="0.2">
      <c r="B3004" s="395"/>
    </row>
    <row r="3005" spans="2:2" x14ac:dyDescent="0.2">
      <c r="B3005" s="395"/>
    </row>
    <row r="3006" spans="2:2" x14ac:dyDescent="0.2">
      <c r="B3006" s="395"/>
    </row>
    <row r="3007" spans="2:2" x14ac:dyDescent="0.2">
      <c r="B3007" s="395"/>
    </row>
    <row r="3008" spans="2:2" x14ac:dyDescent="0.2">
      <c r="B3008" s="395"/>
    </row>
    <row r="3009" spans="2:2" x14ac:dyDescent="0.2">
      <c r="B3009" s="395"/>
    </row>
    <row r="3010" spans="2:2" x14ac:dyDescent="0.2">
      <c r="B3010" s="395"/>
    </row>
    <row r="3011" spans="2:2" x14ac:dyDescent="0.2">
      <c r="B3011" s="395"/>
    </row>
    <row r="3012" spans="2:2" x14ac:dyDescent="0.2">
      <c r="B3012" s="395"/>
    </row>
    <row r="3013" spans="2:2" x14ac:dyDescent="0.2">
      <c r="B3013" s="395"/>
    </row>
    <row r="3014" spans="2:2" x14ac:dyDescent="0.2">
      <c r="B3014" s="395"/>
    </row>
    <row r="3015" spans="2:2" x14ac:dyDescent="0.2">
      <c r="B3015" s="395"/>
    </row>
    <row r="3016" spans="2:2" x14ac:dyDescent="0.2">
      <c r="B3016" s="395"/>
    </row>
    <row r="3017" spans="2:2" x14ac:dyDescent="0.2">
      <c r="B3017" s="395"/>
    </row>
    <row r="3018" spans="2:2" x14ac:dyDescent="0.2">
      <c r="B3018" s="395"/>
    </row>
    <row r="3019" spans="2:2" x14ac:dyDescent="0.2">
      <c r="B3019" s="395"/>
    </row>
    <row r="3020" spans="2:2" x14ac:dyDescent="0.2">
      <c r="B3020" s="395"/>
    </row>
    <row r="3021" spans="2:2" x14ac:dyDescent="0.2">
      <c r="B3021" s="395"/>
    </row>
    <row r="3022" spans="2:2" x14ac:dyDescent="0.2">
      <c r="B3022" s="395"/>
    </row>
    <row r="3023" spans="2:2" x14ac:dyDescent="0.2">
      <c r="B3023" s="395"/>
    </row>
    <row r="3024" spans="2:2" x14ac:dyDescent="0.2">
      <c r="B3024" s="395"/>
    </row>
    <row r="3025" spans="2:2" x14ac:dyDescent="0.2">
      <c r="B3025" s="395"/>
    </row>
    <row r="3026" spans="2:2" x14ac:dyDescent="0.2">
      <c r="B3026" s="395"/>
    </row>
    <row r="3027" spans="2:2" x14ac:dyDescent="0.2">
      <c r="B3027" s="395"/>
    </row>
    <row r="3028" spans="2:2" x14ac:dyDescent="0.2">
      <c r="B3028" s="395"/>
    </row>
    <row r="3029" spans="2:2" x14ac:dyDescent="0.2">
      <c r="B3029" s="395"/>
    </row>
    <row r="3030" spans="2:2" x14ac:dyDescent="0.2">
      <c r="B3030" s="395"/>
    </row>
    <row r="3031" spans="2:2" x14ac:dyDescent="0.2">
      <c r="B3031" s="395"/>
    </row>
    <row r="3032" spans="2:2" x14ac:dyDescent="0.2">
      <c r="B3032" s="395"/>
    </row>
    <row r="3033" spans="2:2" x14ac:dyDescent="0.2">
      <c r="B3033" s="395"/>
    </row>
    <row r="3034" spans="2:2" x14ac:dyDescent="0.2">
      <c r="B3034" s="395"/>
    </row>
    <row r="3035" spans="2:2" x14ac:dyDescent="0.2">
      <c r="B3035" s="395"/>
    </row>
    <row r="3036" spans="2:2" x14ac:dyDescent="0.2">
      <c r="B3036" s="395"/>
    </row>
    <row r="3037" spans="2:2" x14ac:dyDescent="0.2">
      <c r="B3037" s="395"/>
    </row>
    <row r="3038" spans="2:2" x14ac:dyDescent="0.2">
      <c r="B3038" s="395"/>
    </row>
    <row r="3039" spans="2:2" x14ac:dyDescent="0.2">
      <c r="B3039" s="395"/>
    </row>
    <row r="3040" spans="2:2" x14ac:dyDescent="0.2">
      <c r="B3040" s="395"/>
    </row>
    <row r="3041" spans="2:2" x14ac:dyDescent="0.2">
      <c r="B3041" s="395"/>
    </row>
    <row r="3042" spans="2:2" x14ac:dyDescent="0.2">
      <c r="B3042" s="395"/>
    </row>
    <row r="3043" spans="2:2" x14ac:dyDescent="0.2">
      <c r="B3043" s="395"/>
    </row>
    <row r="3044" spans="2:2" x14ac:dyDescent="0.2">
      <c r="B3044" s="395"/>
    </row>
    <row r="3045" spans="2:2" x14ac:dyDescent="0.2">
      <c r="B3045" s="395"/>
    </row>
    <row r="3046" spans="2:2" x14ac:dyDescent="0.2">
      <c r="B3046" s="395"/>
    </row>
    <row r="3047" spans="2:2" x14ac:dyDescent="0.2">
      <c r="B3047" s="395"/>
    </row>
    <row r="3048" spans="2:2" x14ac:dyDescent="0.2">
      <c r="B3048" s="395"/>
    </row>
    <row r="3049" spans="2:2" x14ac:dyDescent="0.2">
      <c r="B3049" s="395"/>
    </row>
    <row r="3050" spans="2:2" x14ac:dyDescent="0.2">
      <c r="B3050" s="395"/>
    </row>
    <row r="3051" spans="2:2" x14ac:dyDescent="0.2">
      <c r="B3051" s="395"/>
    </row>
    <row r="3052" spans="2:2" x14ac:dyDescent="0.2">
      <c r="B3052" s="395"/>
    </row>
    <row r="3053" spans="2:2" x14ac:dyDescent="0.2">
      <c r="B3053" s="395"/>
    </row>
    <row r="3054" spans="2:2" x14ac:dyDescent="0.2">
      <c r="B3054" s="395"/>
    </row>
    <row r="3055" spans="2:2" x14ac:dyDescent="0.2">
      <c r="B3055" s="395"/>
    </row>
    <row r="3056" spans="2:2" x14ac:dyDescent="0.2">
      <c r="B3056" s="395"/>
    </row>
    <row r="3057" spans="2:2" x14ac:dyDescent="0.2">
      <c r="B3057" s="395"/>
    </row>
    <row r="3058" spans="2:2" x14ac:dyDescent="0.2">
      <c r="B3058" s="395"/>
    </row>
    <row r="3059" spans="2:2" x14ac:dyDescent="0.2">
      <c r="B3059" s="395"/>
    </row>
    <row r="3060" spans="2:2" x14ac:dyDescent="0.2">
      <c r="B3060" s="395"/>
    </row>
    <row r="3061" spans="2:2" x14ac:dyDescent="0.2">
      <c r="B3061" s="395"/>
    </row>
    <row r="3062" spans="2:2" x14ac:dyDescent="0.2">
      <c r="B3062" s="395"/>
    </row>
    <row r="3063" spans="2:2" x14ac:dyDescent="0.2">
      <c r="B3063" s="395"/>
    </row>
    <row r="3064" spans="2:2" x14ac:dyDescent="0.2">
      <c r="B3064" s="395"/>
    </row>
    <row r="3065" spans="2:2" x14ac:dyDescent="0.2">
      <c r="B3065" s="395"/>
    </row>
    <row r="3066" spans="2:2" x14ac:dyDescent="0.2">
      <c r="B3066" s="395"/>
    </row>
    <row r="3067" spans="2:2" x14ac:dyDescent="0.2">
      <c r="B3067" s="395"/>
    </row>
    <row r="3068" spans="2:2" x14ac:dyDescent="0.2">
      <c r="B3068" s="395"/>
    </row>
    <row r="3069" spans="2:2" x14ac:dyDescent="0.2">
      <c r="B3069" s="395"/>
    </row>
    <row r="3070" spans="2:2" x14ac:dyDescent="0.2">
      <c r="B3070" s="395"/>
    </row>
    <row r="3071" spans="2:2" x14ac:dyDescent="0.2">
      <c r="B3071" s="395"/>
    </row>
    <row r="3072" spans="2:2" x14ac:dyDescent="0.2">
      <c r="B3072" s="395"/>
    </row>
    <row r="3073" spans="2:2" x14ac:dyDescent="0.2">
      <c r="B3073" s="395"/>
    </row>
    <row r="3074" spans="2:2" x14ac:dyDescent="0.2">
      <c r="B3074" s="395"/>
    </row>
    <row r="3075" spans="2:2" x14ac:dyDescent="0.2">
      <c r="B3075" s="395"/>
    </row>
    <row r="3076" spans="2:2" x14ac:dyDescent="0.2">
      <c r="B3076" s="395"/>
    </row>
    <row r="3077" spans="2:2" x14ac:dyDescent="0.2">
      <c r="B3077" s="395"/>
    </row>
    <row r="3078" spans="2:2" x14ac:dyDescent="0.2">
      <c r="B3078" s="395"/>
    </row>
    <row r="3079" spans="2:2" x14ac:dyDescent="0.2">
      <c r="B3079" s="395"/>
    </row>
    <row r="3080" spans="2:2" x14ac:dyDescent="0.2">
      <c r="B3080" s="395"/>
    </row>
    <row r="3081" spans="2:2" x14ac:dyDescent="0.2">
      <c r="B3081" s="395"/>
    </row>
    <row r="3082" spans="2:2" x14ac:dyDescent="0.2">
      <c r="B3082" s="395"/>
    </row>
    <row r="3083" spans="2:2" x14ac:dyDescent="0.2">
      <c r="B3083" s="395"/>
    </row>
    <row r="3084" spans="2:2" x14ac:dyDescent="0.2">
      <c r="B3084" s="395"/>
    </row>
    <row r="3085" spans="2:2" x14ac:dyDescent="0.2">
      <c r="B3085" s="395"/>
    </row>
    <row r="3086" spans="2:2" x14ac:dyDescent="0.2">
      <c r="B3086" s="395"/>
    </row>
    <row r="3087" spans="2:2" x14ac:dyDescent="0.2">
      <c r="B3087" s="395"/>
    </row>
    <row r="3088" spans="2:2" x14ac:dyDescent="0.2">
      <c r="B3088" s="395"/>
    </row>
    <row r="3089" spans="2:2" x14ac:dyDescent="0.2">
      <c r="B3089" s="395"/>
    </row>
    <row r="3090" spans="2:2" x14ac:dyDescent="0.2">
      <c r="B3090" s="395"/>
    </row>
    <row r="3091" spans="2:2" x14ac:dyDescent="0.2">
      <c r="B3091" s="395"/>
    </row>
    <row r="3092" spans="2:2" x14ac:dyDescent="0.2">
      <c r="B3092" s="395"/>
    </row>
    <row r="3093" spans="2:2" x14ac:dyDescent="0.2">
      <c r="B3093" s="395"/>
    </row>
    <row r="3094" spans="2:2" x14ac:dyDescent="0.2">
      <c r="B3094" s="395"/>
    </row>
    <row r="3095" spans="2:2" x14ac:dyDescent="0.2">
      <c r="B3095" s="395"/>
    </row>
    <row r="3096" spans="2:2" x14ac:dyDescent="0.2">
      <c r="B3096" s="395"/>
    </row>
    <row r="3097" spans="2:2" x14ac:dyDescent="0.2">
      <c r="B3097" s="395"/>
    </row>
    <row r="3098" spans="2:2" x14ac:dyDescent="0.2">
      <c r="B3098" s="395"/>
    </row>
    <row r="3099" spans="2:2" x14ac:dyDescent="0.2">
      <c r="B3099" s="395"/>
    </row>
    <row r="3100" spans="2:2" x14ac:dyDescent="0.2">
      <c r="B3100" s="395"/>
    </row>
    <row r="3101" spans="2:2" x14ac:dyDescent="0.2">
      <c r="B3101" s="395"/>
    </row>
    <row r="3102" spans="2:2" x14ac:dyDescent="0.2">
      <c r="B3102" s="395"/>
    </row>
    <row r="3103" spans="2:2" x14ac:dyDescent="0.2">
      <c r="B3103" s="395"/>
    </row>
    <row r="3104" spans="2:2" x14ac:dyDescent="0.2">
      <c r="B3104" s="395"/>
    </row>
    <row r="3105" spans="2:2" x14ac:dyDescent="0.2">
      <c r="B3105" s="395"/>
    </row>
    <row r="3106" spans="2:2" x14ac:dyDescent="0.2">
      <c r="B3106" s="395"/>
    </row>
    <row r="3107" spans="2:2" x14ac:dyDescent="0.2">
      <c r="B3107" s="395"/>
    </row>
    <row r="3108" spans="2:2" x14ac:dyDescent="0.2">
      <c r="B3108" s="395"/>
    </row>
    <row r="3109" spans="2:2" x14ac:dyDescent="0.2">
      <c r="B3109" s="395"/>
    </row>
    <row r="3110" spans="2:2" x14ac:dyDescent="0.2">
      <c r="B3110" s="395"/>
    </row>
    <row r="3111" spans="2:2" x14ac:dyDescent="0.2">
      <c r="B3111" s="395"/>
    </row>
    <row r="3112" spans="2:2" x14ac:dyDescent="0.2">
      <c r="B3112" s="395"/>
    </row>
    <row r="3113" spans="2:2" x14ac:dyDescent="0.2">
      <c r="B3113" s="395"/>
    </row>
    <row r="3114" spans="2:2" x14ac:dyDescent="0.2">
      <c r="B3114" s="395"/>
    </row>
    <row r="3115" spans="2:2" x14ac:dyDescent="0.2">
      <c r="B3115" s="395"/>
    </row>
    <row r="3116" spans="2:2" x14ac:dyDescent="0.2">
      <c r="B3116" s="395"/>
    </row>
    <row r="3117" spans="2:2" x14ac:dyDescent="0.2">
      <c r="B3117" s="395"/>
    </row>
    <row r="3118" spans="2:2" x14ac:dyDescent="0.2">
      <c r="B3118" s="395"/>
    </row>
    <row r="3119" spans="2:2" x14ac:dyDescent="0.2">
      <c r="B3119" s="395"/>
    </row>
    <row r="3120" spans="2:2" x14ac:dyDescent="0.2">
      <c r="B3120" s="395"/>
    </row>
    <row r="3121" spans="2:2" x14ac:dyDescent="0.2">
      <c r="B3121" s="395"/>
    </row>
    <row r="3122" spans="2:2" x14ac:dyDescent="0.2">
      <c r="B3122" s="395"/>
    </row>
    <row r="3123" spans="2:2" x14ac:dyDescent="0.2">
      <c r="B3123" s="395"/>
    </row>
    <row r="3124" spans="2:2" x14ac:dyDescent="0.2">
      <c r="B3124" s="395"/>
    </row>
    <row r="3125" spans="2:2" x14ac:dyDescent="0.2">
      <c r="B3125" s="395"/>
    </row>
    <row r="3126" spans="2:2" x14ac:dyDescent="0.2">
      <c r="B3126" s="395"/>
    </row>
    <row r="3127" spans="2:2" x14ac:dyDescent="0.2">
      <c r="B3127" s="395"/>
    </row>
    <row r="3128" spans="2:2" x14ac:dyDescent="0.2">
      <c r="B3128" s="395"/>
    </row>
    <row r="3129" spans="2:2" x14ac:dyDescent="0.2">
      <c r="B3129" s="395"/>
    </row>
    <row r="3130" spans="2:2" x14ac:dyDescent="0.2">
      <c r="B3130" s="395"/>
    </row>
    <row r="3131" spans="2:2" x14ac:dyDescent="0.2">
      <c r="B3131" s="395"/>
    </row>
    <row r="3132" spans="2:2" x14ac:dyDescent="0.2">
      <c r="B3132" s="395"/>
    </row>
    <row r="3133" spans="2:2" x14ac:dyDescent="0.2">
      <c r="B3133" s="395"/>
    </row>
    <row r="3134" spans="2:2" x14ac:dyDescent="0.2">
      <c r="B3134" s="395"/>
    </row>
    <row r="3135" spans="2:2" x14ac:dyDescent="0.2">
      <c r="B3135" s="395"/>
    </row>
    <row r="3136" spans="2:2" x14ac:dyDescent="0.2">
      <c r="B3136" s="395"/>
    </row>
    <row r="3137" spans="2:2" x14ac:dyDescent="0.2">
      <c r="B3137" s="395"/>
    </row>
    <row r="3138" spans="2:2" x14ac:dyDescent="0.2">
      <c r="B3138" s="395"/>
    </row>
    <row r="3139" spans="2:2" x14ac:dyDescent="0.2">
      <c r="B3139" s="395"/>
    </row>
    <row r="3140" spans="2:2" x14ac:dyDescent="0.2">
      <c r="B3140" s="395"/>
    </row>
    <row r="3141" spans="2:2" x14ac:dyDescent="0.2">
      <c r="B3141" s="395"/>
    </row>
    <row r="3142" spans="2:2" x14ac:dyDescent="0.2">
      <c r="B3142" s="395"/>
    </row>
    <row r="3143" spans="2:2" x14ac:dyDescent="0.2">
      <c r="B3143" s="395"/>
    </row>
    <row r="3144" spans="2:2" x14ac:dyDescent="0.2">
      <c r="B3144" s="395"/>
    </row>
    <row r="3145" spans="2:2" x14ac:dyDescent="0.2">
      <c r="B3145" s="395"/>
    </row>
    <row r="3146" spans="2:2" x14ac:dyDescent="0.2">
      <c r="B3146" s="395"/>
    </row>
    <row r="3147" spans="2:2" x14ac:dyDescent="0.2">
      <c r="B3147" s="395"/>
    </row>
    <row r="3148" spans="2:2" x14ac:dyDescent="0.2">
      <c r="B3148" s="395"/>
    </row>
    <row r="3149" spans="2:2" x14ac:dyDescent="0.2">
      <c r="B3149" s="395"/>
    </row>
    <row r="3150" spans="2:2" x14ac:dyDescent="0.2">
      <c r="B3150" s="395"/>
    </row>
    <row r="3151" spans="2:2" x14ac:dyDescent="0.2">
      <c r="B3151" s="395"/>
    </row>
    <row r="3152" spans="2:2" x14ac:dyDescent="0.2">
      <c r="B3152" s="395"/>
    </row>
    <row r="3153" spans="2:2" x14ac:dyDescent="0.2">
      <c r="B3153" s="395"/>
    </row>
    <row r="3154" spans="2:2" x14ac:dyDescent="0.2">
      <c r="B3154" s="395"/>
    </row>
    <row r="3155" spans="2:2" x14ac:dyDescent="0.2">
      <c r="B3155" s="395"/>
    </row>
    <row r="3156" spans="2:2" x14ac:dyDescent="0.2">
      <c r="B3156" s="395"/>
    </row>
    <row r="3157" spans="2:2" x14ac:dyDescent="0.2">
      <c r="B3157" s="395"/>
    </row>
    <row r="3158" spans="2:2" x14ac:dyDescent="0.2">
      <c r="B3158" s="395"/>
    </row>
    <row r="3159" spans="2:2" x14ac:dyDescent="0.2">
      <c r="B3159" s="395"/>
    </row>
    <row r="3160" spans="2:2" x14ac:dyDescent="0.2">
      <c r="B3160" s="395"/>
    </row>
    <row r="3161" spans="2:2" x14ac:dyDescent="0.2">
      <c r="B3161" s="395"/>
    </row>
    <row r="3162" spans="2:2" x14ac:dyDescent="0.2">
      <c r="B3162" s="395"/>
    </row>
    <row r="3163" spans="2:2" x14ac:dyDescent="0.2">
      <c r="B3163" s="395"/>
    </row>
    <row r="3164" spans="2:2" x14ac:dyDescent="0.2">
      <c r="B3164" s="395"/>
    </row>
    <row r="3165" spans="2:2" x14ac:dyDescent="0.2">
      <c r="B3165" s="395"/>
    </row>
    <row r="3166" spans="2:2" x14ac:dyDescent="0.2">
      <c r="B3166" s="395"/>
    </row>
    <row r="3167" spans="2:2" x14ac:dyDescent="0.2">
      <c r="B3167" s="395"/>
    </row>
    <row r="3168" spans="2:2" x14ac:dyDescent="0.2">
      <c r="B3168" s="395"/>
    </row>
    <row r="3169" spans="2:2" x14ac:dyDescent="0.2">
      <c r="B3169" s="395"/>
    </row>
    <row r="3170" spans="2:2" x14ac:dyDescent="0.2">
      <c r="B3170" s="395"/>
    </row>
    <row r="3171" spans="2:2" x14ac:dyDescent="0.2">
      <c r="B3171" s="395"/>
    </row>
    <row r="3172" spans="2:2" x14ac:dyDescent="0.2">
      <c r="B3172" s="395"/>
    </row>
    <row r="3173" spans="2:2" x14ac:dyDescent="0.2">
      <c r="B3173" s="395"/>
    </row>
    <row r="3174" spans="2:2" x14ac:dyDescent="0.2">
      <c r="B3174" s="395"/>
    </row>
    <row r="3175" spans="2:2" x14ac:dyDescent="0.2">
      <c r="B3175" s="395"/>
    </row>
    <row r="3176" spans="2:2" x14ac:dyDescent="0.2">
      <c r="B3176" s="395"/>
    </row>
    <row r="3177" spans="2:2" x14ac:dyDescent="0.2">
      <c r="B3177" s="395"/>
    </row>
    <row r="3178" spans="2:2" x14ac:dyDescent="0.2">
      <c r="B3178" s="395"/>
    </row>
    <row r="3179" spans="2:2" x14ac:dyDescent="0.2">
      <c r="B3179" s="395"/>
    </row>
    <row r="3180" spans="2:2" x14ac:dyDescent="0.2">
      <c r="B3180" s="395"/>
    </row>
    <row r="3181" spans="2:2" x14ac:dyDescent="0.2">
      <c r="B3181" s="395"/>
    </row>
    <row r="3182" spans="2:2" x14ac:dyDescent="0.2">
      <c r="B3182" s="395"/>
    </row>
    <row r="3183" spans="2:2" x14ac:dyDescent="0.2">
      <c r="B3183" s="395"/>
    </row>
    <row r="3184" spans="2:2" x14ac:dyDescent="0.2">
      <c r="B3184" s="395"/>
    </row>
    <row r="3185" spans="2:2" x14ac:dyDescent="0.2">
      <c r="B3185" s="395"/>
    </row>
    <row r="3186" spans="2:2" x14ac:dyDescent="0.2">
      <c r="B3186" s="395"/>
    </row>
    <row r="3187" spans="2:2" x14ac:dyDescent="0.2">
      <c r="B3187" s="395"/>
    </row>
    <row r="3188" spans="2:2" x14ac:dyDescent="0.2">
      <c r="B3188" s="395"/>
    </row>
    <row r="3189" spans="2:2" x14ac:dyDescent="0.2">
      <c r="B3189" s="395"/>
    </row>
    <row r="3190" spans="2:2" x14ac:dyDescent="0.2">
      <c r="B3190" s="395"/>
    </row>
    <row r="3191" spans="2:2" x14ac:dyDescent="0.2">
      <c r="B3191" s="395"/>
    </row>
    <row r="3192" spans="2:2" x14ac:dyDescent="0.2">
      <c r="B3192" s="395"/>
    </row>
    <row r="3193" spans="2:2" x14ac:dyDescent="0.2">
      <c r="B3193" s="395"/>
    </row>
    <row r="3194" spans="2:2" x14ac:dyDescent="0.2">
      <c r="B3194" s="395"/>
    </row>
    <row r="3195" spans="2:2" x14ac:dyDescent="0.2">
      <c r="B3195" s="395"/>
    </row>
    <row r="3196" spans="2:2" x14ac:dyDescent="0.2">
      <c r="B3196" s="395"/>
    </row>
    <row r="3197" spans="2:2" x14ac:dyDescent="0.2">
      <c r="B3197" s="395"/>
    </row>
    <row r="3198" spans="2:2" x14ac:dyDescent="0.2">
      <c r="B3198" s="395"/>
    </row>
    <row r="3199" spans="2:2" x14ac:dyDescent="0.2">
      <c r="B3199" s="395"/>
    </row>
    <row r="3200" spans="2:2" x14ac:dyDescent="0.2">
      <c r="B3200" s="395"/>
    </row>
    <row r="3201" spans="2:2" x14ac:dyDescent="0.2">
      <c r="B3201" s="395"/>
    </row>
    <row r="3202" spans="2:2" x14ac:dyDescent="0.2">
      <c r="B3202" s="395"/>
    </row>
    <row r="3203" spans="2:2" x14ac:dyDescent="0.2">
      <c r="B3203" s="395"/>
    </row>
    <row r="3204" spans="2:2" x14ac:dyDescent="0.2">
      <c r="B3204" s="395"/>
    </row>
    <row r="3205" spans="2:2" x14ac:dyDescent="0.2">
      <c r="B3205" s="395"/>
    </row>
    <row r="3206" spans="2:2" x14ac:dyDescent="0.2">
      <c r="B3206" s="395"/>
    </row>
    <row r="3207" spans="2:2" x14ac:dyDescent="0.2">
      <c r="B3207" s="395"/>
    </row>
    <row r="3208" spans="2:2" x14ac:dyDescent="0.2">
      <c r="B3208" s="395"/>
    </row>
    <row r="3209" spans="2:2" x14ac:dyDescent="0.2">
      <c r="B3209" s="395"/>
    </row>
    <row r="3210" spans="2:2" x14ac:dyDescent="0.2">
      <c r="B3210" s="395"/>
    </row>
    <row r="3211" spans="2:2" x14ac:dyDescent="0.2">
      <c r="B3211" s="395"/>
    </row>
    <row r="3212" spans="2:2" x14ac:dyDescent="0.2">
      <c r="B3212" s="395"/>
    </row>
    <row r="3213" spans="2:2" x14ac:dyDescent="0.2">
      <c r="B3213" s="395"/>
    </row>
    <row r="3214" spans="2:2" x14ac:dyDescent="0.2">
      <c r="B3214" s="395"/>
    </row>
    <row r="3215" spans="2:2" x14ac:dyDescent="0.2">
      <c r="B3215" s="395"/>
    </row>
    <row r="3216" spans="2:2" x14ac:dyDescent="0.2">
      <c r="B3216" s="395"/>
    </row>
    <row r="3217" spans="2:2" x14ac:dyDescent="0.2">
      <c r="B3217" s="395"/>
    </row>
    <row r="3218" spans="2:2" x14ac:dyDescent="0.2">
      <c r="B3218" s="395"/>
    </row>
    <row r="3219" spans="2:2" x14ac:dyDescent="0.2">
      <c r="B3219" s="395"/>
    </row>
    <row r="3220" spans="2:2" x14ac:dyDescent="0.2">
      <c r="B3220" s="395"/>
    </row>
    <row r="3221" spans="2:2" x14ac:dyDescent="0.2">
      <c r="B3221" s="395"/>
    </row>
    <row r="3222" spans="2:2" x14ac:dyDescent="0.2">
      <c r="B3222" s="395"/>
    </row>
    <row r="3223" spans="2:2" x14ac:dyDescent="0.2">
      <c r="B3223" s="395"/>
    </row>
    <row r="3224" spans="2:2" x14ac:dyDescent="0.2">
      <c r="B3224" s="395"/>
    </row>
    <row r="3225" spans="2:2" x14ac:dyDescent="0.2">
      <c r="B3225" s="395"/>
    </row>
    <row r="3226" spans="2:2" x14ac:dyDescent="0.2">
      <c r="B3226" s="395"/>
    </row>
    <row r="3227" spans="2:2" x14ac:dyDescent="0.2">
      <c r="B3227" s="395"/>
    </row>
    <row r="3228" spans="2:2" x14ac:dyDescent="0.2">
      <c r="B3228" s="395"/>
    </row>
    <row r="3229" spans="2:2" x14ac:dyDescent="0.2">
      <c r="B3229" s="395"/>
    </row>
    <row r="3230" spans="2:2" x14ac:dyDescent="0.2">
      <c r="B3230" s="395"/>
    </row>
    <row r="3231" spans="2:2" x14ac:dyDescent="0.2">
      <c r="B3231" s="395"/>
    </row>
    <row r="3232" spans="2:2" x14ac:dyDescent="0.2">
      <c r="B3232" s="395"/>
    </row>
    <row r="3233" spans="2:2" x14ac:dyDescent="0.2">
      <c r="B3233" s="395"/>
    </row>
    <row r="3234" spans="2:2" x14ac:dyDescent="0.2">
      <c r="B3234" s="395"/>
    </row>
    <row r="3235" spans="2:2" x14ac:dyDescent="0.2">
      <c r="B3235" s="395"/>
    </row>
    <row r="3236" spans="2:2" x14ac:dyDescent="0.2">
      <c r="B3236" s="395"/>
    </row>
    <row r="3237" spans="2:2" x14ac:dyDescent="0.2">
      <c r="B3237" s="395"/>
    </row>
    <row r="3238" spans="2:2" x14ac:dyDescent="0.2">
      <c r="B3238" s="395"/>
    </row>
    <row r="3239" spans="2:2" x14ac:dyDescent="0.2">
      <c r="B3239" s="395"/>
    </row>
    <row r="3240" spans="2:2" x14ac:dyDescent="0.2">
      <c r="B3240" s="395"/>
    </row>
    <row r="3241" spans="2:2" x14ac:dyDescent="0.2">
      <c r="B3241" s="395"/>
    </row>
    <row r="3242" spans="2:2" x14ac:dyDescent="0.2">
      <c r="B3242" s="395"/>
    </row>
    <row r="3243" spans="2:2" x14ac:dyDescent="0.2">
      <c r="B3243" s="395"/>
    </row>
    <row r="3244" spans="2:2" x14ac:dyDescent="0.2">
      <c r="B3244" s="395"/>
    </row>
    <row r="3245" spans="2:2" x14ac:dyDescent="0.2">
      <c r="B3245" s="395"/>
    </row>
    <row r="3246" spans="2:2" x14ac:dyDescent="0.2">
      <c r="B3246" s="395"/>
    </row>
    <row r="3247" spans="2:2" x14ac:dyDescent="0.2">
      <c r="B3247" s="395"/>
    </row>
    <row r="3248" spans="2:2" x14ac:dyDescent="0.2">
      <c r="B3248" s="395"/>
    </row>
    <row r="3249" spans="2:2" x14ac:dyDescent="0.2">
      <c r="B3249" s="395"/>
    </row>
    <row r="3250" spans="2:2" x14ac:dyDescent="0.2">
      <c r="B3250" s="395"/>
    </row>
    <row r="3251" spans="2:2" x14ac:dyDescent="0.2">
      <c r="B3251" s="395"/>
    </row>
    <row r="3252" spans="2:2" x14ac:dyDescent="0.2">
      <c r="B3252" s="395"/>
    </row>
    <row r="3253" spans="2:2" x14ac:dyDescent="0.2">
      <c r="B3253" s="395"/>
    </row>
    <row r="3254" spans="2:2" x14ac:dyDescent="0.2">
      <c r="B3254" s="395"/>
    </row>
    <row r="3255" spans="2:2" x14ac:dyDescent="0.2">
      <c r="B3255" s="395"/>
    </row>
    <row r="3256" spans="2:2" x14ac:dyDescent="0.2">
      <c r="B3256" s="395"/>
    </row>
    <row r="3257" spans="2:2" x14ac:dyDescent="0.2">
      <c r="B3257" s="395"/>
    </row>
    <row r="3258" spans="2:2" x14ac:dyDescent="0.2">
      <c r="B3258" s="395"/>
    </row>
    <row r="3259" spans="2:2" x14ac:dyDescent="0.2">
      <c r="B3259" s="395"/>
    </row>
    <row r="3260" spans="2:2" x14ac:dyDescent="0.2">
      <c r="B3260" s="395"/>
    </row>
    <row r="3261" spans="2:2" x14ac:dyDescent="0.2">
      <c r="B3261" s="395"/>
    </row>
    <row r="3262" spans="2:2" x14ac:dyDescent="0.2">
      <c r="B3262" s="395"/>
    </row>
    <row r="3263" spans="2:2" x14ac:dyDescent="0.2">
      <c r="B3263" s="395"/>
    </row>
    <row r="3264" spans="2:2" x14ac:dyDescent="0.2">
      <c r="B3264" s="395"/>
    </row>
    <row r="3265" spans="2:2" x14ac:dyDescent="0.2">
      <c r="B3265" s="395"/>
    </row>
    <row r="3266" spans="2:2" x14ac:dyDescent="0.2">
      <c r="B3266" s="395"/>
    </row>
    <row r="3267" spans="2:2" x14ac:dyDescent="0.2">
      <c r="B3267" s="395"/>
    </row>
    <row r="3268" spans="2:2" x14ac:dyDescent="0.2">
      <c r="B3268" s="395"/>
    </row>
    <row r="3269" spans="2:2" x14ac:dyDescent="0.2">
      <c r="B3269" s="395"/>
    </row>
    <row r="3270" spans="2:2" x14ac:dyDescent="0.2">
      <c r="B3270" s="395"/>
    </row>
    <row r="3271" spans="2:2" x14ac:dyDescent="0.2">
      <c r="B3271" s="395"/>
    </row>
    <row r="3272" spans="2:2" x14ac:dyDescent="0.2">
      <c r="B3272" s="395"/>
    </row>
    <row r="3273" spans="2:2" x14ac:dyDescent="0.2">
      <c r="B3273" s="395"/>
    </row>
    <row r="3274" spans="2:2" x14ac:dyDescent="0.2">
      <c r="B3274" s="395"/>
    </row>
    <row r="3275" spans="2:2" x14ac:dyDescent="0.2">
      <c r="B3275" s="395"/>
    </row>
    <row r="3276" spans="2:2" x14ac:dyDescent="0.2">
      <c r="B3276" s="395"/>
    </row>
    <row r="3277" spans="2:2" x14ac:dyDescent="0.2">
      <c r="B3277" s="395"/>
    </row>
    <row r="3278" spans="2:2" x14ac:dyDescent="0.2">
      <c r="B3278" s="395"/>
    </row>
    <row r="3279" spans="2:2" x14ac:dyDescent="0.2">
      <c r="B3279" s="395"/>
    </row>
    <row r="3280" spans="2:2" x14ac:dyDescent="0.2">
      <c r="B3280" s="395"/>
    </row>
    <row r="3281" spans="2:2" x14ac:dyDescent="0.2">
      <c r="B3281" s="395"/>
    </row>
    <row r="3282" spans="2:2" x14ac:dyDescent="0.2">
      <c r="B3282" s="395"/>
    </row>
    <row r="3283" spans="2:2" x14ac:dyDescent="0.2">
      <c r="B3283" s="395"/>
    </row>
    <row r="3284" spans="2:2" x14ac:dyDescent="0.2">
      <c r="B3284" s="395"/>
    </row>
    <row r="3285" spans="2:2" x14ac:dyDescent="0.2">
      <c r="B3285" s="395"/>
    </row>
    <row r="3286" spans="2:2" x14ac:dyDescent="0.2">
      <c r="B3286" s="395"/>
    </row>
    <row r="3287" spans="2:2" x14ac:dyDescent="0.2">
      <c r="B3287" s="395"/>
    </row>
    <row r="3288" spans="2:2" x14ac:dyDescent="0.2">
      <c r="B3288" s="395"/>
    </row>
    <row r="3289" spans="2:2" x14ac:dyDescent="0.2">
      <c r="B3289" s="395"/>
    </row>
    <row r="3290" spans="2:2" x14ac:dyDescent="0.2">
      <c r="B3290" s="395"/>
    </row>
    <row r="3291" spans="2:2" x14ac:dyDescent="0.2">
      <c r="B3291" s="395"/>
    </row>
    <row r="3292" spans="2:2" x14ac:dyDescent="0.2">
      <c r="B3292" s="395"/>
    </row>
    <row r="3293" spans="2:2" x14ac:dyDescent="0.2">
      <c r="B3293" s="395"/>
    </row>
    <row r="3294" spans="2:2" x14ac:dyDescent="0.2">
      <c r="B3294" s="395"/>
    </row>
    <row r="3295" spans="2:2" x14ac:dyDescent="0.2">
      <c r="B3295" s="395"/>
    </row>
    <row r="3296" spans="2:2" x14ac:dyDescent="0.2">
      <c r="B3296" s="395"/>
    </row>
    <row r="3297" spans="2:2" x14ac:dyDescent="0.2">
      <c r="B3297" s="395"/>
    </row>
    <row r="3298" spans="2:2" x14ac:dyDescent="0.2">
      <c r="B3298" s="395"/>
    </row>
    <row r="3299" spans="2:2" x14ac:dyDescent="0.2">
      <c r="B3299" s="395"/>
    </row>
    <row r="3300" spans="2:2" x14ac:dyDescent="0.2">
      <c r="B3300" s="395"/>
    </row>
    <row r="3301" spans="2:2" x14ac:dyDescent="0.2">
      <c r="B3301" s="395"/>
    </row>
    <row r="3302" spans="2:2" x14ac:dyDescent="0.2">
      <c r="B3302" s="395"/>
    </row>
    <row r="3303" spans="2:2" x14ac:dyDescent="0.2">
      <c r="B3303" s="395"/>
    </row>
    <row r="3304" spans="2:2" x14ac:dyDescent="0.2">
      <c r="B3304" s="395"/>
    </row>
    <row r="3305" spans="2:2" x14ac:dyDescent="0.2">
      <c r="B3305" s="395"/>
    </row>
    <row r="3306" spans="2:2" x14ac:dyDescent="0.2">
      <c r="B3306" s="395"/>
    </row>
    <row r="3307" spans="2:2" x14ac:dyDescent="0.2">
      <c r="B3307" s="395"/>
    </row>
    <row r="3308" spans="2:2" x14ac:dyDescent="0.2">
      <c r="B3308" s="395"/>
    </row>
    <row r="3309" spans="2:2" x14ac:dyDescent="0.2">
      <c r="B3309" s="395"/>
    </row>
    <row r="3310" spans="2:2" x14ac:dyDescent="0.2">
      <c r="B3310" s="395"/>
    </row>
    <row r="3311" spans="2:2" x14ac:dyDescent="0.2">
      <c r="B3311" s="395"/>
    </row>
    <row r="3312" spans="2:2" x14ac:dyDescent="0.2">
      <c r="B3312" s="395"/>
    </row>
    <row r="3313" spans="2:2" x14ac:dyDescent="0.2">
      <c r="B3313" s="395"/>
    </row>
    <row r="3314" spans="2:2" x14ac:dyDescent="0.2">
      <c r="B3314" s="395"/>
    </row>
    <row r="3315" spans="2:2" x14ac:dyDescent="0.2">
      <c r="B3315" s="395"/>
    </row>
    <row r="3316" spans="2:2" x14ac:dyDescent="0.2">
      <c r="B3316" s="395"/>
    </row>
    <row r="3317" spans="2:2" x14ac:dyDescent="0.2">
      <c r="B3317" s="395"/>
    </row>
    <row r="3318" spans="2:2" x14ac:dyDescent="0.2">
      <c r="B3318" s="395"/>
    </row>
    <row r="3319" spans="2:2" x14ac:dyDescent="0.2">
      <c r="B3319" s="395"/>
    </row>
    <row r="3320" spans="2:2" x14ac:dyDescent="0.2">
      <c r="B3320" s="395"/>
    </row>
    <row r="3321" spans="2:2" x14ac:dyDescent="0.2">
      <c r="B3321" s="395"/>
    </row>
    <row r="3322" spans="2:2" x14ac:dyDescent="0.2">
      <c r="B3322" s="395"/>
    </row>
    <row r="3323" spans="2:2" x14ac:dyDescent="0.2">
      <c r="B3323" s="395"/>
    </row>
    <row r="3324" spans="2:2" x14ac:dyDescent="0.2">
      <c r="B3324" s="395"/>
    </row>
    <row r="3325" spans="2:2" x14ac:dyDescent="0.2">
      <c r="B3325" s="395"/>
    </row>
    <row r="3326" spans="2:2" x14ac:dyDescent="0.2">
      <c r="B3326" s="395"/>
    </row>
    <row r="3327" spans="2:2" x14ac:dyDescent="0.2">
      <c r="B3327" s="395"/>
    </row>
    <row r="3328" spans="2:2" x14ac:dyDescent="0.2">
      <c r="B3328" s="395"/>
    </row>
    <row r="3329" spans="2:2" x14ac:dyDescent="0.2">
      <c r="B3329" s="395"/>
    </row>
    <row r="3330" spans="2:2" x14ac:dyDescent="0.2">
      <c r="B3330" s="395"/>
    </row>
    <row r="3331" spans="2:2" x14ac:dyDescent="0.2">
      <c r="B3331" s="395"/>
    </row>
    <row r="3332" spans="2:2" x14ac:dyDescent="0.2">
      <c r="B3332" s="395"/>
    </row>
    <row r="3333" spans="2:2" x14ac:dyDescent="0.2">
      <c r="B3333" s="395"/>
    </row>
    <row r="3334" spans="2:2" x14ac:dyDescent="0.2">
      <c r="B3334" s="395"/>
    </row>
    <row r="3335" spans="2:2" x14ac:dyDescent="0.2">
      <c r="B3335" s="395"/>
    </row>
    <row r="3336" spans="2:2" x14ac:dyDescent="0.2">
      <c r="B3336" s="395"/>
    </row>
    <row r="3337" spans="2:2" x14ac:dyDescent="0.2">
      <c r="B3337" s="395"/>
    </row>
    <row r="3338" spans="2:2" x14ac:dyDescent="0.2">
      <c r="B3338" s="395"/>
    </row>
    <row r="3339" spans="2:2" x14ac:dyDescent="0.2">
      <c r="B3339" s="395"/>
    </row>
    <row r="3340" spans="2:2" x14ac:dyDescent="0.2">
      <c r="B3340" s="395"/>
    </row>
    <row r="3341" spans="2:2" x14ac:dyDescent="0.2">
      <c r="B3341" s="395"/>
    </row>
    <row r="3342" spans="2:2" x14ac:dyDescent="0.2">
      <c r="B3342" s="395"/>
    </row>
    <row r="3343" spans="2:2" x14ac:dyDescent="0.2">
      <c r="B3343" s="395"/>
    </row>
    <row r="3344" spans="2:2" x14ac:dyDescent="0.2">
      <c r="B3344" s="395"/>
    </row>
    <row r="3345" spans="2:2" x14ac:dyDescent="0.2">
      <c r="B3345" s="395"/>
    </row>
    <row r="3346" spans="2:2" x14ac:dyDescent="0.2">
      <c r="B3346" s="395"/>
    </row>
    <row r="3347" spans="2:2" x14ac:dyDescent="0.2">
      <c r="B3347" s="395"/>
    </row>
    <row r="3348" spans="2:2" x14ac:dyDescent="0.2">
      <c r="B3348" s="395"/>
    </row>
    <row r="3349" spans="2:2" x14ac:dyDescent="0.2">
      <c r="B3349" s="395"/>
    </row>
    <row r="3350" spans="2:2" x14ac:dyDescent="0.2">
      <c r="B3350" s="395"/>
    </row>
    <row r="3351" spans="2:2" x14ac:dyDescent="0.2">
      <c r="B3351" s="395"/>
    </row>
    <row r="3352" spans="2:2" x14ac:dyDescent="0.2">
      <c r="B3352" s="395"/>
    </row>
    <row r="3353" spans="2:2" x14ac:dyDescent="0.2">
      <c r="B3353" s="395"/>
    </row>
    <row r="3354" spans="2:2" x14ac:dyDescent="0.2">
      <c r="B3354" s="395"/>
    </row>
    <row r="3355" spans="2:2" x14ac:dyDescent="0.2">
      <c r="B3355" s="395"/>
    </row>
    <row r="3356" spans="2:2" x14ac:dyDescent="0.2">
      <c r="B3356" s="395"/>
    </row>
    <row r="3357" spans="2:2" x14ac:dyDescent="0.2">
      <c r="B3357" s="395"/>
    </row>
    <row r="3358" spans="2:2" x14ac:dyDescent="0.2">
      <c r="B3358" s="395"/>
    </row>
    <row r="3359" spans="2:2" x14ac:dyDescent="0.2">
      <c r="B3359" s="395"/>
    </row>
    <row r="3360" spans="2:2" x14ac:dyDescent="0.2">
      <c r="B3360" s="395"/>
    </row>
    <row r="3361" spans="2:2" x14ac:dyDescent="0.2">
      <c r="B3361" s="395"/>
    </row>
    <row r="3362" spans="2:2" x14ac:dyDescent="0.2">
      <c r="B3362" s="395"/>
    </row>
    <row r="3363" spans="2:2" x14ac:dyDescent="0.2">
      <c r="B3363" s="395"/>
    </row>
    <row r="3364" spans="2:2" x14ac:dyDescent="0.2">
      <c r="B3364" s="395"/>
    </row>
    <row r="3365" spans="2:2" x14ac:dyDescent="0.2">
      <c r="B3365" s="395"/>
    </row>
    <row r="3366" spans="2:2" x14ac:dyDescent="0.2">
      <c r="B3366" s="395"/>
    </row>
    <row r="3367" spans="2:2" x14ac:dyDescent="0.2">
      <c r="B3367" s="395"/>
    </row>
    <row r="3368" spans="2:2" x14ac:dyDescent="0.2">
      <c r="B3368" s="395"/>
    </row>
    <row r="3369" spans="2:2" x14ac:dyDescent="0.2">
      <c r="B3369" s="395"/>
    </row>
    <row r="3370" spans="2:2" x14ac:dyDescent="0.2">
      <c r="B3370" s="395"/>
    </row>
    <row r="3371" spans="2:2" x14ac:dyDescent="0.2">
      <c r="B3371" s="395"/>
    </row>
    <row r="3372" spans="2:2" x14ac:dyDescent="0.2">
      <c r="B3372" s="395"/>
    </row>
    <row r="3373" spans="2:2" x14ac:dyDescent="0.2">
      <c r="B3373" s="395"/>
    </row>
    <row r="3374" spans="2:2" x14ac:dyDescent="0.2">
      <c r="B3374" s="395"/>
    </row>
    <row r="3375" spans="2:2" x14ac:dyDescent="0.2">
      <c r="B3375" s="395"/>
    </row>
    <row r="3376" spans="2:2" x14ac:dyDescent="0.2">
      <c r="B3376" s="395"/>
    </row>
    <row r="3377" spans="2:2" x14ac:dyDescent="0.2">
      <c r="B3377" s="395"/>
    </row>
    <row r="3378" spans="2:2" x14ac:dyDescent="0.2">
      <c r="B3378" s="395"/>
    </row>
    <row r="3379" spans="2:2" x14ac:dyDescent="0.2">
      <c r="B3379" s="395"/>
    </row>
    <row r="3380" spans="2:2" x14ac:dyDescent="0.2">
      <c r="B3380" s="395"/>
    </row>
    <row r="3381" spans="2:2" x14ac:dyDescent="0.2">
      <c r="B3381" s="395"/>
    </row>
    <row r="3382" spans="2:2" x14ac:dyDescent="0.2">
      <c r="B3382" s="395"/>
    </row>
    <row r="3383" spans="2:2" x14ac:dyDescent="0.2">
      <c r="B3383" s="395"/>
    </row>
    <row r="3384" spans="2:2" x14ac:dyDescent="0.2">
      <c r="B3384" s="395"/>
    </row>
    <row r="3385" spans="2:2" x14ac:dyDescent="0.2">
      <c r="B3385" s="395"/>
    </row>
    <row r="3386" spans="2:2" x14ac:dyDescent="0.2">
      <c r="B3386" s="395"/>
    </row>
    <row r="3387" spans="2:2" x14ac:dyDescent="0.2">
      <c r="B3387" s="395"/>
    </row>
    <row r="3388" spans="2:2" x14ac:dyDescent="0.2">
      <c r="B3388" s="395"/>
    </row>
    <row r="3389" spans="2:2" x14ac:dyDescent="0.2">
      <c r="B3389" s="395"/>
    </row>
    <row r="3390" spans="2:2" x14ac:dyDescent="0.2">
      <c r="B3390" s="395"/>
    </row>
    <row r="3391" spans="2:2" x14ac:dyDescent="0.2">
      <c r="B3391" s="395"/>
    </row>
    <row r="3392" spans="2:2" x14ac:dyDescent="0.2">
      <c r="B3392" s="395"/>
    </row>
    <row r="3393" spans="2:2" x14ac:dyDescent="0.2">
      <c r="B3393" s="395"/>
    </row>
    <row r="3394" spans="2:2" x14ac:dyDescent="0.2">
      <c r="B3394" s="395"/>
    </row>
    <row r="3395" spans="2:2" x14ac:dyDescent="0.2">
      <c r="B3395" s="395"/>
    </row>
    <row r="3396" spans="2:2" x14ac:dyDescent="0.2">
      <c r="B3396" s="395"/>
    </row>
    <row r="3397" spans="2:2" x14ac:dyDescent="0.2">
      <c r="B3397" s="395"/>
    </row>
    <row r="3398" spans="2:2" x14ac:dyDescent="0.2">
      <c r="B3398" s="395"/>
    </row>
    <row r="3399" spans="2:2" x14ac:dyDescent="0.2">
      <c r="B3399" s="395"/>
    </row>
    <row r="3400" spans="2:2" x14ac:dyDescent="0.2">
      <c r="B3400" s="395"/>
    </row>
    <row r="3401" spans="2:2" x14ac:dyDescent="0.2">
      <c r="B3401" s="395"/>
    </row>
    <row r="3402" spans="2:2" x14ac:dyDescent="0.2">
      <c r="B3402" s="395"/>
    </row>
    <row r="3403" spans="2:2" x14ac:dyDescent="0.2">
      <c r="B3403" s="395"/>
    </row>
    <row r="3404" spans="2:2" x14ac:dyDescent="0.2">
      <c r="B3404" s="395"/>
    </row>
    <row r="3405" spans="2:2" x14ac:dyDescent="0.2">
      <c r="B3405" s="395"/>
    </row>
    <row r="3406" spans="2:2" x14ac:dyDescent="0.2">
      <c r="B3406" s="395"/>
    </row>
    <row r="3407" spans="2:2" x14ac:dyDescent="0.2">
      <c r="B3407" s="395"/>
    </row>
    <row r="3408" spans="2:2" x14ac:dyDescent="0.2">
      <c r="B3408" s="395"/>
    </row>
    <row r="3409" spans="2:2" x14ac:dyDescent="0.2">
      <c r="B3409" s="395"/>
    </row>
    <row r="3410" spans="2:2" x14ac:dyDescent="0.2">
      <c r="B3410" s="395"/>
    </row>
    <row r="3411" spans="2:2" x14ac:dyDescent="0.2">
      <c r="B3411" s="395"/>
    </row>
    <row r="3412" spans="2:2" x14ac:dyDescent="0.2">
      <c r="B3412" s="395"/>
    </row>
    <row r="3413" spans="2:2" x14ac:dyDescent="0.2">
      <c r="B3413" s="395"/>
    </row>
    <row r="3414" spans="2:2" x14ac:dyDescent="0.2">
      <c r="B3414" s="395"/>
    </row>
    <row r="3415" spans="2:2" x14ac:dyDescent="0.2">
      <c r="B3415" s="395"/>
    </row>
    <row r="3416" spans="2:2" x14ac:dyDescent="0.2">
      <c r="B3416" s="395"/>
    </row>
    <row r="3417" spans="2:2" x14ac:dyDescent="0.2">
      <c r="B3417" s="395"/>
    </row>
    <row r="3418" spans="2:2" x14ac:dyDescent="0.2">
      <c r="B3418" s="395"/>
    </row>
    <row r="3419" spans="2:2" x14ac:dyDescent="0.2">
      <c r="B3419" s="395"/>
    </row>
    <row r="3420" spans="2:2" x14ac:dyDescent="0.2">
      <c r="B3420" s="395"/>
    </row>
    <row r="3421" spans="2:2" x14ac:dyDescent="0.2">
      <c r="B3421" s="395"/>
    </row>
    <row r="3422" spans="2:2" x14ac:dyDescent="0.2">
      <c r="B3422" s="395"/>
    </row>
    <row r="3423" spans="2:2" x14ac:dyDescent="0.2">
      <c r="B3423" s="395"/>
    </row>
    <row r="3424" spans="2:2" x14ac:dyDescent="0.2">
      <c r="B3424" s="395"/>
    </row>
    <row r="3425" spans="2:2" x14ac:dyDescent="0.2">
      <c r="B3425" s="395"/>
    </row>
    <row r="3426" spans="2:2" x14ac:dyDescent="0.2">
      <c r="B3426" s="395"/>
    </row>
    <row r="3427" spans="2:2" x14ac:dyDescent="0.2">
      <c r="B3427" s="395"/>
    </row>
    <row r="3428" spans="2:2" x14ac:dyDescent="0.2">
      <c r="B3428" s="395"/>
    </row>
    <row r="3429" spans="2:2" x14ac:dyDescent="0.2">
      <c r="B3429" s="395"/>
    </row>
    <row r="3430" spans="2:2" x14ac:dyDescent="0.2">
      <c r="B3430" s="395"/>
    </row>
    <row r="3431" spans="2:2" x14ac:dyDescent="0.2">
      <c r="B3431" s="395"/>
    </row>
    <row r="3432" spans="2:2" x14ac:dyDescent="0.2">
      <c r="B3432" s="395"/>
    </row>
    <row r="3433" spans="2:2" x14ac:dyDescent="0.2">
      <c r="B3433" s="395"/>
    </row>
    <row r="3434" spans="2:2" x14ac:dyDescent="0.2">
      <c r="B3434" s="395"/>
    </row>
    <row r="3435" spans="2:2" x14ac:dyDescent="0.2">
      <c r="B3435" s="395"/>
    </row>
    <row r="3436" spans="2:2" x14ac:dyDescent="0.2">
      <c r="B3436" s="395"/>
    </row>
    <row r="3437" spans="2:2" x14ac:dyDescent="0.2">
      <c r="B3437" s="395"/>
    </row>
    <row r="3438" spans="2:2" x14ac:dyDescent="0.2">
      <c r="B3438" s="395"/>
    </row>
    <row r="3439" spans="2:2" x14ac:dyDescent="0.2">
      <c r="B3439" s="395"/>
    </row>
    <row r="3440" spans="2:2" x14ac:dyDescent="0.2">
      <c r="B3440" s="395"/>
    </row>
    <row r="3441" spans="2:2" x14ac:dyDescent="0.2">
      <c r="B3441" s="395"/>
    </row>
    <row r="3442" spans="2:2" x14ac:dyDescent="0.2">
      <c r="B3442" s="395"/>
    </row>
    <row r="3443" spans="2:2" x14ac:dyDescent="0.2">
      <c r="B3443" s="395"/>
    </row>
    <row r="3444" spans="2:2" x14ac:dyDescent="0.2">
      <c r="B3444" s="395"/>
    </row>
    <row r="3445" spans="2:2" x14ac:dyDescent="0.2">
      <c r="B3445" s="395"/>
    </row>
    <row r="3446" spans="2:2" x14ac:dyDescent="0.2">
      <c r="B3446" s="395"/>
    </row>
    <row r="3447" spans="2:2" x14ac:dyDescent="0.2">
      <c r="B3447" s="395"/>
    </row>
    <row r="3448" spans="2:2" x14ac:dyDescent="0.2">
      <c r="B3448" s="395"/>
    </row>
    <row r="3449" spans="2:2" x14ac:dyDescent="0.2">
      <c r="B3449" s="395"/>
    </row>
    <row r="3450" spans="2:2" x14ac:dyDescent="0.2">
      <c r="B3450" s="395"/>
    </row>
    <row r="3451" spans="2:2" x14ac:dyDescent="0.2">
      <c r="B3451" s="395"/>
    </row>
    <row r="3452" spans="2:2" x14ac:dyDescent="0.2">
      <c r="B3452" s="395"/>
    </row>
    <row r="3453" spans="2:2" x14ac:dyDescent="0.2">
      <c r="B3453" s="395"/>
    </row>
    <row r="3454" spans="2:2" x14ac:dyDescent="0.2">
      <c r="B3454" s="395"/>
    </row>
    <row r="3455" spans="2:2" x14ac:dyDescent="0.2">
      <c r="B3455" s="395"/>
    </row>
    <row r="3456" spans="2:2" x14ac:dyDescent="0.2">
      <c r="B3456" s="395"/>
    </row>
    <row r="3457" spans="2:2" x14ac:dyDescent="0.2">
      <c r="B3457" s="395"/>
    </row>
    <row r="3458" spans="2:2" x14ac:dyDescent="0.2">
      <c r="B3458" s="395"/>
    </row>
    <row r="3459" spans="2:2" x14ac:dyDescent="0.2">
      <c r="B3459" s="395"/>
    </row>
    <row r="3460" spans="2:2" x14ac:dyDescent="0.2">
      <c r="B3460" s="395"/>
    </row>
    <row r="3461" spans="2:2" x14ac:dyDescent="0.2">
      <c r="B3461" s="395"/>
    </row>
    <row r="3462" spans="2:2" x14ac:dyDescent="0.2">
      <c r="B3462" s="395"/>
    </row>
    <row r="3463" spans="2:2" x14ac:dyDescent="0.2">
      <c r="B3463" s="395"/>
    </row>
    <row r="3464" spans="2:2" x14ac:dyDescent="0.2">
      <c r="B3464" s="395"/>
    </row>
    <row r="3465" spans="2:2" x14ac:dyDescent="0.2">
      <c r="B3465" s="395"/>
    </row>
    <row r="3466" spans="2:2" x14ac:dyDescent="0.2">
      <c r="B3466" s="395"/>
    </row>
    <row r="3467" spans="2:2" x14ac:dyDescent="0.2">
      <c r="B3467" s="395"/>
    </row>
    <row r="3468" spans="2:2" x14ac:dyDescent="0.2">
      <c r="B3468" s="395"/>
    </row>
    <row r="3469" spans="2:2" x14ac:dyDescent="0.2">
      <c r="B3469" s="395"/>
    </row>
    <row r="3470" spans="2:2" x14ac:dyDescent="0.2">
      <c r="B3470" s="395"/>
    </row>
    <row r="3471" spans="2:2" x14ac:dyDescent="0.2">
      <c r="B3471" s="395"/>
    </row>
    <row r="3472" spans="2:2" x14ac:dyDescent="0.2">
      <c r="B3472" s="395"/>
    </row>
    <row r="3473" spans="2:2" x14ac:dyDescent="0.2">
      <c r="B3473" s="395"/>
    </row>
    <row r="3474" spans="2:2" x14ac:dyDescent="0.2">
      <c r="B3474" s="395"/>
    </row>
    <row r="3475" spans="2:2" x14ac:dyDescent="0.2">
      <c r="B3475" s="395"/>
    </row>
    <row r="3476" spans="2:2" x14ac:dyDescent="0.2">
      <c r="B3476" s="395"/>
    </row>
    <row r="3477" spans="2:2" x14ac:dyDescent="0.2">
      <c r="B3477" s="395"/>
    </row>
    <row r="3478" spans="2:2" x14ac:dyDescent="0.2">
      <c r="B3478" s="395"/>
    </row>
    <row r="3479" spans="2:2" x14ac:dyDescent="0.2">
      <c r="B3479" s="395"/>
    </row>
    <row r="3480" spans="2:2" x14ac:dyDescent="0.2">
      <c r="B3480" s="395"/>
    </row>
    <row r="3481" spans="2:2" x14ac:dyDescent="0.2">
      <c r="B3481" s="395"/>
    </row>
    <row r="3482" spans="2:2" x14ac:dyDescent="0.2">
      <c r="B3482" s="395"/>
    </row>
    <row r="3483" spans="2:2" x14ac:dyDescent="0.2">
      <c r="B3483" s="395"/>
    </row>
    <row r="3484" spans="2:2" x14ac:dyDescent="0.2">
      <c r="B3484" s="395"/>
    </row>
    <row r="3485" spans="2:2" x14ac:dyDescent="0.2">
      <c r="B3485" s="395"/>
    </row>
    <row r="3486" spans="2:2" x14ac:dyDescent="0.2">
      <c r="B3486" s="395"/>
    </row>
    <row r="3487" spans="2:2" x14ac:dyDescent="0.2">
      <c r="B3487" s="395"/>
    </row>
    <row r="3488" spans="2:2" x14ac:dyDescent="0.2">
      <c r="B3488" s="395"/>
    </row>
    <row r="3489" spans="2:2" x14ac:dyDescent="0.2">
      <c r="B3489" s="395"/>
    </row>
    <row r="3490" spans="2:2" x14ac:dyDescent="0.2">
      <c r="B3490" s="395"/>
    </row>
    <row r="3491" spans="2:2" x14ac:dyDescent="0.2">
      <c r="B3491" s="395"/>
    </row>
    <row r="3492" spans="2:2" x14ac:dyDescent="0.2">
      <c r="B3492" s="395"/>
    </row>
    <row r="3493" spans="2:2" x14ac:dyDescent="0.2">
      <c r="B3493" s="395"/>
    </row>
    <row r="3494" spans="2:2" x14ac:dyDescent="0.2">
      <c r="B3494" s="395"/>
    </row>
    <row r="3495" spans="2:2" x14ac:dyDescent="0.2">
      <c r="B3495" s="395"/>
    </row>
    <row r="3496" spans="2:2" x14ac:dyDescent="0.2">
      <c r="B3496" s="395"/>
    </row>
    <row r="3497" spans="2:2" x14ac:dyDescent="0.2">
      <c r="B3497" s="395"/>
    </row>
    <row r="3498" spans="2:2" x14ac:dyDescent="0.2">
      <c r="B3498" s="395"/>
    </row>
    <row r="3499" spans="2:2" x14ac:dyDescent="0.2">
      <c r="B3499" s="395"/>
    </row>
    <row r="3500" spans="2:2" x14ac:dyDescent="0.2">
      <c r="B3500" s="395"/>
    </row>
    <row r="3501" spans="2:2" x14ac:dyDescent="0.2">
      <c r="B3501" s="395"/>
    </row>
    <row r="3502" spans="2:2" x14ac:dyDescent="0.2">
      <c r="B3502" s="395"/>
    </row>
    <row r="3503" spans="2:2" x14ac:dyDescent="0.2">
      <c r="B3503" s="395"/>
    </row>
    <row r="3504" spans="2:2" x14ac:dyDescent="0.2">
      <c r="B3504" s="395"/>
    </row>
    <row r="3505" spans="2:2" x14ac:dyDescent="0.2">
      <c r="B3505" s="395"/>
    </row>
    <row r="3506" spans="2:2" x14ac:dyDescent="0.2">
      <c r="B3506" s="395"/>
    </row>
    <row r="3507" spans="2:2" x14ac:dyDescent="0.2">
      <c r="B3507" s="395"/>
    </row>
    <row r="3508" spans="2:2" x14ac:dyDescent="0.2">
      <c r="B3508" s="395"/>
    </row>
    <row r="3509" spans="2:2" x14ac:dyDescent="0.2">
      <c r="B3509" s="395"/>
    </row>
    <row r="3510" spans="2:2" x14ac:dyDescent="0.2">
      <c r="B3510" s="395"/>
    </row>
    <row r="3511" spans="2:2" x14ac:dyDescent="0.2">
      <c r="B3511" s="395"/>
    </row>
    <row r="3512" spans="2:2" x14ac:dyDescent="0.2">
      <c r="B3512" s="395"/>
    </row>
    <row r="3513" spans="2:2" x14ac:dyDescent="0.2">
      <c r="B3513" s="395"/>
    </row>
    <row r="3514" spans="2:2" x14ac:dyDescent="0.2">
      <c r="B3514" s="395"/>
    </row>
  </sheetData>
  <sheetProtection selectLockedCells="1"/>
  <mergeCells count="14">
    <mergeCell ref="Q873:Q889"/>
    <mergeCell ref="C843:C844"/>
    <mergeCell ref="L858:N858"/>
    <mergeCell ref="C894:C896"/>
    <mergeCell ref="D899:G899"/>
    <mergeCell ref="D905:E905"/>
    <mergeCell ref="D906:E906"/>
    <mergeCell ref="AO936:AP937"/>
    <mergeCell ref="C1019:C1020"/>
    <mergeCell ref="C900:C903"/>
    <mergeCell ref="D901:E901"/>
    <mergeCell ref="D902:E902"/>
    <mergeCell ref="D903:E903"/>
    <mergeCell ref="D904:E904"/>
  </mergeCells>
  <dataValidations count="15">
    <dataValidation type="list" allowBlank="1" showInputMessage="1" showErrorMessage="1" sqref="B825" xr:uid="{465754D2-6D2B-49EA-9230-420C6D534855}">
      <formula1>$N$1:$N$78</formula1>
    </dataValidation>
    <dataValidation type="list" allowBlank="1" showInputMessage="1" showErrorMessage="1" sqref="B812" xr:uid="{384F7E87-0F5B-4FB9-8D3A-8873226261C7}">
      <formula1>$AR$812:$AR$848</formula1>
    </dataValidation>
    <dataValidation type="list" allowBlank="1" showInputMessage="1" showErrorMessage="1" sqref="B238 B847:B855 B304:B306 B294:B297" xr:uid="{074C5458-9CAC-4ABC-8346-3B18A6E35921}">
      <formula1>#REF!</formula1>
    </dataValidation>
    <dataValidation type="list" allowBlank="1" showInputMessage="1" showErrorMessage="1" sqref="B371" xr:uid="{5313442D-3526-4B7D-8AD7-5C74FD15389A}">
      <formula1>$L$1:$L$19</formula1>
    </dataValidation>
    <dataValidation type="list" allowBlank="1" showInputMessage="1" showErrorMessage="1" sqref="B841" xr:uid="{CB017EAE-4410-4D8C-9F3E-2764261E8853}">
      <formula1>$M$8:$M$95</formula1>
    </dataValidation>
    <dataValidation type="list" allowBlank="1" showInputMessage="1" showErrorMessage="1" sqref="C164" xr:uid="{3C50318B-10FA-41D2-8992-A8EB018F88BE}">
      <formula1>$A$171:$A$175</formula1>
    </dataValidation>
    <dataValidation type="list" allowBlank="1" showInputMessage="1" showErrorMessage="1" sqref="B496" xr:uid="{A05FD035-C8F8-4B85-9526-733FFF82E755}">
      <formula1>$M$493:$M$498</formula1>
    </dataValidation>
    <dataValidation type="list" allowBlank="1" showInputMessage="1" showErrorMessage="1" sqref="B508 B497" xr:uid="{2C72D7E3-87B7-4DF2-9BD8-B4AC09584FFA}">
      <formula1>$L$493:$L$509</formula1>
    </dataValidation>
    <dataValidation type="list" allowBlank="1" showInputMessage="1" showErrorMessage="1" sqref="B507" xr:uid="{851E6F9A-04DA-43A6-BDED-C0B02F6BA8AD}">
      <formula1>$M$493:$M$495</formula1>
    </dataValidation>
    <dataValidation type="list" allowBlank="1" showInputMessage="1" showErrorMessage="1" sqref="B846" xr:uid="{E7BFB723-8CDD-48A8-9D53-15AAB6C2F752}">
      <formula1>$M$1:$M$5</formula1>
    </dataValidation>
    <dataValidation type="list" allowBlank="1" showInputMessage="1" showErrorMessage="1" sqref="B1031" xr:uid="{52CF27F2-A2CB-4BAF-81D3-8A6193BCA735}">
      <formula1>$T$1020:$T$1030</formula1>
    </dataValidation>
    <dataValidation type="list" allowBlank="1" showInputMessage="1" showErrorMessage="1" sqref="B1024" xr:uid="{3F53732B-E3C8-46A8-8509-5807F80F5AC2}">
      <formula1>$S$1020:$S$1053</formula1>
    </dataValidation>
    <dataValidation type="list" allowBlank="1" showInputMessage="1" showErrorMessage="1" sqref="B1026" xr:uid="{95ED01A2-8BB2-448A-BF3F-C005E4822A31}">
      <formula1>$R$1020:$R$1039</formula1>
    </dataValidation>
    <dataValidation type="list" allowBlank="1" showInputMessage="1" showErrorMessage="1" sqref="B1022" xr:uid="{C7D92677-F089-4C2B-BDA7-A93B31C35319}">
      <formula1>$Q$1020:$Q$1053</formula1>
    </dataValidation>
    <dataValidation type="list" allowBlank="1" showInputMessage="1" showErrorMessage="1" sqref="B1023" xr:uid="{EB60D83B-0B62-4005-9FA4-40DE4C09E63B}">
      <formula1>$Q$1020:$Q$1028</formula1>
    </dataValidation>
  </dataValidations>
  <hyperlinks>
    <hyperlink ref="A872" r:id="rId1" xr:uid="{6E2EE66C-262C-4293-B4E3-32469572CC61}"/>
    <hyperlink ref="C850" location="'Termite Protection'!A1" display="Termite Protection" xr:uid="{AE2E8C8F-83A2-4CAF-9363-0C15BC73C432}"/>
  </hyperlinks>
  <pageMargins left="0" right="0" top="0.98425196850393704" bottom="0.98425196850393704" header="0.51181102362204722" footer="0.51181102362204722"/>
  <pageSetup paperSize="9" scale="95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049" r:id="rId5" name="CbBGC1">
          <controlPr defaultSize="0" autoLine="0" autoPict="0" r:id="rId6">
            <anchor moveWithCells="1">
              <from>
                <xdr:col>40</xdr:col>
                <xdr:colOff>0</xdr:colOff>
                <xdr:row>660</xdr:row>
                <xdr:rowOff>0</xdr:rowOff>
              </from>
              <to>
                <xdr:col>47</xdr:col>
                <xdr:colOff>76200</xdr:colOff>
                <xdr:row>661</xdr:row>
                <xdr:rowOff>28575</xdr:rowOff>
              </to>
            </anchor>
          </controlPr>
        </control>
      </mc:Choice>
      <mc:Fallback>
        <control shapeId="2049" r:id="rId5" name="CbBGC1"/>
      </mc:Fallback>
    </mc:AlternateContent>
    <mc:AlternateContent xmlns:mc="http://schemas.openxmlformats.org/markup-compatibility/2006">
      <mc:Choice Requires="x14">
        <control shapeId="2050" r:id="rId7" name="CbBGC2">
          <controlPr defaultSize="0" autoLine="0" autoPict="0" r:id="rId6">
            <anchor moveWithCells="1">
              <from>
                <xdr:col>40</xdr:col>
                <xdr:colOff>0</xdr:colOff>
                <xdr:row>660</xdr:row>
                <xdr:rowOff>0</xdr:rowOff>
              </from>
              <to>
                <xdr:col>47</xdr:col>
                <xdr:colOff>76200</xdr:colOff>
                <xdr:row>661</xdr:row>
                <xdr:rowOff>28575</xdr:rowOff>
              </to>
            </anchor>
          </controlPr>
        </control>
      </mc:Choice>
      <mc:Fallback>
        <control shapeId="2050" r:id="rId7" name="CbBGC2"/>
      </mc:Fallback>
    </mc:AlternateContent>
    <mc:AlternateContent xmlns:mc="http://schemas.openxmlformats.org/markup-compatibility/2006">
      <mc:Choice Requires="x14">
        <control shapeId="2051" r:id="rId8" name="CbBGC3">
          <controlPr defaultSize="0" autoLine="0" autoPict="0" r:id="rId6">
            <anchor moveWithCells="1">
              <from>
                <xdr:col>40</xdr:col>
                <xdr:colOff>0</xdr:colOff>
                <xdr:row>660</xdr:row>
                <xdr:rowOff>0</xdr:rowOff>
              </from>
              <to>
                <xdr:col>47</xdr:col>
                <xdr:colOff>76200</xdr:colOff>
                <xdr:row>661</xdr:row>
                <xdr:rowOff>28575</xdr:rowOff>
              </to>
            </anchor>
          </controlPr>
        </control>
      </mc:Choice>
      <mc:Fallback>
        <control shapeId="2051" r:id="rId8" name="CbBGC3"/>
      </mc:Fallback>
    </mc:AlternateContent>
    <mc:AlternateContent xmlns:mc="http://schemas.openxmlformats.org/markup-compatibility/2006">
      <mc:Choice Requires="x14">
        <control shapeId="2052" r:id="rId9" name="CbBGC4">
          <controlPr defaultSize="0" autoLine="0" autoPict="0" r:id="rId6">
            <anchor moveWithCells="1">
              <from>
                <xdr:col>40</xdr:col>
                <xdr:colOff>0</xdr:colOff>
                <xdr:row>660</xdr:row>
                <xdr:rowOff>114300</xdr:rowOff>
              </from>
              <to>
                <xdr:col>47</xdr:col>
                <xdr:colOff>76200</xdr:colOff>
                <xdr:row>661</xdr:row>
                <xdr:rowOff>152400</xdr:rowOff>
              </to>
            </anchor>
          </controlPr>
        </control>
      </mc:Choice>
      <mc:Fallback>
        <control shapeId="2052" r:id="rId9" name="CbBGC4"/>
      </mc:Fallback>
    </mc:AlternateContent>
    <mc:AlternateContent xmlns:mc="http://schemas.openxmlformats.org/markup-compatibility/2006">
      <mc:Choice Requires="x14">
        <control shapeId="2053" r:id="rId10" name="CbBGC5">
          <controlPr defaultSize="0" autoLine="0" autoPict="0" r:id="rId11">
            <anchor moveWithCells="1">
              <from>
                <xdr:col>40</xdr:col>
                <xdr:colOff>0</xdr:colOff>
                <xdr:row>678</xdr:row>
                <xdr:rowOff>19050</xdr:rowOff>
              </from>
              <to>
                <xdr:col>47</xdr:col>
                <xdr:colOff>76200</xdr:colOff>
                <xdr:row>679</xdr:row>
                <xdr:rowOff>57150</xdr:rowOff>
              </to>
            </anchor>
          </controlPr>
        </control>
      </mc:Choice>
      <mc:Fallback>
        <control shapeId="2053" r:id="rId10" name="CbBGC5"/>
      </mc:Fallback>
    </mc:AlternateContent>
    <mc:AlternateContent xmlns:mc="http://schemas.openxmlformats.org/markup-compatibility/2006">
      <mc:Choice Requires="x14">
        <control shapeId="2054" r:id="rId12" name="Save2">
          <controlPr defaultSize="0" print="0" autoLine="0" r:id="rId13">
            <anchor moveWithCells="1" sizeWithCells="1">
              <from>
                <xdr:col>3</xdr:col>
                <xdr:colOff>57150</xdr:colOff>
                <xdr:row>0</xdr:row>
                <xdr:rowOff>0</xdr:rowOff>
              </from>
              <to>
                <xdr:col>4</xdr:col>
                <xdr:colOff>561975</xdr:colOff>
                <xdr:row>0</xdr:row>
                <xdr:rowOff>0</xdr:rowOff>
              </to>
            </anchor>
          </controlPr>
        </control>
      </mc:Choice>
      <mc:Fallback>
        <control shapeId="2054" r:id="rId12" name="Save2"/>
      </mc:Fallback>
    </mc:AlternateContent>
    <mc:AlternateContent xmlns:mc="http://schemas.openxmlformats.org/markup-compatibility/2006">
      <mc:Choice Requires="x14">
        <control shapeId="2055" r:id="rId14" name="Specs">
          <controlPr defaultSize="0" print="0" autoLine="0" r:id="rId15">
            <anchor moveWithCells="1" sizeWithCells="1">
              <from>
                <xdr:col>3</xdr:col>
                <xdr:colOff>38100</xdr:colOff>
                <xdr:row>0</xdr:row>
                <xdr:rowOff>0</xdr:rowOff>
              </from>
              <to>
                <xdr:col>4</xdr:col>
                <xdr:colOff>561975</xdr:colOff>
                <xdr:row>0</xdr:row>
                <xdr:rowOff>0</xdr:rowOff>
              </to>
            </anchor>
          </controlPr>
        </control>
      </mc:Choice>
      <mc:Fallback>
        <control shapeId="2055" r:id="rId14" name="Specs"/>
      </mc:Fallback>
    </mc:AlternateContent>
    <mc:AlternateContent xmlns:mc="http://schemas.openxmlformats.org/markup-compatibility/2006">
      <mc:Choice Requires="x14">
        <control shapeId="2056" r:id="rId16" name="Qpreamble">
          <controlPr defaultSize="0" print="0" autoLine="0" r:id="rId17">
            <anchor moveWithCells="1" sizeWithCells="1">
              <from>
                <xdr:col>0</xdr:col>
                <xdr:colOff>152400</xdr:colOff>
                <xdr:row>0</xdr:row>
                <xdr:rowOff>0</xdr:rowOff>
              </from>
              <to>
                <xdr:col>2</xdr:col>
                <xdr:colOff>781050</xdr:colOff>
                <xdr:row>0</xdr:row>
                <xdr:rowOff>0</xdr:rowOff>
              </to>
            </anchor>
          </controlPr>
        </control>
      </mc:Choice>
      <mc:Fallback>
        <control shapeId="2056" r:id="rId16" name="Qpream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CFDE21E-AAB5-4C51-B731-2CA6FB1BAD4C}">
          <x14:formula1>
            <xm:f>prices!$B$86:$B$94</xm:f>
          </x14:formula1>
          <xm:sqref>C26:C30</xm:sqref>
        </x14:dataValidation>
        <x14:dataValidation type="list" allowBlank="1" showInputMessage="1" showErrorMessage="1" xr:uid="{489B618A-E24E-48A7-B1C4-BFA48BC76F7E}">
          <x14:formula1>
            <xm:f>prices!$B$1552:$B$1572</xm:f>
          </x14:formula1>
          <xm:sqref>C603:C614</xm:sqref>
        </x14:dataValidation>
        <x14:dataValidation type="list" allowBlank="1" showInputMessage="1" showErrorMessage="1" xr:uid="{A851B935-CF61-4982-BC58-D1E7375B8B16}">
          <x14:formula1>
            <xm:f>prices!$B$349:$B$366</xm:f>
          </x14:formula1>
          <xm:sqref>C550:C563</xm:sqref>
        </x14:dataValidation>
        <x14:dataValidation type="list" allowBlank="1" showInputMessage="1" showErrorMessage="1" xr:uid="{29FE4937-E964-4041-99D8-4E28611F645F}">
          <x14:formula1>
            <xm:f>prices!$B$288:$B$379</xm:f>
          </x14:formula1>
          <xm:sqref>C161:C163</xm:sqref>
        </x14:dataValidation>
        <x14:dataValidation type="list" allowBlank="1" showInputMessage="1" showErrorMessage="1" xr:uid="{1F443FB9-DE2B-4CA1-8BB4-9C61F59FE7E8}">
          <x14:formula1>
            <xm:f>prices!$B$489:$B$501</xm:f>
          </x14:formula1>
          <xm:sqref>C624:C625</xm:sqref>
        </x14:dataValidation>
        <x14:dataValidation type="list" allowBlank="1" showInputMessage="1" showErrorMessage="1" xr:uid="{FEE0C493-B710-4689-A1BB-7CC0627E8F35}">
          <x14:formula1>
            <xm:f>prices!$B$274:$B$279</xm:f>
          </x14:formula1>
          <xm:sqref>C172:C174</xm:sqref>
        </x14:dataValidation>
        <x14:dataValidation type="list" allowBlank="1" showInputMessage="1" showErrorMessage="1" xr:uid="{C191CADD-7F01-4F68-B656-9C876F7C9CDC}">
          <x14:formula1>
            <xm:f>prices!$B$243:$B$269</xm:f>
          </x14:formula1>
          <xm:sqref>C106:C109</xm:sqref>
        </x14:dataValidation>
        <x14:dataValidation type="list" allowBlank="1" showInputMessage="1" showErrorMessage="1" xr:uid="{F1790922-C8E8-4EE9-9A56-9F14110572E7}">
          <x14:formula1>
            <xm:f>prices!$B$514:$B$570</xm:f>
          </x14:formula1>
          <xm:sqref>C644:C649</xm:sqref>
        </x14:dataValidation>
        <x14:dataValidation type="list" allowBlank="1" showInputMessage="1" showErrorMessage="1" xr:uid="{0512C70E-5D1D-42D5-B862-B70E80A7504A}">
          <x14:formula1>
            <xm:f>prices!$B$465:$B$478</xm:f>
          </x14:formula1>
          <xm:sqref>C638:C641</xm:sqref>
        </x14:dataValidation>
        <x14:dataValidation type="list" allowBlank="1" showInputMessage="1" showErrorMessage="1" xr:uid="{48D400C1-D621-4737-B1E5-698DEC4CBFCD}">
          <x14:formula1>
            <xm:f>prices!$B$461:$B$463</xm:f>
          </x14:formula1>
          <xm:sqref>C632:C634</xm:sqref>
        </x14:dataValidation>
        <x14:dataValidation type="list" allowBlank="1" showInputMessage="1" showErrorMessage="1" xr:uid="{58446D89-A8A1-4655-88ED-179F99803CCA}">
          <x14:formula1>
            <xm:f>prices!$B$503:$B$512</xm:f>
          </x14:formula1>
          <xm:sqref>C626:C629</xm:sqref>
        </x14:dataValidation>
        <x14:dataValidation type="list" allowBlank="1" showInputMessage="1" showErrorMessage="1" xr:uid="{5D2E9A20-CAA6-46CB-B04C-1278B459C886}">
          <x14:formula1>
            <xm:f>prices!$B$453:$B$457</xm:f>
          </x14:formula1>
          <xm:sqref>C619:C622</xm:sqref>
        </x14:dataValidation>
        <x14:dataValidation type="list" allowBlank="1" showInputMessage="1" showErrorMessage="1" xr:uid="{FE1528F0-7FE1-4D73-B95E-BDED602594C5}">
          <x14:formula1>
            <xm:f>prices!$B$231:$B$235</xm:f>
          </x14:formula1>
          <xm:sqref>C156:C159</xm:sqref>
        </x14:dataValidation>
        <x14:dataValidation type="list" allowBlank="1" showInputMessage="1" showErrorMessage="1" xr:uid="{E1FF2ED1-9C81-4FB4-83C5-2F8687E058C9}">
          <x14:formula1>
            <xm:f>prices!$B$187:$B$194</xm:f>
          </x14:formula1>
          <xm:sqref>C111:C113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CCF1-D7FA-48B0-9F4F-BA6C81CD1DAA}">
  <sheetPr codeName="Sheet8">
    <tabColor indexed="11"/>
  </sheetPr>
  <dimension ref="A1:T1677"/>
  <sheetViews>
    <sheetView showZeros="0" zoomScaleNormal="100" workbookViewId="0">
      <selection activeCell="B22" sqref="B22"/>
    </sheetView>
  </sheetViews>
  <sheetFormatPr defaultColWidth="9.140625" defaultRowHeight="12.75" x14ac:dyDescent="0.2"/>
  <cols>
    <col min="1" max="1" width="8.7109375" style="13" bestFit="1" customWidth="1"/>
    <col min="2" max="2" width="67.85546875" style="13" bestFit="1" customWidth="1"/>
    <col min="3" max="3" width="9.7109375" style="13" bestFit="1" customWidth="1"/>
    <col min="4" max="4" width="8" style="13" customWidth="1"/>
    <col min="5" max="5" width="8.7109375" style="13" bestFit="1" customWidth="1"/>
    <col min="6" max="6" width="9.7109375" style="13" customWidth="1"/>
    <col min="7" max="7" width="12.140625" style="13" customWidth="1"/>
    <col min="8" max="8" width="12.7109375" style="13" customWidth="1"/>
    <col min="9" max="9" width="10.28515625" style="13" customWidth="1"/>
    <col min="10" max="10" width="9.7109375" style="13" bestFit="1" customWidth="1"/>
    <col min="11" max="11" width="21.140625" style="13" bestFit="1" customWidth="1"/>
    <col min="12" max="12" width="4.7109375" style="13" customWidth="1"/>
    <col min="13" max="13" width="9.140625" style="13"/>
    <col min="14" max="14" width="12.85546875" style="430" customWidth="1"/>
    <col min="15" max="16384" width="9.140625" style="13"/>
  </cols>
  <sheetData>
    <row r="1" spans="2:20" ht="13.5" thickBo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463"/>
      <c r="N1" s="464"/>
      <c r="O1" s="110"/>
      <c r="P1" s="110"/>
      <c r="Q1" s="110"/>
      <c r="R1" s="110"/>
      <c r="S1" s="110"/>
      <c r="T1" s="110"/>
    </row>
    <row r="2" spans="2:20" ht="16.5" customHeight="1" thickTop="1" x14ac:dyDescent="0.2">
      <c r="B2" s="930" t="s">
        <v>723</v>
      </c>
      <c r="C2" s="931"/>
      <c r="D2" s="931"/>
      <c r="E2" s="931"/>
      <c r="F2" s="931"/>
      <c r="G2" s="931"/>
      <c r="H2" s="931"/>
      <c r="I2" s="931"/>
      <c r="J2" s="931"/>
      <c r="K2" s="932"/>
      <c r="L2" s="2"/>
      <c r="M2" s="465"/>
      <c r="N2" s="464"/>
      <c r="O2" s="110"/>
      <c r="P2" s="110"/>
      <c r="Q2" s="110"/>
      <c r="R2" s="110"/>
      <c r="S2" s="110"/>
      <c r="T2" s="110"/>
    </row>
    <row r="3" spans="2:20" ht="12" customHeight="1" thickBot="1" x14ac:dyDescent="0.25">
      <c r="B3" s="933"/>
      <c r="C3" s="934"/>
      <c r="D3" s="934"/>
      <c r="E3" s="934"/>
      <c r="F3" s="934"/>
      <c r="G3" s="934"/>
      <c r="H3" s="934"/>
      <c r="I3" s="934"/>
      <c r="J3" s="934"/>
      <c r="K3" s="935"/>
      <c r="L3" s="2"/>
      <c r="M3" s="465"/>
      <c r="N3" s="464"/>
      <c r="O3" s="110"/>
      <c r="P3" s="110"/>
      <c r="Q3" s="110"/>
      <c r="R3" s="110"/>
      <c r="S3" s="110"/>
      <c r="T3" s="110"/>
    </row>
    <row r="4" spans="2:20" ht="14.25" thickTop="1" thickBot="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2:20" ht="13.5" thickTop="1" x14ac:dyDescent="0.2">
      <c r="B5" s="422" t="s">
        <v>717</v>
      </c>
      <c r="C5" s="442"/>
      <c r="D5" s="442"/>
      <c r="E5" s="443" t="s">
        <v>718</v>
      </c>
      <c r="F5" s="444"/>
      <c r="G5" s="2"/>
      <c r="H5" s="189"/>
      <c r="I5" s="189"/>
      <c r="J5" s="189"/>
      <c r="K5" s="189"/>
      <c r="L5" s="2"/>
    </row>
    <row r="6" spans="2:20" x14ac:dyDescent="0.2">
      <c r="B6" s="436" t="s">
        <v>685</v>
      </c>
      <c r="C6" s="466">
        <v>0</v>
      </c>
      <c r="D6" s="11"/>
      <c r="E6" s="445">
        <v>0.6</v>
      </c>
      <c r="F6" s="12"/>
      <c r="G6" s="2"/>
      <c r="H6" s="189"/>
      <c r="I6" s="189"/>
      <c r="J6" s="189"/>
      <c r="K6" s="467" t="s">
        <v>724</v>
      </c>
      <c r="L6" s="2"/>
    </row>
    <row r="7" spans="2:20" x14ac:dyDescent="0.2">
      <c r="B7" s="6" t="s">
        <v>677</v>
      </c>
      <c r="C7" s="250" t="s">
        <v>719</v>
      </c>
      <c r="D7" s="250" t="s">
        <v>685</v>
      </c>
      <c r="E7" s="446"/>
      <c r="F7" s="251" t="s">
        <v>720</v>
      </c>
      <c r="G7" s="2"/>
      <c r="H7" s="189"/>
      <c r="I7" s="189"/>
      <c r="J7" s="189"/>
      <c r="K7" s="189"/>
      <c r="L7" s="2"/>
    </row>
    <row r="8" spans="2:20" x14ac:dyDescent="0.2">
      <c r="B8" s="447" t="s">
        <v>725</v>
      </c>
      <c r="C8" s="11"/>
      <c r="D8" s="11"/>
      <c r="E8" s="448"/>
      <c r="F8" s="12"/>
      <c r="G8" s="2"/>
      <c r="H8" s="189"/>
      <c r="I8" s="189"/>
      <c r="J8" s="189"/>
      <c r="K8" s="189"/>
      <c r="L8" s="2"/>
      <c r="M8" s="465"/>
      <c r="N8" s="468"/>
    </row>
    <row r="9" spans="2:20" x14ac:dyDescent="0.2">
      <c r="B9" s="436"/>
      <c r="C9" s="11"/>
      <c r="D9" s="11"/>
      <c r="E9" s="448"/>
      <c r="F9" s="12"/>
      <c r="G9" s="2"/>
      <c r="H9" s="189"/>
      <c r="I9" s="189"/>
      <c r="J9" s="165"/>
      <c r="K9" s="189"/>
      <c r="L9" s="2"/>
      <c r="M9" s="465"/>
      <c r="N9" s="468"/>
    </row>
    <row r="10" spans="2:20" x14ac:dyDescent="0.2">
      <c r="B10" s="436" t="s">
        <v>726</v>
      </c>
      <c r="C10" s="469">
        <v>950</v>
      </c>
      <c r="D10" s="15">
        <f>C10*C6</f>
        <v>0</v>
      </c>
      <c r="E10" s="86">
        <f t="shared" ref="E10:E37" si="0">(C10+D10)*$E$6</f>
        <v>570</v>
      </c>
      <c r="F10" s="16">
        <f t="shared" ref="F10:F32" si="1">C10+E10</f>
        <v>1520</v>
      </c>
      <c r="G10" s="470" t="s">
        <v>727</v>
      </c>
      <c r="H10" s="189"/>
      <c r="I10" s="165"/>
      <c r="J10" s="471"/>
      <c r="K10" s="471"/>
      <c r="L10" s="2"/>
      <c r="M10" s="465"/>
      <c r="N10" s="468"/>
    </row>
    <row r="11" spans="2:20" x14ac:dyDescent="0.2">
      <c r="B11" s="436" t="s">
        <v>728</v>
      </c>
      <c r="C11" s="469">
        <v>1000</v>
      </c>
      <c r="D11" s="15"/>
      <c r="E11" s="86">
        <f t="shared" si="0"/>
        <v>600</v>
      </c>
      <c r="F11" s="16">
        <f t="shared" si="1"/>
        <v>1600</v>
      </c>
      <c r="G11" s="470"/>
      <c r="H11" s="189"/>
      <c r="I11" s="165"/>
      <c r="J11" s="471"/>
      <c r="K11" s="471"/>
      <c r="L11" s="2"/>
      <c r="M11" s="465"/>
      <c r="N11" s="468"/>
    </row>
    <row r="12" spans="2:20" x14ac:dyDescent="0.2">
      <c r="B12" s="436" t="s">
        <v>729</v>
      </c>
      <c r="C12" s="469">
        <v>1000</v>
      </c>
      <c r="D12" s="15"/>
      <c r="E12" s="86">
        <f t="shared" si="0"/>
        <v>600</v>
      </c>
      <c r="F12" s="16">
        <f t="shared" si="1"/>
        <v>1600</v>
      </c>
      <c r="G12" s="470"/>
      <c r="H12" s="189"/>
      <c r="I12" s="165"/>
      <c r="J12" s="471"/>
      <c r="K12" s="471"/>
      <c r="L12" s="2"/>
      <c r="M12" s="465"/>
      <c r="N12" s="468"/>
    </row>
    <row r="13" spans="2:20" x14ac:dyDescent="0.2">
      <c r="B13" s="436" t="s">
        <v>730</v>
      </c>
      <c r="C13" s="469">
        <v>1000</v>
      </c>
      <c r="D13" s="15"/>
      <c r="E13" s="86">
        <f t="shared" si="0"/>
        <v>600</v>
      </c>
      <c r="F13" s="16">
        <f t="shared" si="1"/>
        <v>1600</v>
      </c>
      <c r="G13" s="470"/>
      <c r="H13" s="189"/>
      <c r="I13" s="165"/>
      <c r="J13" s="471"/>
      <c r="K13" s="471"/>
      <c r="L13" s="2"/>
      <c r="M13" s="465"/>
      <c r="N13" s="468"/>
    </row>
    <row r="14" spans="2:20" x14ac:dyDescent="0.2">
      <c r="B14" s="436" t="s">
        <v>731</v>
      </c>
      <c r="C14" s="469">
        <v>1150</v>
      </c>
      <c r="D14" s="15"/>
      <c r="E14" s="86">
        <f t="shared" si="0"/>
        <v>690</v>
      </c>
      <c r="F14" s="16">
        <f t="shared" si="1"/>
        <v>1840</v>
      </c>
      <c r="G14" s="470"/>
      <c r="H14" s="189"/>
      <c r="I14" s="165"/>
      <c r="J14" s="471"/>
      <c r="K14" s="471"/>
      <c r="L14" s="2"/>
      <c r="M14" s="465"/>
      <c r="N14" s="468"/>
    </row>
    <row r="15" spans="2:20" x14ac:dyDescent="0.2">
      <c r="B15" s="436" t="s">
        <v>732</v>
      </c>
      <c r="C15" s="469">
        <v>1150</v>
      </c>
      <c r="D15" s="15"/>
      <c r="E15" s="86">
        <f t="shared" si="0"/>
        <v>690</v>
      </c>
      <c r="F15" s="16">
        <f t="shared" si="1"/>
        <v>1840</v>
      </c>
      <c r="G15" s="470"/>
      <c r="H15" s="189"/>
      <c r="I15" s="165"/>
      <c r="J15" s="471"/>
      <c r="K15" s="471"/>
      <c r="L15" s="2"/>
      <c r="M15" s="465"/>
      <c r="N15" s="468"/>
    </row>
    <row r="16" spans="2:20" x14ac:dyDescent="0.2">
      <c r="B16" s="436" t="s">
        <v>733</v>
      </c>
      <c r="C16" s="469">
        <v>1150</v>
      </c>
      <c r="D16" s="15"/>
      <c r="E16" s="86">
        <f t="shared" si="0"/>
        <v>690</v>
      </c>
      <c r="F16" s="16">
        <f t="shared" si="1"/>
        <v>1840</v>
      </c>
      <c r="G16" s="470"/>
      <c r="H16" s="189"/>
      <c r="I16" s="165"/>
      <c r="J16" s="471"/>
      <c r="K16" s="471"/>
      <c r="L16" s="2"/>
      <c r="M16" s="465"/>
      <c r="N16" s="468"/>
    </row>
    <row r="17" spans="2:14" x14ac:dyDescent="0.2">
      <c r="B17" s="436" t="s">
        <v>734</v>
      </c>
      <c r="C17" s="469">
        <v>1150</v>
      </c>
      <c r="D17" s="15"/>
      <c r="E17" s="86">
        <f t="shared" si="0"/>
        <v>690</v>
      </c>
      <c r="F17" s="16">
        <f t="shared" si="1"/>
        <v>1840</v>
      </c>
      <c r="G17" s="470"/>
      <c r="H17" s="189"/>
      <c r="I17" s="165"/>
      <c r="J17" s="471"/>
      <c r="K17" s="471"/>
      <c r="L17" s="2"/>
      <c r="M17" s="465"/>
      <c r="N17" s="468"/>
    </row>
    <row r="18" spans="2:14" x14ac:dyDescent="0.2">
      <c r="B18" s="436" t="s">
        <v>735</v>
      </c>
      <c r="C18" s="469">
        <v>1200</v>
      </c>
      <c r="D18" s="15"/>
      <c r="E18" s="86">
        <f t="shared" si="0"/>
        <v>720</v>
      </c>
      <c r="F18" s="16">
        <f t="shared" si="1"/>
        <v>1920</v>
      </c>
      <c r="G18" s="470"/>
      <c r="H18" s="189"/>
      <c r="I18" s="165"/>
      <c r="J18" s="471"/>
      <c r="K18" s="471"/>
      <c r="L18" s="2"/>
      <c r="M18" s="465"/>
      <c r="N18" s="468"/>
    </row>
    <row r="19" spans="2:14" x14ac:dyDescent="0.2">
      <c r="B19" s="436" t="s">
        <v>736</v>
      </c>
      <c r="C19" s="469">
        <v>1300</v>
      </c>
      <c r="D19" s="15"/>
      <c r="E19" s="86">
        <f t="shared" si="0"/>
        <v>780</v>
      </c>
      <c r="F19" s="16">
        <f t="shared" si="1"/>
        <v>2080</v>
      </c>
      <c r="G19" s="470"/>
      <c r="H19" s="189"/>
      <c r="I19" s="165"/>
      <c r="J19" s="471"/>
      <c r="K19" s="471"/>
      <c r="L19" s="2"/>
      <c r="M19" s="465"/>
      <c r="N19" s="468"/>
    </row>
    <row r="20" spans="2:14" x14ac:dyDescent="0.2">
      <c r="B20" s="436" t="s">
        <v>737</v>
      </c>
      <c r="C20" s="469">
        <v>1550</v>
      </c>
      <c r="D20" s="15"/>
      <c r="E20" s="86">
        <f t="shared" si="0"/>
        <v>930</v>
      </c>
      <c r="F20" s="16">
        <f t="shared" si="1"/>
        <v>2480</v>
      </c>
      <c r="G20" s="470"/>
      <c r="H20" s="189"/>
      <c r="I20" s="165"/>
      <c r="J20" s="471"/>
      <c r="K20" s="471"/>
      <c r="L20" s="2"/>
      <c r="M20" s="465"/>
      <c r="N20" s="468"/>
    </row>
    <row r="21" spans="2:14" x14ac:dyDescent="0.2">
      <c r="B21" s="436" t="s">
        <v>738</v>
      </c>
      <c r="C21" s="469">
        <v>1550</v>
      </c>
      <c r="D21" s="15"/>
      <c r="E21" s="86">
        <f t="shared" si="0"/>
        <v>930</v>
      </c>
      <c r="F21" s="16">
        <f t="shared" si="1"/>
        <v>2480</v>
      </c>
      <c r="G21" s="470"/>
      <c r="H21" s="189"/>
      <c r="I21" s="165"/>
      <c r="J21" s="471"/>
      <c r="K21" s="471"/>
      <c r="L21" s="2"/>
      <c r="M21" s="465"/>
      <c r="N21" s="468"/>
    </row>
    <row r="22" spans="2:14" x14ac:dyDescent="0.2">
      <c r="B22" s="436" t="s">
        <v>739</v>
      </c>
      <c r="C22" s="469">
        <v>1750</v>
      </c>
      <c r="D22" s="15"/>
      <c r="E22" s="86">
        <f t="shared" si="0"/>
        <v>1050</v>
      </c>
      <c r="F22" s="16">
        <f t="shared" si="1"/>
        <v>2800</v>
      </c>
      <c r="G22" s="470"/>
      <c r="H22" s="189"/>
      <c r="I22" s="165"/>
      <c r="J22" s="471"/>
      <c r="K22" s="471"/>
      <c r="L22" s="2"/>
      <c r="M22" s="465"/>
      <c r="N22" s="468"/>
    </row>
    <row r="23" spans="2:14" x14ac:dyDescent="0.2">
      <c r="B23" s="436" t="s">
        <v>740</v>
      </c>
      <c r="C23" s="469">
        <v>1750</v>
      </c>
      <c r="D23" s="15"/>
      <c r="E23" s="86">
        <f t="shared" si="0"/>
        <v>1050</v>
      </c>
      <c r="F23" s="16">
        <f t="shared" si="1"/>
        <v>2800</v>
      </c>
      <c r="G23" s="470"/>
      <c r="H23" s="189"/>
      <c r="I23" s="165"/>
      <c r="J23" s="471"/>
      <c r="K23" s="471"/>
      <c r="L23" s="2"/>
      <c r="M23" s="465"/>
      <c r="N23" s="468"/>
    </row>
    <row r="24" spans="2:14" x14ac:dyDescent="0.2">
      <c r="B24" s="436" t="s">
        <v>741</v>
      </c>
      <c r="C24" s="469">
        <v>1950</v>
      </c>
      <c r="D24" s="15"/>
      <c r="E24" s="86">
        <f t="shared" si="0"/>
        <v>1170</v>
      </c>
      <c r="F24" s="16">
        <f t="shared" si="1"/>
        <v>3120</v>
      </c>
      <c r="G24" s="470"/>
      <c r="H24" s="189"/>
      <c r="I24" s="165"/>
      <c r="J24" s="471"/>
      <c r="K24" s="471"/>
      <c r="L24" s="2"/>
      <c r="M24" s="465"/>
      <c r="N24" s="468"/>
    </row>
    <row r="25" spans="2:14" x14ac:dyDescent="0.2">
      <c r="B25" s="436" t="s">
        <v>742</v>
      </c>
      <c r="C25" s="469">
        <v>1950</v>
      </c>
      <c r="D25" s="15"/>
      <c r="E25" s="86">
        <f t="shared" si="0"/>
        <v>1170</v>
      </c>
      <c r="F25" s="16">
        <f t="shared" si="1"/>
        <v>3120</v>
      </c>
      <c r="G25" s="470"/>
      <c r="H25" s="189"/>
      <c r="I25" s="165"/>
      <c r="J25" s="471"/>
      <c r="K25" s="471"/>
      <c r="L25" s="2"/>
      <c r="M25" s="465"/>
      <c r="N25" s="468"/>
    </row>
    <row r="26" spans="2:14" x14ac:dyDescent="0.2">
      <c r="B26" s="436" t="s">
        <v>743</v>
      </c>
      <c r="C26" s="469">
        <v>2150</v>
      </c>
      <c r="D26" s="15"/>
      <c r="E26" s="86">
        <f t="shared" si="0"/>
        <v>1290</v>
      </c>
      <c r="F26" s="16">
        <f t="shared" si="1"/>
        <v>3440</v>
      </c>
      <c r="G26" s="470"/>
      <c r="H26" s="189"/>
      <c r="I26" s="165"/>
      <c r="J26" s="471"/>
      <c r="K26" s="471"/>
      <c r="L26" s="2"/>
      <c r="M26" s="465"/>
      <c r="N26" s="468"/>
    </row>
    <row r="27" spans="2:14" x14ac:dyDescent="0.2">
      <c r="B27" s="436" t="s">
        <v>744</v>
      </c>
      <c r="C27" s="469">
        <v>2150</v>
      </c>
      <c r="D27" s="15"/>
      <c r="E27" s="86">
        <f t="shared" si="0"/>
        <v>1290</v>
      </c>
      <c r="F27" s="16">
        <f t="shared" si="1"/>
        <v>3440</v>
      </c>
      <c r="G27" s="470"/>
      <c r="H27" s="189"/>
      <c r="I27" s="165"/>
      <c r="J27" s="471"/>
      <c r="K27" s="471"/>
      <c r="L27" s="2"/>
      <c r="M27" s="465"/>
      <c r="N27" s="468"/>
    </row>
    <row r="28" spans="2:14" x14ac:dyDescent="0.2">
      <c r="B28" s="436" t="s">
        <v>745</v>
      </c>
      <c r="C28" s="469">
        <v>2350</v>
      </c>
      <c r="D28" s="15"/>
      <c r="E28" s="86">
        <f t="shared" si="0"/>
        <v>1410</v>
      </c>
      <c r="F28" s="16">
        <f t="shared" si="1"/>
        <v>3760</v>
      </c>
      <c r="G28" s="2"/>
      <c r="H28" s="189"/>
      <c r="I28" s="165"/>
      <c r="J28" s="471"/>
      <c r="K28" s="471"/>
      <c r="L28" s="2"/>
      <c r="M28" s="465"/>
      <c r="N28" s="468"/>
    </row>
    <row r="29" spans="2:14" x14ac:dyDescent="0.2">
      <c r="B29" s="436" t="s">
        <v>746</v>
      </c>
      <c r="C29" s="469">
        <v>2350</v>
      </c>
      <c r="D29" s="15"/>
      <c r="E29" s="86">
        <f t="shared" si="0"/>
        <v>1410</v>
      </c>
      <c r="F29" s="16">
        <f t="shared" si="1"/>
        <v>3760</v>
      </c>
      <c r="G29" s="2"/>
      <c r="H29" s="189"/>
      <c r="I29" s="165"/>
      <c r="J29" s="471"/>
      <c r="K29" s="471"/>
      <c r="L29" s="2"/>
      <c r="M29" s="465"/>
      <c r="N29" s="468"/>
    </row>
    <row r="30" spans="2:14" x14ac:dyDescent="0.2">
      <c r="B30" s="436" t="s">
        <v>747</v>
      </c>
      <c r="C30" s="472">
        <v>2550</v>
      </c>
      <c r="D30" s="15"/>
      <c r="E30" s="86">
        <f t="shared" si="0"/>
        <v>1530</v>
      </c>
      <c r="F30" s="16">
        <f t="shared" si="1"/>
        <v>4080</v>
      </c>
      <c r="G30" s="2"/>
      <c r="H30" s="189"/>
      <c r="I30" s="165"/>
      <c r="J30" s="471"/>
      <c r="K30" s="471"/>
      <c r="L30" s="2"/>
      <c r="M30" s="465"/>
      <c r="N30" s="468"/>
    </row>
    <row r="31" spans="2:14" x14ac:dyDescent="0.2">
      <c r="B31" s="436" t="s">
        <v>748</v>
      </c>
      <c r="C31" s="469">
        <v>2550</v>
      </c>
      <c r="D31" s="15"/>
      <c r="E31" s="86">
        <f t="shared" si="0"/>
        <v>1530</v>
      </c>
      <c r="F31" s="16">
        <f t="shared" si="1"/>
        <v>4080</v>
      </c>
      <c r="G31" s="2"/>
      <c r="H31" s="189"/>
      <c r="I31" s="165"/>
      <c r="J31" s="471"/>
      <c r="K31" s="471"/>
      <c r="L31" s="2"/>
      <c r="M31" s="465"/>
      <c r="N31" s="468"/>
    </row>
    <row r="32" spans="2:14" x14ac:dyDescent="0.2">
      <c r="B32" s="436" t="s">
        <v>749</v>
      </c>
      <c r="C32" s="469">
        <v>2750</v>
      </c>
      <c r="D32" s="15"/>
      <c r="E32" s="86">
        <f t="shared" si="0"/>
        <v>1650</v>
      </c>
      <c r="F32" s="16">
        <f t="shared" si="1"/>
        <v>4400</v>
      </c>
      <c r="G32" s="2"/>
      <c r="H32" s="189"/>
      <c r="I32" s="165"/>
      <c r="J32" s="471"/>
      <c r="K32" s="471"/>
      <c r="L32" s="2"/>
      <c r="M32" s="465"/>
      <c r="N32" s="468"/>
    </row>
    <row r="33" spans="2:14" x14ac:dyDescent="0.2">
      <c r="B33" s="436" t="s">
        <v>750</v>
      </c>
      <c r="C33" s="469">
        <v>2750</v>
      </c>
      <c r="D33" s="15"/>
      <c r="E33" s="86">
        <f t="shared" si="0"/>
        <v>1650</v>
      </c>
      <c r="F33" s="16">
        <f>C33+E33</f>
        <v>4400</v>
      </c>
      <c r="G33" s="470"/>
      <c r="H33" s="189"/>
      <c r="I33" s="165"/>
      <c r="J33" s="471"/>
      <c r="K33" s="471"/>
      <c r="L33" s="2"/>
      <c r="M33" s="465"/>
      <c r="N33" s="468"/>
    </row>
    <row r="34" spans="2:14" x14ac:dyDescent="0.2">
      <c r="B34" s="436" t="s">
        <v>751</v>
      </c>
      <c r="C34" s="469">
        <v>2950</v>
      </c>
      <c r="D34" s="15"/>
      <c r="E34" s="86">
        <f t="shared" si="0"/>
        <v>1770</v>
      </c>
      <c r="F34" s="16">
        <f t="shared" ref="F34:F37" si="2">C34+E34</f>
        <v>4720</v>
      </c>
      <c r="G34" s="470"/>
      <c r="H34" s="189"/>
      <c r="I34" s="165"/>
      <c r="J34" s="471"/>
      <c r="K34" s="471"/>
      <c r="L34" s="2"/>
      <c r="M34" s="465"/>
      <c r="N34" s="468"/>
    </row>
    <row r="35" spans="2:14" x14ac:dyDescent="0.2">
      <c r="B35" s="436" t="s">
        <v>752</v>
      </c>
      <c r="C35" s="469">
        <v>2950</v>
      </c>
      <c r="D35" s="15"/>
      <c r="E35" s="86">
        <f t="shared" si="0"/>
        <v>1770</v>
      </c>
      <c r="F35" s="16">
        <f t="shared" si="2"/>
        <v>4720</v>
      </c>
      <c r="G35" s="470"/>
      <c r="H35" s="189"/>
      <c r="I35" s="165"/>
      <c r="J35" s="471"/>
      <c r="K35" s="471"/>
      <c r="L35" s="2"/>
      <c r="M35" s="465"/>
      <c r="N35" s="468"/>
    </row>
    <row r="36" spans="2:14" x14ac:dyDescent="0.2">
      <c r="B36" s="436" t="s">
        <v>753</v>
      </c>
      <c r="C36" s="469">
        <v>3100</v>
      </c>
      <c r="D36" s="15"/>
      <c r="E36" s="86">
        <f t="shared" si="0"/>
        <v>1860</v>
      </c>
      <c r="F36" s="16">
        <f t="shared" si="2"/>
        <v>4960</v>
      </c>
      <c r="G36" s="470"/>
      <c r="H36" s="189"/>
      <c r="I36" s="165"/>
      <c r="J36" s="471"/>
      <c r="K36" s="471"/>
      <c r="L36" s="2"/>
      <c r="M36" s="465"/>
      <c r="N36" s="468"/>
    </row>
    <row r="37" spans="2:14" x14ac:dyDescent="0.2">
      <c r="B37" s="436" t="s">
        <v>754</v>
      </c>
      <c r="C37" s="469">
        <v>3100</v>
      </c>
      <c r="D37" s="15"/>
      <c r="E37" s="86">
        <f t="shared" si="0"/>
        <v>1860</v>
      </c>
      <c r="F37" s="16">
        <f t="shared" si="2"/>
        <v>4960</v>
      </c>
      <c r="G37" s="470"/>
      <c r="H37" s="189"/>
      <c r="I37" s="165"/>
      <c r="J37" s="471"/>
      <c r="K37" s="471"/>
      <c r="L37" s="2"/>
      <c r="M37" s="465"/>
      <c r="N37" s="468"/>
    </row>
    <row r="38" spans="2:14" x14ac:dyDescent="0.2">
      <c r="B38" s="436"/>
      <c r="C38" s="15"/>
      <c r="D38" s="15"/>
      <c r="E38" s="86"/>
      <c r="F38" s="16"/>
      <c r="G38" s="470"/>
      <c r="H38" s="189"/>
      <c r="I38" s="165"/>
      <c r="J38" s="471"/>
      <c r="K38" s="471"/>
      <c r="L38" s="2"/>
      <c r="M38" s="465"/>
      <c r="N38" s="468"/>
    </row>
    <row r="39" spans="2:14" x14ac:dyDescent="0.2">
      <c r="B39" s="449" t="s">
        <v>755</v>
      </c>
      <c r="C39" s="15"/>
      <c r="D39" s="15"/>
      <c r="E39" s="86"/>
      <c r="F39" s="16"/>
      <c r="G39" s="470"/>
      <c r="H39" s="189"/>
      <c r="I39" s="165"/>
      <c r="J39" s="471"/>
      <c r="K39" s="471"/>
      <c r="L39" s="2"/>
      <c r="M39" s="465"/>
      <c r="N39" s="468"/>
    </row>
    <row r="40" spans="2:14" x14ac:dyDescent="0.2">
      <c r="B40" s="449"/>
      <c r="C40" s="15"/>
      <c r="D40" s="473"/>
      <c r="E40" s="86"/>
      <c r="F40" s="16"/>
      <c r="G40" s="470"/>
      <c r="H40" s="474"/>
      <c r="I40" s="165"/>
      <c r="J40" s="471"/>
      <c r="K40" s="471"/>
      <c r="L40" s="2"/>
      <c r="M40" s="465"/>
      <c r="N40" s="468"/>
    </row>
    <row r="41" spans="2:14" x14ac:dyDescent="0.2">
      <c r="B41" s="436" t="s">
        <v>756</v>
      </c>
      <c r="C41" s="15">
        <v>0</v>
      </c>
      <c r="D41" s="15"/>
      <c r="E41" s="86"/>
      <c r="F41" s="16"/>
      <c r="G41" s="470" t="s">
        <v>757</v>
      </c>
      <c r="H41" s="189"/>
      <c r="I41" s="165"/>
      <c r="J41" s="471"/>
      <c r="K41" s="471"/>
      <c r="L41" s="2"/>
      <c r="M41" s="465"/>
      <c r="N41" s="468"/>
    </row>
    <row r="42" spans="2:14" x14ac:dyDescent="0.2">
      <c r="B42" s="436" t="s">
        <v>758</v>
      </c>
      <c r="C42" s="469">
        <v>1211.3399999999999</v>
      </c>
      <c r="D42" s="15">
        <f>C42*$D$40</f>
        <v>0</v>
      </c>
      <c r="E42" s="86">
        <f t="shared" ref="E42:E50" si="3">(C42+D42)*$E$6</f>
        <v>726.80399999999997</v>
      </c>
      <c r="F42" s="16">
        <f t="shared" ref="F42:F50" si="4">C42+E42</f>
        <v>1938.1439999999998</v>
      </c>
      <c r="G42" s="470"/>
      <c r="H42" s="165"/>
      <c r="I42" s="165"/>
      <c r="J42" s="471"/>
      <c r="K42" s="471"/>
      <c r="L42" s="2"/>
      <c r="M42" s="465"/>
      <c r="N42" s="468"/>
    </row>
    <row r="43" spans="2:14" x14ac:dyDescent="0.2">
      <c r="B43" s="436" t="s">
        <v>759</v>
      </c>
      <c r="C43" s="469">
        <v>1276.73</v>
      </c>
      <c r="D43" s="15">
        <f>C43*$D$40</f>
        <v>0</v>
      </c>
      <c r="E43" s="86">
        <f t="shared" si="3"/>
        <v>766.03800000000001</v>
      </c>
      <c r="F43" s="16">
        <f t="shared" si="4"/>
        <v>2042.768</v>
      </c>
      <c r="G43" s="470"/>
      <c r="H43" s="165"/>
      <c r="I43" s="165"/>
      <c r="J43" s="471"/>
      <c r="K43" s="471"/>
      <c r="L43" s="2"/>
      <c r="M43" s="465"/>
      <c r="N43" s="468"/>
    </row>
    <row r="44" spans="2:14" x14ac:dyDescent="0.2">
      <c r="B44" s="436" t="s">
        <v>760</v>
      </c>
      <c r="C44" s="469">
        <v>1317.62</v>
      </c>
      <c r="D44" s="15">
        <f>C44*$D$40</f>
        <v>0</v>
      </c>
      <c r="E44" s="86">
        <f t="shared" si="3"/>
        <v>790.57199999999989</v>
      </c>
      <c r="F44" s="16">
        <f t="shared" si="4"/>
        <v>2108.192</v>
      </c>
      <c r="G44" s="470"/>
      <c r="H44" s="165"/>
      <c r="I44" s="165"/>
      <c r="J44" s="471"/>
      <c r="K44" s="471"/>
      <c r="L44" s="2"/>
      <c r="M44" s="465"/>
      <c r="N44" s="468"/>
    </row>
    <row r="45" spans="2:14" x14ac:dyDescent="0.2">
      <c r="B45" s="436" t="s">
        <v>761</v>
      </c>
      <c r="C45" s="469">
        <v>1432.06</v>
      </c>
      <c r="D45" s="15">
        <f t="shared" ref="D45:D50" si="5">C45*$D$40</f>
        <v>0</v>
      </c>
      <c r="E45" s="86">
        <f t="shared" si="3"/>
        <v>859.23599999999999</v>
      </c>
      <c r="F45" s="16">
        <f t="shared" si="4"/>
        <v>2291.2959999999998</v>
      </c>
      <c r="G45" s="470"/>
      <c r="H45" s="165"/>
      <c r="I45" s="165"/>
      <c r="J45" s="471"/>
      <c r="K45" s="471"/>
      <c r="L45" s="2"/>
      <c r="M45" s="465"/>
      <c r="N45" s="468"/>
    </row>
    <row r="46" spans="2:14" x14ac:dyDescent="0.2">
      <c r="B46" s="436" t="s">
        <v>762</v>
      </c>
      <c r="C46" s="469">
        <v>1652.77</v>
      </c>
      <c r="D46" s="15">
        <f t="shared" si="5"/>
        <v>0</v>
      </c>
      <c r="E46" s="86">
        <f t="shared" si="3"/>
        <v>991.66199999999992</v>
      </c>
      <c r="F46" s="16">
        <f t="shared" si="4"/>
        <v>2644.4319999999998</v>
      </c>
      <c r="G46" s="470"/>
      <c r="H46" s="165"/>
      <c r="I46" s="165"/>
      <c r="J46" s="471"/>
      <c r="K46" s="471"/>
      <c r="L46" s="2"/>
      <c r="M46" s="465"/>
      <c r="N46" s="468"/>
    </row>
    <row r="47" spans="2:14" x14ac:dyDescent="0.2">
      <c r="B47" s="436" t="s">
        <v>763</v>
      </c>
      <c r="C47" s="469">
        <v>1996.11</v>
      </c>
      <c r="D47" s="15">
        <f t="shared" si="5"/>
        <v>0</v>
      </c>
      <c r="E47" s="86">
        <f t="shared" si="3"/>
        <v>1197.6659999999999</v>
      </c>
      <c r="F47" s="16">
        <f t="shared" si="4"/>
        <v>3193.7759999999998</v>
      </c>
      <c r="G47" s="470"/>
      <c r="H47" s="165"/>
      <c r="I47" s="165"/>
      <c r="J47" s="471"/>
      <c r="K47" s="471"/>
      <c r="L47" s="2"/>
      <c r="M47" s="465"/>
      <c r="N47" s="468"/>
    </row>
    <row r="48" spans="2:14" x14ac:dyDescent="0.2">
      <c r="B48" s="436" t="s">
        <v>764</v>
      </c>
      <c r="C48" s="469">
        <v>2445.6999999999998</v>
      </c>
      <c r="D48" s="15">
        <f t="shared" si="5"/>
        <v>0</v>
      </c>
      <c r="E48" s="86">
        <f t="shared" si="3"/>
        <v>1467.4199999999998</v>
      </c>
      <c r="F48" s="16">
        <f t="shared" si="4"/>
        <v>3913.12</v>
      </c>
      <c r="G48" s="470"/>
      <c r="H48" s="165"/>
      <c r="I48" s="165"/>
      <c r="J48" s="471"/>
      <c r="K48" s="471"/>
      <c r="L48" s="2"/>
      <c r="M48" s="465"/>
      <c r="N48" s="468"/>
    </row>
    <row r="49" spans="2:14" x14ac:dyDescent="0.2">
      <c r="B49" s="436" t="s">
        <v>765</v>
      </c>
      <c r="C49" s="469">
        <v>2821.73</v>
      </c>
      <c r="D49" s="15">
        <f t="shared" si="5"/>
        <v>0</v>
      </c>
      <c r="E49" s="86">
        <f t="shared" si="3"/>
        <v>1693.038</v>
      </c>
      <c r="F49" s="16">
        <f t="shared" si="4"/>
        <v>4514.768</v>
      </c>
      <c r="G49" s="470"/>
      <c r="H49" s="165"/>
      <c r="I49" s="165"/>
      <c r="J49" s="471"/>
      <c r="K49" s="471"/>
      <c r="L49" s="2"/>
      <c r="M49" s="465"/>
      <c r="N49" s="468"/>
    </row>
    <row r="50" spans="2:14" x14ac:dyDescent="0.2">
      <c r="B50" s="436" t="s">
        <v>766</v>
      </c>
      <c r="C50" s="469">
        <v>3197.77</v>
      </c>
      <c r="D50" s="15">
        <f t="shared" si="5"/>
        <v>0</v>
      </c>
      <c r="E50" s="86">
        <f t="shared" si="3"/>
        <v>1918.6619999999998</v>
      </c>
      <c r="F50" s="16">
        <f t="shared" si="4"/>
        <v>5116.4319999999998</v>
      </c>
      <c r="G50" s="470"/>
      <c r="H50" s="165"/>
      <c r="I50" s="165"/>
      <c r="J50" s="471"/>
      <c r="K50" s="471"/>
      <c r="L50" s="2"/>
      <c r="M50" s="465"/>
      <c r="N50" s="468"/>
    </row>
    <row r="51" spans="2:14" x14ac:dyDescent="0.2">
      <c r="B51" s="436"/>
      <c r="C51" s="15"/>
      <c r="D51" s="15"/>
      <c r="E51" s="86"/>
      <c r="F51" s="16"/>
      <c r="G51" s="470"/>
      <c r="H51" s="189"/>
      <c r="I51" s="165"/>
      <c r="J51" s="471"/>
      <c r="K51" s="471"/>
      <c r="L51" s="2"/>
      <c r="M51" s="465"/>
      <c r="N51" s="468"/>
    </row>
    <row r="52" spans="2:14" x14ac:dyDescent="0.2">
      <c r="B52" s="449" t="s">
        <v>767</v>
      </c>
      <c r="C52" s="15"/>
      <c r="D52" s="15"/>
      <c r="E52" s="86"/>
      <c r="F52" s="16"/>
      <c r="G52" s="470"/>
      <c r="H52" s="189"/>
      <c r="I52" s="165"/>
      <c r="J52" s="471"/>
      <c r="K52" s="471"/>
      <c r="L52" s="2"/>
      <c r="M52" s="465"/>
      <c r="N52" s="468"/>
    </row>
    <row r="53" spans="2:14" x14ac:dyDescent="0.2">
      <c r="B53" s="436"/>
      <c r="C53" s="15"/>
      <c r="D53" s="15"/>
      <c r="E53" s="86"/>
      <c r="F53" s="16"/>
      <c r="G53" s="470"/>
      <c r="H53" s="189"/>
      <c r="I53" s="165"/>
      <c r="J53" s="471"/>
      <c r="K53" s="471"/>
      <c r="L53" s="2"/>
      <c r="M53" s="465"/>
      <c r="N53" s="468"/>
    </row>
    <row r="54" spans="2:14" x14ac:dyDescent="0.2">
      <c r="B54" s="436" t="s">
        <v>768</v>
      </c>
      <c r="C54" s="469">
        <f>50.7+23.6+10</f>
        <v>84.300000000000011</v>
      </c>
      <c r="D54" s="15">
        <f>C54*C6</f>
        <v>0</v>
      </c>
      <c r="E54" s="86">
        <f>(C54+D54)*$E$6</f>
        <v>50.580000000000005</v>
      </c>
      <c r="F54" s="16">
        <f>C54+D54+E54</f>
        <v>134.88000000000002</v>
      </c>
      <c r="G54" s="470"/>
      <c r="H54" s="189"/>
      <c r="I54" s="165"/>
      <c r="J54" s="471"/>
      <c r="K54" s="471"/>
      <c r="L54" s="2"/>
      <c r="M54" s="465"/>
      <c r="N54" s="468"/>
    </row>
    <row r="55" spans="2:14" x14ac:dyDescent="0.2">
      <c r="B55" s="436" t="s">
        <v>769</v>
      </c>
      <c r="C55" s="469">
        <f>130.9+148.75</f>
        <v>279.64999999999998</v>
      </c>
      <c r="D55" s="15">
        <f>C55*C6</f>
        <v>0</v>
      </c>
      <c r="E55" s="86">
        <f>(C55+D55)*$E$6</f>
        <v>167.79</v>
      </c>
      <c r="F55" s="16">
        <f>C55+D55+E55</f>
        <v>447.43999999999994</v>
      </c>
      <c r="G55" s="2"/>
      <c r="H55" s="189"/>
      <c r="I55" s="165"/>
      <c r="J55" s="471"/>
      <c r="K55" s="471"/>
      <c r="L55" s="2"/>
      <c r="M55" s="465"/>
      <c r="N55" s="468"/>
    </row>
    <row r="56" spans="2:14" x14ac:dyDescent="0.2">
      <c r="B56" s="436" t="s">
        <v>770</v>
      </c>
      <c r="C56" s="475">
        <v>1.2800000000000001E-3</v>
      </c>
      <c r="D56" s="15"/>
      <c r="E56" s="86"/>
      <c r="F56" s="16"/>
      <c r="H56" s="165"/>
      <c r="I56" s="165"/>
      <c r="J56" s="471"/>
      <c r="K56" s="471"/>
      <c r="L56" s="2"/>
      <c r="M56" s="465"/>
      <c r="N56" s="468"/>
    </row>
    <row r="57" spans="2:14" x14ac:dyDescent="0.2">
      <c r="B57" s="436" t="s">
        <v>771</v>
      </c>
      <c r="C57" s="476">
        <f>Quotation!C900*prices!C56</f>
        <v>19.200000000000003</v>
      </c>
      <c r="D57" s="15"/>
      <c r="E57" s="86">
        <f>C57*$E$6</f>
        <v>11.520000000000001</v>
      </c>
      <c r="F57" s="16">
        <f t="shared" ref="F57:F58" si="6">C57+E57</f>
        <v>30.720000000000006</v>
      </c>
      <c r="G57" s="470"/>
      <c r="H57" s="165"/>
      <c r="I57" s="165"/>
      <c r="J57" s="471"/>
      <c r="K57" s="471"/>
      <c r="L57" s="2"/>
      <c r="M57" s="465"/>
      <c r="N57" s="468"/>
    </row>
    <row r="58" spans="2:14" x14ac:dyDescent="0.2">
      <c r="B58" s="436" t="s">
        <v>772</v>
      </c>
      <c r="C58" s="469">
        <v>40</v>
      </c>
      <c r="D58" s="15"/>
      <c r="E58" s="86">
        <f>C58*$E$6</f>
        <v>24</v>
      </c>
      <c r="F58" s="16">
        <f t="shared" si="6"/>
        <v>64</v>
      </c>
      <c r="G58" s="470"/>
      <c r="H58" s="165"/>
      <c r="I58" s="165"/>
      <c r="J58" s="471"/>
      <c r="K58" s="471"/>
      <c r="L58" s="2"/>
      <c r="M58" s="465"/>
      <c r="N58" s="468"/>
    </row>
    <row r="59" spans="2:14" x14ac:dyDescent="0.2">
      <c r="B59" s="436"/>
      <c r="C59" s="15"/>
      <c r="D59" s="15"/>
      <c r="E59" s="86"/>
      <c r="F59" s="16"/>
      <c r="G59" s="470"/>
      <c r="H59" s="165"/>
      <c r="I59" s="165"/>
      <c r="J59" s="471"/>
      <c r="K59" s="471"/>
      <c r="L59" s="2"/>
      <c r="M59" s="465"/>
      <c r="N59" s="468"/>
    </row>
    <row r="60" spans="2:14" x14ac:dyDescent="0.2">
      <c r="B60" s="449" t="s">
        <v>773</v>
      </c>
      <c r="C60" s="15"/>
      <c r="D60" s="15"/>
      <c r="E60" s="86"/>
      <c r="F60" s="16"/>
      <c r="G60" s="470"/>
      <c r="H60" s="165"/>
      <c r="I60" s="165"/>
      <c r="J60" s="471"/>
      <c r="K60" s="471"/>
      <c r="L60" s="2"/>
      <c r="M60" s="465"/>
      <c r="N60" s="468"/>
    </row>
    <row r="61" spans="2:14" x14ac:dyDescent="0.2">
      <c r="B61" s="449"/>
      <c r="C61" s="15"/>
      <c r="D61" s="15"/>
      <c r="E61" s="86"/>
      <c r="F61" s="16"/>
      <c r="G61" s="470"/>
      <c r="H61" s="165"/>
      <c r="I61" s="165"/>
      <c r="J61" s="471"/>
      <c r="K61" s="471"/>
      <c r="L61" s="2"/>
      <c r="M61" s="465"/>
      <c r="N61" s="468"/>
    </row>
    <row r="62" spans="2:14" x14ac:dyDescent="0.2">
      <c r="B62" s="436" t="s">
        <v>774</v>
      </c>
      <c r="C62" s="469">
        <v>400</v>
      </c>
      <c r="D62" s="15"/>
      <c r="E62" s="86">
        <f>C62*$E$6</f>
        <v>240</v>
      </c>
      <c r="F62" s="16">
        <f>C62+E62</f>
        <v>640</v>
      </c>
      <c r="G62" s="470"/>
      <c r="H62" s="165"/>
      <c r="I62" s="165"/>
      <c r="J62" s="471"/>
      <c r="K62" s="471"/>
      <c r="L62" s="2"/>
      <c r="M62" s="465"/>
      <c r="N62" s="468"/>
    </row>
    <row r="63" spans="2:14" x14ac:dyDescent="0.2">
      <c r="B63" s="436" t="s">
        <v>775</v>
      </c>
      <c r="C63" s="469">
        <v>500</v>
      </c>
      <c r="D63" s="15"/>
      <c r="E63" s="86">
        <f t="shared" ref="E63:E66" si="7">C63*$E$6</f>
        <v>300</v>
      </c>
      <c r="F63" s="16">
        <f t="shared" ref="F63:F66" si="8">C63+E63</f>
        <v>800</v>
      </c>
      <c r="G63" s="470"/>
      <c r="H63" s="165"/>
      <c r="I63" s="165"/>
      <c r="J63" s="471"/>
      <c r="K63" s="471"/>
      <c r="L63" s="2"/>
      <c r="M63" s="465"/>
      <c r="N63" s="468"/>
    </row>
    <row r="64" spans="2:14" hidden="1" x14ac:dyDescent="0.2">
      <c r="B64" s="477"/>
      <c r="C64" s="15"/>
      <c r="D64" s="15"/>
      <c r="E64" s="86">
        <f t="shared" si="7"/>
        <v>0</v>
      </c>
      <c r="F64" s="16">
        <f t="shared" si="8"/>
        <v>0</v>
      </c>
      <c r="G64" s="470"/>
      <c r="H64" s="165"/>
      <c r="I64" s="165"/>
      <c r="J64" s="471"/>
      <c r="K64" s="471"/>
      <c r="L64" s="2"/>
      <c r="M64" s="465"/>
      <c r="N64" s="468"/>
    </row>
    <row r="65" spans="2:14" hidden="1" x14ac:dyDescent="0.2">
      <c r="C65" s="15"/>
      <c r="D65" s="15"/>
      <c r="E65" s="86">
        <f t="shared" si="7"/>
        <v>0</v>
      </c>
      <c r="F65" s="16">
        <f t="shared" si="8"/>
        <v>0</v>
      </c>
      <c r="G65" s="470"/>
      <c r="H65" s="165"/>
      <c r="I65" s="165"/>
      <c r="J65" s="471"/>
      <c r="K65" s="471"/>
      <c r="L65" s="2"/>
      <c r="M65" s="465"/>
      <c r="N65" s="468"/>
    </row>
    <row r="66" spans="2:14" hidden="1" x14ac:dyDescent="0.2">
      <c r="B66" s="436"/>
      <c r="C66" s="15"/>
      <c r="D66" s="15"/>
      <c r="E66" s="86">
        <f t="shared" si="7"/>
        <v>0</v>
      </c>
      <c r="F66" s="16">
        <f t="shared" si="8"/>
        <v>0</v>
      </c>
      <c r="G66" s="470"/>
      <c r="H66" s="165"/>
      <c r="I66" s="165"/>
      <c r="J66" s="471"/>
      <c r="K66" s="471"/>
      <c r="L66" s="2"/>
      <c r="M66" s="465"/>
      <c r="N66" s="468"/>
    </row>
    <row r="67" spans="2:14" hidden="1" x14ac:dyDescent="0.2">
      <c r="B67" s="436"/>
      <c r="C67" s="15"/>
      <c r="D67" s="15"/>
      <c r="E67" s="86"/>
      <c r="F67" s="16"/>
      <c r="G67" s="470"/>
      <c r="H67" s="165"/>
      <c r="I67" s="165"/>
      <c r="J67" s="471"/>
      <c r="K67" s="471"/>
      <c r="L67" s="2"/>
      <c r="M67" s="465"/>
      <c r="N67" s="468"/>
    </row>
    <row r="68" spans="2:14" hidden="1" x14ac:dyDescent="0.2">
      <c r="B68" s="449" t="s">
        <v>776</v>
      </c>
      <c r="C68" s="15"/>
      <c r="D68" s="15"/>
      <c r="E68" s="86"/>
      <c r="F68" s="16"/>
      <c r="G68" s="470"/>
      <c r="H68" s="165"/>
      <c r="I68" s="165"/>
      <c r="J68" s="471"/>
      <c r="K68" s="471"/>
      <c r="L68" s="2"/>
      <c r="M68" s="465"/>
      <c r="N68" s="468"/>
    </row>
    <row r="69" spans="2:14" hidden="1" x14ac:dyDescent="0.2">
      <c r="B69" s="436"/>
      <c r="C69" s="15"/>
      <c r="D69" s="15"/>
      <c r="E69" s="86"/>
      <c r="F69" s="16"/>
      <c r="G69" s="470"/>
      <c r="H69" s="165"/>
      <c r="I69" s="165"/>
      <c r="J69" s="471"/>
      <c r="K69" s="471"/>
      <c r="L69" s="2"/>
      <c r="M69" s="465"/>
      <c r="N69" s="468"/>
    </row>
    <row r="70" spans="2:14" hidden="1" x14ac:dyDescent="0.2">
      <c r="B70" s="436" t="s">
        <v>777</v>
      </c>
      <c r="C70" s="15"/>
      <c r="D70" s="15"/>
      <c r="E70" s="86">
        <f>C70*$E$6</f>
        <v>0</v>
      </c>
      <c r="F70" s="16">
        <f>C70+E70</f>
        <v>0</v>
      </c>
      <c r="G70" s="470"/>
      <c r="H70" s="165"/>
      <c r="I70" s="165"/>
      <c r="J70" s="471"/>
      <c r="K70" s="471"/>
      <c r="L70" s="2"/>
      <c r="M70" s="465"/>
      <c r="N70" s="468"/>
    </row>
    <row r="71" spans="2:14" hidden="1" x14ac:dyDescent="0.2">
      <c r="B71" s="436"/>
      <c r="C71" s="15"/>
      <c r="D71" s="15"/>
      <c r="E71" s="86"/>
      <c r="F71" s="16"/>
      <c r="G71" s="2"/>
      <c r="H71" s="189"/>
      <c r="I71" s="165"/>
      <c r="J71" s="471"/>
      <c r="K71" s="471"/>
      <c r="L71" s="2"/>
      <c r="M71" s="465"/>
      <c r="N71" s="468"/>
    </row>
    <row r="72" spans="2:14" hidden="1" x14ac:dyDescent="0.2">
      <c r="B72" s="436"/>
      <c r="C72" s="15"/>
      <c r="D72" s="15"/>
      <c r="E72" s="86"/>
      <c r="F72" s="16"/>
      <c r="G72" s="2"/>
      <c r="H72" s="189"/>
      <c r="I72" s="165"/>
      <c r="J72" s="471"/>
      <c r="K72" s="471"/>
      <c r="L72" s="2"/>
      <c r="M72" s="465"/>
      <c r="N72" s="468"/>
    </row>
    <row r="73" spans="2:14" hidden="1" x14ac:dyDescent="0.2">
      <c r="B73" s="436"/>
      <c r="C73" s="15"/>
      <c r="D73" s="15"/>
      <c r="E73" s="86"/>
      <c r="F73" s="16"/>
      <c r="G73" s="2"/>
      <c r="H73" s="189"/>
      <c r="I73" s="165"/>
      <c r="J73" s="471"/>
      <c r="K73" s="471"/>
      <c r="L73" s="2"/>
      <c r="M73" s="465"/>
      <c r="N73" s="468"/>
    </row>
    <row r="74" spans="2:14" hidden="1" x14ac:dyDescent="0.2">
      <c r="B74" s="436"/>
      <c r="C74" s="15"/>
      <c r="D74" s="15"/>
      <c r="E74" s="86"/>
      <c r="F74" s="16"/>
      <c r="G74" s="2"/>
      <c r="H74" s="189"/>
      <c r="I74" s="165"/>
      <c r="J74" s="471"/>
      <c r="K74" s="471"/>
      <c r="L74" s="2"/>
      <c r="M74" s="465"/>
      <c r="N74" s="468"/>
    </row>
    <row r="75" spans="2:14" hidden="1" x14ac:dyDescent="0.2">
      <c r="B75" s="436"/>
      <c r="C75" s="15"/>
      <c r="D75" s="15"/>
      <c r="E75" s="86"/>
      <c r="F75" s="16"/>
      <c r="G75" s="2"/>
      <c r="H75" s="189"/>
      <c r="I75" s="165"/>
      <c r="J75" s="471"/>
      <c r="K75" s="471"/>
      <c r="L75" s="2"/>
      <c r="M75" s="465"/>
      <c r="N75" s="468"/>
    </row>
    <row r="76" spans="2:14" hidden="1" x14ac:dyDescent="0.2">
      <c r="B76" s="436"/>
      <c r="C76" s="15"/>
      <c r="D76" s="15"/>
      <c r="E76" s="86"/>
      <c r="F76" s="16"/>
      <c r="G76" s="2"/>
      <c r="H76" s="189"/>
      <c r="I76" s="165"/>
      <c r="J76" s="471"/>
      <c r="K76" s="471"/>
      <c r="L76" s="2"/>
      <c r="M76" s="465"/>
      <c r="N76" s="468"/>
    </row>
    <row r="77" spans="2:14" x14ac:dyDescent="0.2">
      <c r="B77" s="436"/>
      <c r="C77" s="15"/>
      <c r="D77" s="15"/>
      <c r="E77" s="86"/>
      <c r="F77" s="16"/>
      <c r="G77" s="2"/>
      <c r="H77" s="189"/>
      <c r="I77" s="165"/>
      <c r="J77" s="471"/>
      <c r="K77" s="471"/>
      <c r="L77" s="2"/>
      <c r="M77" s="465"/>
      <c r="N77" s="468"/>
    </row>
    <row r="78" spans="2:14" x14ac:dyDescent="0.2">
      <c r="B78" s="447" t="s">
        <v>778</v>
      </c>
      <c r="C78" s="15"/>
      <c r="D78" s="15"/>
      <c r="E78" s="86"/>
      <c r="F78" s="16"/>
      <c r="G78" s="2"/>
      <c r="H78" s="189"/>
      <c r="I78" s="189"/>
      <c r="J78" s="189"/>
      <c r="K78" s="189"/>
      <c r="L78" s="2"/>
      <c r="M78" s="465"/>
      <c r="N78" s="468"/>
    </row>
    <row r="79" spans="2:14" x14ac:dyDescent="0.2">
      <c r="B79" s="6"/>
      <c r="C79" s="15"/>
      <c r="D79" s="15"/>
      <c r="E79" s="86"/>
      <c r="F79" s="16"/>
      <c r="G79" s="2"/>
      <c r="H79" s="189"/>
      <c r="I79" s="189"/>
      <c r="J79" s="189"/>
      <c r="K79" s="189"/>
      <c r="L79" s="2"/>
      <c r="M79" s="465"/>
      <c r="N79" s="468"/>
    </row>
    <row r="80" spans="2:14" x14ac:dyDescent="0.2">
      <c r="B80" s="436" t="s">
        <v>779</v>
      </c>
      <c r="C80" s="469">
        <v>9.1</v>
      </c>
      <c r="D80" s="15">
        <f>C80*C6</f>
        <v>0</v>
      </c>
      <c r="E80" s="86">
        <f>(C80+D80)*$E$6</f>
        <v>5.46</v>
      </c>
      <c r="F80" s="16">
        <f t="shared" ref="F80:F90" si="9">C80+D80+E80</f>
        <v>14.559999999999999</v>
      </c>
      <c r="H80" s="189"/>
      <c r="I80" s="471" t="s">
        <v>780</v>
      </c>
      <c r="J80" s="471"/>
      <c r="K80" s="471"/>
      <c r="L80" s="2"/>
    </row>
    <row r="81" spans="2:12" x14ac:dyDescent="0.2">
      <c r="B81" s="436" t="s">
        <v>781</v>
      </c>
      <c r="C81" s="469">
        <v>300</v>
      </c>
      <c r="D81" s="15"/>
      <c r="E81" s="86">
        <f t="shared" ref="E81:E90" si="10">(C81+D81)*$E$6</f>
        <v>180</v>
      </c>
      <c r="F81" s="16">
        <f t="shared" si="9"/>
        <v>480</v>
      </c>
      <c r="G81" s="470"/>
      <c r="H81" s="189"/>
      <c r="I81" s="471"/>
      <c r="J81" s="471"/>
      <c r="K81" s="471"/>
      <c r="L81" s="2"/>
    </row>
    <row r="82" spans="2:12" x14ac:dyDescent="0.2">
      <c r="B82" s="436" t="s">
        <v>782</v>
      </c>
      <c r="C82" s="469">
        <v>300</v>
      </c>
      <c r="D82" s="15">
        <f>C82*C6</f>
        <v>0</v>
      </c>
      <c r="E82" s="86">
        <f t="shared" si="10"/>
        <v>180</v>
      </c>
      <c r="F82" s="16">
        <f t="shared" si="9"/>
        <v>480</v>
      </c>
      <c r="G82" s="478"/>
      <c r="H82" s="189"/>
      <c r="I82" s="471"/>
      <c r="J82" s="471"/>
      <c r="K82" s="471"/>
      <c r="L82" s="2"/>
    </row>
    <row r="83" spans="2:12" x14ac:dyDescent="0.2">
      <c r="B83" s="436"/>
      <c r="C83" s="469"/>
      <c r="D83" s="15"/>
      <c r="E83" s="86"/>
      <c r="F83" s="16"/>
      <c r="G83" s="478"/>
      <c r="H83" s="189"/>
      <c r="I83" s="471"/>
      <c r="J83" s="471"/>
      <c r="K83" s="471"/>
      <c r="L83" s="2"/>
    </row>
    <row r="84" spans="2:12" x14ac:dyDescent="0.2">
      <c r="B84" s="436"/>
      <c r="C84" s="15"/>
      <c r="D84" s="15"/>
      <c r="E84" s="86"/>
      <c r="F84" s="16"/>
      <c r="G84" s="478"/>
      <c r="H84" s="189"/>
      <c r="I84" s="471"/>
      <c r="J84" s="471"/>
      <c r="K84" s="471"/>
      <c r="L84" s="2"/>
    </row>
    <row r="85" spans="2:12" x14ac:dyDescent="0.2">
      <c r="B85" s="479" t="s">
        <v>783</v>
      </c>
    </row>
    <row r="86" spans="2:12" x14ac:dyDescent="0.2">
      <c r="B86" s="479"/>
    </row>
    <row r="87" spans="2:12" x14ac:dyDescent="0.2">
      <c r="B87" s="436" t="s">
        <v>28</v>
      </c>
      <c r="C87" s="469">
        <v>15.2</v>
      </c>
      <c r="D87" s="15">
        <f>C87*C6</f>
        <v>0</v>
      </c>
      <c r="E87" s="86">
        <f t="shared" si="10"/>
        <v>9.1199999999999992</v>
      </c>
      <c r="F87" s="16">
        <f t="shared" si="9"/>
        <v>24.32</v>
      </c>
      <c r="G87" s="470"/>
      <c r="H87" s="189"/>
      <c r="I87" s="471"/>
      <c r="J87" s="471"/>
      <c r="K87" s="471"/>
      <c r="L87" s="2"/>
    </row>
    <row r="88" spans="2:12" x14ac:dyDescent="0.2">
      <c r="B88" s="436" t="s">
        <v>29</v>
      </c>
      <c r="C88" s="469">
        <v>40</v>
      </c>
      <c r="D88" s="15">
        <f>C88*$C$6</f>
        <v>0</v>
      </c>
      <c r="E88" s="86">
        <f t="shared" si="10"/>
        <v>24</v>
      </c>
      <c r="F88" s="16">
        <f t="shared" si="9"/>
        <v>64</v>
      </c>
      <c r="G88" s="470"/>
      <c r="H88" s="189"/>
      <c r="I88" s="471"/>
      <c r="J88" s="471"/>
      <c r="K88" s="471"/>
      <c r="L88" s="2"/>
    </row>
    <row r="89" spans="2:12" x14ac:dyDescent="0.2">
      <c r="B89" s="436" t="s">
        <v>30</v>
      </c>
      <c r="C89" s="469">
        <v>16.649999999999999</v>
      </c>
      <c r="D89" s="15">
        <f>C89*C6</f>
        <v>0</v>
      </c>
      <c r="E89" s="86">
        <f t="shared" si="10"/>
        <v>9.9899999999999984</v>
      </c>
      <c r="F89" s="16">
        <f t="shared" si="9"/>
        <v>26.639999999999997</v>
      </c>
      <c r="G89" s="2"/>
      <c r="H89" s="189"/>
      <c r="I89" s="471"/>
      <c r="J89" s="471"/>
      <c r="K89" s="471"/>
      <c r="L89" s="2"/>
    </row>
    <row r="90" spans="2:12" x14ac:dyDescent="0.2">
      <c r="B90" s="436" t="s">
        <v>31</v>
      </c>
      <c r="C90" s="469">
        <v>17.899999999999999</v>
      </c>
      <c r="D90" s="15">
        <f>C90*C6</f>
        <v>0</v>
      </c>
      <c r="E90" s="86">
        <f t="shared" si="10"/>
        <v>10.739999999999998</v>
      </c>
      <c r="F90" s="16">
        <f t="shared" si="9"/>
        <v>28.639999999999997</v>
      </c>
      <c r="G90" s="2"/>
      <c r="H90" s="189"/>
      <c r="I90" s="471"/>
      <c r="J90" s="471"/>
      <c r="K90" s="471"/>
      <c r="L90" s="2"/>
    </row>
    <row r="91" spans="2:12" x14ac:dyDescent="0.2">
      <c r="B91" s="436" t="s">
        <v>32</v>
      </c>
      <c r="C91" s="469">
        <v>100</v>
      </c>
      <c r="D91" s="15">
        <f>C91*$H$151</f>
        <v>0</v>
      </c>
      <c r="E91" s="86">
        <f>(C91+D91)*E6</f>
        <v>60</v>
      </c>
      <c r="F91" s="16">
        <f>C91+D91+E91</f>
        <v>160</v>
      </c>
      <c r="G91" s="2"/>
      <c r="H91" s="165">
        <f>C91*$H$151</f>
        <v>0</v>
      </c>
      <c r="I91" s="471"/>
      <c r="J91" s="471"/>
      <c r="K91" s="471"/>
      <c r="L91" s="2"/>
    </row>
    <row r="92" spans="2:12" x14ac:dyDescent="0.2">
      <c r="B92" s="436"/>
      <c r="C92" s="15"/>
      <c r="D92" s="15"/>
      <c r="E92" s="86"/>
      <c r="F92" s="16"/>
      <c r="G92" s="2"/>
      <c r="H92" s="165"/>
      <c r="I92" s="471"/>
      <c r="J92" s="471"/>
      <c r="K92" s="471"/>
      <c r="L92" s="2"/>
    </row>
    <row r="93" spans="2:12" x14ac:dyDescent="0.2">
      <c r="B93" s="436"/>
      <c r="C93" s="15"/>
      <c r="D93" s="15"/>
      <c r="E93" s="86"/>
      <c r="F93" s="16"/>
      <c r="G93" s="2"/>
      <c r="H93" s="165"/>
      <c r="I93" s="471"/>
      <c r="J93" s="471"/>
      <c r="K93" s="471"/>
      <c r="L93" s="2"/>
    </row>
    <row r="94" spans="2:12" x14ac:dyDescent="0.2">
      <c r="B94" s="436"/>
      <c r="C94" s="15"/>
      <c r="D94" s="15"/>
      <c r="E94" s="86"/>
      <c r="F94" s="16"/>
      <c r="G94" s="2"/>
      <c r="H94" s="189"/>
      <c r="I94" s="471"/>
      <c r="J94" s="471"/>
      <c r="K94" s="471"/>
      <c r="L94" s="2"/>
    </row>
    <row r="95" spans="2:12" x14ac:dyDescent="0.2">
      <c r="B95" s="441"/>
      <c r="C95" s="15"/>
      <c r="D95" s="15"/>
      <c r="E95" s="86">
        <f>(C95+D95)*E7</f>
        <v>0</v>
      </c>
      <c r="F95" s="16">
        <f t="shared" ref="F95:F115" si="11">C95+D95+E95</f>
        <v>0</v>
      </c>
      <c r="G95" s="2"/>
      <c r="H95" s="189"/>
      <c r="I95" s="471"/>
      <c r="J95" s="471"/>
      <c r="K95" s="471"/>
      <c r="L95" s="2"/>
    </row>
    <row r="96" spans="2:12" hidden="1" x14ac:dyDescent="0.2">
      <c r="B96" s="480" t="s">
        <v>784</v>
      </c>
      <c r="C96" s="15"/>
      <c r="D96" s="15"/>
      <c r="E96" s="86">
        <f>(C96+D96)*E8</f>
        <v>0</v>
      </c>
      <c r="F96" s="16">
        <f t="shared" si="11"/>
        <v>0</v>
      </c>
      <c r="G96" s="2"/>
      <c r="H96" s="189"/>
      <c r="I96" s="471"/>
      <c r="J96" s="471"/>
      <c r="K96" s="471"/>
      <c r="L96" s="2"/>
    </row>
    <row r="97" spans="2:12" hidden="1" x14ac:dyDescent="0.2">
      <c r="B97" s="441"/>
      <c r="C97" s="15"/>
      <c r="D97" s="15"/>
      <c r="E97" s="86">
        <f>(C97+D97)*E9</f>
        <v>0</v>
      </c>
      <c r="F97" s="16">
        <f t="shared" si="11"/>
        <v>0</v>
      </c>
      <c r="G97" s="2"/>
      <c r="H97" s="189"/>
      <c r="I97" s="471"/>
      <c r="J97" s="471"/>
      <c r="K97" s="471"/>
      <c r="L97" s="2"/>
    </row>
    <row r="98" spans="2:12" hidden="1" x14ac:dyDescent="0.2">
      <c r="B98" s="441" t="s">
        <v>785</v>
      </c>
      <c r="C98" s="15">
        <v>400</v>
      </c>
      <c r="D98" s="15"/>
      <c r="E98" s="86">
        <f>(C98+D98)*E6</f>
        <v>240</v>
      </c>
      <c r="F98" s="16">
        <f t="shared" si="11"/>
        <v>640</v>
      </c>
      <c r="G98" s="2"/>
      <c r="H98" s="189"/>
      <c r="I98" s="471"/>
      <c r="J98" s="471"/>
      <c r="K98" s="471"/>
      <c r="L98" s="2"/>
    </row>
    <row r="99" spans="2:12" hidden="1" x14ac:dyDescent="0.2">
      <c r="B99" s="441" t="s">
        <v>786</v>
      </c>
      <c r="C99" s="15">
        <v>140</v>
      </c>
      <c r="D99" s="15"/>
      <c r="E99" s="86">
        <f>(C99+D99)*E6</f>
        <v>84</v>
      </c>
      <c r="F99" s="16">
        <f t="shared" si="11"/>
        <v>224</v>
      </c>
      <c r="G99" s="2"/>
      <c r="H99" s="189"/>
      <c r="I99" s="471"/>
      <c r="J99" s="471"/>
      <c r="K99" s="471"/>
      <c r="L99" s="2"/>
    </row>
    <row r="100" spans="2:12" hidden="1" x14ac:dyDescent="0.2">
      <c r="B100" s="441" t="s">
        <v>787</v>
      </c>
      <c r="C100" s="15">
        <v>6</v>
      </c>
      <c r="D100" s="15"/>
      <c r="E100" s="86">
        <f>(C100+D100)*E6</f>
        <v>3.5999999999999996</v>
      </c>
      <c r="F100" s="16">
        <f t="shared" si="11"/>
        <v>9.6</v>
      </c>
      <c r="G100" s="2"/>
      <c r="H100" s="189"/>
      <c r="I100" s="471"/>
      <c r="J100" s="471"/>
      <c r="K100" s="471"/>
      <c r="L100" s="2"/>
    </row>
    <row r="101" spans="2:12" hidden="1" x14ac:dyDescent="0.2">
      <c r="B101" s="441" t="s">
        <v>788</v>
      </c>
      <c r="C101" s="15">
        <v>70</v>
      </c>
      <c r="D101" s="15"/>
      <c r="E101" s="86">
        <f>(C101+D101)*E6</f>
        <v>42</v>
      </c>
      <c r="F101" s="16">
        <f t="shared" si="11"/>
        <v>112</v>
      </c>
      <c r="G101" s="2"/>
      <c r="H101" s="189"/>
      <c r="I101" s="471"/>
      <c r="J101" s="471"/>
      <c r="K101" s="471"/>
      <c r="L101" s="2"/>
    </row>
    <row r="102" spans="2:12" hidden="1" x14ac:dyDescent="0.2">
      <c r="B102" s="441" t="s">
        <v>789</v>
      </c>
      <c r="C102" s="15">
        <v>298</v>
      </c>
      <c r="D102" s="15"/>
      <c r="E102" s="86">
        <f>(C102+D102)*E6</f>
        <v>178.79999999999998</v>
      </c>
      <c r="F102" s="16">
        <f t="shared" si="11"/>
        <v>476.79999999999995</v>
      </c>
      <c r="G102" s="2"/>
      <c r="H102" s="189"/>
      <c r="I102" s="471"/>
      <c r="J102" s="471"/>
      <c r="K102" s="471"/>
      <c r="L102" s="2"/>
    </row>
    <row r="103" spans="2:12" hidden="1" x14ac:dyDescent="0.2">
      <c r="B103" s="441" t="s">
        <v>790</v>
      </c>
      <c r="C103" s="15">
        <v>16.89</v>
      </c>
      <c r="D103" s="15"/>
      <c r="E103" s="86">
        <f>(C103+D103)*E6</f>
        <v>10.134</v>
      </c>
      <c r="F103" s="16">
        <f t="shared" si="11"/>
        <v>27.024000000000001</v>
      </c>
      <c r="G103" s="2"/>
      <c r="H103" s="189"/>
      <c r="I103" s="471"/>
      <c r="J103" s="471"/>
      <c r="K103" s="471"/>
      <c r="L103" s="2"/>
    </row>
    <row r="104" spans="2:12" hidden="1" x14ac:dyDescent="0.2">
      <c r="B104" s="441" t="s">
        <v>791</v>
      </c>
      <c r="C104" s="15">
        <v>23.9</v>
      </c>
      <c r="D104" s="15"/>
      <c r="E104" s="86">
        <f>(C104+D104)*E6</f>
        <v>14.339999999999998</v>
      </c>
      <c r="F104" s="16">
        <f t="shared" si="11"/>
        <v>38.239999999999995</v>
      </c>
      <c r="G104" s="2"/>
      <c r="H104" s="189"/>
      <c r="I104" s="471"/>
      <c r="J104" s="471"/>
      <c r="K104" s="471"/>
      <c r="L104" s="2"/>
    </row>
    <row r="105" spans="2:12" hidden="1" x14ac:dyDescent="0.2">
      <c r="B105" s="441" t="s">
        <v>792</v>
      </c>
      <c r="C105" s="15">
        <v>30.34</v>
      </c>
      <c r="D105" s="15"/>
      <c r="E105" s="86">
        <f>C105*E6</f>
        <v>18.204000000000001</v>
      </c>
      <c r="F105" s="16">
        <f t="shared" si="11"/>
        <v>48.543999999999997</v>
      </c>
      <c r="G105" s="2"/>
      <c r="H105" s="189"/>
      <c r="I105" s="471"/>
      <c r="J105" s="471"/>
      <c r="K105" s="471"/>
      <c r="L105" s="2"/>
    </row>
    <row r="106" spans="2:12" hidden="1" x14ac:dyDescent="0.2">
      <c r="B106" s="441" t="s">
        <v>793</v>
      </c>
      <c r="C106" s="15">
        <v>10.199999999999999</v>
      </c>
      <c r="D106" s="15"/>
      <c r="E106" s="86">
        <f>C106*E6</f>
        <v>6.1199999999999992</v>
      </c>
      <c r="F106" s="16">
        <f t="shared" si="11"/>
        <v>16.32</v>
      </c>
      <c r="G106" s="2"/>
      <c r="H106" s="189"/>
      <c r="I106" s="471"/>
      <c r="J106" s="471"/>
      <c r="K106" s="471"/>
      <c r="L106" s="2"/>
    </row>
    <row r="107" spans="2:12" hidden="1" x14ac:dyDescent="0.2">
      <c r="B107" s="441" t="s">
        <v>794</v>
      </c>
      <c r="C107" s="15">
        <v>13.6</v>
      </c>
      <c r="D107" s="15"/>
      <c r="E107" s="86">
        <f>C107*E6</f>
        <v>8.16</v>
      </c>
      <c r="F107" s="16">
        <f t="shared" si="11"/>
        <v>21.759999999999998</v>
      </c>
      <c r="G107" s="2"/>
      <c r="H107" s="189"/>
      <c r="I107" s="471"/>
      <c r="J107" s="471"/>
      <c r="K107" s="471"/>
      <c r="L107" s="2"/>
    </row>
    <row r="108" spans="2:12" hidden="1" x14ac:dyDescent="0.2">
      <c r="B108" s="441" t="s">
        <v>795</v>
      </c>
      <c r="C108" s="15">
        <v>74.78</v>
      </c>
      <c r="D108" s="15"/>
      <c r="E108" s="86">
        <f>C108*E6</f>
        <v>44.868000000000002</v>
      </c>
      <c r="F108" s="16">
        <f t="shared" si="11"/>
        <v>119.648</v>
      </c>
      <c r="G108" s="2"/>
      <c r="H108" s="189"/>
      <c r="I108" s="471"/>
      <c r="J108" s="471"/>
      <c r="K108" s="471"/>
      <c r="L108" s="2"/>
    </row>
    <row r="109" spans="2:12" hidden="1" x14ac:dyDescent="0.2">
      <c r="B109" s="441" t="s">
        <v>796</v>
      </c>
      <c r="C109" s="15">
        <v>83.38</v>
      </c>
      <c r="D109" s="15"/>
      <c r="E109" s="86">
        <f>C109*E6</f>
        <v>50.027999999999999</v>
      </c>
      <c r="F109" s="16">
        <f t="shared" si="11"/>
        <v>133.40799999999999</v>
      </c>
      <c r="G109" s="2"/>
      <c r="H109" s="189"/>
      <c r="I109" s="471"/>
      <c r="J109" s="471"/>
      <c r="K109" s="471"/>
      <c r="L109" s="2"/>
    </row>
    <row r="110" spans="2:12" hidden="1" x14ac:dyDescent="0.2">
      <c r="B110" s="441" t="s">
        <v>797</v>
      </c>
      <c r="C110" s="15">
        <v>113.36</v>
      </c>
      <c r="D110" s="15"/>
      <c r="E110" s="86">
        <f>C110*E6</f>
        <v>68.015999999999991</v>
      </c>
      <c r="F110" s="16">
        <f t="shared" si="11"/>
        <v>181.37599999999998</v>
      </c>
      <c r="G110" s="2"/>
      <c r="H110" s="189"/>
      <c r="I110" s="471"/>
      <c r="J110" s="471"/>
      <c r="K110" s="471"/>
      <c r="L110" s="2"/>
    </row>
    <row r="111" spans="2:12" hidden="1" x14ac:dyDescent="0.2">
      <c r="B111" s="441" t="s">
        <v>798</v>
      </c>
      <c r="C111" s="15">
        <v>145.21</v>
      </c>
      <c r="D111" s="15"/>
      <c r="E111" s="86">
        <f>C111*$E$6</f>
        <v>87.126000000000005</v>
      </c>
      <c r="F111" s="16">
        <f t="shared" si="11"/>
        <v>232.33600000000001</v>
      </c>
      <c r="G111" s="2"/>
      <c r="H111" s="189"/>
      <c r="I111" s="471"/>
      <c r="J111" s="471"/>
      <c r="K111" s="471"/>
      <c r="L111" s="2"/>
    </row>
    <row r="112" spans="2:12" hidden="1" x14ac:dyDescent="0.2">
      <c r="B112" s="441" t="s">
        <v>799</v>
      </c>
      <c r="C112" s="15">
        <v>90</v>
      </c>
      <c r="D112" s="15"/>
      <c r="E112" s="86">
        <f>C112*$E$6</f>
        <v>54</v>
      </c>
      <c r="F112" s="16">
        <f t="shared" si="11"/>
        <v>144</v>
      </c>
      <c r="G112" s="2"/>
      <c r="H112" s="189"/>
      <c r="I112" s="471"/>
      <c r="J112" s="471"/>
      <c r="K112" s="471"/>
      <c r="L112" s="2"/>
    </row>
    <row r="113" spans="2:12" hidden="1" x14ac:dyDescent="0.2">
      <c r="B113" s="441" t="s">
        <v>800</v>
      </c>
      <c r="C113" s="15">
        <v>93.4</v>
      </c>
      <c r="D113" s="15"/>
      <c r="E113" s="86">
        <f t="shared" ref="E113:E115" si="12">C113*$E$6</f>
        <v>56.04</v>
      </c>
      <c r="F113" s="16">
        <f t="shared" si="11"/>
        <v>149.44</v>
      </c>
      <c r="G113" s="2"/>
      <c r="H113" s="189"/>
      <c r="I113" s="471"/>
      <c r="J113" s="471"/>
      <c r="K113" s="471"/>
      <c r="L113" s="2"/>
    </row>
    <row r="114" spans="2:12" hidden="1" x14ac:dyDescent="0.2">
      <c r="B114" s="441" t="s">
        <v>801</v>
      </c>
      <c r="C114" s="15">
        <v>80</v>
      </c>
      <c r="D114" s="15"/>
      <c r="E114" s="86">
        <f t="shared" si="12"/>
        <v>48</v>
      </c>
      <c r="F114" s="16">
        <f t="shared" si="11"/>
        <v>128</v>
      </c>
      <c r="G114" s="2"/>
      <c r="H114" s="189"/>
      <c r="I114" s="471"/>
      <c r="J114" s="471"/>
      <c r="K114" s="471"/>
      <c r="L114" s="2"/>
    </row>
    <row r="115" spans="2:12" hidden="1" x14ac:dyDescent="0.2">
      <c r="B115" s="441" t="s">
        <v>802</v>
      </c>
      <c r="C115" s="15">
        <v>50</v>
      </c>
      <c r="D115" s="15"/>
      <c r="E115" s="86">
        <f t="shared" si="12"/>
        <v>30</v>
      </c>
      <c r="F115" s="16">
        <f t="shared" si="11"/>
        <v>80</v>
      </c>
      <c r="G115" s="2"/>
      <c r="H115" s="189"/>
      <c r="I115" s="471"/>
      <c r="J115" s="471"/>
      <c r="K115" s="471"/>
      <c r="L115" s="2"/>
    </row>
    <row r="116" spans="2:12" hidden="1" x14ac:dyDescent="0.2">
      <c r="B116" s="441"/>
      <c r="C116" s="15"/>
      <c r="D116" s="15"/>
      <c r="E116" s="86"/>
      <c r="F116" s="16"/>
      <c r="G116" s="2"/>
      <c r="H116" s="189"/>
      <c r="I116" s="471"/>
      <c r="J116" s="471"/>
      <c r="K116" s="471"/>
      <c r="L116" s="2"/>
    </row>
    <row r="117" spans="2:12" x14ac:dyDescent="0.2">
      <c r="B117" s="480" t="s">
        <v>803</v>
      </c>
      <c r="C117" s="15"/>
      <c r="D117" s="15"/>
      <c r="E117" s="86"/>
      <c r="F117" s="16"/>
      <c r="G117" s="2"/>
      <c r="H117" s="189"/>
      <c r="I117" s="471"/>
      <c r="J117" s="471"/>
      <c r="K117" s="471"/>
      <c r="L117" s="2"/>
    </row>
    <row r="118" spans="2:12" hidden="1" x14ac:dyDescent="0.2">
      <c r="B118" s="441" t="s">
        <v>804</v>
      </c>
      <c r="C118" s="15">
        <v>1500</v>
      </c>
      <c r="D118" s="15"/>
      <c r="E118" s="86">
        <f t="shared" ref="E118:E125" si="13">C118*$E$6</f>
        <v>900</v>
      </c>
      <c r="F118" s="16">
        <f t="shared" ref="F118:F125" si="14">C118+D118+E118</f>
        <v>2400</v>
      </c>
      <c r="G118" s="2"/>
      <c r="H118" s="189"/>
      <c r="I118" s="471"/>
      <c r="J118" s="471"/>
      <c r="K118" s="471"/>
      <c r="L118" s="2"/>
    </row>
    <row r="119" spans="2:12" hidden="1" x14ac:dyDescent="0.2">
      <c r="B119" s="441" t="s">
        <v>805</v>
      </c>
      <c r="C119" s="15">
        <v>55</v>
      </c>
      <c r="D119" s="15"/>
      <c r="E119" s="86">
        <f t="shared" si="13"/>
        <v>33</v>
      </c>
      <c r="F119" s="16">
        <f t="shared" si="14"/>
        <v>88</v>
      </c>
      <c r="G119" s="2"/>
      <c r="H119" s="189"/>
      <c r="I119" s="471"/>
      <c r="J119" s="471"/>
      <c r="K119" s="471"/>
      <c r="L119" s="2"/>
    </row>
    <row r="120" spans="2:12" hidden="1" x14ac:dyDescent="0.2">
      <c r="B120" s="441" t="s">
        <v>806</v>
      </c>
      <c r="C120" s="15">
        <v>65</v>
      </c>
      <c r="D120" s="15"/>
      <c r="E120" s="86">
        <f t="shared" si="13"/>
        <v>39</v>
      </c>
      <c r="F120" s="16">
        <f t="shared" si="14"/>
        <v>104</v>
      </c>
      <c r="G120" s="2"/>
      <c r="H120" s="189"/>
      <c r="I120" s="471"/>
      <c r="J120" s="471"/>
      <c r="K120" s="471"/>
      <c r="L120" s="2"/>
    </row>
    <row r="121" spans="2:12" hidden="1" x14ac:dyDescent="0.2">
      <c r="B121" s="441" t="s">
        <v>807</v>
      </c>
      <c r="C121" s="15">
        <v>75</v>
      </c>
      <c r="D121" s="15"/>
      <c r="E121" s="86">
        <f t="shared" si="13"/>
        <v>45</v>
      </c>
      <c r="F121" s="16">
        <f t="shared" si="14"/>
        <v>120</v>
      </c>
      <c r="G121" s="2"/>
      <c r="H121" s="189"/>
      <c r="I121" s="471"/>
      <c r="J121" s="471"/>
      <c r="K121" s="471"/>
      <c r="L121" s="2"/>
    </row>
    <row r="122" spans="2:12" hidden="1" x14ac:dyDescent="0.2">
      <c r="B122" s="441" t="s">
        <v>808</v>
      </c>
      <c r="C122" s="15">
        <v>75</v>
      </c>
      <c r="D122" s="15"/>
      <c r="E122" s="86">
        <f t="shared" si="13"/>
        <v>45</v>
      </c>
      <c r="F122" s="16">
        <f t="shared" si="14"/>
        <v>120</v>
      </c>
      <c r="G122" s="2"/>
      <c r="H122" s="189"/>
      <c r="I122" s="471"/>
      <c r="J122" s="471"/>
      <c r="K122" s="471"/>
      <c r="L122" s="2"/>
    </row>
    <row r="123" spans="2:12" hidden="1" x14ac:dyDescent="0.2">
      <c r="B123" s="441" t="s">
        <v>809</v>
      </c>
      <c r="C123" s="15">
        <v>80</v>
      </c>
      <c r="D123" s="15"/>
      <c r="E123" s="86">
        <f t="shared" si="13"/>
        <v>48</v>
      </c>
      <c r="F123" s="16">
        <f t="shared" si="14"/>
        <v>128</v>
      </c>
      <c r="G123" s="2"/>
      <c r="H123" s="189"/>
      <c r="I123" s="471"/>
      <c r="J123" s="471"/>
      <c r="K123" s="471"/>
      <c r="L123" s="2"/>
    </row>
    <row r="124" spans="2:12" hidden="1" x14ac:dyDescent="0.2">
      <c r="B124" s="441" t="s">
        <v>810</v>
      </c>
      <c r="C124" s="15">
        <v>85</v>
      </c>
      <c r="D124" s="15"/>
      <c r="E124" s="86">
        <f t="shared" si="13"/>
        <v>51</v>
      </c>
      <c r="F124" s="16">
        <f t="shared" si="14"/>
        <v>136</v>
      </c>
      <c r="G124" s="2"/>
      <c r="H124" s="189"/>
      <c r="I124" s="471"/>
      <c r="J124" s="471"/>
      <c r="K124" s="471"/>
      <c r="L124" s="2"/>
    </row>
    <row r="125" spans="2:12" hidden="1" x14ac:dyDescent="0.2">
      <c r="B125" s="441" t="s">
        <v>811</v>
      </c>
      <c r="C125" s="15">
        <v>100</v>
      </c>
      <c r="D125" s="15"/>
      <c r="E125" s="86">
        <f t="shared" si="13"/>
        <v>60</v>
      </c>
      <c r="F125" s="16">
        <f t="shared" si="14"/>
        <v>160</v>
      </c>
      <c r="G125" s="2"/>
      <c r="H125" s="189"/>
      <c r="I125" s="471"/>
      <c r="J125" s="471"/>
      <c r="K125" s="471"/>
      <c r="L125" s="2"/>
    </row>
    <row r="126" spans="2:12" x14ac:dyDescent="0.2">
      <c r="B126" s="441"/>
      <c r="C126" s="15"/>
      <c r="D126" s="15"/>
      <c r="E126" s="86"/>
      <c r="F126" s="16"/>
      <c r="G126" s="2"/>
      <c r="H126" s="189"/>
      <c r="I126" s="471"/>
      <c r="J126" s="471"/>
      <c r="K126" s="471"/>
      <c r="L126" s="2"/>
    </row>
    <row r="127" spans="2:12" x14ac:dyDescent="0.2">
      <c r="B127" s="480" t="s">
        <v>812</v>
      </c>
      <c r="C127" s="15"/>
      <c r="D127" s="15"/>
      <c r="E127" s="86"/>
      <c r="F127" s="16"/>
      <c r="G127" s="2"/>
      <c r="H127" s="189"/>
      <c r="I127" s="471"/>
      <c r="J127" s="471"/>
      <c r="K127" s="471"/>
      <c r="L127" s="2"/>
    </row>
    <row r="128" spans="2:12" hidden="1" x14ac:dyDescent="0.2">
      <c r="B128" s="441" t="s">
        <v>813</v>
      </c>
      <c r="C128" s="15">
        <v>1000</v>
      </c>
      <c r="D128" s="15"/>
      <c r="E128" s="86">
        <f t="shared" ref="E128:E129" si="15">C128*$E$6</f>
        <v>600</v>
      </c>
      <c r="F128" s="16">
        <f t="shared" ref="F128:F129" si="16">C128+D128+E128</f>
        <v>1600</v>
      </c>
      <c r="G128" s="2"/>
      <c r="H128" s="189"/>
      <c r="I128" s="471"/>
      <c r="J128" s="471"/>
      <c r="K128" s="471"/>
      <c r="L128" s="2"/>
    </row>
    <row r="129" spans="2:12" hidden="1" x14ac:dyDescent="0.2">
      <c r="B129" s="441" t="s">
        <v>814</v>
      </c>
      <c r="C129" s="15">
        <v>850</v>
      </c>
      <c r="D129" s="15"/>
      <c r="E129" s="86">
        <f t="shared" si="15"/>
        <v>510</v>
      </c>
      <c r="F129" s="16">
        <f t="shared" si="16"/>
        <v>1360</v>
      </c>
      <c r="G129" s="2"/>
      <c r="H129" s="189"/>
      <c r="I129" s="471"/>
      <c r="J129" s="471"/>
      <c r="K129" s="471"/>
      <c r="L129" s="2"/>
    </row>
    <row r="130" spans="2:12" hidden="1" x14ac:dyDescent="0.2">
      <c r="B130" s="481" t="s">
        <v>815</v>
      </c>
      <c r="C130" s="97"/>
      <c r="D130" s="97"/>
      <c r="E130" s="451"/>
      <c r="F130" s="16"/>
      <c r="G130" s="2"/>
      <c r="H130" s="189"/>
      <c r="I130" s="471"/>
      <c r="J130" s="471"/>
      <c r="K130" s="471"/>
      <c r="L130" s="2"/>
    </row>
    <row r="131" spans="2:12" hidden="1" x14ac:dyDescent="0.2">
      <c r="B131" s="441" t="s">
        <v>816</v>
      </c>
      <c r="C131" s="97">
        <v>520</v>
      </c>
      <c r="D131" s="97">
        <f>C131*C6</f>
        <v>0</v>
      </c>
      <c r="E131" s="86">
        <f>(C131+D131)*E6</f>
        <v>312</v>
      </c>
      <c r="F131" s="16">
        <f t="shared" ref="F131:F136" si="17">C131+D131+E131</f>
        <v>832</v>
      </c>
      <c r="G131" s="2"/>
      <c r="H131" s="189"/>
      <c r="I131" s="471"/>
      <c r="J131" s="471"/>
      <c r="K131" s="471"/>
      <c r="L131" s="2"/>
    </row>
    <row r="132" spans="2:12" hidden="1" x14ac:dyDescent="0.2">
      <c r="B132" s="441" t="s">
        <v>817</v>
      </c>
      <c r="C132" s="97">
        <v>365</v>
      </c>
      <c r="D132" s="97">
        <f>C132*C6</f>
        <v>0</v>
      </c>
      <c r="E132" s="86">
        <f>(C132+D132)*E6</f>
        <v>219</v>
      </c>
      <c r="F132" s="16">
        <f t="shared" si="17"/>
        <v>584</v>
      </c>
      <c r="G132" s="2"/>
      <c r="H132" s="189"/>
      <c r="I132" s="471"/>
      <c r="J132" s="471"/>
      <c r="K132" s="471"/>
      <c r="L132" s="2"/>
    </row>
    <row r="133" spans="2:12" hidden="1" x14ac:dyDescent="0.2">
      <c r="B133" s="441" t="s">
        <v>818</v>
      </c>
      <c r="C133" s="97">
        <v>50</v>
      </c>
      <c r="D133" s="97">
        <f>C133*C6</f>
        <v>0</v>
      </c>
      <c r="E133" s="86">
        <f>(C133+D133)*E6</f>
        <v>30</v>
      </c>
      <c r="F133" s="16">
        <f t="shared" si="17"/>
        <v>80</v>
      </c>
      <c r="G133" s="2"/>
      <c r="H133" s="189"/>
      <c r="I133" s="471"/>
      <c r="J133" s="471"/>
      <c r="K133" s="471"/>
      <c r="L133" s="2"/>
    </row>
    <row r="134" spans="2:12" hidden="1" x14ac:dyDescent="0.2">
      <c r="B134" s="441" t="s">
        <v>819</v>
      </c>
      <c r="C134" s="97">
        <v>96</v>
      </c>
      <c r="D134" s="97">
        <f>C134*C6</f>
        <v>0</v>
      </c>
      <c r="E134" s="86">
        <f>(C134+D134)*E6</f>
        <v>57.599999999999994</v>
      </c>
      <c r="F134" s="16">
        <f t="shared" si="17"/>
        <v>153.6</v>
      </c>
      <c r="G134" s="2"/>
      <c r="H134" s="189"/>
      <c r="I134" s="471"/>
      <c r="J134" s="471"/>
      <c r="K134" s="471"/>
      <c r="L134" s="2"/>
    </row>
    <row r="135" spans="2:12" hidden="1" x14ac:dyDescent="0.2">
      <c r="B135" s="441" t="s">
        <v>820</v>
      </c>
      <c r="C135" s="97">
        <v>50</v>
      </c>
      <c r="D135" s="97">
        <f>C135*C6</f>
        <v>0</v>
      </c>
      <c r="E135" s="86">
        <f>(C135+D135)*E6</f>
        <v>30</v>
      </c>
      <c r="F135" s="16">
        <f t="shared" si="17"/>
        <v>80</v>
      </c>
      <c r="G135" s="2"/>
      <c r="H135" s="189"/>
      <c r="I135" s="471"/>
      <c r="J135" s="471"/>
      <c r="K135" s="471"/>
      <c r="L135" s="2"/>
    </row>
    <row r="136" spans="2:12" x14ac:dyDescent="0.2">
      <c r="B136" s="441" t="s">
        <v>821</v>
      </c>
      <c r="C136" s="482">
        <v>400</v>
      </c>
      <c r="D136" s="97"/>
      <c r="E136" s="86">
        <f>(C136+D136)*E6</f>
        <v>240</v>
      </c>
      <c r="F136" s="16">
        <f t="shared" si="17"/>
        <v>640</v>
      </c>
      <c r="G136" s="470"/>
      <c r="H136" s="189"/>
      <c r="I136" s="471"/>
      <c r="J136" s="471"/>
      <c r="K136" s="471"/>
      <c r="L136" s="2"/>
    </row>
    <row r="137" spans="2:12" x14ac:dyDescent="0.2">
      <c r="B137" s="441" t="s">
        <v>822</v>
      </c>
      <c r="C137" s="476">
        <v>90</v>
      </c>
      <c r="D137" s="15"/>
      <c r="E137" s="86"/>
      <c r="F137" s="16"/>
      <c r="G137" s="2"/>
      <c r="H137" s="189"/>
      <c r="I137" s="471"/>
      <c r="J137" s="471"/>
      <c r="K137" s="471"/>
      <c r="L137" s="2"/>
    </row>
    <row r="138" spans="2:12" x14ac:dyDescent="0.2">
      <c r="B138" s="441"/>
      <c r="C138" s="15"/>
      <c r="D138" s="15"/>
      <c r="E138" s="86"/>
      <c r="F138" s="16"/>
      <c r="G138" s="2"/>
      <c r="H138" s="189"/>
      <c r="I138" s="471"/>
      <c r="J138" s="471"/>
      <c r="K138" s="471"/>
      <c r="L138" s="2"/>
    </row>
    <row r="139" spans="2:12" x14ac:dyDescent="0.2">
      <c r="B139" s="441"/>
      <c r="C139" s="15"/>
      <c r="D139" s="15"/>
      <c r="E139" s="86">
        <f t="shared" ref="E139:E145" si="18">C139*$E$6</f>
        <v>0</v>
      </c>
      <c r="F139" s="16">
        <f t="shared" ref="F139:F145" si="19">C139+D139+E139</f>
        <v>0</v>
      </c>
      <c r="G139" s="2"/>
      <c r="H139" s="189"/>
      <c r="I139" s="471"/>
      <c r="J139" s="471"/>
      <c r="K139" s="471"/>
      <c r="L139" s="2"/>
    </row>
    <row r="140" spans="2:12" x14ac:dyDescent="0.2">
      <c r="B140" s="480" t="s">
        <v>823</v>
      </c>
      <c r="C140" s="15"/>
      <c r="D140" s="15"/>
      <c r="E140" s="86">
        <f t="shared" si="18"/>
        <v>0</v>
      </c>
      <c r="F140" s="16">
        <f t="shared" si="19"/>
        <v>0</v>
      </c>
      <c r="G140" s="2"/>
      <c r="H140" s="189"/>
      <c r="I140" s="471"/>
      <c r="J140" s="471"/>
      <c r="K140" s="471"/>
      <c r="L140" s="2"/>
    </row>
    <row r="141" spans="2:12" x14ac:dyDescent="0.2">
      <c r="B141" s="441"/>
      <c r="C141" s="15"/>
      <c r="D141" s="15"/>
      <c r="E141" s="86">
        <f t="shared" si="18"/>
        <v>0</v>
      </c>
      <c r="F141" s="16">
        <f t="shared" si="19"/>
        <v>0</v>
      </c>
      <c r="G141" s="2"/>
      <c r="H141" s="189"/>
      <c r="I141" s="471"/>
      <c r="J141" s="471"/>
      <c r="K141" s="471"/>
      <c r="L141" s="2"/>
    </row>
    <row r="142" spans="2:12" x14ac:dyDescent="0.2">
      <c r="B142" s="441" t="s">
        <v>715</v>
      </c>
      <c r="C142" s="145">
        <v>6.6</v>
      </c>
      <c r="D142" s="15"/>
      <c r="E142" s="86">
        <f t="shared" si="18"/>
        <v>3.9599999999999995</v>
      </c>
      <c r="F142" s="16">
        <f t="shared" si="19"/>
        <v>10.559999999999999</v>
      </c>
      <c r="G142" s="2"/>
      <c r="H142" s="189"/>
      <c r="I142" s="471"/>
      <c r="J142" s="471"/>
      <c r="K142" s="471"/>
      <c r="L142" s="2"/>
    </row>
    <row r="143" spans="2:12" x14ac:dyDescent="0.2">
      <c r="B143" s="441" t="s">
        <v>824</v>
      </c>
      <c r="C143" s="145">
        <v>15.5</v>
      </c>
      <c r="D143" s="15"/>
      <c r="E143" s="86">
        <f t="shared" si="18"/>
        <v>9.2999999999999989</v>
      </c>
      <c r="F143" s="16">
        <f t="shared" si="19"/>
        <v>24.799999999999997</v>
      </c>
      <c r="G143" s="2"/>
      <c r="H143" s="189"/>
      <c r="I143" s="471"/>
      <c r="J143" s="471"/>
      <c r="K143" s="471"/>
      <c r="L143" s="2"/>
    </row>
    <row r="144" spans="2:12" x14ac:dyDescent="0.2">
      <c r="B144" s="441" t="s">
        <v>716</v>
      </c>
      <c r="C144" s="145">
        <v>15</v>
      </c>
      <c r="D144" s="15"/>
      <c r="E144" s="86">
        <f t="shared" si="18"/>
        <v>9</v>
      </c>
      <c r="F144" s="16">
        <f t="shared" si="19"/>
        <v>24</v>
      </c>
      <c r="G144" s="2"/>
      <c r="H144" s="189"/>
      <c r="I144" s="471"/>
      <c r="J144" s="471"/>
      <c r="K144" s="471"/>
      <c r="L144" s="2"/>
    </row>
    <row r="145" spans="2:12" x14ac:dyDescent="0.2">
      <c r="B145" s="441" t="s">
        <v>517</v>
      </c>
      <c r="C145" s="145">
        <v>350</v>
      </c>
      <c r="D145" s="15"/>
      <c r="E145" s="86">
        <f t="shared" si="18"/>
        <v>210</v>
      </c>
      <c r="F145" s="16">
        <f t="shared" si="19"/>
        <v>560</v>
      </c>
      <c r="G145" s="2"/>
      <c r="H145" s="189"/>
      <c r="I145" s="471"/>
      <c r="J145" s="471"/>
      <c r="K145" s="471"/>
      <c r="L145" s="2"/>
    </row>
    <row r="146" spans="2:12" x14ac:dyDescent="0.2">
      <c r="B146" s="441"/>
      <c r="C146" s="15"/>
      <c r="D146" s="15"/>
      <c r="E146" s="86"/>
      <c r="F146" s="16"/>
      <c r="G146" s="2"/>
      <c r="H146" s="189"/>
      <c r="I146" s="471"/>
      <c r="J146" s="471"/>
      <c r="K146" s="471"/>
      <c r="L146" s="2"/>
    </row>
    <row r="147" spans="2:12" x14ac:dyDescent="0.2">
      <c r="B147" s="441"/>
      <c r="C147" s="15"/>
      <c r="D147" s="15"/>
      <c r="E147" s="86"/>
      <c r="F147" s="16"/>
      <c r="G147" s="2"/>
      <c r="H147" s="189"/>
      <c r="I147" s="471"/>
      <c r="J147" s="471"/>
      <c r="K147" s="471"/>
      <c r="L147" s="2"/>
    </row>
    <row r="148" spans="2:12" hidden="1" x14ac:dyDescent="0.2">
      <c r="B148" s="483"/>
      <c r="C148" s="15"/>
      <c r="D148" s="15"/>
      <c r="E148" s="86">
        <f t="shared" ref="E148" si="20">C148*$E$6</f>
        <v>0</v>
      </c>
      <c r="F148" s="16">
        <f t="shared" ref="F148" si="21">C148+D148+E148</f>
        <v>0</v>
      </c>
      <c r="G148" s="2"/>
      <c r="H148" s="189"/>
      <c r="I148" s="471"/>
      <c r="J148" s="471"/>
      <c r="K148" s="471"/>
      <c r="L148" s="2"/>
    </row>
    <row r="149" spans="2:12" x14ac:dyDescent="0.2">
      <c r="B149" s="483"/>
      <c r="C149" s="15"/>
      <c r="D149" s="15"/>
      <c r="E149" s="86"/>
      <c r="F149" s="16"/>
      <c r="G149" s="2"/>
      <c r="H149" s="189"/>
      <c r="I149" s="189"/>
      <c r="J149" s="189"/>
      <c r="K149" s="189"/>
      <c r="L149" s="2"/>
    </row>
    <row r="150" spans="2:12" x14ac:dyDescent="0.2">
      <c r="B150" s="484" t="s">
        <v>825</v>
      </c>
      <c r="C150" s="15"/>
      <c r="D150" s="15"/>
      <c r="E150" s="86"/>
      <c r="F150" s="16"/>
      <c r="G150" s="2"/>
      <c r="H150" s="189"/>
      <c r="I150" s="189"/>
      <c r="J150" s="189"/>
      <c r="K150" s="189"/>
      <c r="L150" s="2"/>
    </row>
    <row r="151" spans="2:12" x14ac:dyDescent="0.2">
      <c r="B151" s="447"/>
      <c r="C151" s="15"/>
      <c r="D151" s="15"/>
      <c r="E151" s="86"/>
      <c r="F151" s="16"/>
      <c r="G151" s="2"/>
      <c r="H151" s="474"/>
      <c r="I151" s="189"/>
      <c r="J151" s="189"/>
      <c r="K151" s="189"/>
      <c r="L151" s="2"/>
    </row>
    <row r="152" spans="2:12" x14ac:dyDescent="0.2">
      <c r="B152" s="436" t="s">
        <v>826</v>
      </c>
      <c r="C152" s="476">
        <v>16.32</v>
      </c>
      <c r="D152" s="15"/>
      <c r="E152" s="86">
        <f>(C152+D152)*E6</f>
        <v>9.7919999999999998</v>
      </c>
      <c r="F152" s="16">
        <f>C152+D152+E152</f>
        <v>26.112000000000002</v>
      </c>
      <c r="G152" s="2"/>
      <c r="H152" s="165">
        <f>C152*$H$151</f>
        <v>0</v>
      </c>
      <c r="I152" s="471"/>
      <c r="J152" s="471"/>
      <c r="K152" s="471"/>
      <c r="L152" s="2"/>
    </row>
    <row r="153" spans="2:12" x14ac:dyDescent="0.2">
      <c r="B153" s="436" t="s">
        <v>827</v>
      </c>
      <c r="C153" s="476">
        <v>25.36</v>
      </c>
      <c r="D153" s="15"/>
      <c r="E153" s="86">
        <f>(C153+D153)*E6</f>
        <v>15.215999999999999</v>
      </c>
      <c r="F153" s="16">
        <f t="shared" ref="F153:F166" si="22">C153+D153+E153</f>
        <v>40.576000000000001</v>
      </c>
      <c r="G153" s="2"/>
      <c r="H153" s="165">
        <f t="shared" ref="H153:H166" si="23">C153*$H$151</f>
        <v>0</v>
      </c>
      <c r="I153" s="471"/>
      <c r="J153" s="471"/>
      <c r="K153" s="471"/>
      <c r="L153" s="2"/>
    </row>
    <row r="154" spans="2:12" x14ac:dyDescent="0.2">
      <c r="B154" s="436" t="s">
        <v>828</v>
      </c>
      <c r="C154" s="476">
        <v>18.09</v>
      </c>
      <c r="D154" s="15"/>
      <c r="E154" s="86">
        <f>(C154+D154)*E6</f>
        <v>10.853999999999999</v>
      </c>
      <c r="F154" s="16">
        <f t="shared" si="22"/>
        <v>28.943999999999999</v>
      </c>
      <c r="G154" s="2"/>
      <c r="H154" s="165">
        <f t="shared" si="23"/>
        <v>0</v>
      </c>
      <c r="I154" s="471"/>
      <c r="J154" s="471"/>
      <c r="K154" s="471"/>
      <c r="L154" s="2"/>
    </row>
    <row r="155" spans="2:12" x14ac:dyDescent="0.2">
      <c r="B155" s="436" t="s">
        <v>829</v>
      </c>
      <c r="C155" s="476">
        <v>30.63</v>
      </c>
      <c r="D155" s="15"/>
      <c r="E155" s="86">
        <f>(C155+D155)*E6</f>
        <v>18.378</v>
      </c>
      <c r="F155" s="16">
        <f t="shared" si="22"/>
        <v>49.007999999999996</v>
      </c>
      <c r="G155" s="2"/>
      <c r="H155" s="165">
        <f t="shared" si="23"/>
        <v>0</v>
      </c>
      <c r="I155" s="471"/>
      <c r="J155" s="471"/>
      <c r="K155" s="471"/>
      <c r="L155" s="2"/>
    </row>
    <row r="156" spans="2:12" x14ac:dyDescent="0.2">
      <c r="B156" s="436" t="s">
        <v>830</v>
      </c>
      <c r="C156" s="476">
        <v>54.09</v>
      </c>
      <c r="D156" s="15"/>
      <c r="E156" s="86">
        <f>(C156+D156)*E6</f>
        <v>32.454000000000001</v>
      </c>
      <c r="F156" s="16">
        <f t="shared" si="22"/>
        <v>86.544000000000011</v>
      </c>
      <c r="G156" s="2"/>
      <c r="H156" s="165">
        <f t="shared" si="23"/>
        <v>0</v>
      </c>
      <c r="I156" s="471"/>
      <c r="J156" s="471"/>
      <c r="K156" s="471"/>
      <c r="L156" s="2"/>
    </row>
    <row r="157" spans="2:12" x14ac:dyDescent="0.2">
      <c r="B157" s="436" t="s">
        <v>831</v>
      </c>
      <c r="C157" s="15">
        <v>0</v>
      </c>
      <c r="D157" s="15"/>
      <c r="E157" s="86">
        <f>(C157+D157)*E6</f>
        <v>0</v>
      </c>
      <c r="F157" s="16">
        <f t="shared" si="22"/>
        <v>0</v>
      </c>
      <c r="G157" s="2"/>
      <c r="H157" s="165">
        <f t="shared" si="23"/>
        <v>0</v>
      </c>
      <c r="I157" s="485"/>
      <c r="J157" s="471"/>
      <c r="K157" s="471"/>
      <c r="L157" s="2"/>
    </row>
    <row r="158" spans="2:12" x14ac:dyDescent="0.2">
      <c r="B158" s="436" t="s">
        <v>832</v>
      </c>
      <c r="C158" s="145">
        <f>22.28+2.23</f>
        <v>24.51</v>
      </c>
      <c r="D158" s="15"/>
      <c r="E158" s="86">
        <f>(C158+D158)*E6</f>
        <v>14.706</v>
      </c>
      <c r="F158" s="16">
        <f t="shared" si="22"/>
        <v>39.216000000000001</v>
      </c>
      <c r="G158" s="2"/>
      <c r="H158" s="165">
        <f t="shared" si="23"/>
        <v>0</v>
      </c>
      <c r="I158" s="471"/>
      <c r="J158" s="471"/>
      <c r="K158" s="471"/>
      <c r="L158" s="2"/>
    </row>
    <row r="159" spans="2:12" x14ac:dyDescent="0.2">
      <c r="B159" s="436" t="s">
        <v>833</v>
      </c>
      <c r="C159" s="145">
        <f>50+5</f>
        <v>55</v>
      </c>
      <c r="D159" s="15"/>
      <c r="E159" s="86">
        <f>(C159+D159)*E6</f>
        <v>33</v>
      </c>
      <c r="F159" s="16">
        <f t="shared" si="22"/>
        <v>88</v>
      </c>
      <c r="H159" s="165">
        <f t="shared" si="23"/>
        <v>0</v>
      </c>
      <c r="I159" s="471"/>
      <c r="J159" s="471"/>
      <c r="K159" s="471"/>
      <c r="L159" s="2"/>
    </row>
    <row r="160" spans="2:12" x14ac:dyDescent="0.2">
      <c r="B160" s="436" t="s">
        <v>834</v>
      </c>
      <c r="C160" s="145">
        <f>67.72+6.77</f>
        <v>74.489999999999995</v>
      </c>
      <c r="D160" s="15"/>
      <c r="E160" s="86">
        <f>(C160+D160)*E6</f>
        <v>44.693999999999996</v>
      </c>
      <c r="F160" s="16">
        <f t="shared" si="22"/>
        <v>119.184</v>
      </c>
      <c r="G160" s="2"/>
      <c r="H160" s="165">
        <f t="shared" si="23"/>
        <v>0</v>
      </c>
      <c r="I160" s="471"/>
      <c r="J160" s="471"/>
      <c r="K160" s="471"/>
      <c r="L160" s="2"/>
    </row>
    <row r="161" spans="2:12" x14ac:dyDescent="0.2">
      <c r="B161" s="436" t="s">
        <v>835</v>
      </c>
      <c r="C161" s="476">
        <v>31.36</v>
      </c>
      <c r="D161" s="15"/>
      <c r="E161" s="86">
        <f>(C161+D161)*E6</f>
        <v>18.815999999999999</v>
      </c>
      <c r="F161" s="16">
        <f t="shared" si="22"/>
        <v>50.176000000000002</v>
      </c>
      <c r="G161" s="2"/>
      <c r="H161" s="165">
        <f t="shared" si="23"/>
        <v>0</v>
      </c>
      <c r="I161" s="471"/>
      <c r="J161" s="471"/>
      <c r="K161" s="471"/>
      <c r="L161" s="2"/>
    </row>
    <row r="162" spans="2:12" x14ac:dyDescent="0.2">
      <c r="B162" s="436" t="s">
        <v>836</v>
      </c>
      <c r="C162" s="15"/>
      <c r="D162" s="15">
        <f t="shared" ref="D162:D166" si="24">C162*$H$151</f>
        <v>0</v>
      </c>
      <c r="E162" s="86">
        <f>(C162+D162)*E6</f>
        <v>0</v>
      </c>
      <c r="F162" s="16">
        <f t="shared" si="22"/>
        <v>0</v>
      </c>
      <c r="G162" s="2"/>
      <c r="H162" s="165">
        <f t="shared" si="23"/>
        <v>0</v>
      </c>
      <c r="I162" s="471"/>
      <c r="J162" s="471"/>
      <c r="K162" s="471"/>
      <c r="L162" s="2"/>
    </row>
    <row r="163" spans="2:12" x14ac:dyDescent="0.2">
      <c r="B163" s="436" t="s">
        <v>837</v>
      </c>
      <c r="C163" s="15"/>
      <c r="D163" s="15">
        <f t="shared" si="24"/>
        <v>0</v>
      </c>
      <c r="E163" s="86">
        <f>(C163+D163)*E6</f>
        <v>0</v>
      </c>
      <c r="F163" s="16">
        <f t="shared" si="22"/>
        <v>0</v>
      </c>
      <c r="G163" s="2"/>
      <c r="H163" s="165">
        <f t="shared" si="23"/>
        <v>0</v>
      </c>
      <c r="I163" s="471"/>
      <c r="J163" s="471"/>
      <c r="K163" s="471"/>
      <c r="L163" s="2"/>
    </row>
    <row r="164" spans="2:12" x14ac:dyDescent="0.2">
      <c r="B164" s="436" t="s">
        <v>838</v>
      </c>
      <c r="C164" s="15"/>
      <c r="D164" s="15">
        <f t="shared" si="24"/>
        <v>0</v>
      </c>
      <c r="E164" s="86">
        <f>(C164+D164)*E6</f>
        <v>0</v>
      </c>
      <c r="F164" s="16">
        <f t="shared" si="22"/>
        <v>0</v>
      </c>
      <c r="G164" s="2"/>
      <c r="H164" s="165">
        <f t="shared" si="23"/>
        <v>0</v>
      </c>
      <c r="I164" s="471"/>
      <c r="J164" s="471"/>
      <c r="K164" s="471"/>
      <c r="L164" s="2"/>
    </row>
    <row r="165" spans="2:12" x14ac:dyDescent="0.2">
      <c r="B165" s="486" t="s">
        <v>56</v>
      </c>
      <c r="C165" s="15"/>
      <c r="D165" s="15">
        <f t="shared" si="24"/>
        <v>0</v>
      </c>
      <c r="E165" s="86">
        <f>(C165+D165)*E6</f>
        <v>0</v>
      </c>
      <c r="F165" s="16">
        <f t="shared" si="22"/>
        <v>0</v>
      </c>
      <c r="G165" s="2"/>
      <c r="H165" s="165">
        <f t="shared" si="23"/>
        <v>0</v>
      </c>
      <c r="I165" s="471"/>
      <c r="J165" s="471"/>
      <c r="K165" s="471"/>
      <c r="L165" s="2"/>
    </row>
    <row r="166" spans="2:12" x14ac:dyDescent="0.2">
      <c r="B166" s="436" t="s">
        <v>839</v>
      </c>
      <c r="C166" s="145">
        <f>90+9</f>
        <v>99</v>
      </c>
      <c r="D166" s="15">
        <f t="shared" si="24"/>
        <v>0</v>
      </c>
      <c r="E166" s="86">
        <f>(C166+D166)*E6</f>
        <v>59.4</v>
      </c>
      <c r="F166" s="16">
        <f t="shared" si="22"/>
        <v>158.4</v>
      </c>
      <c r="G166" s="2"/>
      <c r="H166" s="165">
        <f t="shared" si="23"/>
        <v>0</v>
      </c>
      <c r="I166" s="471"/>
      <c r="J166" s="471"/>
      <c r="K166" s="471"/>
      <c r="L166" s="2"/>
    </row>
    <row r="167" spans="2:12" x14ac:dyDescent="0.2">
      <c r="B167" s="436" t="s">
        <v>840</v>
      </c>
      <c r="C167" s="145"/>
      <c r="D167" s="15">
        <f>C167*C6</f>
        <v>0</v>
      </c>
      <c r="E167" s="86">
        <f>(C167+D167)*$E$6</f>
        <v>0</v>
      </c>
      <c r="F167" s="16">
        <f>C167+D167+E167</f>
        <v>0</v>
      </c>
      <c r="H167" s="189"/>
      <c r="I167" s="471" t="s">
        <v>780</v>
      </c>
      <c r="J167" s="471"/>
      <c r="K167" s="471"/>
      <c r="L167" s="2"/>
    </row>
    <row r="168" spans="2:12" x14ac:dyDescent="0.2">
      <c r="B168" s="436"/>
      <c r="C168" s="15"/>
      <c r="D168" s="15"/>
      <c r="E168" s="86"/>
      <c r="F168" s="16"/>
      <c r="G168" s="2"/>
      <c r="H168" s="2"/>
      <c r="I168" s="471"/>
      <c r="J168" s="471"/>
      <c r="K168" s="471"/>
      <c r="L168" s="2"/>
    </row>
    <row r="169" spans="2:12" hidden="1" x14ac:dyDescent="0.2">
      <c r="B169" s="447" t="s">
        <v>841</v>
      </c>
      <c r="C169" s="15"/>
      <c r="D169" s="15"/>
      <c r="E169" s="86"/>
      <c r="F169" s="16"/>
      <c r="G169" s="2"/>
      <c r="H169" s="2"/>
      <c r="I169" s="471"/>
      <c r="J169" s="471"/>
      <c r="K169" s="471"/>
      <c r="L169" s="2"/>
    </row>
    <row r="170" spans="2:12" hidden="1" x14ac:dyDescent="0.2">
      <c r="B170" s="436"/>
      <c r="C170" s="15"/>
      <c r="D170" s="15"/>
      <c r="E170" s="86"/>
      <c r="F170" s="16"/>
      <c r="G170" s="2"/>
      <c r="H170" s="2"/>
      <c r="I170" s="471"/>
      <c r="J170" s="471"/>
      <c r="K170" s="471"/>
      <c r="L170" s="2"/>
    </row>
    <row r="171" spans="2:12" hidden="1" x14ac:dyDescent="0.2">
      <c r="B171" s="436" t="s">
        <v>842</v>
      </c>
      <c r="C171" s="15">
        <v>143.18</v>
      </c>
      <c r="D171" s="15">
        <f>C171*C6</f>
        <v>0</v>
      </c>
      <c r="E171" s="86">
        <f>(C171+D171)*E6</f>
        <v>85.908000000000001</v>
      </c>
      <c r="F171" s="16">
        <f>C171+D171</f>
        <v>143.18</v>
      </c>
      <c r="G171" s="2"/>
      <c r="H171" s="2"/>
      <c r="I171" s="471"/>
      <c r="J171" s="471"/>
      <c r="K171" s="471"/>
      <c r="L171" s="2"/>
    </row>
    <row r="172" spans="2:12" hidden="1" x14ac:dyDescent="0.2">
      <c r="B172" s="436" t="s">
        <v>843</v>
      </c>
      <c r="C172" s="15">
        <v>177.27</v>
      </c>
      <c r="D172" s="15">
        <f>C172*C6</f>
        <v>0</v>
      </c>
      <c r="E172" s="86">
        <f>(C172+D172)*E6</f>
        <v>106.36200000000001</v>
      </c>
      <c r="F172" s="16">
        <f>C172+D172</f>
        <v>177.27</v>
      </c>
      <c r="G172" s="2"/>
      <c r="H172" s="2"/>
      <c r="I172" s="471"/>
      <c r="J172" s="471"/>
      <c r="K172" s="471"/>
      <c r="L172" s="2"/>
    </row>
    <row r="173" spans="2:12" hidden="1" x14ac:dyDescent="0.2">
      <c r="B173" s="436" t="s">
        <v>844</v>
      </c>
      <c r="C173" s="15">
        <v>40.909999999999997</v>
      </c>
      <c r="D173" s="15">
        <f>C173*C6</f>
        <v>0</v>
      </c>
      <c r="E173" s="86">
        <f>(C173+D173)*E6</f>
        <v>24.545999999999996</v>
      </c>
      <c r="F173" s="16">
        <f>C173+D173</f>
        <v>40.909999999999997</v>
      </c>
      <c r="G173" s="2"/>
      <c r="H173" s="2"/>
      <c r="I173" s="471"/>
      <c r="J173" s="471"/>
      <c r="K173" s="471"/>
      <c r="L173" s="2"/>
    </row>
    <row r="174" spans="2:12" hidden="1" x14ac:dyDescent="0.2">
      <c r="B174" s="436"/>
      <c r="C174" s="15"/>
      <c r="D174" s="15"/>
      <c r="E174" s="86"/>
      <c r="F174" s="16"/>
      <c r="G174" s="2"/>
      <c r="H174" s="2"/>
      <c r="I174" s="471"/>
      <c r="J174" s="471"/>
      <c r="K174" s="471"/>
      <c r="L174" s="2"/>
    </row>
    <row r="175" spans="2:12" hidden="1" x14ac:dyDescent="0.2">
      <c r="B175" s="447" t="s">
        <v>845</v>
      </c>
      <c r="C175" s="15"/>
      <c r="D175" s="15"/>
      <c r="E175" s="86"/>
      <c r="F175" s="16"/>
      <c r="G175" s="2"/>
      <c r="H175" s="2"/>
      <c r="I175" s="471"/>
      <c r="J175" s="471"/>
      <c r="K175" s="471"/>
      <c r="L175" s="2"/>
    </row>
    <row r="176" spans="2:12" hidden="1" x14ac:dyDescent="0.2">
      <c r="B176" s="436"/>
      <c r="C176" s="15"/>
      <c r="D176" s="15"/>
      <c r="E176" s="86"/>
      <c r="F176" s="16"/>
      <c r="G176" s="2"/>
      <c r="H176" s="2"/>
      <c r="I176" s="471"/>
      <c r="J176" s="471"/>
      <c r="K176" s="471"/>
      <c r="L176" s="2"/>
    </row>
    <row r="177" spans="2:12" hidden="1" x14ac:dyDescent="0.2">
      <c r="B177" s="436" t="s">
        <v>846</v>
      </c>
      <c r="C177" s="15">
        <v>400</v>
      </c>
      <c r="D177" s="15"/>
      <c r="E177" s="86">
        <f>(C177+D177)*E6</f>
        <v>240</v>
      </c>
      <c r="F177" s="16">
        <f>C177+D177+E177</f>
        <v>640</v>
      </c>
      <c r="G177" s="2"/>
      <c r="H177" s="2"/>
      <c r="I177" s="471"/>
      <c r="J177" s="471"/>
      <c r="K177" s="471"/>
      <c r="L177" s="2"/>
    </row>
    <row r="178" spans="2:12" hidden="1" x14ac:dyDescent="0.2">
      <c r="B178" s="436" t="s">
        <v>847</v>
      </c>
      <c r="C178" s="15">
        <v>40</v>
      </c>
      <c r="D178" s="15"/>
      <c r="E178" s="86">
        <f>(C178+D178)*E6</f>
        <v>24</v>
      </c>
      <c r="F178" s="16">
        <f t="shared" ref="F178:F184" si="25">C178+D178+E178</f>
        <v>64</v>
      </c>
      <c r="G178" s="2"/>
      <c r="H178" s="2"/>
      <c r="I178" s="471"/>
      <c r="J178" s="471"/>
      <c r="K178" s="471"/>
      <c r="L178" s="2"/>
    </row>
    <row r="179" spans="2:12" hidden="1" x14ac:dyDescent="0.2">
      <c r="B179" s="436" t="s">
        <v>848</v>
      </c>
      <c r="C179" s="15">
        <v>1</v>
      </c>
      <c r="D179" s="15"/>
      <c r="E179" s="86">
        <f>(C179+D179)*E6</f>
        <v>0.6</v>
      </c>
      <c r="F179" s="16">
        <f t="shared" si="25"/>
        <v>1.6</v>
      </c>
      <c r="G179" s="2"/>
      <c r="H179" s="2"/>
      <c r="I179" s="471"/>
      <c r="J179" s="471"/>
      <c r="K179" s="471"/>
      <c r="L179" s="2"/>
    </row>
    <row r="180" spans="2:12" hidden="1" x14ac:dyDescent="0.2">
      <c r="B180" s="436" t="s">
        <v>849</v>
      </c>
      <c r="C180" s="15">
        <v>1</v>
      </c>
      <c r="D180" s="15">
        <f>C180*C6</f>
        <v>0</v>
      </c>
      <c r="E180" s="86">
        <f>(C180+D180)*E6</f>
        <v>0.6</v>
      </c>
      <c r="F180" s="16">
        <f>C180+D180+E180</f>
        <v>1.6</v>
      </c>
      <c r="G180" s="2"/>
      <c r="H180" s="2"/>
      <c r="I180" s="471"/>
      <c r="J180" s="471"/>
      <c r="K180" s="471"/>
      <c r="L180" s="2"/>
    </row>
    <row r="181" spans="2:12" hidden="1" x14ac:dyDescent="0.2">
      <c r="B181" s="436" t="s">
        <v>801</v>
      </c>
      <c r="C181" s="15">
        <v>45.5</v>
      </c>
      <c r="D181" s="15">
        <f>C181*C6</f>
        <v>0</v>
      </c>
      <c r="E181" s="86">
        <f>(C181+D181)*E6</f>
        <v>27.3</v>
      </c>
      <c r="F181" s="16">
        <f t="shared" si="25"/>
        <v>72.8</v>
      </c>
      <c r="G181" s="2"/>
      <c r="H181" s="2"/>
      <c r="I181" s="471"/>
      <c r="J181" s="471"/>
      <c r="K181" s="471"/>
      <c r="L181" s="2"/>
    </row>
    <row r="182" spans="2:12" hidden="1" x14ac:dyDescent="0.2">
      <c r="B182" s="436" t="s">
        <v>451</v>
      </c>
      <c r="C182" s="15">
        <v>80</v>
      </c>
      <c r="D182" s="15">
        <f>C182*C6</f>
        <v>0</v>
      </c>
      <c r="E182" s="86">
        <f>(C182+D182)*E6</f>
        <v>48</v>
      </c>
      <c r="F182" s="16">
        <f t="shared" si="25"/>
        <v>128</v>
      </c>
      <c r="G182" s="2"/>
      <c r="H182" s="2"/>
      <c r="I182" s="471"/>
      <c r="J182" s="471"/>
      <c r="K182" s="471"/>
      <c r="L182" s="2"/>
    </row>
    <row r="183" spans="2:12" hidden="1" x14ac:dyDescent="0.2">
      <c r="B183" s="436" t="s">
        <v>802</v>
      </c>
      <c r="C183" s="15">
        <v>45</v>
      </c>
      <c r="D183" s="15">
        <f>C183*C6</f>
        <v>0</v>
      </c>
      <c r="E183" s="86">
        <f>(C183+D183)*E6</f>
        <v>27</v>
      </c>
      <c r="F183" s="16">
        <f t="shared" si="25"/>
        <v>72</v>
      </c>
      <c r="G183" s="2"/>
      <c r="H183" s="2"/>
      <c r="I183" s="471"/>
      <c r="J183" s="471"/>
      <c r="K183" s="471"/>
      <c r="L183" s="2"/>
    </row>
    <row r="184" spans="2:12" hidden="1" x14ac:dyDescent="0.2">
      <c r="B184" s="436" t="s">
        <v>850</v>
      </c>
      <c r="C184" s="15">
        <v>25</v>
      </c>
      <c r="D184" s="15">
        <f>C184*C6</f>
        <v>0</v>
      </c>
      <c r="E184" s="86">
        <f>(C184+D184)*E6</f>
        <v>15</v>
      </c>
      <c r="F184" s="16">
        <f t="shared" si="25"/>
        <v>40</v>
      </c>
      <c r="G184" s="2"/>
      <c r="H184" s="2"/>
      <c r="I184" s="471"/>
      <c r="J184" s="471"/>
      <c r="K184" s="471"/>
      <c r="L184" s="2"/>
    </row>
    <row r="185" spans="2:12" hidden="1" x14ac:dyDescent="0.2">
      <c r="B185" s="436"/>
      <c r="C185" s="15"/>
      <c r="D185" s="15"/>
      <c r="E185" s="86"/>
      <c r="F185" s="16"/>
      <c r="G185" s="2"/>
      <c r="H185" s="2"/>
      <c r="I185" s="471"/>
      <c r="J185" s="471"/>
      <c r="K185" s="471"/>
      <c r="L185" s="2"/>
    </row>
    <row r="186" spans="2:12" x14ac:dyDescent="0.2">
      <c r="B186" s="447" t="s">
        <v>851</v>
      </c>
      <c r="C186" s="11"/>
      <c r="D186" s="11"/>
      <c r="E186" s="448"/>
      <c r="F186" s="12"/>
      <c r="G186" s="2"/>
      <c r="H186" s="189"/>
      <c r="I186" s="471"/>
      <c r="J186" s="471"/>
      <c r="K186" s="471"/>
      <c r="L186" s="2"/>
    </row>
    <row r="187" spans="2:12" x14ac:dyDescent="0.2">
      <c r="B187" s="436" t="s">
        <v>852</v>
      </c>
      <c r="C187" s="11"/>
      <c r="D187" s="487">
        <v>0.2</v>
      </c>
      <c r="E187" s="448"/>
      <c r="F187" s="12"/>
      <c r="H187" s="189"/>
      <c r="I187" s="471"/>
      <c r="J187" s="471"/>
      <c r="K187" s="471"/>
      <c r="L187" s="2"/>
    </row>
    <row r="188" spans="2:12" x14ac:dyDescent="0.2">
      <c r="B188" s="436"/>
      <c r="C188" s="15"/>
      <c r="D188" s="15">
        <f>C188*$D$187</f>
        <v>0</v>
      </c>
      <c r="E188" s="86">
        <f>(C188+D188)*E6</f>
        <v>0</v>
      </c>
      <c r="F188" s="16">
        <f t="shared" ref="F188:F194" si="26">C188+D188+E188</f>
        <v>0</v>
      </c>
      <c r="G188" s="470"/>
      <c r="H188" s="189"/>
      <c r="I188" s="471"/>
      <c r="J188" s="471"/>
      <c r="K188" s="471"/>
      <c r="L188" s="2"/>
    </row>
    <row r="189" spans="2:12" x14ac:dyDescent="0.2">
      <c r="B189" s="6" t="s">
        <v>853</v>
      </c>
      <c r="C189" s="145">
        <v>47.66</v>
      </c>
      <c r="D189" s="15">
        <f t="shared" ref="D189:D193" si="27">C189*$D$187</f>
        <v>9.532</v>
      </c>
      <c r="E189" s="86">
        <f>(C189+D189)*E6</f>
        <v>34.315199999999997</v>
      </c>
      <c r="F189" s="16">
        <f>C189+D189+E189</f>
        <v>91.507199999999983</v>
      </c>
      <c r="G189" s="2"/>
      <c r="H189" s="189"/>
      <c r="I189" s="471"/>
      <c r="J189" s="471"/>
      <c r="K189" s="471"/>
      <c r="L189" s="2"/>
    </row>
    <row r="190" spans="2:12" x14ac:dyDescent="0.2">
      <c r="B190" s="6" t="s">
        <v>854</v>
      </c>
      <c r="C190" s="145">
        <v>86</v>
      </c>
      <c r="D190" s="15">
        <f t="shared" si="27"/>
        <v>17.2</v>
      </c>
      <c r="E190" s="86">
        <f>(C190+D190)*E6</f>
        <v>61.92</v>
      </c>
      <c r="F190" s="16">
        <f t="shared" si="26"/>
        <v>165.12</v>
      </c>
      <c r="G190" s="2"/>
      <c r="H190" s="189"/>
      <c r="I190" s="471"/>
      <c r="J190" s="471"/>
      <c r="K190" s="471"/>
      <c r="L190" s="2"/>
    </row>
    <row r="191" spans="2:12" x14ac:dyDescent="0.2">
      <c r="B191" s="6" t="s">
        <v>855</v>
      </c>
      <c r="C191" s="145">
        <v>63.2</v>
      </c>
      <c r="D191" s="15">
        <f t="shared" si="27"/>
        <v>12.64</v>
      </c>
      <c r="E191" s="86">
        <f>(C191+D191)*E6</f>
        <v>45.503999999999998</v>
      </c>
      <c r="F191" s="16">
        <f t="shared" si="26"/>
        <v>121.34399999999999</v>
      </c>
      <c r="G191" s="2"/>
      <c r="H191" s="189"/>
      <c r="I191" s="471"/>
      <c r="J191" s="471"/>
      <c r="K191" s="471"/>
      <c r="L191" s="2"/>
    </row>
    <row r="192" spans="2:12" x14ac:dyDescent="0.2">
      <c r="B192" s="6" t="s">
        <v>856</v>
      </c>
      <c r="C192" s="145">
        <v>97</v>
      </c>
      <c r="D192" s="15">
        <f t="shared" si="27"/>
        <v>19.400000000000002</v>
      </c>
      <c r="E192" s="86">
        <f>(C192+D192)*E6</f>
        <v>69.84</v>
      </c>
      <c r="F192" s="16">
        <f t="shared" si="26"/>
        <v>186.24</v>
      </c>
      <c r="G192" s="2"/>
      <c r="H192" s="189"/>
      <c r="I192" s="471"/>
      <c r="J192" s="471"/>
      <c r="K192" s="471"/>
      <c r="L192" s="2"/>
    </row>
    <row r="193" spans="2:12" x14ac:dyDescent="0.2">
      <c r="B193" s="6" t="s">
        <v>857</v>
      </c>
      <c r="C193" s="145">
        <v>109</v>
      </c>
      <c r="D193" s="15">
        <f t="shared" si="27"/>
        <v>21.8</v>
      </c>
      <c r="E193" s="86">
        <f>(C193+D193)*E6</f>
        <v>78.48</v>
      </c>
      <c r="F193" s="16">
        <f t="shared" si="26"/>
        <v>209.28000000000003</v>
      </c>
      <c r="G193" s="2"/>
      <c r="H193" s="189"/>
      <c r="I193" s="471"/>
      <c r="J193" s="471"/>
      <c r="K193" s="471"/>
      <c r="L193" s="2"/>
    </row>
    <row r="194" spans="2:12" x14ac:dyDescent="0.2">
      <c r="B194" s="6" t="s">
        <v>858</v>
      </c>
      <c r="C194" s="145">
        <v>46</v>
      </c>
      <c r="D194" s="15">
        <f>C194*D187</f>
        <v>9.2000000000000011</v>
      </c>
      <c r="E194" s="86">
        <f>(C194+D194)*E6</f>
        <v>33.119999999999997</v>
      </c>
      <c r="F194" s="16">
        <f t="shared" si="26"/>
        <v>88.32</v>
      </c>
      <c r="G194" s="2"/>
      <c r="H194" s="189"/>
      <c r="I194" s="471"/>
      <c r="J194" s="471"/>
      <c r="K194" s="471"/>
      <c r="L194" s="2"/>
    </row>
    <row r="195" spans="2:12" x14ac:dyDescent="0.2">
      <c r="G195" s="2"/>
      <c r="H195" s="189"/>
      <c r="I195" s="471"/>
      <c r="J195" s="471"/>
      <c r="K195" s="471"/>
      <c r="L195" s="2"/>
    </row>
    <row r="196" spans="2:12" x14ac:dyDescent="0.2">
      <c r="B196" s="447" t="s">
        <v>859</v>
      </c>
      <c r="C196" s="11"/>
      <c r="D196" s="11"/>
      <c r="E196" s="448"/>
      <c r="F196" s="12"/>
      <c r="G196" s="2"/>
      <c r="H196" s="189"/>
      <c r="I196" s="471"/>
      <c r="J196" s="471"/>
      <c r="K196" s="471"/>
      <c r="L196" s="2"/>
    </row>
    <row r="197" spans="2:12" x14ac:dyDescent="0.2">
      <c r="C197" s="15"/>
      <c r="D197" s="15">
        <f>C197*10%</f>
        <v>0</v>
      </c>
      <c r="E197" s="86"/>
      <c r="F197" s="16"/>
      <c r="G197" s="470"/>
      <c r="I197" s="471"/>
      <c r="J197" s="471"/>
      <c r="K197" s="471"/>
      <c r="L197" s="2"/>
    </row>
    <row r="198" spans="2:12" x14ac:dyDescent="0.2">
      <c r="B198" s="436" t="s">
        <v>722</v>
      </c>
      <c r="C198" s="469">
        <v>2.9</v>
      </c>
      <c r="D198" s="15"/>
      <c r="E198" s="86">
        <f>(C198+D198)*E6</f>
        <v>1.74</v>
      </c>
      <c r="F198" s="16">
        <f>C198+D198+E198</f>
        <v>4.6399999999999997</v>
      </c>
      <c r="G198" s="2"/>
      <c r="H198" s="189"/>
      <c r="I198" s="471"/>
      <c r="J198" s="471"/>
      <c r="K198" s="471"/>
      <c r="L198" s="2"/>
    </row>
    <row r="199" spans="2:12" x14ac:dyDescent="0.2">
      <c r="B199" s="436" t="s">
        <v>860</v>
      </c>
      <c r="C199" s="469">
        <v>35.700000000000003</v>
      </c>
      <c r="D199" s="15">
        <f t="shared" ref="D199:D206" si="28">$C$198+H199</f>
        <v>2.9</v>
      </c>
      <c r="E199" s="86">
        <f>(C199+D199+H199)*E6</f>
        <v>23.16</v>
      </c>
      <c r="F199" s="16">
        <f>C199+D199+E199</f>
        <v>61.760000000000005</v>
      </c>
      <c r="G199" s="2"/>
      <c r="H199" s="165">
        <f t="shared" ref="H199" si="29">C199*$H$151</f>
        <v>0</v>
      </c>
      <c r="I199" s="471"/>
      <c r="J199" s="471"/>
      <c r="K199" s="471"/>
      <c r="L199" s="2"/>
    </row>
    <row r="200" spans="2:12" x14ac:dyDescent="0.2">
      <c r="B200" s="436" t="s">
        <v>861</v>
      </c>
      <c r="C200" s="469">
        <f>20.98+2.1</f>
        <v>23.080000000000002</v>
      </c>
      <c r="D200" s="15">
        <f t="shared" si="28"/>
        <v>2.9</v>
      </c>
      <c r="E200" s="86">
        <f>(C200+D200+H200)*E6</f>
        <v>15.587999999999999</v>
      </c>
      <c r="F200" s="16">
        <f t="shared" ref="F200:F365" si="30">C200+D200+E200</f>
        <v>41.567999999999998</v>
      </c>
      <c r="G200" s="2"/>
      <c r="H200" s="165"/>
      <c r="I200" s="471"/>
      <c r="L200" s="2"/>
    </row>
    <row r="201" spans="2:12" x14ac:dyDescent="0.2">
      <c r="B201" s="436" t="s">
        <v>862</v>
      </c>
      <c r="C201" s="469">
        <v>18</v>
      </c>
      <c r="D201" s="15">
        <f t="shared" si="28"/>
        <v>2.9</v>
      </c>
      <c r="E201" s="86">
        <f>(C201+D201+H201)*E6</f>
        <v>12.54</v>
      </c>
      <c r="F201" s="16">
        <f t="shared" si="30"/>
        <v>33.44</v>
      </c>
      <c r="G201" s="2"/>
      <c r="H201" s="165"/>
      <c r="I201" s="471"/>
      <c r="J201" s="165"/>
      <c r="K201" s="471"/>
      <c r="L201" s="2"/>
    </row>
    <row r="202" spans="2:12" x14ac:dyDescent="0.2">
      <c r="B202" s="436" t="s">
        <v>863</v>
      </c>
      <c r="C202" s="469">
        <v>12.4</v>
      </c>
      <c r="D202" s="15">
        <f t="shared" si="28"/>
        <v>2.9</v>
      </c>
      <c r="E202" s="86">
        <f>(C202+D202+H202)*E6</f>
        <v>9.18</v>
      </c>
      <c r="F202" s="16">
        <f t="shared" si="30"/>
        <v>24.48</v>
      </c>
      <c r="G202" s="2"/>
      <c r="H202" s="165"/>
      <c r="I202" s="471"/>
      <c r="J202" s="165"/>
      <c r="K202" s="471"/>
      <c r="L202" s="2"/>
    </row>
    <row r="203" spans="2:12" x14ac:dyDescent="0.2">
      <c r="B203" s="436" t="s">
        <v>864</v>
      </c>
      <c r="C203" s="469">
        <v>9</v>
      </c>
      <c r="D203" s="15">
        <f t="shared" si="28"/>
        <v>2.9</v>
      </c>
      <c r="E203" s="86">
        <f>(C203+D203)*E6</f>
        <v>7.14</v>
      </c>
      <c r="F203" s="16">
        <f t="shared" si="30"/>
        <v>19.04</v>
      </c>
      <c r="G203" s="2"/>
      <c r="H203" s="165"/>
      <c r="I203" s="471"/>
      <c r="J203" s="165"/>
      <c r="K203" s="471"/>
      <c r="L203" s="2"/>
    </row>
    <row r="204" spans="2:12" x14ac:dyDescent="0.2">
      <c r="B204" s="436" t="s">
        <v>865</v>
      </c>
      <c r="C204" s="469">
        <v>6.23</v>
      </c>
      <c r="D204" s="15">
        <f t="shared" si="28"/>
        <v>2.9</v>
      </c>
      <c r="E204" s="86">
        <f>(C204+D204+H204)*E6</f>
        <v>5.4780000000000006</v>
      </c>
      <c r="F204" s="16">
        <f>C204+D204+E204</f>
        <v>14.608000000000001</v>
      </c>
      <c r="G204" s="2"/>
      <c r="H204" s="165"/>
      <c r="I204" s="471"/>
      <c r="J204" s="165"/>
      <c r="K204" s="471"/>
      <c r="L204" s="2"/>
    </row>
    <row r="205" spans="2:12" x14ac:dyDescent="0.2">
      <c r="B205" s="436" t="s">
        <v>866</v>
      </c>
      <c r="C205" s="469">
        <v>7.5</v>
      </c>
      <c r="D205" s="15">
        <f t="shared" si="28"/>
        <v>2.9</v>
      </c>
      <c r="E205" s="86">
        <f>(C205+D205+H205)*E6</f>
        <v>6.24</v>
      </c>
      <c r="F205" s="16">
        <f t="shared" si="30"/>
        <v>16.64</v>
      </c>
      <c r="G205" s="2"/>
      <c r="H205" s="165"/>
      <c r="I205" s="471"/>
      <c r="J205" s="165"/>
      <c r="K205" s="471"/>
      <c r="L205" s="2"/>
    </row>
    <row r="206" spans="2:12" x14ac:dyDescent="0.2">
      <c r="B206" s="436" t="s">
        <v>867</v>
      </c>
      <c r="C206" s="469">
        <v>4.82</v>
      </c>
      <c r="D206" s="15">
        <f t="shared" si="28"/>
        <v>2.9</v>
      </c>
      <c r="E206" s="86">
        <f>(C206+D206+H206)*E6</f>
        <v>4.6320000000000006</v>
      </c>
      <c r="F206" s="16">
        <f t="shared" si="30"/>
        <v>12.352</v>
      </c>
      <c r="G206" s="2"/>
      <c r="H206" s="165"/>
      <c r="I206" s="471"/>
      <c r="J206" s="165"/>
      <c r="K206" s="471"/>
      <c r="L206" s="2"/>
    </row>
    <row r="207" spans="2:12" x14ac:dyDescent="0.2">
      <c r="B207" s="436" t="s">
        <v>868</v>
      </c>
      <c r="C207" s="469">
        <v>9</v>
      </c>
      <c r="D207" s="15"/>
      <c r="E207" s="86">
        <f>(C207+D207+H207)*E6</f>
        <v>5.3999999999999995</v>
      </c>
      <c r="F207" s="16">
        <f t="shared" si="30"/>
        <v>14.399999999999999</v>
      </c>
      <c r="G207" s="2"/>
      <c r="H207" s="165"/>
      <c r="I207" s="471"/>
      <c r="J207" s="165"/>
      <c r="K207" s="471"/>
      <c r="L207" s="2"/>
    </row>
    <row r="208" spans="2:12" x14ac:dyDescent="0.2">
      <c r="B208" s="436" t="s">
        <v>869</v>
      </c>
      <c r="C208" s="469">
        <f>3.2+0.32</f>
        <v>3.52</v>
      </c>
      <c r="D208" s="15"/>
      <c r="E208" s="86">
        <f>(C208+D208+H208)*E6</f>
        <v>2.1120000000000001</v>
      </c>
      <c r="F208" s="16">
        <f t="shared" si="30"/>
        <v>5.6319999999999997</v>
      </c>
      <c r="G208" s="2"/>
      <c r="H208" s="165"/>
      <c r="I208" s="471"/>
      <c r="J208" s="165"/>
      <c r="K208" s="471"/>
      <c r="L208" s="2"/>
    </row>
    <row r="209" spans="2:12" x14ac:dyDescent="0.2">
      <c r="B209" s="436"/>
      <c r="C209" s="469"/>
      <c r="D209" s="15"/>
      <c r="E209" s="86"/>
      <c r="F209" s="16"/>
      <c r="G209" s="2"/>
      <c r="H209" s="165"/>
      <c r="I209" s="471"/>
      <c r="J209" s="165"/>
      <c r="K209" s="471"/>
      <c r="L209" s="2"/>
    </row>
    <row r="210" spans="2:12" x14ac:dyDescent="0.2">
      <c r="B210" s="436" t="s">
        <v>870</v>
      </c>
      <c r="C210" s="469">
        <v>9.32</v>
      </c>
      <c r="D210" s="15">
        <f>C210*C6</f>
        <v>0</v>
      </c>
      <c r="E210" s="86">
        <f>(C210+D210+H210)*E6</f>
        <v>5.5919999999999996</v>
      </c>
      <c r="F210" s="16">
        <f t="shared" si="30"/>
        <v>14.911999999999999</v>
      </c>
      <c r="G210" s="2"/>
      <c r="H210" s="165"/>
      <c r="I210" s="471"/>
      <c r="J210" s="165"/>
      <c r="K210" s="471"/>
    </row>
    <row r="211" spans="2:12" x14ac:dyDescent="0.2">
      <c r="B211" s="436" t="s">
        <v>871</v>
      </c>
      <c r="C211" s="469">
        <v>3.82</v>
      </c>
      <c r="D211" s="15">
        <f>C211*C6</f>
        <v>0</v>
      </c>
      <c r="E211" s="86">
        <f>(C211+D211+H211)*$E$6</f>
        <v>2.2919999999999998</v>
      </c>
      <c r="F211" s="16">
        <f t="shared" si="30"/>
        <v>6.1120000000000001</v>
      </c>
      <c r="G211" s="2"/>
      <c r="H211" s="165"/>
      <c r="I211" s="471"/>
      <c r="J211" s="165"/>
      <c r="K211" s="471"/>
    </row>
    <row r="212" spans="2:12" x14ac:dyDescent="0.2">
      <c r="B212" s="436"/>
      <c r="C212" s="15"/>
      <c r="D212" s="15"/>
      <c r="E212" s="86"/>
      <c r="F212" s="16"/>
      <c r="G212" s="2"/>
      <c r="H212" s="189"/>
      <c r="I212" s="471"/>
      <c r="J212" s="471"/>
      <c r="K212" s="471"/>
      <c r="L212" s="2"/>
    </row>
    <row r="213" spans="2:12" x14ac:dyDescent="0.2">
      <c r="B213" s="447" t="s">
        <v>872</v>
      </c>
      <c r="C213" s="15"/>
      <c r="E213" s="86"/>
      <c r="F213" s="16"/>
      <c r="G213" s="2"/>
      <c r="H213" s="488"/>
      <c r="I213" s="471"/>
      <c r="J213" s="471"/>
      <c r="K213" s="471"/>
      <c r="L213" s="2"/>
    </row>
    <row r="214" spans="2:12" x14ac:dyDescent="0.2">
      <c r="B214" s="436"/>
      <c r="C214" s="15"/>
      <c r="D214" s="15"/>
      <c r="E214" s="86"/>
      <c r="F214" s="16"/>
      <c r="G214" s="2"/>
      <c r="H214" s="189"/>
      <c r="I214" s="471"/>
      <c r="J214" s="471"/>
      <c r="K214" s="471"/>
      <c r="L214" s="2"/>
    </row>
    <row r="215" spans="2:12" x14ac:dyDescent="0.2">
      <c r="B215" s="436" t="s">
        <v>860</v>
      </c>
      <c r="C215" s="469">
        <v>29.56</v>
      </c>
      <c r="D215" s="15"/>
      <c r="E215" s="86">
        <f t="shared" ref="E215:E229" si="31">(C215+D215)*$E$6</f>
        <v>17.735999999999997</v>
      </c>
      <c r="F215" s="16">
        <f t="shared" ref="F215:F229" si="32">C215+D215+E215</f>
        <v>47.295999999999992</v>
      </c>
      <c r="G215" s="2"/>
      <c r="H215" s="165">
        <f>C215*$H$213</f>
        <v>0</v>
      </c>
      <c r="I215" s="471"/>
      <c r="J215" s="471">
        <f>C215+H215</f>
        <v>29.56</v>
      </c>
      <c r="K215" s="471"/>
      <c r="L215" s="2"/>
    </row>
    <row r="216" spans="2:12" x14ac:dyDescent="0.2">
      <c r="B216" s="436" t="s">
        <v>861</v>
      </c>
      <c r="C216" s="469">
        <v>22.79</v>
      </c>
      <c r="D216" s="15"/>
      <c r="E216" s="86">
        <f t="shared" si="31"/>
        <v>13.673999999999999</v>
      </c>
      <c r="F216" s="16">
        <f t="shared" si="32"/>
        <v>36.463999999999999</v>
      </c>
      <c r="G216" s="2"/>
      <c r="H216" s="165">
        <f t="shared" ref="H216:H236" si="33">C216*$H$213</f>
        <v>0</v>
      </c>
      <c r="I216" s="471"/>
      <c r="J216" s="471">
        <f t="shared" ref="J216:J237" si="34">C216+H216</f>
        <v>22.79</v>
      </c>
      <c r="K216" s="471"/>
      <c r="L216" s="2"/>
    </row>
    <row r="217" spans="2:12" x14ac:dyDescent="0.2">
      <c r="B217" s="436" t="s">
        <v>862</v>
      </c>
      <c r="C217" s="469">
        <v>15.4</v>
      </c>
      <c r="D217" s="15"/>
      <c r="E217" s="86">
        <f t="shared" si="31"/>
        <v>9.24</v>
      </c>
      <c r="F217" s="16">
        <f t="shared" si="32"/>
        <v>24.64</v>
      </c>
      <c r="G217" s="470"/>
      <c r="H217" s="165">
        <f t="shared" si="33"/>
        <v>0</v>
      </c>
      <c r="I217" s="471"/>
      <c r="J217" s="471">
        <f t="shared" si="34"/>
        <v>15.4</v>
      </c>
      <c r="K217" s="471"/>
      <c r="L217" s="2"/>
    </row>
    <row r="218" spans="2:12" x14ac:dyDescent="0.2">
      <c r="B218" s="436" t="s">
        <v>863</v>
      </c>
      <c r="C218" s="469">
        <v>11.62</v>
      </c>
      <c r="D218" s="15"/>
      <c r="E218" s="86">
        <f t="shared" si="31"/>
        <v>6.9719999999999995</v>
      </c>
      <c r="F218" s="16">
        <f t="shared" si="32"/>
        <v>18.591999999999999</v>
      </c>
      <c r="G218" s="470"/>
      <c r="H218" s="165">
        <f t="shared" si="33"/>
        <v>0</v>
      </c>
      <c r="I218" s="471"/>
      <c r="J218" s="471">
        <f t="shared" si="34"/>
        <v>11.62</v>
      </c>
      <c r="K218" s="471"/>
      <c r="L218" s="2"/>
    </row>
    <row r="219" spans="2:12" x14ac:dyDescent="0.2">
      <c r="B219" s="436" t="s">
        <v>870</v>
      </c>
      <c r="C219" s="469">
        <v>8.82</v>
      </c>
      <c r="D219" s="15"/>
      <c r="E219" s="86">
        <f t="shared" si="31"/>
        <v>5.2919999999999998</v>
      </c>
      <c r="F219" s="16">
        <f t="shared" si="32"/>
        <v>14.112</v>
      </c>
      <c r="G219" s="2"/>
      <c r="H219" s="165">
        <f t="shared" si="33"/>
        <v>0</v>
      </c>
      <c r="I219" s="471"/>
      <c r="J219" s="471">
        <f t="shared" si="34"/>
        <v>8.82</v>
      </c>
      <c r="K219" s="471"/>
      <c r="L219" s="2"/>
    </row>
    <row r="220" spans="2:12" x14ac:dyDescent="0.2">
      <c r="B220" s="436" t="s">
        <v>864</v>
      </c>
      <c r="C220" s="469">
        <v>8.39</v>
      </c>
      <c r="D220" s="15"/>
      <c r="E220" s="86">
        <f t="shared" si="31"/>
        <v>5.0339999999999998</v>
      </c>
      <c r="F220" s="16">
        <f t="shared" si="32"/>
        <v>13.423999999999999</v>
      </c>
      <c r="G220" s="2"/>
      <c r="H220" s="165">
        <f t="shared" si="33"/>
        <v>0</v>
      </c>
      <c r="I220" s="471"/>
      <c r="J220" s="471">
        <f t="shared" si="34"/>
        <v>8.39</v>
      </c>
      <c r="K220" s="471"/>
      <c r="L220" s="2"/>
    </row>
    <row r="221" spans="2:12" x14ac:dyDescent="0.2">
      <c r="B221" s="436" t="s">
        <v>865</v>
      </c>
      <c r="C221" s="469">
        <v>6.84</v>
      </c>
      <c r="D221" s="15"/>
      <c r="E221" s="86">
        <f t="shared" si="31"/>
        <v>4.1040000000000001</v>
      </c>
      <c r="F221" s="16">
        <f t="shared" si="32"/>
        <v>10.943999999999999</v>
      </c>
      <c r="G221" s="2"/>
      <c r="H221" s="165">
        <f t="shared" si="33"/>
        <v>0</v>
      </c>
      <c r="I221" s="471"/>
      <c r="J221" s="471">
        <f t="shared" si="34"/>
        <v>6.84</v>
      </c>
      <c r="K221" s="471"/>
      <c r="L221" s="2"/>
    </row>
    <row r="222" spans="2:12" x14ac:dyDescent="0.2">
      <c r="B222" s="436" t="s">
        <v>866</v>
      </c>
      <c r="C222" s="469">
        <v>7.11</v>
      </c>
      <c r="D222" s="15"/>
      <c r="E222" s="86">
        <f t="shared" si="31"/>
        <v>4.266</v>
      </c>
      <c r="F222" s="16">
        <f t="shared" si="32"/>
        <v>11.376000000000001</v>
      </c>
      <c r="G222" s="2"/>
      <c r="H222" s="165">
        <f t="shared" si="33"/>
        <v>0</v>
      </c>
      <c r="I222" s="471"/>
      <c r="J222" s="471">
        <f t="shared" si="34"/>
        <v>7.11</v>
      </c>
      <c r="K222" s="471"/>
      <c r="L222" s="2"/>
    </row>
    <row r="223" spans="2:12" x14ac:dyDescent="0.2">
      <c r="B223" s="436" t="s">
        <v>867</v>
      </c>
      <c r="C223" s="469">
        <v>4.6399999999999997</v>
      </c>
      <c r="D223" s="15"/>
      <c r="E223" s="86">
        <f t="shared" si="31"/>
        <v>2.7839999999999998</v>
      </c>
      <c r="F223" s="16">
        <f t="shared" si="32"/>
        <v>7.4239999999999995</v>
      </c>
      <c r="G223" s="2"/>
      <c r="H223" s="165">
        <f t="shared" si="33"/>
        <v>0</v>
      </c>
      <c r="I223" s="471"/>
      <c r="J223" s="471">
        <f t="shared" si="34"/>
        <v>4.6399999999999997</v>
      </c>
      <c r="K223" s="471"/>
      <c r="L223" s="2"/>
    </row>
    <row r="224" spans="2:12" x14ac:dyDescent="0.2">
      <c r="B224" s="436" t="s">
        <v>873</v>
      </c>
      <c r="C224" s="145">
        <v>7.23</v>
      </c>
      <c r="D224" s="15"/>
      <c r="E224" s="86">
        <f t="shared" si="31"/>
        <v>4.3380000000000001</v>
      </c>
      <c r="F224" s="16">
        <f t="shared" si="32"/>
        <v>11.568000000000001</v>
      </c>
      <c r="G224" s="2"/>
      <c r="H224" s="165">
        <f t="shared" si="33"/>
        <v>0</v>
      </c>
      <c r="I224" s="471"/>
      <c r="J224" s="471">
        <f t="shared" si="34"/>
        <v>7.23</v>
      </c>
      <c r="K224" s="471"/>
      <c r="L224" s="2"/>
    </row>
    <row r="225" spans="2:13" x14ac:dyDescent="0.2">
      <c r="B225" s="436" t="s">
        <v>874</v>
      </c>
      <c r="C225" s="145">
        <v>3.92</v>
      </c>
      <c r="D225" s="15"/>
      <c r="E225" s="86">
        <f t="shared" si="31"/>
        <v>2.3519999999999999</v>
      </c>
      <c r="F225" s="16">
        <f t="shared" si="32"/>
        <v>6.2720000000000002</v>
      </c>
      <c r="G225" s="2"/>
      <c r="H225" s="165">
        <f t="shared" si="33"/>
        <v>0</v>
      </c>
      <c r="I225" s="471"/>
      <c r="J225" s="471">
        <f t="shared" si="34"/>
        <v>3.92</v>
      </c>
      <c r="K225" s="471"/>
      <c r="L225" s="2"/>
    </row>
    <row r="226" spans="2:13" x14ac:dyDescent="0.2">
      <c r="B226" s="436"/>
      <c r="C226" s="15"/>
      <c r="D226" s="15"/>
      <c r="E226" s="86">
        <f t="shared" si="31"/>
        <v>0</v>
      </c>
      <c r="F226" s="16">
        <f t="shared" si="32"/>
        <v>0</v>
      </c>
      <c r="G226" s="2"/>
      <c r="H226" s="165">
        <f t="shared" si="33"/>
        <v>0</v>
      </c>
      <c r="I226" s="471"/>
      <c r="J226" s="471">
        <f t="shared" si="34"/>
        <v>0</v>
      </c>
      <c r="K226" s="471"/>
      <c r="L226" s="2"/>
    </row>
    <row r="227" spans="2:13" x14ac:dyDescent="0.2">
      <c r="B227" s="436"/>
      <c r="C227" s="15"/>
      <c r="D227" s="15"/>
      <c r="E227" s="86">
        <f t="shared" si="31"/>
        <v>0</v>
      </c>
      <c r="F227" s="16">
        <f t="shared" si="32"/>
        <v>0</v>
      </c>
      <c r="G227" s="2"/>
      <c r="H227" s="165">
        <f t="shared" si="33"/>
        <v>0</v>
      </c>
      <c r="I227" s="471"/>
      <c r="J227" s="471">
        <f t="shared" si="34"/>
        <v>0</v>
      </c>
      <c r="K227" s="471"/>
      <c r="L227" s="2"/>
    </row>
    <row r="228" spans="2:13" x14ac:dyDescent="0.2">
      <c r="B228" s="436" t="s">
        <v>871</v>
      </c>
      <c r="C228" s="469">
        <v>3.98</v>
      </c>
      <c r="D228" s="15"/>
      <c r="E228" s="86">
        <f t="shared" si="31"/>
        <v>2.3879999999999999</v>
      </c>
      <c r="F228" s="16">
        <f t="shared" si="32"/>
        <v>6.3680000000000003</v>
      </c>
      <c r="G228" s="470"/>
      <c r="H228" s="165">
        <f t="shared" si="33"/>
        <v>0</v>
      </c>
      <c r="I228" s="471"/>
      <c r="J228" s="471">
        <f t="shared" si="34"/>
        <v>3.98</v>
      </c>
      <c r="K228" s="471"/>
      <c r="L228" s="2"/>
    </row>
    <row r="229" spans="2:13" x14ac:dyDescent="0.2">
      <c r="B229" s="436"/>
      <c r="C229" s="15"/>
      <c r="D229" s="15">
        <f t="shared" ref="D229:D231" si="35">C229*$H$213</f>
        <v>0</v>
      </c>
      <c r="E229" s="86">
        <f t="shared" si="31"/>
        <v>0</v>
      </c>
      <c r="F229" s="16">
        <f t="shared" si="32"/>
        <v>0</v>
      </c>
      <c r="G229" s="2"/>
      <c r="H229" s="165">
        <f t="shared" si="33"/>
        <v>0</v>
      </c>
      <c r="I229" s="471"/>
      <c r="J229" s="471">
        <f t="shared" si="34"/>
        <v>0</v>
      </c>
      <c r="K229" s="471"/>
      <c r="L229" s="2"/>
    </row>
    <row r="230" spans="2:13" x14ac:dyDescent="0.2">
      <c r="B230" s="447" t="s">
        <v>875</v>
      </c>
      <c r="C230" s="15"/>
      <c r="D230" s="15">
        <f t="shared" si="35"/>
        <v>0</v>
      </c>
      <c r="E230" s="86"/>
      <c r="F230" s="16"/>
      <c r="G230" s="2"/>
      <c r="H230" s="165">
        <f t="shared" si="33"/>
        <v>0</v>
      </c>
      <c r="I230" s="471"/>
      <c r="J230" s="471">
        <f t="shared" si="34"/>
        <v>0</v>
      </c>
      <c r="K230" s="471"/>
      <c r="L230" s="2"/>
    </row>
    <row r="231" spans="2:13" x14ac:dyDescent="0.2">
      <c r="B231" s="447"/>
      <c r="C231" s="15"/>
      <c r="D231" s="15">
        <f t="shared" si="35"/>
        <v>0</v>
      </c>
      <c r="E231" s="86"/>
      <c r="F231" s="16"/>
      <c r="G231" s="2"/>
      <c r="H231" s="165">
        <f t="shared" si="33"/>
        <v>0</v>
      </c>
      <c r="I231" s="471"/>
      <c r="J231" s="471">
        <f t="shared" si="34"/>
        <v>0</v>
      </c>
      <c r="K231" s="471"/>
      <c r="L231" s="2"/>
    </row>
    <row r="232" spans="2:13" x14ac:dyDescent="0.2">
      <c r="B232" s="436" t="s">
        <v>121</v>
      </c>
      <c r="C232" s="469">
        <v>23.37</v>
      </c>
      <c r="D232" s="15"/>
      <c r="E232" s="86">
        <f t="shared" ref="E232:E236" si="36">(C232+D232)*$E$6</f>
        <v>14.022</v>
      </c>
      <c r="F232" s="16">
        <f t="shared" ref="F232:F236" si="37">C232+D232+E232</f>
        <v>37.392000000000003</v>
      </c>
      <c r="G232" s="489"/>
      <c r="H232" s="165">
        <f t="shared" si="33"/>
        <v>0</v>
      </c>
      <c r="I232" s="471"/>
      <c r="J232" s="471">
        <f t="shared" si="34"/>
        <v>23.37</v>
      </c>
      <c r="K232" s="471"/>
      <c r="L232" s="2"/>
    </row>
    <row r="233" spans="2:13" x14ac:dyDescent="0.2">
      <c r="B233" s="436" t="s">
        <v>120</v>
      </c>
      <c r="C233" s="469">
        <v>16.96</v>
      </c>
      <c r="D233" s="15"/>
      <c r="E233" s="86">
        <f t="shared" si="36"/>
        <v>10.176</v>
      </c>
      <c r="F233" s="16">
        <f t="shared" si="37"/>
        <v>27.136000000000003</v>
      </c>
      <c r="G233" s="2"/>
      <c r="H233" s="165">
        <f t="shared" si="33"/>
        <v>0</v>
      </c>
      <c r="I233" s="471"/>
      <c r="J233" s="471">
        <f t="shared" si="34"/>
        <v>16.96</v>
      </c>
      <c r="K233" s="471"/>
      <c r="L233" s="2"/>
    </row>
    <row r="234" spans="2:13" x14ac:dyDescent="0.2">
      <c r="B234" s="436" t="s">
        <v>876</v>
      </c>
      <c r="C234" s="469">
        <v>13.34</v>
      </c>
      <c r="D234" s="15"/>
      <c r="E234" s="86">
        <f t="shared" si="36"/>
        <v>8.0039999999999996</v>
      </c>
      <c r="F234" s="16">
        <f t="shared" si="37"/>
        <v>21.344000000000001</v>
      </c>
      <c r="G234" s="2"/>
      <c r="H234" s="165">
        <f t="shared" si="33"/>
        <v>0</v>
      </c>
      <c r="I234" s="471"/>
      <c r="J234" s="471">
        <f t="shared" si="34"/>
        <v>13.34</v>
      </c>
      <c r="K234" s="471"/>
      <c r="L234" s="2"/>
    </row>
    <row r="235" spans="2:13" x14ac:dyDescent="0.2">
      <c r="B235" s="436" t="s">
        <v>877</v>
      </c>
      <c r="C235" s="469">
        <v>9.9600000000000009</v>
      </c>
      <c r="D235" s="15"/>
      <c r="E235" s="86">
        <f t="shared" si="36"/>
        <v>5.976</v>
      </c>
      <c r="F235" s="16">
        <f t="shared" si="37"/>
        <v>15.936</v>
      </c>
      <c r="G235" s="2"/>
      <c r="H235" s="165">
        <f t="shared" si="33"/>
        <v>0</v>
      </c>
      <c r="I235" s="471"/>
      <c r="J235" s="471">
        <f t="shared" si="34"/>
        <v>9.9600000000000009</v>
      </c>
      <c r="K235" s="471"/>
      <c r="L235" s="2"/>
    </row>
    <row r="236" spans="2:13" x14ac:dyDescent="0.2">
      <c r="B236" s="436" t="s">
        <v>878</v>
      </c>
      <c r="C236" s="469">
        <v>4.6900000000000004</v>
      </c>
      <c r="D236" s="15"/>
      <c r="E236" s="86">
        <f t="shared" si="36"/>
        <v>2.8140000000000001</v>
      </c>
      <c r="F236" s="16">
        <f t="shared" si="37"/>
        <v>7.5040000000000004</v>
      </c>
      <c r="G236" s="470"/>
      <c r="H236" s="165">
        <f t="shared" si="33"/>
        <v>0</v>
      </c>
      <c r="I236" s="471"/>
      <c r="J236" s="471">
        <f t="shared" si="34"/>
        <v>4.6900000000000004</v>
      </c>
      <c r="K236" s="471"/>
      <c r="L236" s="2"/>
    </row>
    <row r="237" spans="2:13" x14ac:dyDescent="0.2">
      <c r="B237" s="436"/>
      <c r="C237" s="15"/>
      <c r="D237" s="15">
        <f t="shared" ref="D237:D281" si="38">C237*$H$213</f>
        <v>0</v>
      </c>
      <c r="E237" s="86"/>
      <c r="F237" s="16"/>
      <c r="G237" s="2"/>
      <c r="H237" s="189"/>
      <c r="I237" s="471"/>
      <c r="J237" s="471">
        <f t="shared" si="34"/>
        <v>0</v>
      </c>
      <c r="K237" s="471"/>
      <c r="L237" s="2"/>
    </row>
    <row r="238" spans="2:13" x14ac:dyDescent="0.2">
      <c r="B238" s="449" t="s">
        <v>879</v>
      </c>
      <c r="C238" s="15"/>
      <c r="D238" s="15">
        <f t="shared" si="38"/>
        <v>0</v>
      </c>
      <c r="E238" s="86">
        <f t="shared" ref="E238:E346" si="39">(C238+D238)*$E$6</f>
        <v>0</v>
      </c>
      <c r="F238" s="16">
        <f t="shared" si="30"/>
        <v>0</v>
      </c>
      <c r="G238" s="2"/>
      <c r="H238" s="189"/>
      <c r="I238" s="471"/>
      <c r="J238" s="471"/>
      <c r="K238" s="471"/>
      <c r="L238" s="2"/>
    </row>
    <row r="239" spans="2:13" x14ac:dyDescent="0.2">
      <c r="B239" s="436" t="s">
        <v>880</v>
      </c>
      <c r="C239" s="145">
        <v>65</v>
      </c>
      <c r="D239" s="15">
        <f t="shared" si="38"/>
        <v>0</v>
      </c>
      <c r="E239" s="86">
        <f t="shared" si="39"/>
        <v>39</v>
      </c>
      <c r="F239" s="16">
        <f t="shared" si="30"/>
        <v>104</v>
      </c>
      <c r="G239" s="4" t="s">
        <v>881</v>
      </c>
      <c r="H239" s="189"/>
      <c r="I239" s="471"/>
      <c r="J239" s="471"/>
      <c r="K239" s="471"/>
      <c r="L239" s="2"/>
      <c r="M239" s="490"/>
    </row>
    <row r="240" spans="2:13" x14ac:dyDescent="0.2">
      <c r="B240" s="436" t="s">
        <v>347</v>
      </c>
      <c r="C240" s="145">
        <v>1300</v>
      </c>
      <c r="D240" s="15">
        <f t="shared" si="38"/>
        <v>0</v>
      </c>
      <c r="E240" s="86">
        <f t="shared" si="39"/>
        <v>780</v>
      </c>
      <c r="F240" s="16">
        <f t="shared" si="30"/>
        <v>2080</v>
      </c>
      <c r="G240" s="4" t="s">
        <v>881</v>
      </c>
      <c r="H240" s="189"/>
      <c r="I240" s="471"/>
      <c r="J240" s="471"/>
      <c r="K240" s="471"/>
      <c r="L240" s="2"/>
    </row>
    <row r="241" spans="2:12" ht="13.5" thickBot="1" x14ac:dyDescent="0.25">
      <c r="B241" s="450" t="s">
        <v>66</v>
      </c>
      <c r="C241" s="491">
        <v>120</v>
      </c>
      <c r="D241" s="15">
        <f t="shared" si="38"/>
        <v>0</v>
      </c>
      <c r="E241" s="451">
        <f>C241*$E$6</f>
        <v>72</v>
      </c>
      <c r="F241" s="87">
        <f>E241+D241+C241</f>
        <v>192</v>
      </c>
      <c r="G241" s="4" t="s">
        <v>881</v>
      </c>
      <c r="H241" s="189"/>
      <c r="I241" s="471"/>
      <c r="J241" s="471"/>
      <c r="K241" s="471"/>
      <c r="L241" s="2"/>
    </row>
    <row r="242" spans="2:12" ht="13.5" thickTop="1" x14ac:dyDescent="0.2">
      <c r="B242" s="492" t="s">
        <v>882</v>
      </c>
      <c r="C242" s="453"/>
      <c r="D242" s="15">
        <f t="shared" si="38"/>
        <v>0</v>
      </c>
      <c r="E242" s="454"/>
      <c r="F242" s="455"/>
      <c r="G242" s="2"/>
      <c r="H242" s="189"/>
      <c r="I242" s="471"/>
      <c r="J242" s="471"/>
      <c r="K242" s="471"/>
      <c r="L242" s="2"/>
    </row>
    <row r="243" spans="2:12" x14ac:dyDescent="0.2">
      <c r="B243" s="493" t="s">
        <v>883</v>
      </c>
      <c r="C243" s="154"/>
      <c r="D243" s="15">
        <f t="shared" si="38"/>
        <v>0</v>
      </c>
      <c r="E243" s="461"/>
      <c r="F243" s="155">
        <v>0</v>
      </c>
      <c r="G243" s="2"/>
      <c r="H243" s="494"/>
      <c r="I243" s="471"/>
      <c r="J243" s="189"/>
      <c r="K243" s="471"/>
      <c r="L243" s="2"/>
    </row>
    <row r="244" spans="2:12" x14ac:dyDescent="0.2">
      <c r="B244" s="436" t="s">
        <v>88</v>
      </c>
      <c r="C244" s="476">
        <v>16.75</v>
      </c>
      <c r="D244" s="15"/>
      <c r="E244" s="86">
        <f t="shared" ref="E244:E256" si="40">(C244+D244)*$E$6</f>
        <v>10.049999999999999</v>
      </c>
      <c r="F244" s="16">
        <f t="shared" ref="F244:F256" si="41">C244+D244+E244</f>
        <v>26.799999999999997</v>
      </c>
      <c r="G244" s="495" t="s">
        <v>881</v>
      </c>
      <c r="H244" s="165">
        <f>C244*$H$243</f>
        <v>0</v>
      </c>
      <c r="I244" s="471"/>
      <c r="J244" s="471">
        <f>C244+H244</f>
        <v>16.75</v>
      </c>
      <c r="K244" s="471"/>
      <c r="L244" s="2"/>
    </row>
    <row r="245" spans="2:12" x14ac:dyDescent="0.2">
      <c r="B245" s="436" t="s">
        <v>884</v>
      </c>
      <c r="C245" s="476">
        <v>21.32</v>
      </c>
      <c r="D245" s="15"/>
      <c r="E245" s="86">
        <f t="shared" si="40"/>
        <v>12.792</v>
      </c>
      <c r="F245" s="16">
        <f t="shared" si="41"/>
        <v>34.112000000000002</v>
      </c>
      <c r="G245" s="2"/>
      <c r="H245" s="165">
        <f t="shared" ref="H245:H273" si="42">C245*$H$243</f>
        <v>0</v>
      </c>
      <c r="I245" s="471"/>
      <c r="J245" s="471">
        <f t="shared" ref="J245:J256" si="43">C245+H245</f>
        <v>21.32</v>
      </c>
      <c r="K245" s="471"/>
      <c r="L245" s="2"/>
    </row>
    <row r="246" spans="2:12" x14ac:dyDescent="0.2">
      <c r="B246" s="436" t="s">
        <v>885</v>
      </c>
      <c r="C246" s="476">
        <v>22.72</v>
      </c>
      <c r="D246" s="15"/>
      <c r="E246" s="86">
        <f t="shared" si="40"/>
        <v>13.632</v>
      </c>
      <c r="F246" s="16">
        <f t="shared" si="41"/>
        <v>36.351999999999997</v>
      </c>
      <c r="G246" s="2"/>
      <c r="H246" s="165">
        <f t="shared" si="42"/>
        <v>0</v>
      </c>
      <c r="I246" s="471"/>
      <c r="J246" s="471">
        <f t="shared" si="43"/>
        <v>22.72</v>
      </c>
      <c r="K246" s="471"/>
      <c r="L246" s="2"/>
    </row>
    <row r="247" spans="2:12" x14ac:dyDescent="0.2">
      <c r="B247" s="436" t="s">
        <v>886</v>
      </c>
      <c r="C247" s="476">
        <v>28.69</v>
      </c>
      <c r="D247" s="15"/>
      <c r="E247" s="86">
        <f t="shared" si="40"/>
        <v>17.213999999999999</v>
      </c>
      <c r="F247" s="16">
        <f t="shared" si="41"/>
        <v>45.903999999999996</v>
      </c>
      <c r="G247" s="2"/>
      <c r="H247" s="165">
        <f t="shared" si="42"/>
        <v>0</v>
      </c>
      <c r="I247" s="471"/>
      <c r="J247" s="471">
        <f t="shared" si="43"/>
        <v>28.69</v>
      </c>
      <c r="K247" s="471"/>
      <c r="L247" s="2"/>
    </row>
    <row r="248" spans="2:12" x14ac:dyDescent="0.2">
      <c r="B248" s="436" t="s">
        <v>887</v>
      </c>
      <c r="C248" s="476">
        <v>35.869999999999997</v>
      </c>
      <c r="D248" s="15"/>
      <c r="E248" s="86">
        <f t="shared" si="40"/>
        <v>21.521999999999998</v>
      </c>
      <c r="F248" s="16">
        <f t="shared" si="41"/>
        <v>57.391999999999996</v>
      </c>
      <c r="G248" s="2"/>
      <c r="H248" s="165">
        <f t="shared" si="42"/>
        <v>0</v>
      </c>
      <c r="I248" s="471"/>
      <c r="J248" s="471">
        <f t="shared" si="43"/>
        <v>35.869999999999997</v>
      </c>
      <c r="K248" s="471"/>
      <c r="L248" s="2"/>
    </row>
    <row r="249" spans="2:12" x14ac:dyDescent="0.2">
      <c r="B249" s="436" t="s">
        <v>888</v>
      </c>
      <c r="C249" s="476">
        <v>63.9</v>
      </c>
      <c r="D249" s="15"/>
      <c r="E249" s="86">
        <f t="shared" si="40"/>
        <v>38.339999999999996</v>
      </c>
      <c r="F249" s="16">
        <f t="shared" si="41"/>
        <v>102.24</v>
      </c>
      <c r="G249" s="2"/>
      <c r="H249" s="165">
        <f t="shared" si="42"/>
        <v>0</v>
      </c>
      <c r="I249" s="471"/>
      <c r="J249" s="471">
        <f t="shared" si="43"/>
        <v>63.9</v>
      </c>
      <c r="K249" s="471"/>
      <c r="L249" s="2"/>
    </row>
    <row r="250" spans="2:12" x14ac:dyDescent="0.2">
      <c r="B250" s="436" t="s">
        <v>889</v>
      </c>
      <c r="C250" s="476">
        <v>50.53</v>
      </c>
      <c r="D250" s="15"/>
      <c r="E250" s="86">
        <f t="shared" si="40"/>
        <v>30.317999999999998</v>
      </c>
      <c r="F250" s="16">
        <f t="shared" si="41"/>
        <v>80.847999999999999</v>
      </c>
      <c r="G250" s="2"/>
      <c r="H250" s="165">
        <f t="shared" si="42"/>
        <v>0</v>
      </c>
      <c r="I250" s="471"/>
      <c r="J250" s="471">
        <f t="shared" si="43"/>
        <v>50.53</v>
      </c>
      <c r="K250" s="471"/>
      <c r="L250" s="2"/>
    </row>
    <row r="251" spans="2:12" x14ac:dyDescent="0.2">
      <c r="B251" s="436" t="s">
        <v>890</v>
      </c>
      <c r="C251" s="476">
        <v>65.91</v>
      </c>
      <c r="D251" s="15"/>
      <c r="E251" s="86">
        <f t="shared" si="40"/>
        <v>39.545999999999999</v>
      </c>
      <c r="F251" s="16">
        <f t="shared" si="41"/>
        <v>105.45599999999999</v>
      </c>
      <c r="G251" s="2"/>
      <c r="H251" s="165">
        <f t="shared" si="42"/>
        <v>0</v>
      </c>
      <c r="I251" s="471"/>
      <c r="J251" s="471">
        <f t="shared" si="43"/>
        <v>65.91</v>
      </c>
      <c r="K251" s="471"/>
      <c r="L251" s="2"/>
    </row>
    <row r="252" spans="2:12" x14ac:dyDescent="0.2">
      <c r="B252" s="436" t="s">
        <v>891</v>
      </c>
      <c r="C252" s="476">
        <v>60.43</v>
      </c>
      <c r="D252" s="15"/>
      <c r="E252" s="86">
        <f t="shared" si="40"/>
        <v>36.257999999999996</v>
      </c>
      <c r="F252" s="16">
        <f t="shared" si="41"/>
        <v>96.687999999999988</v>
      </c>
      <c r="G252" s="2"/>
      <c r="H252" s="165">
        <f t="shared" si="42"/>
        <v>0</v>
      </c>
      <c r="I252" s="471"/>
      <c r="J252" s="471">
        <f t="shared" si="43"/>
        <v>60.43</v>
      </c>
      <c r="K252" s="471"/>
      <c r="L252" s="2"/>
    </row>
    <row r="253" spans="2:12" x14ac:dyDescent="0.2">
      <c r="B253" s="436" t="s">
        <v>892</v>
      </c>
      <c r="C253" s="476">
        <v>85.21</v>
      </c>
      <c r="D253" s="15"/>
      <c r="E253" s="86">
        <f t="shared" si="40"/>
        <v>51.125999999999998</v>
      </c>
      <c r="F253" s="16">
        <f t="shared" si="41"/>
        <v>136.33599999999998</v>
      </c>
      <c r="G253" s="2"/>
      <c r="H253" s="165">
        <f t="shared" si="42"/>
        <v>0</v>
      </c>
      <c r="I253" s="471"/>
      <c r="J253" s="471">
        <f t="shared" si="43"/>
        <v>85.21</v>
      </c>
      <c r="K253" s="471"/>
      <c r="L253" s="2"/>
    </row>
    <row r="254" spans="2:12" x14ac:dyDescent="0.2">
      <c r="B254" s="436" t="s">
        <v>893</v>
      </c>
      <c r="C254" s="476">
        <v>84.54</v>
      </c>
      <c r="D254" s="15"/>
      <c r="E254" s="86">
        <f t="shared" si="40"/>
        <v>50.724000000000004</v>
      </c>
      <c r="F254" s="16">
        <f t="shared" si="41"/>
        <v>135.26400000000001</v>
      </c>
      <c r="G254" s="2"/>
      <c r="H254" s="165">
        <f t="shared" si="42"/>
        <v>0</v>
      </c>
      <c r="I254" s="471"/>
      <c r="J254" s="471">
        <f t="shared" si="43"/>
        <v>84.54</v>
      </c>
      <c r="K254" s="471"/>
      <c r="L254" s="2"/>
    </row>
    <row r="255" spans="2:12" x14ac:dyDescent="0.2">
      <c r="B255" s="436"/>
      <c r="C255" s="15"/>
      <c r="D255" s="15"/>
      <c r="E255" s="86"/>
      <c r="F255" s="16"/>
      <c r="G255" s="2"/>
      <c r="H255" s="165">
        <f t="shared" si="42"/>
        <v>0</v>
      </c>
      <c r="I255" s="471"/>
      <c r="J255" s="471">
        <f t="shared" si="43"/>
        <v>0</v>
      </c>
      <c r="K255" s="471"/>
      <c r="L255" s="2"/>
    </row>
    <row r="256" spans="2:12" x14ac:dyDescent="0.2">
      <c r="B256" s="436" t="s">
        <v>894</v>
      </c>
      <c r="C256" s="15">
        <v>122.53</v>
      </c>
      <c r="D256" s="15"/>
      <c r="E256" s="86">
        <f t="shared" si="40"/>
        <v>73.518000000000001</v>
      </c>
      <c r="F256" s="16">
        <f t="shared" si="41"/>
        <v>196.048</v>
      </c>
      <c r="G256" s="2"/>
      <c r="H256" s="165">
        <f t="shared" si="42"/>
        <v>0</v>
      </c>
      <c r="I256" s="471"/>
      <c r="J256" s="471">
        <f t="shared" si="43"/>
        <v>122.53</v>
      </c>
      <c r="K256" s="471"/>
      <c r="L256" s="2"/>
    </row>
    <row r="257" spans="2:12" x14ac:dyDescent="0.2">
      <c r="B257" s="436"/>
      <c r="C257" s="15"/>
      <c r="D257" s="15">
        <f t="shared" si="38"/>
        <v>0</v>
      </c>
      <c r="E257" s="86"/>
      <c r="F257" s="16"/>
      <c r="G257" s="2"/>
      <c r="H257" s="165">
        <f t="shared" si="42"/>
        <v>0</v>
      </c>
      <c r="I257" s="471"/>
      <c r="J257" s="471"/>
      <c r="K257" s="471"/>
      <c r="L257" s="2"/>
    </row>
    <row r="258" spans="2:12" x14ac:dyDescent="0.2">
      <c r="B258" s="436" t="s">
        <v>895</v>
      </c>
      <c r="C258" s="202">
        <f t="shared" ref="C258:C268" si="44">C244</f>
        <v>16.75</v>
      </c>
      <c r="D258" s="15"/>
      <c r="E258" s="86">
        <f t="shared" ref="E258:E269" si="45">(C258+D258)*$E$6</f>
        <v>10.049999999999999</v>
      </c>
      <c r="F258" s="16">
        <f t="shared" ref="F258:F269" si="46">C258+D258+E258</f>
        <v>26.799999999999997</v>
      </c>
      <c r="G258" s="470"/>
      <c r="H258" s="165"/>
      <c r="I258" s="471"/>
      <c r="J258" s="471"/>
      <c r="K258" s="471"/>
      <c r="L258" s="2"/>
    </row>
    <row r="259" spans="2:12" x14ac:dyDescent="0.2">
      <c r="B259" s="436" t="s">
        <v>896</v>
      </c>
      <c r="C259" s="202">
        <f t="shared" si="44"/>
        <v>21.32</v>
      </c>
      <c r="D259" s="15"/>
      <c r="E259" s="86">
        <f t="shared" si="45"/>
        <v>12.792</v>
      </c>
      <c r="F259" s="16">
        <f t="shared" si="46"/>
        <v>34.112000000000002</v>
      </c>
      <c r="G259" s="2"/>
      <c r="H259" s="165"/>
      <c r="I259" s="471"/>
      <c r="J259" s="471"/>
      <c r="K259" s="471"/>
      <c r="L259" s="2"/>
    </row>
    <row r="260" spans="2:12" x14ac:dyDescent="0.2">
      <c r="B260" s="436" t="s">
        <v>897</v>
      </c>
      <c r="C260" s="202">
        <f t="shared" si="44"/>
        <v>22.72</v>
      </c>
      <c r="D260" s="15"/>
      <c r="E260" s="86">
        <f t="shared" si="45"/>
        <v>13.632</v>
      </c>
      <c r="F260" s="16">
        <f t="shared" si="46"/>
        <v>36.351999999999997</v>
      </c>
      <c r="G260" s="2"/>
      <c r="H260" s="165"/>
      <c r="I260" s="471"/>
      <c r="J260" s="471"/>
      <c r="K260" s="471"/>
      <c r="L260" s="2"/>
    </row>
    <row r="261" spans="2:12" x14ac:dyDescent="0.2">
      <c r="B261" s="436" t="s">
        <v>898</v>
      </c>
      <c r="C261" s="202">
        <f t="shared" si="44"/>
        <v>28.69</v>
      </c>
      <c r="D261" s="15"/>
      <c r="E261" s="86">
        <f t="shared" si="45"/>
        <v>17.213999999999999</v>
      </c>
      <c r="F261" s="16">
        <f t="shared" si="46"/>
        <v>45.903999999999996</v>
      </c>
      <c r="G261" s="2"/>
      <c r="H261" s="165"/>
      <c r="I261" s="471"/>
      <c r="J261" s="471"/>
      <c r="K261" s="471"/>
      <c r="L261" s="2"/>
    </row>
    <row r="262" spans="2:12" x14ac:dyDescent="0.2">
      <c r="B262" s="436" t="s">
        <v>899</v>
      </c>
      <c r="C262" s="202">
        <f t="shared" si="44"/>
        <v>35.869999999999997</v>
      </c>
      <c r="D262" s="15"/>
      <c r="E262" s="86">
        <f t="shared" si="45"/>
        <v>21.521999999999998</v>
      </c>
      <c r="F262" s="16">
        <f t="shared" si="46"/>
        <v>57.391999999999996</v>
      </c>
      <c r="G262" s="2"/>
      <c r="H262" s="165"/>
      <c r="I262" s="471"/>
      <c r="J262" s="471"/>
      <c r="K262" s="471"/>
      <c r="L262" s="2"/>
    </row>
    <row r="263" spans="2:12" x14ac:dyDescent="0.2">
      <c r="B263" s="436" t="s">
        <v>900</v>
      </c>
      <c r="C263" s="202">
        <f t="shared" si="44"/>
        <v>63.9</v>
      </c>
      <c r="D263" s="15"/>
      <c r="E263" s="86">
        <f t="shared" si="45"/>
        <v>38.339999999999996</v>
      </c>
      <c r="F263" s="16">
        <f t="shared" si="46"/>
        <v>102.24</v>
      </c>
      <c r="G263" s="2"/>
      <c r="H263" s="165"/>
      <c r="I263" s="471"/>
      <c r="J263" s="471"/>
      <c r="K263" s="471"/>
      <c r="L263" s="2"/>
    </row>
    <row r="264" spans="2:12" x14ac:dyDescent="0.2">
      <c r="B264" s="436" t="s">
        <v>901</v>
      </c>
      <c r="C264" s="202">
        <f t="shared" si="44"/>
        <v>50.53</v>
      </c>
      <c r="D264" s="15"/>
      <c r="E264" s="86">
        <f t="shared" si="45"/>
        <v>30.317999999999998</v>
      </c>
      <c r="F264" s="16">
        <f t="shared" si="46"/>
        <v>80.847999999999999</v>
      </c>
      <c r="G264" s="2"/>
      <c r="H264" s="165"/>
      <c r="I264" s="471"/>
      <c r="J264" s="471"/>
      <c r="K264" s="471"/>
      <c r="L264" s="2"/>
    </row>
    <row r="265" spans="2:12" x14ac:dyDescent="0.2">
      <c r="B265" s="436" t="s">
        <v>902</v>
      </c>
      <c r="C265" s="202">
        <f t="shared" si="44"/>
        <v>65.91</v>
      </c>
      <c r="D265" s="15"/>
      <c r="E265" s="86">
        <f t="shared" si="45"/>
        <v>39.545999999999999</v>
      </c>
      <c r="F265" s="16">
        <f t="shared" si="46"/>
        <v>105.45599999999999</v>
      </c>
      <c r="G265" s="2"/>
      <c r="H265" s="165"/>
      <c r="I265" s="471"/>
      <c r="J265" s="471"/>
      <c r="K265" s="471"/>
      <c r="L265" s="2"/>
    </row>
    <row r="266" spans="2:12" x14ac:dyDescent="0.2">
      <c r="B266" s="436" t="s">
        <v>903</v>
      </c>
      <c r="C266" s="202">
        <f t="shared" si="44"/>
        <v>60.43</v>
      </c>
      <c r="D266" s="15"/>
      <c r="E266" s="86">
        <f t="shared" si="45"/>
        <v>36.257999999999996</v>
      </c>
      <c r="F266" s="16">
        <f t="shared" si="46"/>
        <v>96.687999999999988</v>
      </c>
      <c r="G266" s="2"/>
      <c r="H266" s="165"/>
      <c r="I266" s="471"/>
      <c r="J266" s="471"/>
      <c r="K266" s="471"/>
      <c r="L266" s="2"/>
    </row>
    <row r="267" spans="2:12" x14ac:dyDescent="0.2">
      <c r="B267" s="436" t="s">
        <v>904</v>
      </c>
      <c r="C267" s="202">
        <f t="shared" si="44"/>
        <v>85.21</v>
      </c>
      <c r="D267" s="15"/>
      <c r="E267" s="86">
        <f t="shared" si="45"/>
        <v>51.125999999999998</v>
      </c>
      <c r="F267" s="16">
        <f t="shared" si="46"/>
        <v>136.33599999999998</v>
      </c>
      <c r="G267" s="2"/>
      <c r="H267" s="165"/>
      <c r="I267" s="471"/>
      <c r="J267" s="471"/>
      <c r="K267" s="471"/>
      <c r="L267" s="2"/>
    </row>
    <row r="268" spans="2:12" x14ac:dyDescent="0.2">
      <c r="B268" s="436" t="s">
        <v>905</v>
      </c>
      <c r="C268" s="202">
        <f t="shared" si="44"/>
        <v>84.54</v>
      </c>
      <c r="D268" s="15"/>
      <c r="E268" s="86">
        <f t="shared" si="45"/>
        <v>50.724000000000004</v>
      </c>
      <c r="F268" s="16">
        <f t="shared" si="46"/>
        <v>135.26400000000001</v>
      </c>
      <c r="G268" s="2"/>
      <c r="H268" s="165"/>
      <c r="I268" s="471"/>
      <c r="J268" s="471"/>
      <c r="K268" s="471"/>
      <c r="L268" s="2"/>
    </row>
    <row r="269" spans="2:12" x14ac:dyDescent="0.2">
      <c r="B269" s="436" t="s">
        <v>906</v>
      </c>
      <c r="C269" s="202">
        <f>C256</f>
        <v>122.53</v>
      </c>
      <c r="D269" s="15"/>
      <c r="E269" s="86">
        <f t="shared" si="45"/>
        <v>73.518000000000001</v>
      </c>
      <c r="F269" s="16">
        <f t="shared" si="46"/>
        <v>196.048</v>
      </c>
      <c r="G269" s="2"/>
      <c r="H269" s="165"/>
      <c r="I269" s="471"/>
      <c r="J269" s="471"/>
      <c r="K269" s="471"/>
      <c r="L269" s="2"/>
    </row>
    <row r="270" spans="2:12" x14ac:dyDescent="0.2">
      <c r="B270" s="436"/>
      <c r="C270" s="15"/>
      <c r="D270" s="15">
        <f t="shared" si="38"/>
        <v>0</v>
      </c>
      <c r="E270" s="86"/>
      <c r="F270" s="16"/>
      <c r="G270" s="2"/>
      <c r="H270" s="165">
        <f t="shared" si="42"/>
        <v>0</v>
      </c>
      <c r="I270" s="471"/>
      <c r="J270" s="471"/>
      <c r="K270" s="471"/>
      <c r="L270" s="2"/>
    </row>
    <row r="271" spans="2:12" x14ac:dyDescent="0.2">
      <c r="B271" s="436"/>
      <c r="C271" s="15"/>
      <c r="D271" s="15">
        <f t="shared" si="38"/>
        <v>0</v>
      </c>
      <c r="E271" s="86"/>
      <c r="F271" s="16"/>
      <c r="G271" s="2"/>
      <c r="H271" s="165">
        <f t="shared" si="42"/>
        <v>0</v>
      </c>
      <c r="I271" s="471"/>
      <c r="J271" s="471"/>
      <c r="K271" s="471"/>
      <c r="L271" s="2"/>
    </row>
    <row r="272" spans="2:12" x14ac:dyDescent="0.2">
      <c r="B272" s="449" t="s">
        <v>907</v>
      </c>
      <c r="C272" s="15"/>
      <c r="D272" s="15">
        <f t="shared" si="38"/>
        <v>0</v>
      </c>
      <c r="E272" s="86"/>
      <c r="F272" s="16"/>
      <c r="G272" s="2"/>
      <c r="H272" s="165">
        <f t="shared" si="42"/>
        <v>0</v>
      </c>
      <c r="I272" s="471"/>
      <c r="J272" s="471"/>
      <c r="K272" s="471"/>
      <c r="L272" s="2"/>
    </row>
    <row r="273" spans="1:13" x14ac:dyDescent="0.2">
      <c r="B273" s="496"/>
      <c r="C273" s="15"/>
      <c r="D273" s="15">
        <f t="shared" si="38"/>
        <v>0</v>
      </c>
      <c r="E273" s="15"/>
      <c r="F273" s="16">
        <v>0</v>
      </c>
      <c r="G273" s="2"/>
      <c r="H273" s="165">
        <f t="shared" si="42"/>
        <v>0</v>
      </c>
      <c r="I273" s="471"/>
      <c r="J273" s="471"/>
      <c r="K273" s="471"/>
      <c r="L273" s="2"/>
    </row>
    <row r="274" spans="1:13" x14ac:dyDescent="0.2">
      <c r="B274" s="436" t="s">
        <v>908</v>
      </c>
      <c r="C274" s="202">
        <f>C244</f>
        <v>16.75</v>
      </c>
      <c r="D274" s="15"/>
      <c r="E274" s="86">
        <f t="shared" ref="E274:E278" si="47">(C274+D274)*$E$6</f>
        <v>10.049999999999999</v>
      </c>
      <c r="F274" s="16">
        <f t="shared" ref="F274:F278" si="48">C274+D274+E274</f>
        <v>26.799999999999997</v>
      </c>
      <c r="G274" s="470"/>
      <c r="H274" s="165"/>
      <c r="I274" s="471"/>
      <c r="J274" s="471"/>
      <c r="K274" s="471"/>
      <c r="L274" s="2"/>
    </row>
    <row r="275" spans="1:13" x14ac:dyDescent="0.2">
      <c r="B275" s="436" t="s">
        <v>909</v>
      </c>
      <c r="C275" s="202">
        <f>C245</f>
        <v>21.32</v>
      </c>
      <c r="D275" s="15"/>
      <c r="E275" s="86">
        <f t="shared" si="47"/>
        <v>12.792</v>
      </c>
      <c r="F275" s="16">
        <f t="shared" si="48"/>
        <v>34.112000000000002</v>
      </c>
      <c r="G275" s="2"/>
      <c r="H275" s="165"/>
      <c r="I275" s="471"/>
      <c r="J275" s="471"/>
      <c r="K275" s="471"/>
      <c r="L275" s="2"/>
    </row>
    <row r="276" spans="1:13" x14ac:dyDescent="0.2">
      <c r="B276" s="436" t="s">
        <v>910</v>
      </c>
      <c r="C276" s="202">
        <f>C246</f>
        <v>22.72</v>
      </c>
      <c r="D276" s="15"/>
      <c r="E276" s="86">
        <f t="shared" si="47"/>
        <v>13.632</v>
      </c>
      <c r="F276" s="16">
        <f t="shared" si="48"/>
        <v>36.351999999999997</v>
      </c>
      <c r="G276" s="2"/>
      <c r="H276" s="165"/>
      <c r="I276" s="471"/>
      <c r="J276" s="471"/>
      <c r="K276" s="471"/>
      <c r="L276" s="2"/>
    </row>
    <row r="277" spans="1:13" x14ac:dyDescent="0.2">
      <c r="B277" s="436" t="s">
        <v>911</v>
      </c>
      <c r="C277" s="202">
        <f>C247</f>
        <v>28.69</v>
      </c>
      <c r="D277" s="15"/>
      <c r="E277" s="86">
        <f t="shared" si="47"/>
        <v>17.213999999999999</v>
      </c>
      <c r="F277" s="16">
        <f t="shared" si="48"/>
        <v>45.903999999999996</v>
      </c>
      <c r="G277" s="2"/>
      <c r="H277" s="165"/>
      <c r="I277" s="471"/>
      <c r="J277" s="471"/>
      <c r="K277" s="471"/>
      <c r="L277" s="2"/>
    </row>
    <row r="278" spans="1:13" x14ac:dyDescent="0.2">
      <c r="B278" s="436" t="s">
        <v>912</v>
      </c>
      <c r="C278" s="202">
        <f>C248</f>
        <v>35.869999999999997</v>
      </c>
      <c r="D278" s="15"/>
      <c r="E278" s="86">
        <f t="shared" si="47"/>
        <v>21.521999999999998</v>
      </c>
      <c r="F278" s="16">
        <f t="shared" si="48"/>
        <v>57.391999999999996</v>
      </c>
      <c r="G278" s="2"/>
      <c r="H278" s="165"/>
      <c r="I278" s="471"/>
      <c r="J278" s="471"/>
      <c r="K278" s="471"/>
      <c r="L278" s="2"/>
    </row>
    <row r="279" spans="1:13" x14ac:dyDescent="0.2">
      <c r="B279" s="436"/>
      <c r="C279" s="15"/>
      <c r="D279" s="15">
        <f t="shared" si="38"/>
        <v>0</v>
      </c>
      <c r="E279" s="15"/>
      <c r="F279" s="16"/>
      <c r="G279" s="2"/>
      <c r="H279" s="189"/>
      <c r="I279" s="471"/>
      <c r="J279" s="471"/>
      <c r="K279" s="471"/>
      <c r="L279" s="2"/>
    </row>
    <row r="280" spans="1:13" x14ac:dyDescent="0.2">
      <c r="B280" s="447" t="s">
        <v>913</v>
      </c>
      <c r="C280" s="15"/>
      <c r="D280" s="15">
        <f t="shared" si="38"/>
        <v>0</v>
      </c>
      <c r="E280" s="86"/>
      <c r="F280" s="16"/>
      <c r="G280" s="2"/>
      <c r="H280" s="189"/>
      <c r="I280" s="471"/>
      <c r="J280" s="471"/>
      <c r="K280" s="471"/>
      <c r="L280" s="2"/>
    </row>
    <row r="281" spans="1:13" x14ac:dyDescent="0.2">
      <c r="B281" s="436"/>
      <c r="C281" s="15"/>
      <c r="D281" s="15">
        <f t="shared" si="38"/>
        <v>0</v>
      </c>
      <c r="E281" s="86"/>
      <c r="F281" s="16"/>
      <c r="G281" s="2"/>
      <c r="H281" s="494"/>
      <c r="I281" s="471"/>
      <c r="J281" s="471"/>
      <c r="K281" s="471"/>
      <c r="L281" s="2"/>
    </row>
    <row r="282" spans="1:13" x14ac:dyDescent="0.2">
      <c r="A282" s="113" t="s">
        <v>914</v>
      </c>
      <c r="B282" s="436" t="s">
        <v>915</v>
      </c>
      <c r="C282" s="469">
        <v>16.850000000000001</v>
      </c>
      <c r="D282" s="15"/>
      <c r="E282" s="86">
        <f>(C282+D282)*$E$6</f>
        <v>10.110000000000001</v>
      </c>
      <c r="F282" s="16">
        <f>C282+D282+E282</f>
        <v>26.96</v>
      </c>
      <c r="G282" s="470"/>
      <c r="H282" s="165">
        <f>C282*$H$281</f>
        <v>0</v>
      </c>
      <c r="I282" s="471"/>
      <c r="J282" s="471">
        <f>H282+C282</f>
        <v>16.850000000000001</v>
      </c>
      <c r="K282" s="497">
        <v>45121</v>
      </c>
      <c r="L282" s="2"/>
      <c r="M282" s="490"/>
    </row>
    <row r="283" spans="1:13" x14ac:dyDescent="0.2">
      <c r="A283" s="113" t="s">
        <v>914</v>
      </c>
      <c r="B283" s="436" t="s">
        <v>916</v>
      </c>
      <c r="C283" s="476">
        <v>26.34</v>
      </c>
      <c r="D283" s="15"/>
      <c r="E283" s="86">
        <f>(C283+D283)*$E$6</f>
        <v>15.803999999999998</v>
      </c>
      <c r="F283" s="16">
        <f>C283+D283+E283</f>
        <v>42.143999999999998</v>
      </c>
      <c r="G283" s="2"/>
      <c r="H283" s="165">
        <f t="shared" ref="H283:H312" si="49">C283*$H$281</f>
        <v>0</v>
      </c>
      <c r="I283" s="471"/>
      <c r="J283" s="471">
        <f t="shared" ref="J283:J312" si="50">H283+C283</f>
        <v>26.34</v>
      </c>
      <c r="K283" s="471"/>
      <c r="L283" s="2"/>
    </row>
    <row r="284" spans="1:13" x14ac:dyDescent="0.2">
      <c r="B284" s="436" t="s">
        <v>917</v>
      </c>
      <c r="C284" s="97">
        <f>C630+C639+C682+C683</f>
        <v>31.28</v>
      </c>
      <c r="D284" s="97"/>
      <c r="E284" s="86">
        <f t="shared" ref="E284:E285" si="51">(C284+D284)*$E$6</f>
        <v>18.768000000000001</v>
      </c>
      <c r="F284" s="16">
        <f t="shared" ref="F284:F285" si="52">C284+D284+E284</f>
        <v>50.048000000000002</v>
      </c>
      <c r="G284" s="2"/>
      <c r="H284" s="165"/>
      <c r="I284" s="471"/>
      <c r="J284" s="471"/>
      <c r="K284" s="471"/>
      <c r="L284" s="2"/>
    </row>
    <row r="285" spans="1:13" x14ac:dyDescent="0.2">
      <c r="B285" s="436" t="s">
        <v>918</v>
      </c>
      <c r="C285" s="97">
        <f>C631+C639+C682+C683</f>
        <v>35.42</v>
      </c>
      <c r="D285" s="97"/>
      <c r="E285" s="86">
        <f t="shared" si="51"/>
        <v>21.251999999999999</v>
      </c>
      <c r="F285" s="16">
        <f t="shared" si="52"/>
        <v>56.671999999999997</v>
      </c>
      <c r="G285" s="2"/>
      <c r="H285" s="165"/>
      <c r="I285" s="471"/>
      <c r="J285" s="471"/>
      <c r="K285" s="471"/>
      <c r="L285" s="2"/>
    </row>
    <row r="286" spans="1:13" x14ac:dyDescent="0.2">
      <c r="B286" s="436"/>
      <c r="C286" s="97"/>
      <c r="D286" s="97"/>
      <c r="E286" s="97"/>
      <c r="F286" s="87"/>
      <c r="G286" s="2"/>
      <c r="H286" s="165">
        <f t="shared" si="49"/>
        <v>0</v>
      </c>
      <c r="I286" s="471"/>
      <c r="J286" s="471">
        <f t="shared" si="50"/>
        <v>0</v>
      </c>
      <c r="K286" s="471"/>
      <c r="L286" s="2"/>
    </row>
    <row r="287" spans="1:13" x14ac:dyDescent="0.2">
      <c r="B287" s="447" t="s">
        <v>919</v>
      </c>
      <c r="C287" s="15"/>
      <c r="D287" s="15"/>
      <c r="E287" s="86"/>
      <c r="F287" s="16"/>
      <c r="G287" s="2"/>
      <c r="H287" s="165">
        <f t="shared" si="49"/>
        <v>0</v>
      </c>
      <c r="I287" s="471"/>
      <c r="J287" s="471">
        <f t="shared" si="50"/>
        <v>0</v>
      </c>
      <c r="K287" s="471"/>
      <c r="L287" s="2"/>
    </row>
    <row r="288" spans="1:13" x14ac:dyDescent="0.2">
      <c r="B288" s="436"/>
      <c r="C288" s="15"/>
      <c r="D288" s="15"/>
      <c r="E288" s="86">
        <f>(C288+D288)*E7</f>
        <v>0</v>
      </c>
      <c r="F288" s="16">
        <f t="shared" ref="F288:F296" si="53">C288+D288+E288</f>
        <v>0</v>
      </c>
      <c r="G288" s="2"/>
      <c r="H288" s="165">
        <f t="shared" si="49"/>
        <v>0</v>
      </c>
      <c r="I288" s="471"/>
      <c r="J288" s="471">
        <f t="shared" si="50"/>
        <v>0</v>
      </c>
      <c r="K288" s="471"/>
      <c r="L288" s="2"/>
    </row>
    <row r="289" spans="1:12" x14ac:dyDescent="0.2">
      <c r="A289" s="13" t="s">
        <v>920</v>
      </c>
      <c r="B289" s="436" t="s">
        <v>123</v>
      </c>
      <c r="C289" s="476">
        <v>58.34</v>
      </c>
      <c r="D289" s="15"/>
      <c r="E289" s="86">
        <f>(C289+D289)*$E$6</f>
        <v>35.003999999999998</v>
      </c>
      <c r="F289" s="16">
        <f t="shared" si="53"/>
        <v>93.343999999999994</v>
      </c>
      <c r="G289" s="495" t="s">
        <v>881</v>
      </c>
      <c r="H289" s="165">
        <f t="shared" si="49"/>
        <v>0</v>
      </c>
      <c r="I289" s="471"/>
      <c r="J289" s="471">
        <f t="shared" si="50"/>
        <v>58.34</v>
      </c>
      <c r="K289" s="471"/>
      <c r="L289" s="2"/>
    </row>
    <row r="290" spans="1:12" x14ac:dyDescent="0.2">
      <c r="B290" s="436" t="s">
        <v>921</v>
      </c>
      <c r="C290" s="476">
        <v>43.97</v>
      </c>
      <c r="D290" s="15"/>
      <c r="E290" s="86">
        <f t="shared" ref="E290:E296" si="54">(C290+D290)*$E$6</f>
        <v>26.381999999999998</v>
      </c>
      <c r="F290" s="16">
        <f t="shared" si="53"/>
        <v>70.352000000000004</v>
      </c>
      <c r="G290" s="2"/>
      <c r="H290" s="165">
        <f t="shared" si="49"/>
        <v>0</v>
      </c>
      <c r="I290" s="471"/>
      <c r="J290" s="471">
        <f t="shared" si="50"/>
        <v>43.97</v>
      </c>
      <c r="K290" s="471"/>
      <c r="L290" s="2"/>
    </row>
    <row r="291" spans="1:12" x14ac:dyDescent="0.2">
      <c r="B291" s="436" t="s">
        <v>922</v>
      </c>
      <c r="C291" s="476">
        <v>32.119999999999997</v>
      </c>
      <c r="D291" s="15"/>
      <c r="E291" s="86">
        <f t="shared" si="54"/>
        <v>19.271999999999998</v>
      </c>
      <c r="F291" s="16">
        <f t="shared" si="53"/>
        <v>51.391999999999996</v>
      </c>
      <c r="G291" s="2"/>
      <c r="H291" s="165">
        <f t="shared" si="49"/>
        <v>0</v>
      </c>
      <c r="I291" s="471"/>
      <c r="J291" s="471">
        <f t="shared" si="50"/>
        <v>32.119999999999997</v>
      </c>
      <c r="K291" s="471"/>
      <c r="L291" s="2"/>
    </row>
    <row r="292" spans="1:12" x14ac:dyDescent="0.2">
      <c r="B292" s="436" t="s">
        <v>923</v>
      </c>
      <c r="C292" s="476">
        <v>23.93</v>
      </c>
      <c r="D292" s="15"/>
      <c r="E292" s="86">
        <f t="shared" si="54"/>
        <v>14.357999999999999</v>
      </c>
      <c r="F292" s="16">
        <f t="shared" si="53"/>
        <v>38.287999999999997</v>
      </c>
      <c r="G292" s="2"/>
      <c r="H292" s="165">
        <f t="shared" si="49"/>
        <v>0</v>
      </c>
      <c r="I292" s="471"/>
      <c r="J292" s="471">
        <f t="shared" si="50"/>
        <v>23.93</v>
      </c>
      <c r="K292" s="471"/>
      <c r="L292" s="2"/>
    </row>
    <row r="293" spans="1:12" x14ac:dyDescent="0.2">
      <c r="B293" s="436" t="s">
        <v>924</v>
      </c>
      <c r="C293" s="476">
        <v>14.76</v>
      </c>
      <c r="D293" s="15"/>
      <c r="E293" s="86">
        <f t="shared" si="54"/>
        <v>8.8559999999999999</v>
      </c>
      <c r="F293" s="16">
        <f t="shared" si="53"/>
        <v>23.616</v>
      </c>
      <c r="G293" s="2"/>
      <c r="H293" s="165">
        <f t="shared" si="49"/>
        <v>0</v>
      </c>
      <c r="I293" s="471"/>
      <c r="J293" s="471">
        <f t="shared" si="50"/>
        <v>14.76</v>
      </c>
      <c r="K293" s="471"/>
      <c r="L293" s="2"/>
    </row>
    <row r="294" spans="1:12" x14ac:dyDescent="0.2">
      <c r="B294" s="436" t="s">
        <v>925</v>
      </c>
      <c r="C294" s="476">
        <v>12.27</v>
      </c>
      <c r="D294" s="15"/>
      <c r="E294" s="86">
        <f t="shared" si="54"/>
        <v>7.3619999999999992</v>
      </c>
      <c r="F294" s="16">
        <f t="shared" si="53"/>
        <v>19.631999999999998</v>
      </c>
      <c r="G294" s="2"/>
      <c r="H294" s="165">
        <f t="shared" si="49"/>
        <v>0</v>
      </c>
      <c r="I294" s="471"/>
      <c r="J294" s="471">
        <f t="shared" si="50"/>
        <v>12.27</v>
      </c>
      <c r="K294" s="471"/>
      <c r="L294" s="2"/>
    </row>
    <row r="295" spans="1:12" x14ac:dyDescent="0.2">
      <c r="B295" s="436" t="s">
        <v>926</v>
      </c>
      <c r="C295" s="476">
        <v>11.58</v>
      </c>
      <c r="D295" s="15"/>
      <c r="E295" s="86">
        <f t="shared" si="54"/>
        <v>6.9479999999999995</v>
      </c>
      <c r="F295" s="16">
        <f t="shared" si="53"/>
        <v>18.527999999999999</v>
      </c>
      <c r="G295" s="2"/>
      <c r="H295" s="165">
        <f t="shared" si="49"/>
        <v>0</v>
      </c>
      <c r="I295" s="471"/>
      <c r="J295" s="471">
        <f t="shared" si="50"/>
        <v>11.58</v>
      </c>
      <c r="K295" s="471"/>
      <c r="L295" s="2"/>
    </row>
    <row r="296" spans="1:12" x14ac:dyDescent="0.2">
      <c r="B296" s="436" t="s">
        <v>927</v>
      </c>
      <c r="C296" s="476">
        <v>7.23</v>
      </c>
      <c r="D296" s="15"/>
      <c r="E296" s="86">
        <f t="shared" si="54"/>
        <v>4.3380000000000001</v>
      </c>
      <c r="F296" s="16">
        <f t="shared" si="53"/>
        <v>11.568000000000001</v>
      </c>
      <c r="G296" s="2"/>
      <c r="H296" s="165">
        <f t="shared" si="49"/>
        <v>0</v>
      </c>
      <c r="I296" s="471"/>
      <c r="J296" s="471">
        <f t="shared" si="50"/>
        <v>7.23</v>
      </c>
      <c r="K296" s="471"/>
      <c r="L296" s="2"/>
    </row>
    <row r="297" spans="1:12" x14ac:dyDescent="0.2">
      <c r="B297" s="436"/>
      <c r="C297" s="97"/>
      <c r="D297" s="97"/>
      <c r="E297" s="97"/>
      <c r="F297" s="87"/>
      <c r="G297" s="2"/>
      <c r="H297" s="165">
        <f t="shared" si="49"/>
        <v>0</v>
      </c>
      <c r="I297" s="471"/>
      <c r="J297" s="471">
        <f t="shared" si="50"/>
        <v>0</v>
      </c>
      <c r="K297" s="471"/>
      <c r="L297" s="2"/>
    </row>
    <row r="298" spans="1:12" x14ac:dyDescent="0.2">
      <c r="B298" s="447" t="s">
        <v>721</v>
      </c>
      <c r="C298" s="15"/>
      <c r="D298" s="15"/>
      <c r="E298" s="86"/>
      <c r="F298" s="16"/>
      <c r="G298" s="431"/>
      <c r="H298" s="165">
        <f t="shared" si="49"/>
        <v>0</v>
      </c>
      <c r="I298" s="471"/>
      <c r="J298" s="471">
        <f t="shared" si="50"/>
        <v>0</v>
      </c>
      <c r="K298" s="471"/>
      <c r="L298" s="2"/>
    </row>
    <row r="299" spans="1:12" x14ac:dyDescent="0.2">
      <c r="B299" s="436"/>
      <c r="C299" s="15"/>
      <c r="D299" s="15"/>
      <c r="E299" s="86"/>
      <c r="F299" s="16"/>
      <c r="G299" s="431"/>
      <c r="H299" s="165">
        <f t="shared" si="49"/>
        <v>0</v>
      </c>
      <c r="I299" s="471"/>
      <c r="J299" s="471">
        <f t="shared" si="50"/>
        <v>0</v>
      </c>
      <c r="K299" s="471"/>
      <c r="L299" s="2"/>
    </row>
    <row r="300" spans="1:12" x14ac:dyDescent="0.2">
      <c r="B300" s="436" t="s">
        <v>928</v>
      </c>
      <c r="C300" s="469">
        <v>10.37</v>
      </c>
      <c r="D300" s="15">
        <f>C300*C6</f>
        <v>0</v>
      </c>
      <c r="E300" s="86">
        <f>(C300+D300)*E6</f>
        <v>6.2219999999999995</v>
      </c>
      <c r="F300" s="16">
        <f>C300+D300+E300</f>
        <v>16.591999999999999</v>
      </c>
      <c r="G300" s="470"/>
      <c r="H300" s="165">
        <f t="shared" si="49"/>
        <v>0</v>
      </c>
      <c r="I300" s="471"/>
      <c r="J300" s="471">
        <f t="shared" si="50"/>
        <v>10.37</v>
      </c>
      <c r="K300" s="471"/>
      <c r="L300" s="2"/>
    </row>
    <row r="301" spans="1:12" x14ac:dyDescent="0.2">
      <c r="B301" s="436" t="s">
        <v>929</v>
      </c>
      <c r="C301" s="469">
        <v>14.38</v>
      </c>
      <c r="D301" s="15">
        <f>C301*C6</f>
        <v>0</v>
      </c>
      <c r="E301" s="86">
        <f>(C301+D301)*E6</f>
        <v>8.6280000000000001</v>
      </c>
      <c r="F301" s="16">
        <f>C301+D301+E301</f>
        <v>23.008000000000003</v>
      </c>
      <c r="G301" s="2"/>
      <c r="H301" s="165">
        <f t="shared" si="49"/>
        <v>0</v>
      </c>
      <c r="I301" s="471"/>
      <c r="J301" s="471">
        <f t="shared" si="50"/>
        <v>14.38</v>
      </c>
      <c r="K301" s="471"/>
      <c r="L301" s="2"/>
    </row>
    <row r="302" spans="1:12" x14ac:dyDescent="0.2">
      <c r="B302" s="436" t="s">
        <v>930</v>
      </c>
      <c r="C302" s="469">
        <v>21.5</v>
      </c>
      <c r="D302" s="15">
        <f>C302*C6</f>
        <v>0</v>
      </c>
      <c r="E302" s="86">
        <f>(C302+D302)*E6</f>
        <v>12.9</v>
      </c>
      <c r="F302" s="16">
        <f>C302+D302+E302</f>
        <v>34.4</v>
      </c>
      <c r="G302" s="2"/>
      <c r="H302" s="165">
        <f t="shared" si="49"/>
        <v>0</v>
      </c>
      <c r="I302" s="471"/>
      <c r="J302" s="471">
        <f t="shared" si="50"/>
        <v>21.5</v>
      </c>
      <c r="K302" s="471"/>
      <c r="L302" s="2"/>
    </row>
    <row r="303" spans="1:12" x14ac:dyDescent="0.2">
      <c r="B303" s="436" t="s">
        <v>931</v>
      </c>
      <c r="C303" s="469">
        <v>29.41</v>
      </c>
      <c r="D303" s="15">
        <f>C303*C6</f>
        <v>0</v>
      </c>
      <c r="E303" s="86">
        <f>(C303+D303)*E6</f>
        <v>17.646000000000001</v>
      </c>
      <c r="F303" s="16">
        <f>C303+D303+E303</f>
        <v>47.055999999999997</v>
      </c>
      <c r="G303" s="2"/>
      <c r="H303" s="165">
        <f t="shared" si="49"/>
        <v>0</v>
      </c>
      <c r="I303" s="189"/>
      <c r="J303" s="471">
        <f t="shared" si="50"/>
        <v>29.41</v>
      </c>
      <c r="K303" s="189"/>
      <c r="L303" s="2"/>
    </row>
    <row r="304" spans="1:12" x14ac:dyDescent="0.2">
      <c r="B304" s="436" t="s">
        <v>932</v>
      </c>
      <c r="C304" s="469">
        <v>37.26</v>
      </c>
      <c r="D304" s="15">
        <f>C304*C6</f>
        <v>0</v>
      </c>
      <c r="E304" s="86">
        <f>(C304+D304)*E6</f>
        <v>22.355999999999998</v>
      </c>
      <c r="F304" s="16">
        <f>C304+D304+E304</f>
        <v>59.616</v>
      </c>
      <c r="G304" s="2"/>
      <c r="H304" s="165">
        <f t="shared" si="49"/>
        <v>0</v>
      </c>
      <c r="I304" s="471"/>
      <c r="J304" s="471">
        <f t="shared" si="50"/>
        <v>37.26</v>
      </c>
      <c r="K304" s="471"/>
      <c r="L304" s="2"/>
    </row>
    <row r="305" spans="2:12" x14ac:dyDescent="0.2">
      <c r="B305" s="436"/>
      <c r="C305" s="97"/>
      <c r="D305" s="97"/>
      <c r="E305" s="97"/>
      <c r="F305" s="87"/>
      <c r="G305" s="2"/>
      <c r="H305" s="165">
        <f t="shared" si="49"/>
        <v>0</v>
      </c>
      <c r="I305" s="471"/>
      <c r="J305" s="471">
        <f t="shared" si="50"/>
        <v>0</v>
      </c>
      <c r="K305" s="471"/>
      <c r="L305" s="2"/>
    </row>
    <row r="306" spans="2:12" x14ac:dyDescent="0.2">
      <c r="B306" s="447" t="s">
        <v>933</v>
      </c>
      <c r="C306" s="97"/>
      <c r="D306" s="97"/>
      <c r="E306" s="451"/>
      <c r="F306" s="87"/>
      <c r="G306" s="431"/>
      <c r="H306" s="165">
        <f t="shared" si="49"/>
        <v>0</v>
      </c>
      <c r="I306" s="471"/>
      <c r="J306" s="471">
        <f t="shared" si="50"/>
        <v>0</v>
      </c>
      <c r="K306" s="471"/>
      <c r="L306" s="2"/>
    </row>
    <row r="307" spans="2:12" x14ac:dyDescent="0.2">
      <c r="B307" s="148"/>
      <c r="C307" s="438"/>
      <c r="D307" s="438"/>
      <c r="E307" s="498"/>
      <c r="F307" s="499"/>
      <c r="G307" s="431"/>
      <c r="H307" s="165">
        <f t="shared" si="49"/>
        <v>0</v>
      </c>
      <c r="I307" s="471"/>
      <c r="J307" s="471">
        <f t="shared" si="50"/>
        <v>0</v>
      </c>
      <c r="K307" s="485"/>
      <c r="L307" s="2"/>
    </row>
    <row r="308" spans="2:12" x14ac:dyDescent="0.2">
      <c r="B308" s="436" t="s">
        <v>934</v>
      </c>
      <c r="C308" s="476">
        <v>22.95</v>
      </c>
      <c r="D308" s="15">
        <f>C308*C6</f>
        <v>0</v>
      </c>
      <c r="E308" s="86">
        <f>(C308+D308)*E6</f>
        <v>13.77</v>
      </c>
      <c r="F308" s="16">
        <f>C308+D308+E308</f>
        <v>36.72</v>
      </c>
      <c r="G308" s="495" t="s">
        <v>881</v>
      </c>
      <c r="H308" s="165">
        <f t="shared" si="49"/>
        <v>0</v>
      </c>
      <c r="I308" s="471"/>
      <c r="J308" s="471">
        <f t="shared" si="50"/>
        <v>22.95</v>
      </c>
      <c r="K308" s="471"/>
      <c r="L308" s="2"/>
    </row>
    <row r="309" spans="2:12" x14ac:dyDescent="0.2">
      <c r="B309" s="436" t="s">
        <v>935</v>
      </c>
      <c r="C309" s="476">
        <v>43.65</v>
      </c>
      <c r="D309" s="15">
        <f>C309*C6</f>
        <v>0</v>
      </c>
      <c r="E309" s="86">
        <f>(C309+D309)*E6</f>
        <v>26.189999999999998</v>
      </c>
      <c r="F309" s="16">
        <f>C309+D309+E309</f>
        <v>69.84</v>
      </c>
      <c r="G309" s="431"/>
      <c r="H309" s="165">
        <f t="shared" si="49"/>
        <v>0</v>
      </c>
      <c r="I309" s="471"/>
      <c r="J309" s="471">
        <f t="shared" si="50"/>
        <v>43.65</v>
      </c>
      <c r="K309" s="471"/>
      <c r="L309" s="2"/>
    </row>
    <row r="310" spans="2:12" x14ac:dyDescent="0.2">
      <c r="B310" s="436" t="s">
        <v>936</v>
      </c>
      <c r="C310" s="476">
        <f>51.09+5.11</f>
        <v>56.2</v>
      </c>
      <c r="D310" s="15">
        <f>C310*C6</f>
        <v>0</v>
      </c>
      <c r="E310" s="86">
        <f>(C310+D310)*E6</f>
        <v>33.72</v>
      </c>
      <c r="F310" s="16">
        <f>C310+D310+E310</f>
        <v>89.92</v>
      </c>
      <c r="G310" s="431"/>
      <c r="H310" s="165">
        <f t="shared" si="49"/>
        <v>0</v>
      </c>
      <c r="I310" s="471"/>
      <c r="J310" s="471">
        <f t="shared" si="50"/>
        <v>56.2</v>
      </c>
      <c r="K310" s="471"/>
      <c r="L310" s="2"/>
    </row>
    <row r="311" spans="2:12" x14ac:dyDescent="0.2">
      <c r="B311" s="436" t="s">
        <v>937</v>
      </c>
      <c r="C311" s="476">
        <f>70.08+7.01</f>
        <v>77.09</v>
      </c>
      <c r="D311" s="15">
        <f>C311*C6</f>
        <v>0</v>
      </c>
      <c r="E311" s="86">
        <f>(C311+D311)*E6</f>
        <v>46.253999999999998</v>
      </c>
      <c r="F311" s="16">
        <f>C311+D311+E311</f>
        <v>123.34399999999999</v>
      </c>
      <c r="G311" s="431"/>
      <c r="H311" s="165">
        <f t="shared" si="49"/>
        <v>0</v>
      </c>
      <c r="I311" s="471"/>
      <c r="J311" s="471">
        <f t="shared" si="50"/>
        <v>77.09</v>
      </c>
      <c r="K311" s="471"/>
      <c r="L311" s="2"/>
    </row>
    <row r="312" spans="2:12" x14ac:dyDescent="0.2">
      <c r="B312" s="436" t="s">
        <v>938</v>
      </c>
      <c r="C312" s="476">
        <f>78.27+7.83</f>
        <v>86.1</v>
      </c>
      <c r="D312" s="15">
        <f>C312*C6</f>
        <v>0</v>
      </c>
      <c r="E312" s="86">
        <f>(C312+D312)*E6</f>
        <v>51.66</v>
      </c>
      <c r="F312" s="16">
        <f>C312+D312+E312</f>
        <v>137.76</v>
      </c>
      <c r="G312" s="431"/>
      <c r="H312" s="165">
        <f t="shared" si="49"/>
        <v>0</v>
      </c>
      <c r="I312" s="471"/>
      <c r="J312" s="471">
        <f t="shared" si="50"/>
        <v>86.1</v>
      </c>
      <c r="K312" s="471"/>
      <c r="L312" s="2"/>
    </row>
    <row r="313" spans="2:12" x14ac:dyDescent="0.2">
      <c r="B313" s="436"/>
      <c r="C313" s="97"/>
      <c r="D313" s="97"/>
      <c r="E313" s="97"/>
      <c r="F313" s="87"/>
      <c r="G313" s="2"/>
      <c r="H313" s="189"/>
      <c r="I313" s="471"/>
      <c r="J313" s="471"/>
      <c r="K313" s="471"/>
      <c r="L313" s="2"/>
    </row>
    <row r="314" spans="2:12" x14ac:dyDescent="0.2">
      <c r="B314" s="447" t="s">
        <v>939</v>
      </c>
      <c r="C314" s="15"/>
      <c r="D314" s="15"/>
      <c r="E314" s="86"/>
      <c r="F314" s="16"/>
      <c r="G314" s="2"/>
      <c r="H314" s="189"/>
      <c r="I314" s="189"/>
      <c r="J314" s="189"/>
      <c r="K314" s="189"/>
      <c r="L314" s="2"/>
    </row>
    <row r="315" spans="2:12" x14ac:dyDescent="0.2">
      <c r="B315" s="6"/>
      <c r="C315" s="15"/>
      <c r="D315" s="15"/>
      <c r="E315" s="86"/>
      <c r="F315" s="16"/>
      <c r="G315" s="2"/>
      <c r="H315" s="189"/>
      <c r="I315" s="189"/>
      <c r="J315" s="189"/>
      <c r="K315" s="189"/>
      <c r="L315" s="2"/>
    </row>
    <row r="316" spans="2:12" x14ac:dyDescent="0.2">
      <c r="B316" s="447" t="s">
        <v>678</v>
      </c>
      <c r="C316" s="15"/>
      <c r="D316" s="15"/>
      <c r="E316" s="86"/>
      <c r="F316" s="16"/>
      <c r="G316" s="2"/>
      <c r="H316" s="189"/>
      <c r="I316" s="189"/>
      <c r="J316" s="189"/>
      <c r="K316" s="189"/>
      <c r="L316" s="2"/>
    </row>
    <row r="317" spans="2:12" x14ac:dyDescent="0.2">
      <c r="B317" s="436" t="s">
        <v>940</v>
      </c>
      <c r="C317" s="145">
        <v>2.73</v>
      </c>
      <c r="D317" s="15">
        <f>C317*C6</f>
        <v>0</v>
      </c>
      <c r="E317" s="86">
        <f>(C317+D317)*E6</f>
        <v>1.6379999999999999</v>
      </c>
      <c r="F317" s="16">
        <f>C317+D317+E317</f>
        <v>4.3680000000000003</v>
      </c>
      <c r="G317" s="470"/>
      <c r="H317" s="189"/>
      <c r="I317" s="471"/>
      <c r="J317" s="471"/>
      <c r="K317" s="471"/>
      <c r="L317" s="2"/>
    </row>
    <row r="318" spans="2:12" x14ac:dyDescent="0.2">
      <c r="B318" s="436" t="s">
        <v>941</v>
      </c>
      <c r="C318" s="145">
        <v>3.91</v>
      </c>
      <c r="D318" s="15">
        <f>C318*C6</f>
        <v>0</v>
      </c>
      <c r="E318" s="86">
        <f>(C318+D318)*E6</f>
        <v>2.3460000000000001</v>
      </c>
      <c r="F318" s="16">
        <f>C318+D318+E318</f>
        <v>6.2560000000000002</v>
      </c>
      <c r="G318" s="431"/>
      <c r="H318" s="189"/>
      <c r="I318" s="471"/>
      <c r="J318" s="471"/>
      <c r="K318" s="471"/>
      <c r="L318" s="2"/>
    </row>
    <row r="319" spans="2:12" x14ac:dyDescent="0.2">
      <c r="B319" s="436"/>
      <c r="C319" s="15"/>
      <c r="D319" s="15"/>
      <c r="E319" s="86"/>
      <c r="F319" s="16"/>
      <c r="G319" s="2"/>
      <c r="H319" s="189"/>
      <c r="I319" s="471"/>
      <c r="J319" s="471"/>
      <c r="K319" s="471"/>
      <c r="L319" s="2"/>
    </row>
    <row r="320" spans="2:12" x14ac:dyDescent="0.2">
      <c r="B320" s="447" t="s">
        <v>680</v>
      </c>
      <c r="C320" s="15"/>
      <c r="D320" s="15"/>
      <c r="E320" s="86"/>
      <c r="F320" s="16"/>
      <c r="G320" s="2"/>
      <c r="H320" s="189"/>
      <c r="I320" s="471"/>
      <c r="J320" s="471"/>
      <c r="K320" s="471"/>
      <c r="L320" s="2"/>
    </row>
    <row r="321" spans="2:12" x14ac:dyDescent="0.2">
      <c r="B321" s="436" t="s">
        <v>942</v>
      </c>
      <c r="C321" s="469">
        <v>4.2699999999999996</v>
      </c>
      <c r="D321" s="15">
        <f>C321*C6</f>
        <v>0</v>
      </c>
      <c r="E321" s="86">
        <f>(C321+D321)*E6</f>
        <v>2.5619999999999998</v>
      </c>
      <c r="F321" s="16">
        <f>C321+D321+E321</f>
        <v>6.831999999999999</v>
      </c>
      <c r="G321" s="500" t="s">
        <v>881</v>
      </c>
      <c r="H321" s="189"/>
      <c r="I321" s="189"/>
      <c r="J321" s="189"/>
      <c r="K321" s="189"/>
      <c r="L321" s="2"/>
    </row>
    <row r="322" spans="2:12" x14ac:dyDescent="0.2">
      <c r="B322" s="436" t="s">
        <v>943</v>
      </c>
      <c r="C322" s="476">
        <v>6.2</v>
      </c>
      <c r="D322" s="15"/>
      <c r="E322" s="86">
        <f>(C322+D322)*E6</f>
        <v>3.7199999999999998</v>
      </c>
      <c r="F322" s="16">
        <f>C322+D322+E322</f>
        <v>9.92</v>
      </c>
      <c r="G322" s="470"/>
      <c r="H322" s="189"/>
      <c r="I322" s="189"/>
      <c r="J322" s="189"/>
      <c r="K322" s="189"/>
      <c r="L322" s="2"/>
    </row>
    <row r="323" spans="2:12" x14ac:dyDescent="0.2">
      <c r="B323" s="436" t="s">
        <v>944</v>
      </c>
      <c r="C323" s="501">
        <v>11.4</v>
      </c>
      <c r="D323" s="15">
        <f>C323*C6</f>
        <v>0</v>
      </c>
      <c r="E323" s="86">
        <f>(C323+D323)*E6</f>
        <v>6.84</v>
      </c>
      <c r="F323" s="16">
        <f>C323+D323+E323</f>
        <v>18.240000000000002</v>
      </c>
      <c r="G323" s="431"/>
      <c r="H323" s="189"/>
      <c r="I323" s="189"/>
      <c r="J323" s="189"/>
      <c r="K323" s="189"/>
      <c r="L323" s="2"/>
    </row>
    <row r="324" spans="2:12" x14ac:dyDescent="0.2">
      <c r="B324" s="436" t="s">
        <v>945</v>
      </c>
      <c r="C324" s="104">
        <v>0.6</v>
      </c>
      <c r="D324" s="15">
        <f>C324*C6</f>
        <v>0</v>
      </c>
      <c r="E324" s="86">
        <f>(C324+D324)*$E$6</f>
        <v>0.36</v>
      </c>
      <c r="F324" s="16">
        <f>C324+D324+E324</f>
        <v>0.96</v>
      </c>
      <c r="G324" s="431"/>
      <c r="H324" s="189"/>
      <c r="I324" s="189"/>
      <c r="J324" s="189"/>
      <c r="K324" s="189"/>
      <c r="L324" s="2"/>
    </row>
    <row r="325" spans="2:12" x14ac:dyDescent="0.2">
      <c r="B325" s="436"/>
      <c r="C325" s="104"/>
      <c r="D325" s="15"/>
      <c r="E325" s="86">
        <f t="shared" ref="E325:E330" si="55">(C325+D325)*$E$6</f>
        <v>0</v>
      </c>
      <c r="F325" s="16"/>
      <c r="G325" s="2"/>
      <c r="H325" s="189"/>
      <c r="I325" s="189"/>
      <c r="J325" s="189"/>
      <c r="K325" s="189"/>
      <c r="L325" s="2"/>
    </row>
    <row r="326" spans="2:12" x14ac:dyDescent="0.2">
      <c r="B326" s="447" t="s">
        <v>946</v>
      </c>
      <c r="C326" s="104"/>
      <c r="D326" s="15"/>
      <c r="E326" s="86">
        <f t="shared" si="55"/>
        <v>0</v>
      </c>
      <c r="F326" s="16"/>
      <c r="G326" s="2"/>
      <c r="H326" s="189"/>
      <c r="I326" s="189"/>
      <c r="J326" s="189"/>
      <c r="K326" s="189"/>
      <c r="L326" s="2"/>
    </row>
    <row r="327" spans="2:12" x14ac:dyDescent="0.2">
      <c r="B327" s="436"/>
      <c r="C327" s="104"/>
      <c r="D327" s="15"/>
      <c r="E327" s="86">
        <f t="shared" si="55"/>
        <v>0</v>
      </c>
      <c r="F327" s="16"/>
      <c r="G327" s="2"/>
      <c r="H327" s="189"/>
      <c r="I327" s="189"/>
      <c r="J327" s="189"/>
      <c r="K327" s="189"/>
      <c r="L327" s="2"/>
    </row>
    <row r="328" spans="2:12" x14ac:dyDescent="0.2">
      <c r="B328" s="436" t="s">
        <v>947</v>
      </c>
      <c r="C328" s="104">
        <v>0</v>
      </c>
      <c r="D328" s="15"/>
      <c r="E328" s="86">
        <f t="shared" si="55"/>
        <v>0</v>
      </c>
      <c r="F328" s="16">
        <f>C328+D328+E328</f>
        <v>0</v>
      </c>
      <c r="G328" s="425"/>
      <c r="I328" s="189"/>
      <c r="J328" s="189"/>
      <c r="K328" s="189"/>
      <c r="L328" s="2"/>
    </row>
    <row r="329" spans="2:12" x14ac:dyDescent="0.2">
      <c r="B329" s="436" t="s">
        <v>948</v>
      </c>
      <c r="C329" s="104">
        <v>0</v>
      </c>
      <c r="D329" s="15"/>
      <c r="E329" s="86">
        <f t="shared" si="55"/>
        <v>0</v>
      </c>
      <c r="F329" s="16">
        <f>C329+D329+E329</f>
        <v>0</v>
      </c>
      <c r="G329" s="425"/>
      <c r="I329" s="189"/>
      <c r="J329" s="189"/>
      <c r="K329" s="189"/>
      <c r="L329" s="2"/>
    </row>
    <row r="330" spans="2:12" x14ac:dyDescent="0.2">
      <c r="B330" s="436" t="s">
        <v>949</v>
      </c>
      <c r="C330" s="104">
        <v>0</v>
      </c>
      <c r="D330" s="15"/>
      <c r="E330" s="86">
        <f t="shared" si="55"/>
        <v>0</v>
      </c>
      <c r="F330" s="16">
        <f>C330+D330+E330</f>
        <v>0</v>
      </c>
      <c r="G330" s="425"/>
      <c r="I330" s="189"/>
      <c r="J330" s="189"/>
      <c r="K330" s="189"/>
      <c r="L330" s="2"/>
    </row>
    <row r="331" spans="2:12" x14ac:dyDescent="0.2">
      <c r="B331" s="436" t="s">
        <v>950</v>
      </c>
      <c r="C331" s="104">
        <v>0</v>
      </c>
      <c r="D331" s="15">
        <f>C331*C6</f>
        <v>0</v>
      </c>
      <c r="E331" s="86">
        <f>(C331+D331)*E6</f>
        <v>0</v>
      </c>
      <c r="F331" s="16">
        <f>C331+D331+E331</f>
        <v>0</v>
      </c>
      <c r="G331" s="425"/>
      <c r="I331" s="471"/>
      <c r="J331" s="471"/>
      <c r="K331" s="471"/>
      <c r="L331" s="2"/>
    </row>
    <row r="332" spans="2:12" x14ac:dyDescent="0.2">
      <c r="B332" s="436"/>
      <c r="C332" s="104"/>
      <c r="D332" s="15"/>
      <c r="E332" s="86"/>
      <c r="F332" s="16"/>
      <c r="G332" s="425"/>
      <c r="I332" s="471"/>
      <c r="J332" s="471"/>
      <c r="K332" s="471"/>
      <c r="L332" s="2"/>
    </row>
    <row r="333" spans="2:12" x14ac:dyDescent="0.2">
      <c r="B333" s="447" t="s">
        <v>951</v>
      </c>
      <c r="C333" s="104"/>
      <c r="D333" s="15"/>
      <c r="E333" s="86"/>
      <c r="F333" s="16"/>
      <c r="G333" s="425"/>
      <c r="I333" s="471"/>
      <c r="J333" s="471"/>
      <c r="K333" s="471"/>
      <c r="L333" s="2"/>
    </row>
    <row r="334" spans="2:12" x14ac:dyDescent="0.2">
      <c r="B334" s="436"/>
      <c r="C334" s="104"/>
      <c r="D334" s="15"/>
      <c r="E334" s="86"/>
      <c r="F334" s="16"/>
      <c r="G334" s="425"/>
      <c r="I334" s="471"/>
      <c r="J334" s="471"/>
      <c r="K334" s="471"/>
      <c r="L334" s="2"/>
    </row>
    <row r="335" spans="2:12" x14ac:dyDescent="0.2">
      <c r="B335" s="436" t="s">
        <v>952</v>
      </c>
      <c r="C335" s="104">
        <v>0</v>
      </c>
      <c r="D335" s="15">
        <f>C335*C6</f>
        <v>0</v>
      </c>
      <c r="E335" s="86">
        <f>(C335+D335)*E6</f>
        <v>0</v>
      </c>
      <c r="F335" s="16">
        <f t="shared" ref="F335:F339" si="56">C335+D335+E335</f>
        <v>0</v>
      </c>
      <c r="G335" s="425"/>
      <c r="I335" s="471"/>
      <c r="J335" s="471"/>
      <c r="K335" s="471"/>
      <c r="L335" s="2"/>
    </row>
    <row r="336" spans="2:12" x14ac:dyDescent="0.2">
      <c r="B336" s="436" t="s">
        <v>953</v>
      </c>
      <c r="C336" s="104">
        <v>0</v>
      </c>
      <c r="D336" s="15">
        <f>C336*C6</f>
        <v>0</v>
      </c>
      <c r="E336" s="86">
        <f>(C336+D336)*E6</f>
        <v>0</v>
      </c>
      <c r="F336" s="16">
        <f t="shared" si="56"/>
        <v>0</v>
      </c>
      <c r="G336" s="425"/>
      <c r="I336" s="471"/>
      <c r="J336" s="471"/>
      <c r="K336" s="471"/>
      <c r="L336" s="2"/>
    </row>
    <row r="337" spans="2:12" x14ac:dyDescent="0.2">
      <c r="B337" s="436" t="s">
        <v>954</v>
      </c>
      <c r="C337" s="104">
        <v>0</v>
      </c>
      <c r="D337" s="15"/>
      <c r="E337" s="86">
        <f>(C337+D337)*E6</f>
        <v>0</v>
      </c>
      <c r="F337" s="16">
        <f t="shared" si="56"/>
        <v>0</v>
      </c>
      <c r="G337" s="425"/>
      <c r="I337" s="471"/>
      <c r="J337" s="471"/>
      <c r="K337" s="471"/>
      <c r="L337" s="2"/>
    </row>
    <row r="338" spans="2:12" x14ac:dyDescent="0.2">
      <c r="B338" s="436" t="s">
        <v>955</v>
      </c>
      <c r="C338" s="104">
        <v>0</v>
      </c>
      <c r="D338" s="15"/>
      <c r="E338" s="86">
        <f>(C338+D338)*E6</f>
        <v>0</v>
      </c>
      <c r="F338" s="16">
        <f t="shared" si="56"/>
        <v>0</v>
      </c>
      <c r="G338" s="425"/>
      <c r="I338" s="471"/>
      <c r="J338" s="471"/>
      <c r="K338" s="471"/>
      <c r="L338" s="2"/>
    </row>
    <row r="339" spans="2:12" x14ac:dyDescent="0.2">
      <c r="B339" s="436" t="s">
        <v>956</v>
      </c>
      <c r="C339" s="104">
        <v>0</v>
      </c>
      <c r="D339" s="15"/>
      <c r="E339" s="86">
        <f>(C339+D339)*E6</f>
        <v>0</v>
      </c>
      <c r="F339" s="16">
        <f t="shared" si="56"/>
        <v>0</v>
      </c>
      <c r="G339" s="425"/>
      <c r="I339" s="471"/>
      <c r="J339" s="471"/>
      <c r="K339" s="471"/>
      <c r="L339" s="2"/>
    </row>
    <row r="340" spans="2:12" x14ac:dyDescent="0.2">
      <c r="B340" s="14"/>
    </row>
    <row r="341" spans="2:12" x14ac:dyDescent="0.2">
      <c r="B341" s="449" t="s">
        <v>957</v>
      </c>
      <c r="C341" s="15"/>
      <c r="D341" s="15"/>
      <c r="E341" s="86">
        <f>C341*$D$349</f>
        <v>0</v>
      </c>
      <c r="F341" s="16">
        <f>C341+D341+E341</f>
        <v>0</v>
      </c>
      <c r="G341" s="2"/>
      <c r="H341" s="189"/>
      <c r="I341" s="471"/>
      <c r="J341" s="471"/>
      <c r="K341" s="471"/>
      <c r="L341" s="2"/>
    </row>
    <row r="342" spans="2:12" x14ac:dyDescent="0.2">
      <c r="B342" s="436" t="s">
        <v>958</v>
      </c>
      <c r="C342" s="476">
        <v>9</v>
      </c>
      <c r="D342" s="15"/>
      <c r="E342" s="86">
        <f>C342*$D$349</f>
        <v>5.3999999999999995</v>
      </c>
      <c r="F342" s="16">
        <f>C342+D342+E342</f>
        <v>14.399999999999999</v>
      </c>
      <c r="G342" s="4"/>
      <c r="H342" s="189"/>
      <c r="I342" s="471"/>
      <c r="J342" s="471"/>
      <c r="K342" s="471"/>
      <c r="L342" s="2"/>
    </row>
    <row r="343" spans="2:12" x14ac:dyDescent="0.2">
      <c r="B343" s="502" t="s">
        <v>959</v>
      </c>
      <c r="C343" s="476">
        <v>4.25</v>
      </c>
      <c r="D343" s="15"/>
      <c r="E343" s="86">
        <f>C343*$D$349</f>
        <v>2.5499999999999998</v>
      </c>
      <c r="F343" s="16">
        <f>C343+D343+E343</f>
        <v>6.8</v>
      </c>
      <c r="G343" s="431"/>
      <c r="H343" s="189"/>
      <c r="I343" s="471"/>
      <c r="J343" s="471"/>
      <c r="K343" s="471"/>
      <c r="L343" s="2"/>
    </row>
    <row r="344" spans="2:12" x14ac:dyDescent="0.2">
      <c r="B344" s="436"/>
      <c r="C344" s="482"/>
      <c r="D344" s="97"/>
      <c r="E344" s="97"/>
      <c r="F344" s="87"/>
      <c r="G344" s="2"/>
      <c r="H344" s="189"/>
      <c r="I344" s="471"/>
      <c r="J344" s="471"/>
      <c r="K344" s="471"/>
      <c r="L344" s="2"/>
    </row>
    <row r="345" spans="2:12" x14ac:dyDescent="0.2">
      <c r="B345" s="447" t="s">
        <v>960</v>
      </c>
      <c r="C345" s="476"/>
      <c r="D345" s="15"/>
      <c r="E345" s="86">
        <f t="shared" si="39"/>
        <v>0</v>
      </c>
      <c r="F345" s="16">
        <f t="shared" si="30"/>
        <v>0</v>
      </c>
      <c r="G345" s="2"/>
      <c r="H345" s="189"/>
      <c r="I345" s="471"/>
      <c r="J345" s="471"/>
      <c r="K345" s="471"/>
      <c r="L345" s="2"/>
    </row>
    <row r="346" spans="2:12" x14ac:dyDescent="0.2">
      <c r="B346" s="436" t="s">
        <v>961</v>
      </c>
      <c r="C346" s="476">
        <v>1.37</v>
      </c>
      <c r="D346" s="15"/>
      <c r="E346" s="86">
        <f t="shared" si="39"/>
        <v>0.82200000000000006</v>
      </c>
      <c r="F346" s="16">
        <f t="shared" si="30"/>
        <v>2.1920000000000002</v>
      </c>
      <c r="G346" s="470"/>
      <c r="H346" s="189"/>
      <c r="I346" s="471"/>
      <c r="J346" s="471"/>
      <c r="K346" s="471"/>
      <c r="L346" s="2"/>
    </row>
    <row r="347" spans="2:12" ht="13.5" thickBot="1" x14ac:dyDescent="0.25">
      <c r="B347" s="450"/>
      <c r="C347" s="97"/>
      <c r="D347" s="97"/>
      <c r="E347" s="451"/>
      <c r="F347" s="87"/>
      <c r="G347" s="2"/>
      <c r="H347" s="189"/>
      <c r="I347" s="471"/>
      <c r="J347" s="471"/>
      <c r="K347" s="471"/>
      <c r="L347" s="2"/>
    </row>
    <row r="348" spans="2:12" ht="13.5" thickTop="1" x14ac:dyDescent="0.2">
      <c r="B348" s="503"/>
      <c r="C348" s="453"/>
      <c r="D348" s="453"/>
      <c r="E348" s="454"/>
      <c r="F348" s="455">
        <f t="shared" si="30"/>
        <v>0</v>
      </c>
      <c r="G348" s="2"/>
      <c r="H348" s="189"/>
      <c r="I348" s="471"/>
      <c r="J348" s="471"/>
      <c r="K348" s="471"/>
      <c r="L348" s="2"/>
    </row>
    <row r="349" spans="2:12" x14ac:dyDescent="0.2">
      <c r="B349" s="447" t="s">
        <v>962</v>
      </c>
      <c r="C349" s="476"/>
      <c r="D349" s="504">
        <f>0.6</f>
        <v>0.6</v>
      </c>
      <c r="E349" s="86"/>
      <c r="F349" s="16"/>
      <c r="G349" s="2"/>
      <c r="H349" s="189"/>
      <c r="I349" s="471"/>
      <c r="J349" s="471"/>
      <c r="K349" s="471"/>
      <c r="L349" s="2"/>
    </row>
    <row r="350" spans="2:12" x14ac:dyDescent="0.2">
      <c r="B350" s="436" t="s">
        <v>412</v>
      </c>
      <c r="C350" s="469">
        <v>90</v>
      </c>
      <c r="D350" s="15"/>
      <c r="E350" s="86">
        <f>C350*$E$6</f>
        <v>54</v>
      </c>
      <c r="F350" s="16">
        <f t="shared" si="30"/>
        <v>144</v>
      </c>
      <c r="G350" s="2" t="s">
        <v>963</v>
      </c>
      <c r="H350" s="189"/>
      <c r="I350" s="471"/>
      <c r="J350" s="471"/>
      <c r="K350" s="471"/>
      <c r="L350" s="2"/>
    </row>
    <row r="351" spans="2:12" x14ac:dyDescent="0.2">
      <c r="B351" s="436" t="s">
        <v>413</v>
      </c>
      <c r="C351" s="469">
        <v>55</v>
      </c>
      <c r="D351" s="15"/>
      <c r="E351" s="86">
        <f>C351*$E$6</f>
        <v>33</v>
      </c>
      <c r="F351" s="16">
        <f t="shared" si="30"/>
        <v>88</v>
      </c>
      <c r="G351" s="2"/>
      <c r="H351" s="189"/>
      <c r="I351" s="471"/>
      <c r="J351" s="471"/>
      <c r="K351" s="471"/>
      <c r="L351" s="2"/>
    </row>
    <row r="352" spans="2:12" x14ac:dyDescent="0.2">
      <c r="B352" s="436" t="s">
        <v>414</v>
      </c>
      <c r="C352" s="469">
        <v>95</v>
      </c>
      <c r="D352" s="15"/>
      <c r="E352" s="86">
        <f t="shared" ref="E352:E354" si="57">C352*$E$6</f>
        <v>57</v>
      </c>
      <c r="F352" s="16">
        <f t="shared" si="30"/>
        <v>152</v>
      </c>
      <c r="G352" s="2"/>
      <c r="H352" s="189"/>
      <c r="I352" s="471"/>
      <c r="J352" s="471"/>
      <c r="K352" s="471"/>
      <c r="L352" s="2"/>
    </row>
    <row r="353" spans="2:12" x14ac:dyDescent="0.2">
      <c r="B353" s="436"/>
      <c r="C353" s="15"/>
      <c r="D353" s="15"/>
      <c r="E353" s="86">
        <f t="shared" si="57"/>
        <v>0</v>
      </c>
      <c r="F353" s="16">
        <f t="shared" si="30"/>
        <v>0</v>
      </c>
      <c r="G353" s="2"/>
      <c r="H353" s="189"/>
      <c r="I353" s="471"/>
      <c r="J353" s="471"/>
      <c r="K353" s="471"/>
      <c r="L353" s="2"/>
    </row>
    <row r="354" spans="2:12" x14ac:dyDescent="0.2">
      <c r="B354" s="436"/>
      <c r="C354" s="15"/>
      <c r="D354" s="15"/>
      <c r="E354" s="86">
        <f t="shared" si="57"/>
        <v>0</v>
      </c>
      <c r="F354" s="16">
        <f t="shared" si="30"/>
        <v>0</v>
      </c>
      <c r="G354" s="2"/>
      <c r="H354" s="189"/>
      <c r="I354" s="471"/>
      <c r="J354" s="471"/>
      <c r="K354" s="471"/>
      <c r="L354" s="2"/>
    </row>
    <row r="355" spans="2:12" x14ac:dyDescent="0.2">
      <c r="B355" s="436" t="s">
        <v>415</v>
      </c>
      <c r="C355" s="469">
        <v>35</v>
      </c>
      <c r="D355" s="15"/>
      <c r="E355" s="86">
        <f>C355*$E$6</f>
        <v>21</v>
      </c>
      <c r="F355" s="16">
        <f t="shared" si="30"/>
        <v>56</v>
      </c>
      <c r="G355" s="2"/>
      <c r="H355" s="189"/>
      <c r="I355" s="471"/>
      <c r="J355" s="471"/>
      <c r="K355" s="471"/>
      <c r="L355" s="2"/>
    </row>
    <row r="356" spans="2:12" x14ac:dyDescent="0.2">
      <c r="B356" s="436" t="s">
        <v>417</v>
      </c>
      <c r="C356" s="469">
        <v>50</v>
      </c>
      <c r="D356" s="15"/>
      <c r="E356" s="86">
        <f>C356*$E$6</f>
        <v>30</v>
      </c>
      <c r="F356" s="16">
        <f t="shared" si="30"/>
        <v>80</v>
      </c>
      <c r="G356" s="2"/>
      <c r="H356" s="189"/>
      <c r="I356" s="471"/>
      <c r="J356" s="471"/>
      <c r="K356" s="471"/>
      <c r="L356" s="2"/>
    </row>
    <row r="357" spans="2:12" x14ac:dyDescent="0.2">
      <c r="B357" s="436" t="s">
        <v>416</v>
      </c>
      <c r="C357" s="469">
        <v>50</v>
      </c>
      <c r="D357" s="15"/>
      <c r="E357" s="86">
        <f>C357*$E$6</f>
        <v>30</v>
      </c>
      <c r="F357" s="16">
        <f t="shared" si="30"/>
        <v>80</v>
      </c>
      <c r="G357" s="2"/>
      <c r="H357" s="189"/>
      <c r="I357" s="471"/>
      <c r="J357" s="471"/>
      <c r="K357" s="471"/>
      <c r="L357" s="2"/>
    </row>
    <row r="358" spans="2:12" x14ac:dyDescent="0.2">
      <c r="B358" s="436" t="s">
        <v>418</v>
      </c>
      <c r="C358" s="469">
        <v>45</v>
      </c>
      <c r="D358" s="15"/>
      <c r="E358" s="86">
        <f>C358*$E$6</f>
        <v>27</v>
      </c>
      <c r="F358" s="16">
        <f t="shared" si="30"/>
        <v>72</v>
      </c>
      <c r="G358" s="2"/>
      <c r="H358" s="189"/>
      <c r="I358" s="471"/>
      <c r="J358" s="471"/>
      <c r="K358" s="471"/>
      <c r="L358" s="2"/>
    </row>
    <row r="359" spans="2:12" x14ac:dyDescent="0.2">
      <c r="B359" s="436"/>
      <c r="C359" s="15"/>
      <c r="D359" s="15"/>
      <c r="E359" s="86">
        <f t="shared" ref="E359:E362" si="58">C359*$E$6</f>
        <v>0</v>
      </c>
      <c r="F359" s="16">
        <f t="shared" si="30"/>
        <v>0</v>
      </c>
      <c r="G359" s="2"/>
      <c r="H359" s="189"/>
      <c r="I359" s="471"/>
      <c r="J359" s="471"/>
      <c r="K359" s="471"/>
      <c r="L359" s="2"/>
    </row>
    <row r="360" spans="2:12" x14ac:dyDescent="0.2">
      <c r="B360" s="436" t="s">
        <v>419</v>
      </c>
      <c r="C360" s="15">
        <v>10</v>
      </c>
      <c r="D360" s="15"/>
      <c r="E360" s="86">
        <f t="shared" si="58"/>
        <v>6</v>
      </c>
      <c r="F360" s="16">
        <f t="shared" si="30"/>
        <v>16</v>
      </c>
      <c r="G360" s="2"/>
      <c r="H360" s="189"/>
      <c r="I360" s="471"/>
      <c r="J360" s="471"/>
      <c r="K360" s="471"/>
      <c r="L360" s="2"/>
    </row>
    <row r="361" spans="2:12" x14ac:dyDescent="0.2">
      <c r="B361" s="436" t="s">
        <v>422</v>
      </c>
      <c r="C361" s="15">
        <v>60</v>
      </c>
      <c r="D361" s="15"/>
      <c r="E361" s="86">
        <f t="shared" si="58"/>
        <v>36</v>
      </c>
      <c r="F361" s="16">
        <f t="shared" si="30"/>
        <v>96</v>
      </c>
      <c r="G361" s="2"/>
      <c r="H361" s="189"/>
      <c r="I361" s="471"/>
      <c r="J361" s="471"/>
      <c r="K361" s="471"/>
      <c r="L361" s="2"/>
    </row>
    <row r="362" spans="2:12" x14ac:dyDescent="0.2">
      <c r="B362" s="436" t="s">
        <v>420</v>
      </c>
      <c r="C362" s="15">
        <v>12.5</v>
      </c>
      <c r="D362" s="15"/>
      <c r="E362" s="86">
        <f t="shared" si="58"/>
        <v>7.5</v>
      </c>
      <c r="F362" s="16">
        <f t="shared" si="30"/>
        <v>20</v>
      </c>
      <c r="G362" s="2"/>
      <c r="H362" s="189"/>
      <c r="I362" s="471"/>
      <c r="J362" s="471"/>
      <c r="K362" s="471"/>
      <c r="L362" s="2"/>
    </row>
    <row r="363" spans="2:12" x14ac:dyDescent="0.2">
      <c r="B363" s="436" t="s">
        <v>421</v>
      </c>
      <c r="C363" s="469">
        <v>400</v>
      </c>
      <c r="D363" s="15"/>
      <c r="E363" s="86">
        <f>C363*$E$6</f>
        <v>240</v>
      </c>
      <c r="F363" s="16">
        <f t="shared" si="30"/>
        <v>640</v>
      </c>
      <c r="G363" s="2"/>
      <c r="H363" s="189"/>
      <c r="I363" s="471"/>
      <c r="J363" s="471"/>
      <c r="K363" s="471"/>
      <c r="L363" s="2"/>
    </row>
    <row r="365" spans="2:12" x14ac:dyDescent="0.2">
      <c r="B365" s="436" t="s">
        <v>517</v>
      </c>
      <c r="C365" s="476">
        <v>2500</v>
      </c>
      <c r="D365" s="15"/>
      <c r="E365" s="86">
        <f>C365*$D$349</f>
        <v>1500</v>
      </c>
      <c r="F365" s="16">
        <f t="shared" si="30"/>
        <v>4000</v>
      </c>
      <c r="G365" s="2"/>
      <c r="H365" s="189"/>
      <c r="I365" s="471"/>
      <c r="J365" s="471"/>
      <c r="K365" s="471"/>
      <c r="L365" s="2"/>
    </row>
    <row r="366" spans="2:12" ht="13.5" thickBot="1" x14ac:dyDescent="0.25">
      <c r="B366" s="456" t="s">
        <v>545</v>
      </c>
      <c r="C366" s="505"/>
      <c r="D366" s="457"/>
      <c r="E366" s="458"/>
      <c r="F366" s="459"/>
      <c r="G366" s="2"/>
      <c r="H366" s="189"/>
      <c r="I366" s="471"/>
      <c r="J366" s="471"/>
      <c r="K366" s="471"/>
      <c r="L366" s="2"/>
    </row>
    <row r="367" spans="2:12" ht="13.5" hidden="1" thickTop="1" x14ac:dyDescent="0.2">
      <c r="B367" s="460"/>
      <c r="C367" s="506"/>
      <c r="D367" s="506"/>
      <c r="E367" s="507"/>
      <c r="F367" s="508"/>
      <c r="G367" s="2"/>
      <c r="H367" s="189"/>
      <c r="I367" s="471"/>
      <c r="J367" s="471"/>
      <c r="K367" s="471"/>
      <c r="L367" s="2"/>
    </row>
    <row r="368" spans="2:12" ht="13.5" hidden="1" thickTop="1" x14ac:dyDescent="0.2">
      <c r="B368" s="436"/>
      <c r="C368" s="509"/>
      <c r="D368" s="509"/>
      <c r="E368" s="510"/>
      <c r="F368" s="511"/>
      <c r="G368" s="2"/>
      <c r="H368" s="189"/>
      <c r="I368" s="471"/>
      <c r="J368" s="471"/>
      <c r="K368" s="471"/>
      <c r="L368" s="2"/>
    </row>
    <row r="369" spans="2:12" ht="13.5" thickTop="1" x14ac:dyDescent="0.2">
      <c r="B369" s="436"/>
      <c r="C369" s="509"/>
      <c r="D369" s="509"/>
      <c r="E369" s="510"/>
      <c r="F369" s="511"/>
      <c r="G369" s="2"/>
      <c r="H369" s="189"/>
      <c r="I369" s="471"/>
      <c r="J369" s="471"/>
      <c r="K369" s="471"/>
      <c r="L369" s="2"/>
    </row>
    <row r="370" spans="2:12" x14ac:dyDescent="0.2">
      <c r="B370" s="449" t="s">
        <v>964</v>
      </c>
      <c r="C370" s="202">
        <v>83.61</v>
      </c>
      <c r="D370" s="509"/>
      <c r="E370" s="510"/>
      <c r="F370" s="511"/>
      <c r="G370" s="470"/>
      <c r="H370" s="189"/>
      <c r="I370" s="471"/>
      <c r="J370" s="471"/>
      <c r="K370" s="471"/>
      <c r="L370" s="2"/>
    </row>
    <row r="371" spans="2:12" x14ac:dyDescent="0.2">
      <c r="B371" s="436" t="s">
        <v>965</v>
      </c>
      <c r="C371" s="469">
        <v>46</v>
      </c>
      <c r="D371" s="509"/>
      <c r="E371" s="510">
        <f>C371*E6</f>
        <v>27.599999999999998</v>
      </c>
      <c r="F371" s="511">
        <f>C371+E371</f>
        <v>73.599999999999994</v>
      </c>
      <c r="G371" s="2"/>
      <c r="H371" s="189"/>
      <c r="I371" s="471"/>
      <c r="J371" s="471"/>
      <c r="K371" s="471"/>
      <c r="L371" s="2"/>
    </row>
    <row r="372" spans="2:12" x14ac:dyDescent="0.2">
      <c r="B372" s="436" t="s">
        <v>966</v>
      </c>
      <c r="C372" s="509">
        <v>80</v>
      </c>
      <c r="D372" s="509"/>
      <c r="E372" s="510">
        <f>C372*E6</f>
        <v>48</v>
      </c>
      <c r="F372" s="511">
        <f>C372+E372</f>
        <v>128</v>
      </c>
      <c r="G372" s="2"/>
      <c r="H372" s="189"/>
      <c r="I372" s="471"/>
      <c r="J372" s="471"/>
      <c r="K372" s="471"/>
      <c r="L372" s="2"/>
    </row>
    <row r="373" spans="2:12" x14ac:dyDescent="0.2">
      <c r="B373" s="436"/>
      <c r="C373" s="509"/>
      <c r="D373" s="509"/>
      <c r="E373" s="510"/>
      <c r="F373" s="511">
        <f t="shared" ref="F373:F378" si="59">C373+E373</f>
        <v>0</v>
      </c>
      <c r="G373" s="2"/>
      <c r="H373" s="189"/>
      <c r="I373" s="936" t="s">
        <v>967</v>
      </c>
      <c r="J373" s="936"/>
      <c r="K373" s="471"/>
      <c r="L373" s="2"/>
    </row>
    <row r="374" spans="2:12" x14ac:dyDescent="0.2">
      <c r="B374" s="449" t="s">
        <v>968</v>
      </c>
      <c r="C374" s="509"/>
      <c r="D374" s="509"/>
      <c r="E374" s="510"/>
      <c r="F374" s="511">
        <f t="shared" si="59"/>
        <v>0</v>
      </c>
      <c r="G374" s="2" t="s">
        <v>969</v>
      </c>
      <c r="H374" s="189" t="s">
        <v>970</v>
      </c>
      <c r="I374" s="471" t="s">
        <v>971</v>
      </c>
      <c r="J374" s="471" t="s">
        <v>972</v>
      </c>
      <c r="K374" s="13" t="s">
        <v>973</v>
      </c>
      <c r="L374" s="2"/>
    </row>
    <row r="375" spans="2:12" x14ac:dyDescent="0.2">
      <c r="B375" s="436" t="s">
        <v>974</v>
      </c>
      <c r="C375" s="202">
        <f>(I375*C371)+(J375*C203)+(H375*C429)+(G375*F802)+(C622)+K375</f>
        <v>385.96420074074075</v>
      </c>
      <c r="D375" s="509"/>
      <c r="E375" s="510">
        <f>C375*E6</f>
        <v>231.57852044444445</v>
      </c>
      <c r="F375" s="511">
        <f t="shared" si="59"/>
        <v>617.5427211851852</v>
      </c>
      <c r="G375" s="440">
        <v>2</v>
      </c>
      <c r="H375" s="11">
        <v>2.88</v>
      </c>
      <c r="I375" s="11">
        <v>2.88</v>
      </c>
      <c r="J375" s="11">
        <f>2.4*3+3</f>
        <v>10.199999999999999</v>
      </c>
      <c r="K375" s="512">
        <f>(I755*54)+(I753*12)+(I764*2)</f>
        <v>6.2694599999999996</v>
      </c>
      <c r="L375" s="2"/>
    </row>
    <row r="376" spans="2:12" x14ac:dyDescent="0.2">
      <c r="B376" s="436" t="s">
        <v>975</v>
      </c>
      <c r="C376" s="202">
        <f>(I376*C371)+(J376*C203)+(H376*C429)+(G376*F802)+(C622)+K376</f>
        <v>438.39130000000006</v>
      </c>
      <c r="D376" s="509"/>
      <c r="E376" s="510">
        <f>C376*E6</f>
        <v>263.03478000000001</v>
      </c>
      <c r="F376" s="511">
        <f t="shared" si="59"/>
        <v>701.42608000000007</v>
      </c>
      <c r="G376" s="440">
        <v>2</v>
      </c>
      <c r="H376" s="11">
        <v>3.24</v>
      </c>
      <c r="I376" s="11">
        <v>3.24</v>
      </c>
      <c r="J376" s="11">
        <f>2.7*3+4.2</f>
        <v>12.3</v>
      </c>
      <c r="K376" s="512">
        <f>(I755*66)+(I753*16)+(I764*2)</f>
        <v>6.6439666666666666</v>
      </c>
      <c r="L376" s="2"/>
    </row>
    <row r="377" spans="2:12" x14ac:dyDescent="0.2">
      <c r="B377" s="436" t="s">
        <v>976</v>
      </c>
      <c r="C377" s="202">
        <f>(I377*C371)+(J377*C203)+(H377*C429)+(G377*F802)+(C622)+K377</f>
        <v>482.37587259259266</v>
      </c>
      <c r="D377" s="509"/>
      <c r="E377" s="510">
        <f>C377*E6</f>
        <v>289.42552355555557</v>
      </c>
      <c r="F377" s="511">
        <f t="shared" si="59"/>
        <v>771.80139614814823</v>
      </c>
      <c r="G377" s="440">
        <v>3</v>
      </c>
      <c r="H377" s="11">
        <v>3.6</v>
      </c>
      <c r="I377" s="11">
        <v>3.6</v>
      </c>
      <c r="J377" s="11">
        <f>3*3+4.2</f>
        <v>13.2</v>
      </c>
      <c r="K377" s="512">
        <f>(I755*72)+(I753*16)+(I764*2)</f>
        <v>6.7839466666666661</v>
      </c>
      <c r="L377" s="2"/>
    </row>
    <row r="378" spans="2:12" x14ac:dyDescent="0.2">
      <c r="B378" s="436" t="s">
        <v>977</v>
      </c>
      <c r="C378" s="202">
        <f>(I378*C371)+(J378*C203)+(H378*C429)+(G378*F802)+(C622)+K378</f>
        <v>576.12555444444445</v>
      </c>
      <c r="D378" s="509"/>
      <c r="E378" s="510">
        <f>C378*E6</f>
        <v>345.67533266666663</v>
      </c>
      <c r="F378" s="511">
        <f t="shared" si="59"/>
        <v>921.80088711111102</v>
      </c>
      <c r="G378" s="440">
        <v>3</v>
      </c>
      <c r="H378" s="11">
        <v>4.32</v>
      </c>
      <c r="I378" s="11">
        <v>4.32</v>
      </c>
      <c r="J378" s="11">
        <f>3.6*3+5.4</f>
        <v>16.200000000000003</v>
      </c>
      <c r="K378" s="512">
        <f>(I755*87)+(I753*20)+(I764*2)</f>
        <v>7.2284433333333329</v>
      </c>
      <c r="L378" s="2"/>
    </row>
    <row r="379" spans="2:12" x14ac:dyDescent="0.2">
      <c r="B379" s="436"/>
      <c r="C379" s="509"/>
      <c r="D379" s="509"/>
      <c r="E379" s="510"/>
      <c r="F379" s="511"/>
      <c r="G379" s="440"/>
      <c r="H379" s="11"/>
      <c r="I379" s="11"/>
      <c r="J379" s="11"/>
      <c r="K379" s="248"/>
      <c r="L379" s="2"/>
    </row>
    <row r="380" spans="2:12" x14ac:dyDescent="0.2">
      <c r="B380" s="6"/>
      <c r="C380" s="15"/>
      <c r="D380" s="15"/>
      <c r="E380" s="86"/>
      <c r="F380" s="16"/>
      <c r="G380" s="2"/>
      <c r="H380" s="189"/>
      <c r="I380" s="189"/>
      <c r="J380" s="189"/>
      <c r="K380" s="189"/>
      <c r="L380" s="2"/>
    </row>
    <row r="381" spans="2:12" x14ac:dyDescent="0.2">
      <c r="B381" s="10"/>
      <c r="C381" s="10"/>
      <c r="D381" s="10"/>
      <c r="E381" s="86"/>
      <c r="F381" s="513"/>
      <c r="G381" s="2"/>
      <c r="H381" s="189"/>
      <c r="I381" s="471"/>
      <c r="J381" s="471"/>
      <c r="K381" s="471"/>
      <c r="L381" s="2"/>
    </row>
    <row r="382" spans="2:12" x14ac:dyDescent="0.2">
      <c r="B382" s="428" t="s">
        <v>978</v>
      </c>
      <c r="C382" s="10"/>
      <c r="D382" s="10"/>
      <c r="E382" s="86"/>
      <c r="F382" s="513"/>
      <c r="G382" s="2"/>
      <c r="H382" s="189"/>
      <c r="I382" s="471"/>
      <c r="J382" s="471"/>
      <c r="K382" s="471"/>
      <c r="L382" s="2"/>
    </row>
    <row r="383" spans="2:12" x14ac:dyDescent="0.2">
      <c r="B383" s="10"/>
      <c r="C383" s="10"/>
      <c r="D383" s="10"/>
      <c r="E383" s="86"/>
      <c r="F383" s="513"/>
      <c r="G383" s="2"/>
      <c r="H383" s="189"/>
      <c r="I383" s="471"/>
      <c r="J383" s="471"/>
      <c r="K383" s="471"/>
      <c r="L383" s="2"/>
    </row>
    <row r="384" spans="2:12" x14ac:dyDescent="0.2">
      <c r="B384" s="436" t="s">
        <v>979</v>
      </c>
      <c r="C384" s="15"/>
      <c r="D384" s="15">
        <f>C384*C6</f>
        <v>0</v>
      </c>
      <c r="E384" s="86">
        <f>(C384+D384)*E6</f>
        <v>0</v>
      </c>
      <c r="F384" s="16">
        <f>C384+D384+E384</f>
        <v>0</v>
      </c>
      <c r="G384" s="470" t="s">
        <v>881</v>
      </c>
      <c r="H384" s="189"/>
      <c r="I384" s="471"/>
      <c r="J384" s="471"/>
      <c r="K384" s="471"/>
      <c r="L384" s="2"/>
    </row>
    <row r="385" spans="2:12" x14ac:dyDescent="0.2">
      <c r="B385" s="436" t="s">
        <v>980</v>
      </c>
      <c r="C385" s="15"/>
      <c r="D385" s="15">
        <f>C385*C6</f>
        <v>0</v>
      </c>
      <c r="E385" s="86">
        <f>(C385+D385)*E6</f>
        <v>0</v>
      </c>
      <c r="F385" s="16">
        <f>C385+D385+E385</f>
        <v>0</v>
      </c>
      <c r="G385" s="2"/>
      <c r="H385" s="189"/>
      <c r="I385" s="471"/>
      <c r="J385" s="471"/>
      <c r="K385" s="471"/>
      <c r="L385" s="2"/>
    </row>
    <row r="386" spans="2:12" x14ac:dyDescent="0.2">
      <c r="B386" s="436" t="s">
        <v>981</v>
      </c>
      <c r="C386" s="15"/>
      <c r="D386" s="15">
        <f>C386*C6</f>
        <v>0</v>
      </c>
      <c r="E386" s="86">
        <f>(C386+D386)*E6</f>
        <v>0</v>
      </c>
      <c r="F386" s="16">
        <f>C386+D386+E386</f>
        <v>0</v>
      </c>
      <c r="G386" s="2"/>
      <c r="H386" s="189"/>
      <c r="I386" s="189"/>
      <c r="J386" s="189"/>
      <c r="K386" s="189"/>
      <c r="L386" s="2"/>
    </row>
    <row r="387" spans="2:12" x14ac:dyDescent="0.2">
      <c r="B387" s="436"/>
      <c r="C387" s="15"/>
      <c r="D387" s="15"/>
      <c r="E387" s="86"/>
      <c r="F387" s="16"/>
      <c r="G387" s="2"/>
      <c r="H387" s="514"/>
      <c r="I387" s="189"/>
      <c r="J387" s="189"/>
      <c r="K387" s="189"/>
      <c r="L387" s="2"/>
    </row>
    <row r="388" spans="2:12" x14ac:dyDescent="0.2">
      <c r="B388" s="447" t="s">
        <v>982</v>
      </c>
      <c r="C388" s="15"/>
      <c r="D388" s="15"/>
      <c r="E388" s="86"/>
      <c r="F388" s="16"/>
      <c r="G388" s="2"/>
      <c r="H388" s="189"/>
      <c r="I388" s="189"/>
      <c r="J388" s="189"/>
      <c r="K388" s="189"/>
      <c r="L388" s="2"/>
    </row>
    <row r="389" spans="2:12" x14ac:dyDescent="0.2">
      <c r="B389" s="436"/>
      <c r="C389" s="15"/>
      <c r="D389" s="15"/>
      <c r="E389" s="86"/>
      <c r="F389" s="16"/>
      <c r="G389" s="2"/>
      <c r="H389" s="189"/>
      <c r="I389" s="189"/>
      <c r="J389" s="189"/>
      <c r="K389" s="189"/>
      <c r="L389" s="2"/>
    </row>
    <row r="390" spans="2:12" x14ac:dyDescent="0.2">
      <c r="B390" s="436" t="s">
        <v>983</v>
      </c>
      <c r="C390" s="469">
        <v>15.76</v>
      </c>
      <c r="D390" s="15">
        <f>C390*C6</f>
        <v>0</v>
      </c>
      <c r="E390" s="86">
        <f>(C390+D390)*$E$6</f>
        <v>9.4559999999999995</v>
      </c>
      <c r="F390" s="16">
        <f>C390+D390+E390</f>
        <v>25.216000000000001</v>
      </c>
      <c r="G390" s="470"/>
      <c r="H390" s="165">
        <f>C390*$H$387</f>
        <v>0</v>
      </c>
      <c r="I390" s="189"/>
      <c r="J390" s="165">
        <f>C390+H390</f>
        <v>15.76</v>
      </c>
      <c r="K390" s="189"/>
      <c r="L390" s="2"/>
    </row>
    <row r="391" spans="2:12" x14ac:dyDescent="0.2">
      <c r="B391" s="436" t="s">
        <v>984</v>
      </c>
      <c r="C391" s="469">
        <v>22.03</v>
      </c>
      <c r="D391" s="15">
        <f>C391*C6</f>
        <v>0</v>
      </c>
      <c r="E391" s="86">
        <f t="shared" ref="E391:E404" si="60">(C391+D391)*$E$6</f>
        <v>13.218</v>
      </c>
      <c r="F391" s="16">
        <f t="shared" ref="F391:F424" si="61">C391+D391+E391</f>
        <v>35.248000000000005</v>
      </c>
      <c r="G391" s="431"/>
      <c r="H391" s="165">
        <f t="shared" ref="H391:H403" si="62">C391*$H$387</f>
        <v>0</v>
      </c>
      <c r="I391" s="189"/>
      <c r="J391" s="165">
        <f t="shared" ref="J391:J403" si="63">C391+H391</f>
        <v>22.03</v>
      </c>
      <c r="K391" s="189"/>
      <c r="L391" s="2"/>
    </row>
    <row r="392" spans="2:12" x14ac:dyDescent="0.2">
      <c r="B392" s="436" t="s">
        <v>985</v>
      </c>
      <c r="C392" s="469">
        <v>23.8</v>
      </c>
      <c r="D392" s="15">
        <f>C392*C6</f>
        <v>0</v>
      </c>
      <c r="E392" s="86">
        <f t="shared" si="60"/>
        <v>14.28</v>
      </c>
      <c r="F392" s="16">
        <f t="shared" si="61"/>
        <v>38.08</v>
      </c>
      <c r="G392" s="431"/>
      <c r="H392" s="165">
        <f t="shared" si="62"/>
        <v>0</v>
      </c>
      <c r="I392" s="189"/>
      <c r="J392" s="165">
        <f t="shared" si="63"/>
        <v>23.8</v>
      </c>
      <c r="K392" s="189"/>
      <c r="L392" s="2"/>
    </row>
    <row r="393" spans="2:12" x14ac:dyDescent="0.2">
      <c r="B393" s="436" t="s">
        <v>986</v>
      </c>
      <c r="C393" s="469">
        <v>7.98</v>
      </c>
      <c r="D393" s="15"/>
      <c r="E393" s="86">
        <f t="shared" si="60"/>
        <v>4.7880000000000003</v>
      </c>
      <c r="F393" s="16">
        <f t="shared" si="61"/>
        <v>12.768000000000001</v>
      </c>
      <c r="G393" s="431"/>
      <c r="H393" s="165">
        <f t="shared" si="62"/>
        <v>0</v>
      </c>
      <c r="I393" s="189"/>
      <c r="J393" s="165">
        <f t="shared" si="63"/>
        <v>7.98</v>
      </c>
      <c r="K393" s="189"/>
      <c r="L393" s="2"/>
    </row>
    <row r="394" spans="2:12" x14ac:dyDescent="0.2">
      <c r="B394" s="436" t="s">
        <v>987</v>
      </c>
      <c r="C394" s="469">
        <v>14.67</v>
      </c>
      <c r="D394" s="15">
        <f>C394*C6</f>
        <v>0</v>
      </c>
      <c r="E394" s="86">
        <f t="shared" si="60"/>
        <v>8.8019999999999996</v>
      </c>
      <c r="F394" s="16">
        <f t="shared" si="61"/>
        <v>23.472000000000001</v>
      </c>
      <c r="G394" s="431"/>
      <c r="H394" s="165">
        <f t="shared" si="62"/>
        <v>0</v>
      </c>
      <c r="I394" s="189"/>
      <c r="J394" s="165">
        <f t="shared" si="63"/>
        <v>14.67</v>
      </c>
      <c r="K394" s="189"/>
      <c r="L394" s="2"/>
    </row>
    <row r="395" spans="2:12" x14ac:dyDescent="0.2">
      <c r="B395" s="436" t="s">
        <v>988</v>
      </c>
      <c r="C395" s="469">
        <v>20.399999999999999</v>
      </c>
      <c r="D395" s="15">
        <f>C395*C6</f>
        <v>0</v>
      </c>
      <c r="E395" s="86">
        <f t="shared" si="60"/>
        <v>12.239999999999998</v>
      </c>
      <c r="F395" s="16">
        <f t="shared" si="61"/>
        <v>32.64</v>
      </c>
      <c r="G395" s="431"/>
      <c r="H395" s="165">
        <f t="shared" si="62"/>
        <v>0</v>
      </c>
      <c r="I395" s="189"/>
      <c r="J395" s="165">
        <f t="shared" si="63"/>
        <v>20.399999999999999</v>
      </c>
      <c r="K395" s="189"/>
      <c r="L395" s="2"/>
    </row>
    <row r="396" spans="2:12" x14ac:dyDescent="0.2">
      <c r="B396" s="436" t="s">
        <v>989</v>
      </c>
      <c r="C396" s="469">
        <v>30.24</v>
      </c>
      <c r="D396" s="15">
        <f>C396*C6</f>
        <v>0</v>
      </c>
      <c r="E396" s="86">
        <f t="shared" si="60"/>
        <v>18.143999999999998</v>
      </c>
      <c r="F396" s="16">
        <f t="shared" si="61"/>
        <v>48.384</v>
      </c>
      <c r="G396" s="431"/>
      <c r="H396" s="165">
        <f t="shared" si="62"/>
        <v>0</v>
      </c>
      <c r="I396" s="189"/>
      <c r="J396" s="165">
        <f t="shared" si="63"/>
        <v>30.24</v>
      </c>
      <c r="K396" s="189"/>
      <c r="L396" s="2"/>
    </row>
    <row r="397" spans="2:12" x14ac:dyDescent="0.2">
      <c r="B397" s="436" t="s">
        <v>990</v>
      </c>
      <c r="C397" s="469">
        <v>22.78</v>
      </c>
      <c r="D397" s="15">
        <f>C397*C6</f>
        <v>0</v>
      </c>
      <c r="E397" s="86">
        <f t="shared" si="60"/>
        <v>13.668000000000001</v>
      </c>
      <c r="F397" s="16">
        <f t="shared" si="61"/>
        <v>36.448</v>
      </c>
      <c r="G397" s="431"/>
      <c r="H397" s="165">
        <f t="shared" si="62"/>
        <v>0</v>
      </c>
      <c r="I397" s="189"/>
      <c r="J397" s="165">
        <f t="shared" si="63"/>
        <v>22.78</v>
      </c>
      <c r="K397" s="189"/>
      <c r="L397" s="2"/>
    </row>
    <row r="398" spans="2:12" x14ac:dyDescent="0.2">
      <c r="B398" s="436" t="s">
        <v>991</v>
      </c>
      <c r="C398" s="469">
        <v>34.01</v>
      </c>
      <c r="D398" s="15">
        <f>C398*C6</f>
        <v>0</v>
      </c>
      <c r="E398" s="86">
        <f t="shared" si="60"/>
        <v>20.405999999999999</v>
      </c>
      <c r="F398" s="16">
        <f t="shared" si="61"/>
        <v>54.415999999999997</v>
      </c>
      <c r="G398" s="431"/>
      <c r="H398" s="165">
        <f t="shared" si="62"/>
        <v>0</v>
      </c>
      <c r="I398" s="189"/>
      <c r="J398" s="165">
        <f t="shared" si="63"/>
        <v>34.01</v>
      </c>
      <c r="K398" s="189"/>
      <c r="L398" s="2"/>
    </row>
    <row r="399" spans="2:12" x14ac:dyDescent="0.2">
      <c r="B399" s="436" t="s">
        <v>992</v>
      </c>
      <c r="C399" s="469">
        <v>25.51</v>
      </c>
      <c r="D399" s="15">
        <f>C399*C6</f>
        <v>0</v>
      </c>
      <c r="E399" s="86">
        <f t="shared" si="60"/>
        <v>15.306000000000001</v>
      </c>
      <c r="F399" s="16">
        <f t="shared" si="61"/>
        <v>40.816000000000003</v>
      </c>
      <c r="G399" s="431"/>
      <c r="H399" s="165">
        <f t="shared" si="62"/>
        <v>0</v>
      </c>
      <c r="I399" s="189"/>
      <c r="J399" s="165">
        <f t="shared" si="63"/>
        <v>25.51</v>
      </c>
      <c r="K399" s="189"/>
      <c r="L399" s="2"/>
    </row>
    <row r="400" spans="2:12" x14ac:dyDescent="0.2">
      <c r="B400" s="436" t="s">
        <v>993</v>
      </c>
      <c r="C400" s="469">
        <v>37.79</v>
      </c>
      <c r="D400" s="15">
        <f>C400*C6</f>
        <v>0</v>
      </c>
      <c r="E400" s="86">
        <f t="shared" si="60"/>
        <v>22.673999999999999</v>
      </c>
      <c r="F400" s="16">
        <f t="shared" si="61"/>
        <v>60.463999999999999</v>
      </c>
      <c r="G400" s="431"/>
      <c r="H400" s="165">
        <f t="shared" si="62"/>
        <v>0</v>
      </c>
      <c r="I400" s="189"/>
      <c r="J400" s="165">
        <f t="shared" si="63"/>
        <v>37.79</v>
      </c>
      <c r="K400" s="189"/>
      <c r="L400" s="2"/>
    </row>
    <row r="401" spans="2:12" x14ac:dyDescent="0.2">
      <c r="B401" s="436" t="s">
        <v>994</v>
      </c>
      <c r="C401" s="469">
        <f>C400/3.6</f>
        <v>10.497222222222222</v>
      </c>
      <c r="D401" s="15">
        <f>C401*20%</f>
        <v>2.0994444444444444</v>
      </c>
      <c r="E401" s="86">
        <f t="shared" si="60"/>
        <v>7.5579999999999989</v>
      </c>
      <c r="F401" s="16">
        <f t="shared" si="61"/>
        <v>20.154666666666664</v>
      </c>
      <c r="G401" s="2"/>
      <c r="H401" s="165">
        <f t="shared" si="62"/>
        <v>0</v>
      </c>
      <c r="I401" s="189"/>
      <c r="J401" s="165">
        <f t="shared" si="63"/>
        <v>10.497222222222222</v>
      </c>
      <c r="K401" s="189"/>
      <c r="L401" s="2"/>
    </row>
    <row r="402" spans="2:12" x14ac:dyDescent="0.2">
      <c r="B402" s="436" t="s">
        <v>995</v>
      </c>
      <c r="C402" s="469">
        <v>1.82</v>
      </c>
      <c r="D402" s="15">
        <f>C402*C6</f>
        <v>0</v>
      </c>
      <c r="E402" s="86">
        <f t="shared" si="60"/>
        <v>1.0920000000000001</v>
      </c>
      <c r="F402" s="16">
        <f t="shared" si="61"/>
        <v>2.9119999999999999</v>
      </c>
      <c r="G402" s="2"/>
      <c r="H402" s="165">
        <f t="shared" si="62"/>
        <v>0</v>
      </c>
      <c r="I402" s="189"/>
      <c r="J402" s="165">
        <f t="shared" si="63"/>
        <v>1.82</v>
      </c>
      <c r="K402" s="189"/>
      <c r="L402" s="2"/>
    </row>
    <row r="403" spans="2:12" x14ac:dyDescent="0.2">
      <c r="B403" s="436" t="s">
        <v>996</v>
      </c>
      <c r="C403" s="469">
        <v>60</v>
      </c>
      <c r="D403" s="11"/>
      <c r="E403" s="86">
        <f t="shared" si="60"/>
        <v>36</v>
      </c>
      <c r="F403" s="16">
        <f t="shared" si="61"/>
        <v>96</v>
      </c>
      <c r="G403" s="2"/>
      <c r="H403" s="165">
        <f t="shared" si="62"/>
        <v>0</v>
      </c>
      <c r="I403" s="189"/>
      <c r="J403" s="165">
        <f t="shared" si="63"/>
        <v>60</v>
      </c>
      <c r="K403" s="189"/>
      <c r="L403" s="2"/>
    </row>
    <row r="404" spans="2:12" x14ac:dyDescent="0.2">
      <c r="B404" s="436" t="s">
        <v>997</v>
      </c>
      <c r="C404" s="469">
        <f>C403/3.6</f>
        <v>16.666666666666668</v>
      </c>
      <c r="D404" s="15">
        <f>C404*C8</f>
        <v>0</v>
      </c>
      <c r="E404" s="86">
        <f t="shared" si="60"/>
        <v>10</v>
      </c>
      <c r="F404" s="16">
        <f t="shared" si="61"/>
        <v>26.666666666666668</v>
      </c>
      <c r="G404" s="2"/>
      <c r="H404" s="165"/>
      <c r="I404" s="189"/>
      <c r="J404" s="165"/>
      <c r="K404" s="189"/>
      <c r="L404" s="2"/>
    </row>
    <row r="405" spans="2:12" x14ac:dyDescent="0.2">
      <c r="B405" s="436"/>
      <c r="C405" s="15"/>
      <c r="D405" s="15"/>
      <c r="E405" s="86"/>
      <c r="F405" s="16"/>
      <c r="G405" s="2"/>
      <c r="H405" s="165">
        <f t="shared" ref="H405:H419" si="64">C405*$H$387</f>
        <v>0</v>
      </c>
      <c r="I405" s="189"/>
      <c r="J405" s="165">
        <f t="shared" ref="J405:J419" si="65">C405+H405</f>
        <v>0</v>
      </c>
      <c r="K405" s="189"/>
      <c r="L405" s="2"/>
    </row>
    <row r="406" spans="2:12" x14ac:dyDescent="0.2">
      <c r="B406" s="447" t="s">
        <v>998</v>
      </c>
      <c r="C406" s="15"/>
      <c r="D406" s="15"/>
      <c r="E406" s="86"/>
      <c r="F406" s="16"/>
      <c r="G406" s="2"/>
      <c r="H406" s="165">
        <f t="shared" si="64"/>
        <v>0</v>
      </c>
      <c r="I406" s="189"/>
      <c r="J406" s="165">
        <f t="shared" si="65"/>
        <v>0</v>
      </c>
      <c r="K406" s="189"/>
      <c r="L406" s="2"/>
    </row>
    <row r="407" spans="2:12" x14ac:dyDescent="0.2">
      <c r="B407" s="436"/>
      <c r="C407" s="15"/>
      <c r="D407" s="15"/>
      <c r="E407" s="86"/>
      <c r="F407" s="16"/>
      <c r="G407" s="2"/>
      <c r="H407" s="165">
        <f t="shared" si="64"/>
        <v>0</v>
      </c>
      <c r="I407" s="189"/>
      <c r="J407" s="165">
        <f t="shared" si="65"/>
        <v>0</v>
      </c>
      <c r="K407" s="189"/>
      <c r="L407" s="2"/>
    </row>
    <row r="408" spans="2:12" x14ac:dyDescent="0.2">
      <c r="B408" s="436" t="s">
        <v>999</v>
      </c>
      <c r="C408" s="469"/>
      <c r="D408" s="15">
        <f>C408*C6</f>
        <v>0</v>
      </c>
      <c r="E408" s="86">
        <f>(C408+D408)*E6</f>
        <v>0</v>
      </c>
      <c r="F408" s="16">
        <f t="shared" si="61"/>
        <v>0</v>
      </c>
      <c r="G408" s="495" t="s">
        <v>881</v>
      </c>
      <c r="H408" s="165">
        <f t="shared" si="64"/>
        <v>0</v>
      </c>
      <c r="I408" s="189"/>
      <c r="J408" s="165">
        <f t="shared" si="65"/>
        <v>0</v>
      </c>
      <c r="K408" s="189"/>
      <c r="L408" s="2"/>
    </row>
    <row r="409" spans="2:12" x14ac:dyDescent="0.2">
      <c r="B409" s="436"/>
      <c r="C409" s="15"/>
      <c r="D409" s="15"/>
      <c r="E409" s="86"/>
      <c r="F409" s="16"/>
      <c r="G409" s="2"/>
      <c r="H409" s="165">
        <f t="shared" si="64"/>
        <v>0</v>
      </c>
      <c r="I409" s="189"/>
      <c r="J409" s="165">
        <f t="shared" si="65"/>
        <v>0</v>
      </c>
      <c r="K409" s="189"/>
      <c r="L409" s="2"/>
    </row>
    <row r="410" spans="2:12" x14ac:dyDescent="0.2">
      <c r="B410" s="447" t="s">
        <v>1000</v>
      </c>
      <c r="C410" s="15"/>
      <c r="D410" s="15"/>
      <c r="E410" s="86"/>
      <c r="F410" s="16"/>
      <c r="G410" s="2"/>
      <c r="H410" s="165">
        <f t="shared" si="64"/>
        <v>0</v>
      </c>
      <c r="I410" s="189"/>
      <c r="J410" s="165">
        <f t="shared" si="65"/>
        <v>0</v>
      </c>
      <c r="K410" s="189"/>
      <c r="L410" s="2"/>
    </row>
    <row r="411" spans="2:12" x14ac:dyDescent="0.2">
      <c r="B411" s="436"/>
      <c r="C411" s="15"/>
      <c r="D411" s="15"/>
      <c r="E411" s="86"/>
      <c r="F411" s="16"/>
      <c r="G411" s="2"/>
      <c r="H411" s="165">
        <f t="shared" si="64"/>
        <v>0</v>
      </c>
      <c r="I411" s="189"/>
      <c r="J411" s="165">
        <f t="shared" si="65"/>
        <v>0</v>
      </c>
      <c r="K411" s="189"/>
      <c r="L411" s="2"/>
    </row>
    <row r="412" spans="2:12" x14ac:dyDescent="0.2">
      <c r="B412" s="436" t="s">
        <v>1001</v>
      </c>
      <c r="C412" s="476">
        <f>C413/2.7</f>
        <v>24.826666666666664</v>
      </c>
      <c r="D412" s="15">
        <f>C412*20%</f>
        <v>4.9653333333333336</v>
      </c>
      <c r="E412" s="86">
        <f>(C412+D412)*E6</f>
        <v>17.8752</v>
      </c>
      <c r="F412" s="16">
        <f t="shared" si="61"/>
        <v>47.667199999999994</v>
      </c>
      <c r="G412" s="470"/>
      <c r="H412" s="165">
        <f t="shared" si="64"/>
        <v>0</v>
      </c>
      <c r="I412" s="189"/>
      <c r="J412" s="165">
        <f t="shared" si="65"/>
        <v>24.826666666666664</v>
      </c>
      <c r="K412" s="189"/>
      <c r="L412" s="2"/>
    </row>
    <row r="413" spans="2:12" x14ac:dyDescent="0.2">
      <c r="B413" s="11" t="s">
        <v>1002</v>
      </c>
      <c r="C413" s="202">
        <f>(3*1.2)*$C$419</f>
        <v>67.031999999999996</v>
      </c>
      <c r="D413" s="15">
        <f>C413*C6</f>
        <v>0</v>
      </c>
      <c r="E413" s="86">
        <f>(C413+D413)*E6</f>
        <v>40.219199999999994</v>
      </c>
      <c r="F413" s="16">
        <f t="shared" si="61"/>
        <v>107.25119999999998</v>
      </c>
      <c r="G413" s="2"/>
      <c r="H413" s="165">
        <f t="shared" si="64"/>
        <v>0</v>
      </c>
      <c r="I413" s="189"/>
      <c r="J413" s="165">
        <f t="shared" si="65"/>
        <v>67.031999999999996</v>
      </c>
      <c r="K413" s="471"/>
      <c r="L413" s="2"/>
    </row>
    <row r="414" spans="2:12" x14ac:dyDescent="0.2">
      <c r="B414" s="11" t="s">
        <v>1003</v>
      </c>
      <c r="C414" s="202">
        <f>(3*0.9)*$C$419</f>
        <v>50.274000000000008</v>
      </c>
      <c r="D414" s="15">
        <f>C414*C6</f>
        <v>0</v>
      </c>
      <c r="E414" s="86">
        <f>(C414+D414)*E6</f>
        <v>30.164400000000004</v>
      </c>
      <c r="F414" s="16">
        <f t="shared" si="61"/>
        <v>80.438400000000016</v>
      </c>
      <c r="G414" s="2"/>
      <c r="H414" s="165">
        <f t="shared" si="64"/>
        <v>0</v>
      </c>
      <c r="I414" s="189"/>
      <c r="J414" s="165">
        <f t="shared" si="65"/>
        <v>50.274000000000008</v>
      </c>
      <c r="K414" s="471"/>
      <c r="L414" s="2"/>
    </row>
    <row r="415" spans="2:12" x14ac:dyDescent="0.2">
      <c r="B415" s="11" t="s">
        <v>1004</v>
      </c>
      <c r="C415" s="202">
        <f>(2.7*1.2)*$C$419</f>
        <v>60.328800000000008</v>
      </c>
      <c r="D415" s="15">
        <f>C415*C6</f>
        <v>0</v>
      </c>
      <c r="E415" s="86">
        <f>(C415+D415)*E6</f>
        <v>36.197280000000006</v>
      </c>
      <c r="F415" s="16">
        <f t="shared" si="61"/>
        <v>96.526080000000007</v>
      </c>
      <c r="G415" s="2"/>
      <c r="H415" s="165">
        <f t="shared" si="64"/>
        <v>0</v>
      </c>
      <c r="I415" s="189"/>
      <c r="J415" s="165">
        <f t="shared" si="65"/>
        <v>60.328800000000008</v>
      </c>
      <c r="K415" s="471"/>
      <c r="L415" s="2"/>
    </row>
    <row r="416" spans="2:12" x14ac:dyDescent="0.2">
      <c r="B416" s="11" t="s">
        <v>1005</v>
      </c>
      <c r="C416" s="202">
        <f>(2.7*0.9)*$C$419</f>
        <v>45.246600000000008</v>
      </c>
      <c r="D416" s="15">
        <f>C416*C6</f>
        <v>0</v>
      </c>
      <c r="E416" s="86">
        <f>(C416+D416)*E6</f>
        <v>27.147960000000005</v>
      </c>
      <c r="F416" s="16">
        <f t="shared" si="61"/>
        <v>72.394560000000013</v>
      </c>
      <c r="G416" s="2"/>
      <c r="H416" s="165">
        <f t="shared" si="64"/>
        <v>0</v>
      </c>
      <c r="I416" s="189"/>
      <c r="J416" s="165">
        <f t="shared" si="65"/>
        <v>45.246600000000008</v>
      </c>
      <c r="K416" s="471"/>
      <c r="L416" s="2"/>
    </row>
    <row r="417" spans="1:12" x14ac:dyDescent="0.2">
      <c r="B417" s="11" t="s">
        <v>1006</v>
      </c>
      <c r="C417" s="202">
        <f>(2.4*1.2)*$C$419</f>
        <v>53.625599999999999</v>
      </c>
      <c r="D417" s="15">
        <f>C417*C6</f>
        <v>0</v>
      </c>
      <c r="E417" s="86">
        <f>(C417+D417)*E6</f>
        <v>32.175359999999998</v>
      </c>
      <c r="F417" s="16">
        <f t="shared" si="61"/>
        <v>85.800960000000003</v>
      </c>
      <c r="G417" s="2"/>
      <c r="H417" s="165">
        <f t="shared" si="64"/>
        <v>0</v>
      </c>
      <c r="I417" s="189"/>
      <c r="J417" s="165">
        <f t="shared" si="65"/>
        <v>53.625599999999999</v>
      </c>
      <c r="K417" s="471"/>
      <c r="L417" s="2"/>
    </row>
    <row r="418" spans="1:12" x14ac:dyDescent="0.2">
      <c r="B418" s="11" t="s">
        <v>1007</v>
      </c>
      <c r="C418" s="202">
        <f>(2.4*0.9)*$C$419</f>
        <v>40.219200000000008</v>
      </c>
      <c r="D418" s="15">
        <f>C418*C6</f>
        <v>0</v>
      </c>
      <c r="E418" s="86">
        <f>(C418+D418)*E6</f>
        <v>24.131520000000005</v>
      </c>
      <c r="F418" s="16">
        <f t="shared" si="61"/>
        <v>64.35072000000001</v>
      </c>
      <c r="G418" s="2"/>
      <c r="H418" s="165">
        <f t="shared" si="64"/>
        <v>0</v>
      </c>
      <c r="I418" s="189"/>
      <c r="J418" s="165">
        <f t="shared" si="65"/>
        <v>40.219200000000008</v>
      </c>
      <c r="K418" s="471"/>
      <c r="L418" s="2"/>
    </row>
    <row r="419" spans="1:12" x14ac:dyDescent="0.2">
      <c r="B419" s="11" t="s">
        <v>1008</v>
      </c>
      <c r="C419" s="515">
        <v>18.62</v>
      </c>
      <c r="D419" s="15"/>
      <c r="E419" s="86">
        <f>C419*E6</f>
        <v>11.172000000000001</v>
      </c>
      <c r="F419" s="16">
        <f t="shared" si="61"/>
        <v>29.792000000000002</v>
      </c>
      <c r="G419" s="2"/>
      <c r="H419" s="165">
        <f t="shared" si="64"/>
        <v>0</v>
      </c>
      <c r="I419" s="189"/>
      <c r="J419" s="165">
        <f t="shared" si="65"/>
        <v>18.62</v>
      </c>
      <c r="K419" s="471"/>
      <c r="L419" s="2"/>
    </row>
    <row r="420" spans="1:12" x14ac:dyDescent="0.2">
      <c r="B420" s="11"/>
      <c r="C420" s="97"/>
      <c r="D420" s="15"/>
      <c r="E420" s="86"/>
      <c r="F420" s="16"/>
      <c r="G420" s="2"/>
      <c r="H420" s="189"/>
      <c r="I420" s="471"/>
      <c r="J420" s="471"/>
      <c r="K420" s="471"/>
      <c r="L420" s="2"/>
    </row>
    <row r="421" spans="1:12" x14ac:dyDescent="0.2">
      <c r="B421" s="428" t="s">
        <v>1009</v>
      </c>
      <c r="C421" s="97"/>
      <c r="D421" s="15"/>
      <c r="E421" s="86"/>
      <c r="F421" s="16"/>
      <c r="G421" s="2"/>
      <c r="H421" s="189"/>
      <c r="I421" s="471"/>
      <c r="J421" s="471"/>
      <c r="K421" s="471"/>
      <c r="L421" s="2"/>
    </row>
    <row r="422" spans="1:12" x14ac:dyDescent="0.2">
      <c r="B422" s="11"/>
      <c r="C422" s="97"/>
      <c r="D422" s="15"/>
      <c r="E422" s="86"/>
      <c r="F422" s="16"/>
      <c r="G422" s="2"/>
      <c r="H422" s="189"/>
      <c r="I422" s="471"/>
      <c r="J422" s="471"/>
      <c r="K422" s="471"/>
      <c r="L422" s="2"/>
    </row>
    <row r="423" spans="1:12" x14ac:dyDescent="0.2">
      <c r="A423" s="516">
        <v>21.19</v>
      </c>
      <c r="B423" s="11" t="s">
        <v>1010</v>
      </c>
      <c r="C423" s="482">
        <v>7.6</v>
      </c>
      <c r="D423" s="15">
        <f>C423*C6</f>
        <v>0</v>
      </c>
      <c r="E423" s="86">
        <f>(C423+D423)*E6</f>
        <v>4.5599999999999996</v>
      </c>
      <c r="F423" s="16">
        <f t="shared" si="61"/>
        <v>12.16</v>
      </c>
      <c r="G423" s="2"/>
      <c r="H423" s="189"/>
      <c r="I423" s="471"/>
      <c r="J423" s="471"/>
      <c r="K423" s="471"/>
      <c r="L423" s="2"/>
    </row>
    <row r="424" spans="1:12" x14ac:dyDescent="0.2">
      <c r="A424" s="517"/>
      <c r="B424" s="437" t="s">
        <v>1011</v>
      </c>
      <c r="C424" s="482">
        <v>5.3</v>
      </c>
      <c r="D424" s="97">
        <f>C424*C6</f>
        <v>0</v>
      </c>
      <c r="E424" s="451">
        <f>(C424+D424)*E6</f>
        <v>3.1799999999999997</v>
      </c>
      <c r="F424" s="87">
        <f t="shared" si="61"/>
        <v>8.48</v>
      </c>
      <c r="G424" s="2"/>
      <c r="H424" s="189"/>
      <c r="I424" s="471"/>
      <c r="J424" s="471"/>
      <c r="K424" s="471"/>
      <c r="L424" s="2"/>
    </row>
    <row r="425" spans="1:12" x14ac:dyDescent="0.2">
      <c r="A425" s="517"/>
      <c r="B425" s="433" t="s">
        <v>491</v>
      </c>
      <c r="C425" s="518">
        <v>6.7</v>
      </c>
      <c r="D425" s="519"/>
      <c r="E425" s="451">
        <f>(C425+D425)*E6</f>
        <v>4.0199999999999996</v>
      </c>
      <c r="F425" s="87">
        <f>C425+D425+E425</f>
        <v>10.719999999999999</v>
      </c>
      <c r="G425" s="2"/>
      <c r="H425" s="189"/>
      <c r="I425" s="471"/>
      <c r="J425" s="471"/>
      <c r="K425" s="471"/>
      <c r="L425" s="2"/>
    </row>
    <row r="426" spans="1:12" x14ac:dyDescent="0.2">
      <c r="A426" s="517"/>
      <c r="B426" s="433" t="s">
        <v>492</v>
      </c>
      <c r="C426" s="476">
        <v>3.65</v>
      </c>
      <c r="D426" s="519"/>
      <c r="E426" s="451">
        <f>(C426+D426)*E6</f>
        <v>2.19</v>
      </c>
      <c r="F426" s="87">
        <f>C426+D426+E426</f>
        <v>5.84</v>
      </c>
      <c r="G426" s="2"/>
      <c r="H426" s="189"/>
      <c r="I426" s="471"/>
      <c r="J426" s="471"/>
      <c r="K426" s="471"/>
      <c r="L426" s="2"/>
    </row>
    <row r="427" spans="1:12" x14ac:dyDescent="0.2">
      <c r="A427" s="517"/>
      <c r="B427" s="433"/>
      <c r="C427" s="97"/>
      <c r="D427" s="519"/>
      <c r="E427" s="451">
        <f>(C427+D427)*E7</f>
        <v>0</v>
      </c>
      <c r="F427" s="87">
        <f t="shared" ref="F427:F447" si="66">C427+D427+E427</f>
        <v>0</v>
      </c>
      <c r="G427" s="2"/>
      <c r="H427" s="189"/>
      <c r="I427" s="471"/>
      <c r="J427" s="471"/>
      <c r="K427" s="471"/>
      <c r="L427" s="2"/>
    </row>
    <row r="428" spans="1:12" x14ac:dyDescent="0.2">
      <c r="A428" s="517"/>
      <c r="B428" s="520" t="s">
        <v>1012</v>
      </c>
      <c r="C428" s="97"/>
      <c r="D428" s="519"/>
      <c r="E428" s="451">
        <f>(C428+D428)*E8</f>
        <v>0</v>
      </c>
      <c r="F428" s="87">
        <f t="shared" si="66"/>
        <v>0</v>
      </c>
      <c r="G428" s="2"/>
      <c r="H428" s="189"/>
      <c r="I428" s="471"/>
      <c r="J428" s="471"/>
      <c r="K428" s="471"/>
      <c r="L428" s="2"/>
    </row>
    <row r="429" spans="1:12" x14ac:dyDescent="0.2">
      <c r="A429" s="516">
        <f>A430+A431+A432</f>
        <v>9.7199999999999989</v>
      </c>
      <c r="B429" s="11" t="s">
        <v>1013</v>
      </c>
      <c r="C429" s="521">
        <f>(C430+C431+C432)/A429</f>
        <v>46.090534979423872</v>
      </c>
      <c r="D429" s="15"/>
      <c r="E429" s="86">
        <f>C429*E6</f>
        <v>27.654320987654323</v>
      </c>
      <c r="F429" s="16">
        <f t="shared" si="66"/>
        <v>73.744855967078195</v>
      </c>
      <c r="G429" s="470"/>
      <c r="H429" s="189"/>
      <c r="I429" s="471"/>
      <c r="J429" s="471"/>
      <c r="K429" s="471"/>
      <c r="L429" s="2"/>
    </row>
    <row r="430" spans="1:12" x14ac:dyDescent="0.2">
      <c r="A430" s="516">
        <f>2.4*1.2</f>
        <v>2.88</v>
      </c>
      <c r="B430" s="433" t="s">
        <v>1014</v>
      </c>
      <c r="C430" s="515">
        <v>133</v>
      </c>
      <c r="D430" s="519"/>
      <c r="E430" s="451">
        <f>(C430+D430)*$E$6</f>
        <v>79.8</v>
      </c>
      <c r="F430" s="87">
        <f t="shared" si="66"/>
        <v>212.8</v>
      </c>
      <c r="G430" s="2"/>
      <c r="H430" s="189" t="s">
        <v>1015</v>
      </c>
      <c r="I430" s="471"/>
      <c r="J430" s="471"/>
      <c r="K430" s="471"/>
      <c r="L430" s="2"/>
    </row>
    <row r="431" spans="1:12" x14ac:dyDescent="0.2">
      <c r="A431" s="516">
        <f>2.7*1.2</f>
        <v>3.24</v>
      </c>
      <c r="B431" s="433" t="s">
        <v>1016</v>
      </c>
      <c r="C431" s="515">
        <v>150</v>
      </c>
      <c r="D431" s="519"/>
      <c r="E431" s="451">
        <f t="shared" ref="E431:E447" si="67">(C431+D431)*$E$6</f>
        <v>90</v>
      </c>
      <c r="F431" s="87">
        <f t="shared" si="66"/>
        <v>240</v>
      </c>
      <c r="G431" s="2"/>
      <c r="H431" s="189" t="s">
        <v>1015</v>
      </c>
      <c r="I431" s="471"/>
      <c r="J431" s="471"/>
      <c r="K431" s="471"/>
      <c r="L431" s="2"/>
    </row>
    <row r="432" spans="1:12" x14ac:dyDescent="0.2">
      <c r="A432" s="516">
        <f>3*1.2</f>
        <v>3.5999999999999996</v>
      </c>
      <c r="B432" s="433" t="s">
        <v>1017</v>
      </c>
      <c r="C432" s="515">
        <v>165</v>
      </c>
      <c r="D432" s="519"/>
      <c r="E432" s="451">
        <f t="shared" si="67"/>
        <v>99</v>
      </c>
      <c r="F432" s="87">
        <f t="shared" si="66"/>
        <v>264</v>
      </c>
      <c r="G432" s="2"/>
      <c r="H432" s="189" t="s">
        <v>1015</v>
      </c>
      <c r="I432" s="471"/>
      <c r="J432" s="471"/>
      <c r="K432" s="471"/>
      <c r="L432" s="2"/>
    </row>
    <row r="433" spans="2:12" x14ac:dyDescent="0.2">
      <c r="B433" s="11"/>
      <c r="C433" s="97"/>
      <c r="D433" s="519"/>
      <c r="E433" s="451">
        <f t="shared" si="67"/>
        <v>0</v>
      </c>
      <c r="F433" s="87">
        <f t="shared" si="66"/>
        <v>0</v>
      </c>
      <c r="G433" s="2"/>
      <c r="H433" s="189"/>
      <c r="I433" s="471"/>
      <c r="J433" s="471"/>
      <c r="K433" s="471"/>
      <c r="L433" s="2"/>
    </row>
    <row r="434" spans="2:12" x14ac:dyDescent="0.2">
      <c r="B434" s="11" t="s">
        <v>1018</v>
      </c>
      <c r="C434" s="515">
        <v>23</v>
      </c>
      <c r="D434" s="519"/>
      <c r="E434" s="451">
        <f t="shared" si="67"/>
        <v>13.799999999999999</v>
      </c>
      <c r="F434" s="87">
        <f t="shared" si="66"/>
        <v>36.799999999999997</v>
      </c>
      <c r="G434" s="2"/>
      <c r="H434" s="189" t="s">
        <v>1015</v>
      </c>
      <c r="I434" s="471"/>
      <c r="J434" s="471"/>
      <c r="K434" s="471"/>
      <c r="L434" s="2"/>
    </row>
    <row r="435" spans="2:12" x14ac:dyDescent="0.2">
      <c r="B435" s="11" t="s">
        <v>1019</v>
      </c>
      <c r="C435" s="515">
        <v>58</v>
      </c>
      <c r="D435" s="519"/>
      <c r="E435" s="451">
        <f t="shared" si="67"/>
        <v>34.799999999999997</v>
      </c>
      <c r="F435" s="87">
        <f t="shared" si="66"/>
        <v>92.8</v>
      </c>
      <c r="H435" s="189" t="s">
        <v>1015</v>
      </c>
      <c r="I435" s="471"/>
      <c r="J435" s="471"/>
      <c r="K435" s="471"/>
      <c r="L435" s="2"/>
    </row>
    <row r="436" spans="2:12" x14ac:dyDescent="0.2">
      <c r="B436" s="11" t="s">
        <v>1020</v>
      </c>
      <c r="C436" s="515">
        <v>104.69</v>
      </c>
      <c r="D436" s="519"/>
      <c r="E436" s="451">
        <f t="shared" si="67"/>
        <v>62.813999999999993</v>
      </c>
      <c r="F436" s="87">
        <f t="shared" si="66"/>
        <v>167.50399999999999</v>
      </c>
      <c r="G436" s="522">
        <f>F436/3.9</f>
        <v>42.949743589743591</v>
      </c>
      <c r="H436" s="189" t="s">
        <v>1021</v>
      </c>
      <c r="I436" s="471"/>
      <c r="J436" s="471"/>
      <c r="K436" s="471"/>
      <c r="L436" s="2"/>
    </row>
    <row r="437" spans="2:12" x14ac:dyDescent="0.2">
      <c r="B437" s="11" t="s">
        <v>1022</v>
      </c>
      <c r="C437" s="515">
        <v>9.64</v>
      </c>
      <c r="D437" s="519"/>
      <c r="E437" s="451">
        <f t="shared" si="67"/>
        <v>5.7839999999999998</v>
      </c>
      <c r="F437" s="87">
        <f t="shared" si="66"/>
        <v>15.423999999999999</v>
      </c>
      <c r="G437" s="523"/>
      <c r="H437" s="189"/>
      <c r="I437" s="471"/>
      <c r="J437" s="471"/>
      <c r="K437" s="471"/>
      <c r="L437" s="2"/>
    </row>
    <row r="438" spans="2:12" x14ac:dyDescent="0.2">
      <c r="B438" s="11" t="s">
        <v>1023</v>
      </c>
      <c r="C438" s="515">
        <v>13.54</v>
      </c>
      <c r="D438" s="519"/>
      <c r="E438" s="451">
        <f t="shared" si="67"/>
        <v>8.1239999999999988</v>
      </c>
      <c r="F438" s="87">
        <f t="shared" si="66"/>
        <v>21.663999999999998</v>
      </c>
      <c r="G438" s="522">
        <f>F438-3</f>
        <v>18.663999999999998</v>
      </c>
      <c r="H438" s="189"/>
      <c r="I438" s="471"/>
      <c r="J438" s="471"/>
      <c r="K438" s="471"/>
      <c r="L438" s="2"/>
    </row>
    <row r="439" spans="2:12" x14ac:dyDescent="0.2">
      <c r="B439" s="11" t="s">
        <v>1024</v>
      </c>
      <c r="C439" s="515">
        <v>33.700000000000003</v>
      </c>
      <c r="D439" s="519"/>
      <c r="E439" s="451">
        <f t="shared" si="67"/>
        <v>20.220000000000002</v>
      </c>
      <c r="F439" s="87">
        <f t="shared" si="66"/>
        <v>53.92</v>
      </c>
      <c r="G439" s="523"/>
      <c r="H439" s="189" t="s">
        <v>1021</v>
      </c>
      <c r="I439" s="471"/>
      <c r="J439" s="471"/>
      <c r="K439" s="471"/>
      <c r="L439" s="2"/>
    </row>
    <row r="440" spans="2:12" x14ac:dyDescent="0.2">
      <c r="B440" s="190" t="s">
        <v>1025</v>
      </c>
      <c r="C440" s="515">
        <v>350</v>
      </c>
      <c r="D440" s="519"/>
      <c r="E440" s="451">
        <f t="shared" si="67"/>
        <v>210</v>
      </c>
      <c r="F440" s="87">
        <f t="shared" si="66"/>
        <v>560</v>
      </c>
      <c r="G440" s="522">
        <f>F440/30</f>
        <v>18.666666666666668</v>
      </c>
      <c r="H440" s="189" t="s">
        <v>1021</v>
      </c>
      <c r="I440" s="471"/>
      <c r="J440" s="471"/>
      <c r="K440" s="471"/>
      <c r="L440" s="2"/>
    </row>
    <row r="441" spans="2:12" x14ac:dyDescent="0.2">
      <c r="B441" s="11"/>
      <c r="C441" s="97"/>
      <c r="D441" s="519"/>
      <c r="E441" s="451">
        <f t="shared" si="67"/>
        <v>0</v>
      </c>
      <c r="F441" s="87">
        <f t="shared" si="66"/>
        <v>0</v>
      </c>
      <c r="H441" s="189"/>
      <c r="I441" s="471"/>
      <c r="J441" s="471"/>
      <c r="K441" s="471"/>
      <c r="L441" s="2"/>
    </row>
    <row r="442" spans="2:12" x14ac:dyDescent="0.2">
      <c r="B442" s="11"/>
      <c r="C442" s="97"/>
      <c r="D442" s="519"/>
      <c r="E442" s="451">
        <f t="shared" si="67"/>
        <v>0</v>
      </c>
      <c r="F442" s="87">
        <f t="shared" si="66"/>
        <v>0</v>
      </c>
      <c r="H442" s="189"/>
      <c r="I442" s="471"/>
      <c r="J442" s="471"/>
      <c r="K442" s="471"/>
      <c r="L442" s="2"/>
    </row>
    <row r="443" spans="2:12" x14ac:dyDescent="0.2">
      <c r="B443" s="11"/>
      <c r="C443" s="97"/>
      <c r="D443" s="15"/>
      <c r="E443" s="451">
        <f t="shared" si="67"/>
        <v>0</v>
      </c>
      <c r="F443" s="87">
        <f t="shared" si="66"/>
        <v>0</v>
      </c>
      <c r="G443" s="2"/>
      <c r="H443" s="189"/>
      <c r="I443" s="471"/>
      <c r="J443" s="471"/>
      <c r="K443" s="471"/>
      <c r="L443" s="2"/>
    </row>
    <row r="444" spans="2:12" x14ac:dyDescent="0.2">
      <c r="B444" s="524" t="s">
        <v>1026</v>
      </c>
      <c r="C444" s="97"/>
      <c r="D444" s="97"/>
      <c r="E444" s="451">
        <f t="shared" si="67"/>
        <v>0</v>
      </c>
      <c r="F444" s="87">
        <f t="shared" si="66"/>
        <v>0</v>
      </c>
      <c r="G444" s="2"/>
      <c r="H444" s="189"/>
      <c r="I444" s="471"/>
      <c r="J444" s="471"/>
      <c r="K444" s="471"/>
      <c r="L444" s="2"/>
    </row>
    <row r="445" spans="2:12" x14ac:dyDescent="0.2">
      <c r="B445" s="437" t="s">
        <v>1027</v>
      </c>
      <c r="C445" s="482">
        <v>6.59</v>
      </c>
      <c r="D445" s="97"/>
      <c r="E445" s="451">
        <f t="shared" si="67"/>
        <v>3.9539999999999997</v>
      </c>
      <c r="F445" s="87">
        <f t="shared" si="66"/>
        <v>10.544</v>
      </c>
      <c r="G445" s="2"/>
      <c r="H445" s="189"/>
      <c r="I445" s="471"/>
      <c r="J445" s="471"/>
      <c r="K445" s="471"/>
      <c r="L445" s="2"/>
    </row>
    <row r="446" spans="2:12" x14ac:dyDescent="0.2">
      <c r="B446" s="437" t="s">
        <v>1028</v>
      </c>
      <c r="C446" s="482">
        <v>6</v>
      </c>
      <c r="D446" s="97"/>
      <c r="E446" s="451">
        <f t="shared" si="67"/>
        <v>3.5999999999999996</v>
      </c>
      <c r="F446" s="87">
        <f t="shared" si="66"/>
        <v>9.6</v>
      </c>
      <c r="G446" s="2"/>
      <c r="H446" s="189"/>
      <c r="I446" s="471"/>
      <c r="J446" s="471"/>
      <c r="K446" s="471"/>
      <c r="L446" s="2"/>
    </row>
    <row r="447" spans="2:12" x14ac:dyDescent="0.2">
      <c r="B447" s="437" t="s">
        <v>1029</v>
      </c>
      <c r="C447" s="482">
        <f>C445*5.4*2</f>
        <v>71.171999999999997</v>
      </c>
      <c r="D447" s="97"/>
      <c r="E447" s="451">
        <f t="shared" si="67"/>
        <v>42.703199999999995</v>
      </c>
      <c r="F447" s="87">
        <f t="shared" si="66"/>
        <v>113.87519999999999</v>
      </c>
      <c r="G447" s="2"/>
      <c r="H447" s="189"/>
      <c r="I447" s="471"/>
      <c r="J447" s="471"/>
      <c r="K447" s="471"/>
      <c r="L447" s="2"/>
    </row>
    <row r="448" spans="2:12" x14ac:dyDescent="0.2">
      <c r="B448" s="437"/>
      <c r="C448" s="97"/>
      <c r="D448" s="97"/>
      <c r="E448" s="451"/>
      <c r="F448" s="87"/>
      <c r="G448" s="2"/>
      <c r="H448" s="189"/>
      <c r="I448" s="471"/>
      <c r="J448" s="471"/>
      <c r="K448" s="471"/>
      <c r="L448" s="2"/>
    </row>
    <row r="449" spans="2:12" x14ac:dyDescent="0.2">
      <c r="B449" s="437"/>
      <c r="C449" s="97"/>
      <c r="D449" s="97"/>
      <c r="E449" s="451">
        <f>C449*E7</f>
        <v>0</v>
      </c>
      <c r="F449" s="87">
        <f t="shared" ref="F449" si="68">C449+E449</f>
        <v>0</v>
      </c>
      <c r="G449" s="2"/>
      <c r="H449" s="189"/>
      <c r="I449" s="471"/>
      <c r="J449" s="471"/>
      <c r="K449" s="471"/>
      <c r="L449" s="2"/>
    </row>
    <row r="450" spans="2:12" x14ac:dyDescent="0.2">
      <c r="B450" s="436"/>
      <c r="C450" s="15"/>
      <c r="D450" s="15"/>
      <c r="E450" s="15"/>
      <c r="F450" s="16"/>
      <c r="G450" s="2"/>
      <c r="H450" s="189"/>
      <c r="I450" s="471"/>
      <c r="J450" s="471"/>
      <c r="K450" s="471"/>
      <c r="L450" s="2"/>
    </row>
    <row r="451" spans="2:12" ht="13.5" thickBot="1" x14ac:dyDescent="0.25">
      <c r="B451" s="450"/>
      <c r="C451" s="97"/>
      <c r="D451" s="97"/>
      <c r="E451" s="97"/>
      <c r="F451" s="87"/>
      <c r="G451" s="2"/>
      <c r="H451" s="189"/>
      <c r="I451" s="471"/>
      <c r="J451" s="471"/>
      <c r="K451" s="471"/>
      <c r="L451" s="2"/>
    </row>
    <row r="452" spans="2:12" ht="13.5" thickTop="1" x14ac:dyDescent="0.2">
      <c r="B452" s="452" t="s">
        <v>706</v>
      </c>
      <c r="C452" s="453"/>
      <c r="D452" s="453"/>
      <c r="E452" s="453"/>
      <c r="F452" s="455"/>
      <c r="G452" s="2"/>
      <c r="H452" s="189"/>
      <c r="I452" s="471"/>
      <c r="J452" s="471"/>
      <c r="K452" s="471"/>
      <c r="L452" s="2"/>
    </row>
    <row r="453" spans="2:12" x14ac:dyDescent="0.2">
      <c r="B453" s="436"/>
      <c r="C453" s="15"/>
      <c r="D453" s="15"/>
      <c r="E453" s="15"/>
      <c r="F453" s="16"/>
      <c r="G453" s="2"/>
      <c r="H453" s="189"/>
      <c r="I453" s="471"/>
      <c r="J453" s="471"/>
      <c r="K453" s="471"/>
      <c r="L453" s="2"/>
    </row>
    <row r="454" spans="2:12" x14ac:dyDescent="0.2">
      <c r="B454" s="436" t="s">
        <v>1030</v>
      </c>
      <c r="C454" s="476">
        <v>231.82</v>
      </c>
      <c r="D454" s="15"/>
      <c r="E454" s="15">
        <f t="shared" ref="E454:E457" si="69">C454*$E$6</f>
        <v>139.09199999999998</v>
      </c>
      <c r="F454" s="16">
        <f t="shared" ref="F454:F457" si="70">C454+D454+E454</f>
        <v>370.91199999999998</v>
      </c>
      <c r="G454" s="525"/>
      <c r="H454" s="189"/>
      <c r="I454" s="471"/>
      <c r="J454" s="471"/>
      <c r="K454" s="471"/>
      <c r="L454" s="2"/>
    </row>
    <row r="455" spans="2:12" x14ac:dyDescent="0.2">
      <c r="B455" s="436" t="s">
        <v>1031</v>
      </c>
      <c r="C455" s="476">
        <v>268.82</v>
      </c>
      <c r="D455" s="15"/>
      <c r="E455" s="15">
        <f t="shared" si="69"/>
        <v>161.292</v>
      </c>
      <c r="F455" s="16">
        <f t="shared" si="70"/>
        <v>430.11199999999997</v>
      </c>
      <c r="G455" s="525"/>
      <c r="H455" s="189"/>
      <c r="I455" s="471"/>
      <c r="J455" s="471"/>
      <c r="K455" s="471"/>
      <c r="L455" s="2"/>
    </row>
    <row r="456" spans="2:12" x14ac:dyDescent="0.2">
      <c r="B456" s="436" t="s">
        <v>456</v>
      </c>
      <c r="C456" s="476">
        <v>43.86</v>
      </c>
      <c r="D456" s="15"/>
      <c r="E456" s="15">
        <f t="shared" si="69"/>
        <v>26.315999999999999</v>
      </c>
      <c r="F456" s="16">
        <f t="shared" si="70"/>
        <v>70.176000000000002</v>
      </c>
      <c r="G456" s="525"/>
      <c r="H456" s="189"/>
      <c r="I456" s="471"/>
      <c r="J456" s="471"/>
      <c r="K456" s="471"/>
      <c r="L456" s="2"/>
    </row>
    <row r="457" spans="2:12" x14ac:dyDescent="0.2">
      <c r="B457" s="436" t="s">
        <v>1032</v>
      </c>
      <c r="C457" s="476">
        <v>34.76</v>
      </c>
      <c r="D457" s="15"/>
      <c r="E457" s="15">
        <f t="shared" si="69"/>
        <v>20.855999999999998</v>
      </c>
      <c r="F457" s="16">
        <f t="shared" si="70"/>
        <v>55.616</v>
      </c>
      <c r="G457" s="2"/>
      <c r="H457" s="189"/>
      <c r="I457" s="471"/>
      <c r="J457" s="471"/>
      <c r="K457" s="471"/>
      <c r="L457" s="2"/>
    </row>
    <row r="458" spans="2:12" x14ac:dyDescent="0.2">
      <c r="B458" s="436"/>
      <c r="C458" s="15"/>
      <c r="D458" s="15"/>
      <c r="E458" s="15"/>
      <c r="F458" s="16"/>
      <c r="G458" s="2"/>
      <c r="H458" s="189"/>
      <c r="I458" s="471"/>
      <c r="J458" s="471"/>
      <c r="K458" s="471"/>
      <c r="L458" s="2"/>
    </row>
    <row r="459" spans="2:12" x14ac:dyDescent="0.2">
      <c r="B459" s="436"/>
      <c r="C459" s="15"/>
      <c r="D459" s="15"/>
      <c r="E459" s="15"/>
      <c r="F459" s="16"/>
      <c r="G459" s="2"/>
      <c r="H459" s="189"/>
      <c r="I459" s="471"/>
      <c r="J459" s="471"/>
      <c r="K459" s="471"/>
      <c r="L459" s="2"/>
    </row>
    <row r="460" spans="2:12" x14ac:dyDescent="0.2">
      <c r="B460" s="449" t="s">
        <v>1033</v>
      </c>
      <c r="C460" s="15"/>
      <c r="D460" s="15"/>
      <c r="E460" s="15"/>
      <c r="F460" s="16"/>
      <c r="G460" s="2"/>
      <c r="H460" s="189"/>
      <c r="I460" s="471"/>
      <c r="J460" s="471"/>
      <c r="K460" s="471"/>
      <c r="L460" s="2"/>
    </row>
    <row r="461" spans="2:12" x14ac:dyDescent="0.2">
      <c r="B461" s="436" t="s">
        <v>464</v>
      </c>
      <c r="C461" s="15">
        <v>0</v>
      </c>
      <c r="D461" s="15"/>
      <c r="E461" s="15">
        <f t="shared" ref="E461:E474" si="71">C461*$E$6</f>
        <v>0</v>
      </c>
      <c r="F461" s="16">
        <f t="shared" ref="F461:F474" si="72">C461+D461+E461</f>
        <v>0</v>
      </c>
      <c r="G461" s="2"/>
      <c r="H461" s="189"/>
      <c r="I461" s="471"/>
      <c r="J461" s="471"/>
      <c r="K461" s="471"/>
      <c r="L461" s="2"/>
    </row>
    <row r="462" spans="2:12" x14ac:dyDescent="0.2">
      <c r="B462" s="436" t="s">
        <v>462</v>
      </c>
      <c r="C462" s="476">
        <v>289</v>
      </c>
      <c r="D462" s="15"/>
      <c r="E462" s="15">
        <f t="shared" si="71"/>
        <v>173.4</v>
      </c>
      <c r="F462" s="16">
        <f t="shared" si="72"/>
        <v>462.4</v>
      </c>
      <c r="G462" s="525"/>
      <c r="H462" s="189"/>
      <c r="I462" s="471"/>
      <c r="J462" s="471"/>
      <c r="K462" s="471"/>
      <c r="L462" s="2"/>
    </row>
    <row r="463" spans="2:12" x14ac:dyDescent="0.2">
      <c r="B463" s="436" t="s">
        <v>463</v>
      </c>
      <c r="C463" s="476">
        <v>190</v>
      </c>
      <c r="D463" s="15"/>
      <c r="E463" s="15">
        <f t="shared" si="71"/>
        <v>114</v>
      </c>
      <c r="F463" s="16">
        <f t="shared" si="72"/>
        <v>304</v>
      </c>
      <c r="G463" s="2"/>
      <c r="H463" s="189"/>
      <c r="I463" s="471"/>
      <c r="J463" s="471"/>
      <c r="K463" s="471"/>
      <c r="L463" s="2"/>
    </row>
    <row r="464" spans="2:12" x14ac:dyDescent="0.2">
      <c r="B464" s="436"/>
      <c r="C464" s="15"/>
      <c r="D464" s="15"/>
      <c r="E464" s="15"/>
      <c r="F464" s="16"/>
      <c r="G464" s="2"/>
      <c r="H464" s="189"/>
      <c r="I464" s="471"/>
      <c r="J464" s="471"/>
      <c r="K464" s="471"/>
      <c r="L464" s="2"/>
    </row>
    <row r="465" spans="2:12" x14ac:dyDescent="0.2">
      <c r="B465" s="436"/>
      <c r="C465" s="15"/>
      <c r="D465" s="15"/>
      <c r="E465" s="15">
        <f t="shared" si="71"/>
        <v>0</v>
      </c>
      <c r="F465" s="16">
        <f t="shared" si="72"/>
        <v>0</v>
      </c>
      <c r="G465" s="2"/>
      <c r="H465" s="189"/>
      <c r="I465" s="471"/>
      <c r="J465" s="471"/>
      <c r="K465" s="471"/>
      <c r="L465" s="2"/>
    </row>
    <row r="466" spans="2:12" x14ac:dyDescent="0.2">
      <c r="B466" s="436" t="s">
        <v>1034</v>
      </c>
      <c r="C466" s="476">
        <v>40.909999999999997</v>
      </c>
      <c r="D466" s="15"/>
      <c r="E466" s="15">
        <f t="shared" si="71"/>
        <v>24.545999999999996</v>
      </c>
      <c r="F466" s="16">
        <f t="shared" si="72"/>
        <v>65.455999999999989</v>
      </c>
      <c r="G466" s="2"/>
      <c r="H466" s="189"/>
      <c r="I466" s="471"/>
      <c r="J466" s="471"/>
      <c r="K466" s="471"/>
      <c r="L466" s="2"/>
    </row>
    <row r="467" spans="2:12" x14ac:dyDescent="0.2">
      <c r="B467" s="436" t="s">
        <v>1035</v>
      </c>
      <c r="C467" s="476">
        <v>40.909999999999997</v>
      </c>
      <c r="D467" s="15"/>
      <c r="E467" s="15">
        <f t="shared" si="71"/>
        <v>24.545999999999996</v>
      </c>
      <c r="F467" s="16">
        <f t="shared" si="72"/>
        <v>65.455999999999989</v>
      </c>
      <c r="G467" s="2"/>
      <c r="H467" s="189"/>
      <c r="I467" s="471"/>
      <c r="J467" s="471"/>
      <c r="K467" s="471"/>
      <c r="L467" s="2"/>
    </row>
    <row r="468" spans="2:12" x14ac:dyDescent="0.2">
      <c r="B468" s="436" t="s">
        <v>1036</v>
      </c>
      <c r="C468" s="476">
        <v>40.909999999999997</v>
      </c>
      <c r="D468" s="15"/>
      <c r="E468" s="15">
        <f t="shared" si="71"/>
        <v>24.545999999999996</v>
      </c>
      <c r="F468" s="16">
        <f t="shared" si="72"/>
        <v>65.455999999999989</v>
      </c>
      <c r="G468" s="2"/>
      <c r="H468" s="189"/>
      <c r="I468" s="471"/>
      <c r="J468" s="471"/>
      <c r="K468" s="471"/>
      <c r="L468" s="2"/>
    </row>
    <row r="469" spans="2:12" x14ac:dyDescent="0.2">
      <c r="B469" s="436"/>
      <c r="C469" s="15"/>
      <c r="D469" s="15"/>
      <c r="E469" s="15"/>
      <c r="F469" s="16"/>
      <c r="G469" s="2"/>
      <c r="H469" s="189"/>
      <c r="I469" s="471"/>
      <c r="J469" s="471"/>
      <c r="K469" s="471"/>
      <c r="L469" s="2"/>
    </row>
    <row r="470" spans="2:12" x14ac:dyDescent="0.2">
      <c r="B470" s="436" t="s">
        <v>1037</v>
      </c>
      <c r="C470" s="476">
        <v>47.27</v>
      </c>
      <c r="D470" s="15"/>
      <c r="E470" s="15">
        <f t="shared" si="71"/>
        <v>28.362000000000002</v>
      </c>
      <c r="F470" s="16">
        <f t="shared" si="72"/>
        <v>75.632000000000005</v>
      </c>
      <c r="G470" s="525"/>
      <c r="H470" s="189"/>
      <c r="I470" s="471"/>
      <c r="J470" s="471"/>
      <c r="K470" s="471"/>
      <c r="L470" s="2"/>
    </row>
    <row r="471" spans="2:12" x14ac:dyDescent="0.2">
      <c r="B471" s="436" t="s">
        <v>1038</v>
      </c>
      <c r="C471" s="476">
        <v>47.27</v>
      </c>
      <c r="D471" s="15"/>
      <c r="E471" s="15">
        <f t="shared" si="71"/>
        <v>28.362000000000002</v>
      </c>
      <c r="F471" s="16">
        <f t="shared" si="72"/>
        <v>75.632000000000005</v>
      </c>
      <c r="G471" s="525"/>
      <c r="H471" s="189"/>
      <c r="I471" s="471"/>
      <c r="J471" s="471"/>
      <c r="K471" s="471"/>
      <c r="L471" s="2"/>
    </row>
    <row r="472" spans="2:12" x14ac:dyDescent="0.2">
      <c r="B472" s="436" t="s">
        <v>1039</v>
      </c>
      <c r="C472" s="476">
        <v>47.27</v>
      </c>
      <c r="D472" s="15"/>
      <c r="E472" s="15">
        <f t="shared" si="71"/>
        <v>28.362000000000002</v>
      </c>
      <c r="F472" s="16">
        <f t="shared" si="72"/>
        <v>75.632000000000005</v>
      </c>
      <c r="G472" s="2"/>
      <c r="H472" s="189"/>
      <c r="I472" s="471"/>
      <c r="J472" s="471"/>
      <c r="K472" s="471"/>
      <c r="L472" s="2"/>
    </row>
    <row r="473" spans="2:12" x14ac:dyDescent="0.2">
      <c r="B473" s="436" t="s">
        <v>1040</v>
      </c>
      <c r="C473" s="476">
        <v>47.27</v>
      </c>
      <c r="D473" s="15"/>
      <c r="E473" s="15">
        <f t="shared" si="71"/>
        <v>28.362000000000002</v>
      </c>
      <c r="F473" s="16">
        <f t="shared" si="72"/>
        <v>75.632000000000005</v>
      </c>
      <c r="G473" s="2"/>
      <c r="H473" s="189"/>
      <c r="I473" s="471"/>
      <c r="J473" s="471"/>
      <c r="K473" s="471"/>
      <c r="L473" s="2"/>
    </row>
    <row r="474" spans="2:12" x14ac:dyDescent="0.2">
      <c r="B474" s="436" t="s">
        <v>1041</v>
      </c>
      <c r="C474" s="476">
        <v>47.27</v>
      </c>
      <c r="D474" s="15"/>
      <c r="E474" s="15">
        <f t="shared" si="71"/>
        <v>28.362000000000002</v>
      </c>
      <c r="F474" s="16">
        <f t="shared" si="72"/>
        <v>75.632000000000005</v>
      </c>
      <c r="G474" s="2"/>
      <c r="H474" s="189"/>
      <c r="I474" s="471"/>
      <c r="J474" s="471"/>
      <c r="K474" s="471"/>
      <c r="L474" s="2"/>
    </row>
    <row r="475" spans="2:12" x14ac:dyDescent="0.2">
      <c r="B475" s="436" t="s">
        <v>1042</v>
      </c>
      <c r="C475" s="476">
        <v>47.27</v>
      </c>
      <c r="D475" s="15"/>
      <c r="E475" s="15">
        <f>C475*$E$6</f>
        <v>28.362000000000002</v>
      </c>
      <c r="F475" s="16">
        <f>C475+D475+E475</f>
        <v>75.632000000000005</v>
      </c>
      <c r="G475" s="2"/>
      <c r="H475" s="189"/>
      <c r="I475" s="471"/>
      <c r="J475" s="471"/>
      <c r="K475" s="471"/>
      <c r="L475" s="2"/>
    </row>
    <row r="476" spans="2:12" x14ac:dyDescent="0.2">
      <c r="B476" s="436"/>
      <c r="C476" s="15"/>
      <c r="D476" s="15"/>
      <c r="E476" s="15">
        <f t="shared" ref="E476:E477" si="73">C476*$E$6</f>
        <v>0</v>
      </c>
      <c r="F476" s="16">
        <f t="shared" ref="F476:F477" si="74">C476+D476+E476</f>
        <v>0</v>
      </c>
      <c r="G476" s="2"/>
      <c r="H476" s="189"/>
      <c r="I476" s="471"/>
      <c r="J476" s="471"/>
      <c r="K476" s="471"/>
      <c r="L476" s="2"/>
    </row>
    <row r="477" spans="2:12" x14ac:dyDescent="0.2">
      <c r="B477" s="191" t="s">
        <v>1043</v>
      </c>
      <c r="C477" s="476">
        <v>250</v>
      </c>
      <c r="D477" s="15"/>
      <c r="E477" s="15">
        <f t="shared" si="73"/>
        <v>150</v>
      </c>
      <c r="F477" s="16">
        <f t="shared" si="74"/>
        <v>400</v>
      </c>
      <c r="G477" s="525"/>
      <c r="H477" s="189"/>
      <c r="I477" s="471"/>
      <c r="J477" s="471"/>
      <c r="K477" s="471"/>
      <c r="L477" s="2"/>
    </row>
    <row r="478" spans="2:12" x14ac:dyDescent="0.2">
      <c r="B478" s="436"/>
      <c r="C478" s="15"/>
      <c r="D478" s="15"/>
      <c r="E478" s="15"/>
      <c r="F478" s="16"/>
      <c r="G478" s="2"/>
      <c r="H478" s="189"/>
      <c r="I478" s="471"/>
      <c r="J478" s="471"/>
      <c r="K478" s="471"/>
      <c r="L478" s="2"/>
    </row>
    <row r="479" spans="2:12" x14ac:dyDescent="0.2">
      <c r="B479" s="436"/>
      <c r="C479" s="15"/>
      <c r="D479" s="15"/>
      <c r="E479" s="15"/>
      <c r="F479" s="16"/>
      <c r="G479" s="2"/>
      <c r="H479" s="189"/>
      <c r="I479" s="471"/>
      <c r="J479" s="471"/>
      <c r="K479" s="471"/>
      <c r="L479" s="2"/>
    </row>
    <row r="480" spans="2:12" x14ac:dyDescent="0.2">
      <c r="B480" s="449" t="s">
        <v>1044</v>
      </c>
      <c r="C480" s="15"/>
      <c r="D480" s="15"/>
      <c r="E480" s="15">
        <f t="shared" ref="E480:E543" si="75">C480*$E$6</f>
        <v>0</v>
      </c>
      <c r="F480" s="16">
        <f t="shared" ref="F480:F543" si="76">C480+D480+E480</f>
        <v>0</v>
      </c>
      <c r="G480" s="2"/>
      <c r="H480" s="189"/>
      <c r="I480" s="471"/>
      <c r="J480" s="471"/>
      <c r="K480" s="471"/>
      <c r="L480" s="2"/>
    </row>
    <row r="481" spans="2:12" x14ac:dyDescent="0.2">
      <c r="B481" s="436" t="s">
        <v>1045</v>
      </c>
      <c r="C481" s="476">
        <v>10</v>
      </c>
      <c r="D481" s="15"/>
      <c r="E481" s="15">
        <f t="shared" si="75"/>
        <v>6</v>
      </c>
      <c r="F481" s="16">
        <f t="shared" si="76"/>
        <v>16</v>
      </c>
      <c r="G481" s="525"/>
      <c r="H481" s="189"/>
      <c r="I481" s="471"/>
      <c r="J481" s="471"/>
      <c r="K481" s="471"/>
      <c r="L481" s="2"/>
    </row>
    <row r="482" spans="2:12" x14ac:dyDescent="0.2">
      <c r="B482" s="436"/>
      <c r="C482" s="15"/>
      <c r="D482" s="15"/>
      <c r="E482" s="15">
        <f t="shared" si="75"/>
        <v>0</v>
      </c>
      <c r="F482" s="16">
        <f t="shared" si="76"/>
        <v>0</v>
      </c>
      <c r="G482" s="2"/>
      <c r="H482" s="189"/>
      <c r="I482" s="471"/>
      <c r="J482" s="471"/>
      <c r="K482" s="471"/>
      <c r="L482" s="2"/>
    </row>
    <row r="483" spans="2:12" x14ac:dyDescent="0.2">
      <c r="B483" s="449" t="s">
        <v>1046</v>
      </c>
      <c r="C483" s="15"/>
      <c r="D483" s="15"/>
      <c r="E483" s="15"/>
      <c r="F483" s="16"/>
      <c r="G483" s="2"/>
      <c r="H483" s="189"/>
      <c r="I483" s="471"/>
      <c r="J483" s="471"/>
      <c r="K483" s="471"/>
      <c r="L483" s="2"/>
    </row>
    <row r="484" spans="2:12" x14ac:dyDescent="0.2">
      <c r="B484" s="436" t="s">
        <v>1047</v>
      </c>
      <c r="C484" s="476">
        <v>50</v>
      </c>
      <c r="D484" s="15"/>
      <c r="E484" s="15">
        <f t="shared" ref="E484" si="77">C484*$E$6</f>
        <v>30</v>
      </c>
      <c r="F484" s="16">
        <f t="shared" ref="F484" si="78">C484+D484+E484</f>
        <v>80</v>
      </c>
      <c r="G484" s="525"/>
      <c r="H484" s="189"/>
      <c r="I484" s="471"/>
      <c r="J484" s="471"/>
      <c r="K484" s="471"/>
      <c r="L484" s="2"/>
    </row>
    <row r="485" spans="2:12" x14ac:dyDescent="0.2">
      <c r="B485" s="436" t="s">
        <v>1048</v>
      </c>
      <c r="C485" s="476">
        <v>50</v>
      </c>
      <c r="D485" s="15"/>
      <c r="E485" s="15">
        <f t="shared" si="75"/>
        <v>30</v>
      </c>
      <c r="F485" s="16">
        <f t="shared" si="76"/>
        <v>80</v>
      </c>
      <c r="G485" s="2"/>
      <c r="H485" s="189"/>
      <c r="I485" s="471"/>
      <c r="J485" s="471"/>
      <c r="K485" s="471"/>
      <c r="L485" s="2"/>
    </row>
    <row r="486" spans="2:12" x14ac:dyDescent="0.2">
      <c r="B486" s="436" t="s">
        <v>1049</v>
      </c>
      <c r="C486" s="476">
        <v>0</v>
      </c>
      <c r="D486" s="15"/>
      <c r="E486" s="15">
        <f t="shared" si="75"/>
        <v>0</v>
      </c>
      <c r="F486" s="16">
        <f t="shared" si="76"/>
        <v>0</v>
      </c>
      <c r="G486" s="2"/>
      <c r="H486" s="189"/>
      <c r="I486" s="471"/>
      <c r="J486" s="471"/>
      <c r="K486" s="471"/>
      <c r="L486" s="2"/>
    </row>
    <row r="487" spans="2:12" x14ac:dyDescent="0.2">
      <c r="B487" s="436"/>
      <c r="C487" s="15"/>
      <c r="D487" s="15"/>
      <c r="E487" s="15">
        <f t="shared" si="75"/>
        <v>0</v>
      </c>
      <c r="F487" s="16">
        <f t="shared" si="76"/>
        <v>0</v>
      </c>
      <c r="G487" s="2"/>
      <c r="H487" s="189"/>
      <c r="I487" s="471"/>
      <c r="J487" s="471"/>
      <c r="K487" s="471"/>
      <c r="L487" s="2"/>
    </row>
    <row r="488" spans="2:12" x14ac:dyDescent="0.2">
      <c r="B488" s="449" t="s">
        <v>1050</v>
      </c>
      <c r="C488" s="15"/>
      <c r="D488" s="15"/>
      <c r="E488" s="15">
        <f t="shared" si="75"/>
        <v>0</v>
      </c>
      <c r="F488" s="16">
        <f t="shared" si="76"/>
        <v>0</v>
      </c>
      <c r="G488" s="2"/>
      <c r="H488" s="189"/>
      <c r="I488" s="471"/>
      <c r="J488" s="471"/>
      <c r="K488" s="471"/>
      <c r="L488" s="2"/>
    </row>
    <row r="489" spans="2:12" x14ac:dyDescent="0.2">
      <c r="B489" s="436"/>
      <c r="C489" s="15"/>
      <c r="D489" s="15"/>
      <c r="E489" s="15">
        <f t="shared" si="75"/>
        <v>0</v>
      </c>
      <c r="F489" s="16">
        <f t="shared" si="76"/>
        <v>0</v>
      </c>
      <c r="G489" s="2"/>
      <c r="H489" s="189"/>
      <c r="I489" s="471"/>
      <c r="J489" s="471"/>
      <c r="K489" s="471"/>
      <c r="L489" s="2"/>
    </row>
    <row r="490" spans="2:12" x14ac:dyDescent="0.2">
      <c r="B490" s="436" t="s">
        <v>1051</v>
      </c>
      <c r="C490" s="15"/>
      <c r="D490" s="15"/>
      <c r="E490" s="15">
        <f t="shared" si="75"/>
        <v>0</v>
      </c>
      <c r="F490" s="16">
        <f t="shared" si="76"/>
        <v>0</v>
      </c>
      <c r="G490" s="2"/>
      <c r="H490" s="189"/>
      <c r="I490" s="471"/>
      <c r="J490" s="471"/>
      <c r="K490" s="471"/>
      <c r="L490" s="2"/>
    </row>
    <row r="491" spans="2:12" x14ac:dyDescent="0.2">
      <c r="B491" s="436" t="s">
        <v>1052</v>
      </c>
      <c r="C491" s="15"/>
      <c r="D491" s="15"/>
      <c r="E491" s="15">
        <f t="shared" si="75"/>
        <v>0</v>
      </c>
      <c r="F491" s="16">
        <f t="shared" si="76"/>
        <v>0</v>
      </c>
      <c r="G491" s="2"/>
      <c r="H491" s="189"/>
      <c r="I491" s="471"/>
      <c r="J491" s="471"/>
      <c r="K491" s="471"/>
      <c r="L491" s="2"/>
    </row>
    <row r="492" spans="2:12" x14ac:dyDescent="0.2">
      <c r="B492" s="436" t="s">
        <v>1053</v>
      </c>
      <c r="C492" s="476">
        <f>955+185</f>
        <v>1140</v>
      </c>
      <c r="D492" s="15"/>
      <c r="E492" s="15">
        <f t="shared" si="75"/>
        <v>684</v>
      </c>
      <c r="F492" s="16">
        <f t="shared" si="76"/>
        <v>1824</v>
      </c>
      <c r="G492" s="2"/>
      <c r="H492" s="526"/>
      <c r="I492" s="471"/>
      <c r="J492" s="471"/>
      <c r="K492" s="471"/>
      <c r="L492" s="2"/>
    </row>
    <row r="493" spans="2:12" x14ac:dyDescent="0.2">
      <c r="B493" s="436" t="s">
        <v>1054</v>
      </c>
      <c r="C493" s="476">
        <f>2471+185</f>
        <v>2656</v>
      </c>
      <c r="D493" s="15"/>
      <c r="E493" s="15">
        <f t="shared" si="75"/>
        <v>1593.6</v>
      </c>
      <c r="F493" s="16">
        <f t="shared" si="76"/>
        <v>4249.6000000000004</v>
      </c>
      <c r="G493" s="2"/>
      <c r="H493" s="526"/>
      <c r="I493" s="471"/>
      <c r="J493" s="471"/>
      <c r="K493" s="471"/>
      <c r="L493" s="2"/>
    </row>
    <row r="494" spans="2:12" x14ac:dyDescent="0.2">
      <c r="B494" s="436" t="s">
        <v>1055</v>
      </c>
      <c r="C494" s="15"/>
      <c r="D494" s="15"/>
      <c r="E494" s="15">
        <f t="shared" si="75"/>
        <v>0</v>
      </c>
      <c r="F494" s="16">
        <f t="shared" si="76"/>
        <v>0</v>
      </c>
      <c r="G494" s="2"/>
      <c r="H494" s="189"/>
      <c r="I494" s="471"/>
      <c r="J494" s="471"/>
      <c r="K494" s="471"/>
      <c r="L494" s="2"/>
    </row>
    <row r="495" spans="2:12" x14ac:dyDescent="0.2">
      <c r="B495" s="436" t="s">
        <v>1056</v>
      </c>
      <c r="C495" s="15"/>
      <c r="D495" s="15"/>
      <c r="E495" s="15">
        <f t="shared" si="75"/>
        <v>0</v>
      </c>
      <c r="F495" s="16">
        <f t="shared" si="76"/>
        <v>0</v>
      </c>
      <c r="G495" s="2"/>
      <c r="H495" s="189"/>
      <c r="I495" s="471"/>
      <c r="J495" s="471"/>
      <c r="K495" s="471"/>
      <c r="L495" s="2"/>
    </row>
    <row r="496" spans="2:12" x14ac:dyDescent="0.2">
      <c r="B496" s="436" t="s">
        <v>1057</v>
      </c>
      <c r="C496" s="15"/>
      <c r="D496" s="15"/>
      <c r="E496" s="15">
        <f t="shared" si="75"/>
        <v>0</v>
      </c>
      <c r="F496" s="16">
        <f t="shared" si="76"/>
        <v>0</v>
      </c>
      <c r="G496" s="2"/>
      <c r="H496" s="189"/>
      <c r="I496" s="471"/>
      <c r="J496" s="471"/>
      <c r="K496" s="471"/>
      <c r="L496" s="2"/>
    </row>
    <row r="497" spans="2:12" x14ac:dyDescent="0.2">
      <c r="B497" s="436" t="s">
        <v>1058</v>
      </c>
      <c r="C497" s="15"/>
      <c r="D497" s="15"/>
      <c r="E497" s="15">
        <f t="shared" si="75"/>
        <v>0</v>
      </c>
      <c r="F497" s="16">
        <f t="shared" si="76"/>
        <v>0</v>
      </c>
      <c r="G497" s="2"/>
      <c r="H497" s="189"/>
      <c r="I497" s="471"/>
      <c r="J497" s="471"/>
      <c r="K497" s="471"/>
      <c r="L497" s="2"/>
    </row>
    <row r="498" spans="2:12" x14ac:dyDescent="0.2">
      <c r="B498" s="436" t="s">
        <v>1059</v>
      </c>
      <c r="C498" s="476">
        <f>3390+185</f>
        <v>3575</v>
      </c>
      <c r="D498" s="15"/>
      <c r="E498" s="15">
        <f t="shared" si="75"/>
        <v>2145</v>
      </c>
      <c r="F498" s="16">
        <f t="shared" si="76"/>
        <v>5720</v>
      </c>
      <c r="G498" s="2"/>
      <c r="H498" s="526"/>
      <c r="I498" s="471"/>
      <c r="J498" s="471"/>
      <c r="K498" s="471"/>
      <c r="L498" s="2"/>
    </row>
    <row r="499" spans="2:12" x14ac:dyDescent="0.2">
      <c r="B499" s="436" t="s">
        <v>1060</v>
      </c>
      <c r="C499" s="15"/>
      <c r="D499" s="15"/>
      <c r="E499" s="15">
        <f t="shared" si="75"/>
        <v>0</v>
      </c>
      <c r="F499" s="16">
        <f t="shared" si="76"/>
        <v>0</v>
      </c>
      <c r="G499" s="2"/>
      <c r="H499" s="526"/>
      <c r="I499" s="471"/>
      <c r="J499" s="471"/>
      <c r="K499" s="471"/>
      <c r="L499" s="2"/>
    </row>
    <row r="500" spans="2:12" x14ac:dyDescent="0.2">
      <c r="B500" s="436" t="s">
        <v>1061</v>
      </c>
      <c r="C500" s="476">
        <f>3750+185</f>
        <v>3935</v>
      </c>
      <c r="D500" s="15"/>
      <c r="E500" s="15">
        <f t="shared" si="75"/>
        <v>2361</v>
      </c>
      <c r="F500" s="16">
        <f t="shared" si="76"/>
        <v>6296</v>
      </c>
      <c r="G500" s="2"/>
      <c r="H500" s="526"/>
      <c r="I500" s="471"/>
      <c r="J500" s="471"/>
      <c r="K500" s="471"/>
      <c r="L500" s="2"/>
    </row>
    <row r="501" spans="2:12" x14ac:dyDescent="0.2">
      <c r="B501" s="436"/>
      <c r="C501" s="15"/>
      <c r="D501" s="15"/>
      <c r="E501" s="15">
        <f t="shared" si="75"/>
        <v>0</v>
      </c>
      <c r="F501" s="16">
        <f t="shared" si="76"/>
        <v>0</v>
      </c>
      <c r="G501" s="2"/>
      <c r="H501" s="189"/>
      <c r="I501" s="471"/>
      <c r="J501" s="471"/>
      <c r="K501" s="471"/>
      <c r="L501" s="2"/>
    </row>
    <row r="502" spans="2:12" x14ac:dyDescent="0.2">
      <c r="B502" s="449" t="s">
        <v>457</v>
      </c>
      <c r="C502" s="15"/>
      <c r="D502" s="15"/>
      <c r="E502" s="15">
        <f t="shared" si="75"/>
        <v>0</v>
      </c>
      <c r="F502" s="16">
        <f t="shared" si="76"/>
        <v>0</v>
      </c>
      <c r="G502" s="2"/>
      <c r="H502" s="189"/>
      <c r="I502" s="471"/>
      <c r="J502" s="471"/>
      <c r="K502" s="471"/>
      <c r="L502" s="2"/>
    </row>
    <row r="503" spans="2:12" x14ac:dyDescent="0.2">
      <c r="B503" s="436"/>
      <c r="C503" s="15"/>
      <c r="D503" s="15"/>
      <c r="E503" s="15">
        <f t="shared" si="75"/>
        <v>0</v>
      </c>
      <c r="F503" s="16">
        <f t="shared" si="76"/>
        <v>0</v>
      </c>
      <c r="G503" s="2"/>
      <c r="H503" s="189"/>
      <c r="I503" s="471"/>
      <c r="J503" s="471"/>
      <c r="K503" s="471"/>
      <c r="L503" s="2"/>
    </row>
    <row r="504" spans="2:12" x14ac:dyDescent="0.2">
      <c r="B504" s="436" t="s">
        <v>458</v>
      </c>
      <c r="C504" s="15"/>
      <c r="D504" s="15"/>
      <c r="E504" s="15">
        <f t="shared" si="75"/>
        <v>0</v>
      </c>
      <c r="F504" s="16">
        <f t="shared" si="76"/>
        <v>0</v>
      </c>
      <c r="G504" s="2"/>
      <c r="H504" s="189"/>
      <c r="I504" s="471"/>
      <c r="J504" s="471"/>
      <c r="K504" s="471"/>
      <c r="L504" s="2"/>
    </row>
    <row r="505" spans="2:12" x14ac:dyDescent="0.2">
      <c r="B505" s="436" t="s">
        <v>1062</v>
      </c>
      <c r="C505" s="476">
        <f>2471+185</f>
        <v>2656</v>
      </c>
      <c r="D505" s="15"/>
      <c r="E505" s="15">
        <f t="shared" si="75"/>
        <v>1593.6</v>
      </c>
      <c r="F505" s="16">
        <f t="shared" si="76"/>
        <v>4249.6000000000004</v>
      </c>
      <c r="G505" s="2"/>
      <c r="H505" s="526"/>
      <c r="I505" s="471"/>
      <c r="J505" s="471"/>
      <c r="K505" s="471"/>
      <c r="L505" s="2"/>
    </row>
    <row r="506" spans="2:12" x14ac:dyDescent="0.2">
      <c r="B506" s="436" t="s">
        <v>459</v>
      </c>
      <c r="C506" s="15"/>
      <c r="D506" s="15"/>
      <c r="E506" s="15">
        <f t="shared" si="75"/>
        <v>0</v>
      </c>
      <c r="F506" s="16">
        <f t="shared" si="76"/>
        <v>0</v>
      </c>
      <c r="G506" s="2"/>
      <c r="H506" s="189"/>
      <c r="I506" s="471"/>
      <c r="J506" s="471"/>
      <c r="K506" s="471"/>
      <c r="L506" s="2"/>
    </row>
    <row r="507" spans="2:12" x14ac:dyDescent="0.2">
      <c r="B507" s="436" t="s">
        <v>460</v>
      </c>
      <c r="C507" s="15"/>
      <c r="D507" s="15"/>
      <c r="E507" s="15">
        <f t="shared" si="75"/>
        <v>0</v>
      </c>
      <c r="F507" s="16">
        <f t="shared" si="76"/>
        <v>0</v>
      </c>
      <c r="G507" s="2"/>
      <c r="H507" s="189"/>
      <c r="I507" s="471"/>
      <c r="J507" s="471"/>
      <c r="K507" s="471"/>
      <c r="L507" s="2"/>
    </row>
    <row r="508" spans="2:12" x14ac:dyDescent="0.2">
      <c r="B508" s="436" t="s">
        <v>1063</v>
      </c>
      <c r="C508" s="15"/>
      <c r="D508" s="15"/>
      <c r="E508" s="15">
        <f t="shared" si="75"/>
        <v>0</v>
      </c>
      <c r="F508" s="16">
        <f t="shared" si="76"/>
        <v>0</v>
      </c>
      <c r="G508" s="2"/>
      <c r="H508" s="189"/>
      <c r="I508" s="471"/>
      <c r="J508" s="471"/>
      <c r="K508" s="471"/>
      <c r="L508" s="2"/>
    </row>
    <row r="509" spans="2:12" x14ac:dyDescent="0.2">
      <c r="B509" s="436" t="s">
        <v>1064</v>
      </c>
      <c r="C509" s="15"/>
      <c r="D509" s="15"/>
      <c r="E509" s="15">
        <f t="shared" si="75"/>
        <v>0</v>
      </c>
      <c r="F509" s="16">
        <f t="shared" si="76"/>
        <v>0</v>
      </c>
      <c r="G509" s="2"/>
      <c r="H509" s="189"/>
      <c r="I509" s="471"/>
      <c r="J509" s="471"/>
      <c r="K509" s="471"/>
      <c r="L509" s="2"/>
    </row>
    <row r="510" spans="2:12" x14ac:dyDescent="0.2">
      <c r="B510" s="436" t="s">
        <v>1065</v>
      </c>
      <c r="C510" s="15"/>
      <c r="D510" s="15"/>
      <c r="E510" s="15">
        <f t="shared" si="75"/>
        <v>0</v>
      </c>
      <c r="F510" s="16">
        <f t="shared" si="76"/>
        <v>0</v>
      </c>
      <c r="G510" s="2"/>
      <c r="H510" s="189"/>
      <c r="I510" s="471"/>
      <c r="J510" s="471"/>
      <c r="K510" s="471"/>
      <c r="L510" s="2"/>
    </row>
    <row r="511" spans="2:12" x14ac:dyDescent="0.2">
      <c r="B511" s="436" t="s">
        <v>1066</v>
      </c>
      <c r="C511" s="15"/>
      <c r="D511" s="15"/>
      <c r="E511" s="15">
        <f t="shared" si="75"/>
        <v>0</v>
      </c>
      <c r="F511" s="16">
        <f t="shared" si="76"/>
        <v>0</v>
      </c>
      <c r="G511" s="2"/>
      <c r="H511" s="189"/>
      <c r="I511" s="471"/>
      <c r="J511" s="471"/>
      <c r="K511" s="471"/>
      <c r="L511" s="2"/>
    </row>
    <row r="512" spans="2:12" x14ac:dyDescent="0.2">
      <c r="B512" s="436"/>
      <c r="C512" s="15"/>
      <c r="D512" s="15"/>
      <c r="E512" s="15">
        <f t="shared" si="75"/>
        <v>0</v>
      </c>
      <c r="F512" s="16">
        <f t="shared" si="76"/>
        <v>0</v>
      </c>
      <c r="G512" s="2"/>
      <c r="H512" s="189"/>
      <c r="I512" s="471"/>
      <c r="J512" s="471"/>
      <c r="K512" s="471"/>
      <c r="L512" s="2"/>
    </row>
    <row r="513" spans="2:12" x14ac:dyDescent="0.2">
      <c r="B513" s="449" t="s">
        <v>1067</v>
      </c>
      <c r="C513" s="15"/>
      <c r="D513" s="15"/>
      <c r="E513" s="15">
        <f t="shared" si="75"/>
        <v>0</v>
      </c>
      <c r="F513" s="16">
        <f t="shared" si="76"/>
        <v>0</v>
      </c>
      <c r="G513" s="2"/>
      <c r="H513" s="189"/>
      <c r="I513" s="471"/>
      <c r="J513" s="471"/>
      <c r="K513" s="471"/>
      <c r="L513" s="2"/>
    </row>
    <row r="514" spans="2:12" x14ac:dyDescent="0.2">
      <c r="B514" s="436"/>
      <c r="C514" s="15"/>
      <c r="D514" s="15"/>
      <c r="E514" s="15">
        <f t="shared" si="75"/>
        <v>0</v>
      </c>
      <c r="F514" s="16">
        <f t="shared" si="76"/>
        <v>0</v>
      </c>
      <c r="G514" s="2"/>
      <c r="H514" s="189"/>
      <c r="I514" s="471"/>
      <c r="J514" s="471"/>
      <c r="K514" s="471"/>
      <c r="L514" s="2"/>
    </row>
    <row r="515" spans="2:12" x14ac:dyDescent="0.2">
      <c r="B515" s="436" t="s">
        <v>469</v>
      </c>
      <c r="C515" s="15"/>
      <c r="D515" s="15"/>
      <c r="E515" s="15">
        <f t="shared" si="75"/>
        <v>0</v>
      </c>
      <c r="F515" s="16">
        <f t="shared" si="76"/>
        <v>0</v>
      </c>
      <c r="G515" s="2"/>
      <c r="H515" s="189"/>
      <c r="I515" s="471"/>
      <c r="J515" s="471"/>
      <c r="K515" s="471"/>
      <c r="L515" s="2"/>
    </row>
    <row r="516" spans="2:12" x14ac:dyDescent="0.2">
      <c r="B516" s="436" t="s">
        <v>1068</v>
      </c>
      <c r="C516" s="15"/>
      <c r="D516" s="15"/>
      <c r="E516" s="15">
        <f t="shared" si="75"/>
        <v>0</v>
      </c>
      <c r="F516" s="16">
        <f t="shared" si="76"/>
        <v>0</v>
      </c>
      <c r="G516" s="2"/>
      <c r="H516" s="189"/>
      <c r="I516" s="471"/>
      <c r="J516" s="471"/>
      <c r="K516" s="471"/>
      <c r="L516" s="2"/>
    </row>
    <row r="517" spans="2:12" x14ac:dyDescent="0.2">
      <c r="B517" s="436" t="s">
        <v>1069</v>
      </c>
      <c r="C517" s="15"/>
      <c r="D517" s="15"/>
      <c r="E517" s="15">
        <f t="shared" si="75"/>
        <v>0</v>
      </c>
      <c r="F517" s="16">
        <f t="shared" si="76"/>
        <v>0</v>
      </c>
      <c r="G517" s="2"/>
      <c r="H517" s="189"/>
      <c r="I517" s="471"/>
      <c r="J517" s="471"/>
      <c r="K517" s="471"/>
      <c r="L517" s="2"/>
    </row>
    <row r="518" spans="2:12" x14ac:dyDescent="0.2">
      <c r="B518" s="436" t="s">
        <v>1070</v>
      </c>
      <c r="C518" s="15"/>
      <c r="D518" s="15"/>
      <c r="E518" s="15">
        <f t="shared" si="75"/>
        <v>0</v>
      </c>
      <c r="F518" s="16">
        <f t="shared" si="76"/>
        <v>0</v>
      </c>
      <c r="G518" s="2"/>
      <c r="H518" s="189"/>
      <c r="I518" s="471"/>
      <c r="J518" s="471"/>
      <c r="K518" s="471"/>
      <c r="L518" s="2"/>
    </row>
    <row r="519" spans="2:12" x14ac:dyDescent="0.2">
      <c r="B519" s="436" t="s">
        <v>1071</v>
      </c>
      <c r="C519" s="15"/>
      <c r="D519" s="15"/>
      <c r="E519" s="15">
        <f t="shared" si="75"/>
        <v>0</v>
      </c>
      <c r="F519" s="16">
        <f t="shared" si="76"/>
        <v>0</v>
      </c>
      <c r="G519" s="2"/>
      <c r="H519" s="189"/>
      <c r="I519" s="471"/>
      <c r="J519" s="471"/>
      <c r="K519" s="471"/>
      <c r="L519" s="2"/>
    </row>
    <row r="520" spans="2:12" x14ac:dyDescent="0.2">
      <c r="B520" s="436" t="s">
        <v>1072</v>
      </c>
      <c r="C520" s="15"/>
      <c r="D520" s="15"/>
      <c r="E520" s="15">
        <f t="shared" si="75"/>
        <v>0</v>
      </c>
      <c r="F520" s="16">
        <f t="shared" si="76"/>
        <v>0</v>
      </c>
      <c r="G520" s="2"/>
      <c r="H520" s="189"/>
      <c r="I520" s="471"/>
      <c r="J520" s="471"/>
      <c r="K520" s="471"/>
      <c r="L520" s="2"/>
    </row>
    <row r="521" spans="2:12" x14ac:dyDescent="0.2">
      <c r="B521" s="436" t="s">
        <v>1073</v>
      </c>
      <c r="C521" s="15"/>
      <c r="D521" s="15"/>
      <c r="E521" s="15">
        <f t="shared" si="75"/>
        <v>0</v>
      </c>
      <c r="F521" s="16">
        <f t="shared" si="76"/>
        <v>0</v>
      </c>
      <c r="G521" s="2"/>
      <c r="H521" s="189"/>
      <c r="I521" s="471"/>
      <c r="J521" s="471"/>
      <c r="K521" s="471"/>
      <c r="L521" s="2"/>
    </row>
    <row r="522" spans="2:12" x14ac:dyDescent="0.2">
      <c r="B522" s="436" t="s">
        <v>1074</v>
      </c>
      <c r="C522" s="15"/>
      <c r="D522" s="15"/>
      <c r="E522" s="15">
        <f t="shared" si="75"/>
        <v>0</v>
      </c>
      <c r="F522" s="16">
        <f t="shared" si="76"/>
        <v>0</v>
      </c>
      <c r="G522" s="2"/>
      <c r="H522" s="189"/>
      <c r="I522" s="471"/>
      <c r="J522" s="471"/>
      <c r="K522" s="471"/>
      <c r="L522" s="2"/>
    </row>
    <row r="523" spans="2:12" x14ac:dyDescent="0.2">
      <c r="B523" s="436" t="s">
        <v>1075</v>
      </c>
      <c r="C523" s="15"/>
      <c r="D523" s="15"/>
      <c r="E523" s="15">
        <f t="shared" si="75"/>
        <v>0</v>
      </c>
      <c r="F523" s="16">
        <f t="shared" si="76"/>
        <v>0</v>
      </c>
      <c r="G523" s="2"/>
      <c r="H523" s="189"/>
      <c r="I523" s="471"/>
      <c r="J523" s="471"/>
      <c r="K523" s="471"/>
      <c r="L523" s="2"/>
    </row>
    <row r="524" spans="2:12" x14ac:dyDescent="0.2">
      <c r="B524" s="436" t="s">
        <v>1076</v>
      </c>
      <c r="C524" s="15"/>
      <c r="D524" s="15"/>
      <c r="E524" s="15">
        <f t="shared" si="75"/>
        <v>0</v>
      </c>
      <c r="F524" s="16">
        <f t="shared" si="76"/>
        <v>0</v>
      </c>
      <c r="G524" s="2"/>
      <c r="H524" s="189"/>
      <c r="I524" s="471"/>
      <c r="J524" s="471"/>
      <c r="K524" s="471"/>
      <c r="L524" s="2"/>
    </row>
    <row r="525" spans="2:12" x14ac:dyDescent="0.2">
      <c r="B525" s="436" t="s">
        <v>1077</v>
      </c>
      <c r="C525" s="15"/>
      <c r="D525" s="15"/>
      <c r="E525" s="15">
        <f t="shared" si="75"/>
        <v>0</v>
      </c>
      <c r="F525" s="16">
        <f t="shared" si="76"/>
        <v>0</v>
      </c>
      <c r="G525" s="2"/>
      <c r="H525" s="189"/>
      <c r="I525" s="471"/>
      <c r="J525" s="471"/>
      <c r="K525" s="471"/>
      <c r="L525" s="2"/>
    </row>
    <row r="526" spans="2:12" x14ac:dyDescent="0.2">
      <c r="B526" s="436" t="s">
        <v>1078</v>
      </c>
      <c r="C526" s="15"/>
      <c r="D526" s="15"/>
      <c r="E526" s="15">
        <f t="shared" si="75"/>
        <v>0</v>
      </c>
      <c r="F526" s="16">
        <f t="shared" si="76"/>
        <v>0</v>
      </c>
      <c r="G526" s="2"/>
      <c r="H526" s="189"/>
      <c r="I526" s="471"/>
      <c r="J526" s="471"/>
      <c r="K526" s="471"/>
      <c r="L526" s="2"/>
    </row>
    <row r="527" spans="2:12" x14ac:dyDescent="0.2">
      <c r="B527" s="436" t="s">
        <v>1079</v>
      </c>
      <c r="C527" s="15"/>
      <c r="D527" s="15"/>
      <c r="E527" s="15">
        <f t="shared" si="75"/>
        <v>0</v>
      </c>
      <c r="F527" s="16">
        <f t="shared" si="76"/>
        <v>0</v>
      </c>
      <c r="G527" s="2"/>
      <c r="H527" s="189"/>
      <c r="I527" s="471"/>
      <c r="J527" s="471"/>
      <c r="K527" s="471"/>
      <c r="L527" s="2"/>
    </row>
    <row r="528" spans="2:12" x14ac:dyDescent="0.2">
      <c r="B528" s="436" t="s">
        <v>1080</v>
      </c>
      <c r="C528" s="15"/>
      <c r="D528" s="15"/>
      <c r="E528" s="15">
        <f t="shared" si="75"/>
        <v>0</v>
      </c>
      <c r="F528" s="16">
        <f t="shared" si="76"/>
        <v>0</v>
      </c>
      <c r="G528" s="2"/>
      <c r="H528" s="189"/>
      <c r="I528" s="471"/>
      <c r="J528" s="471"/>
      <c r="K528" s="471"/>
      <c r="L528" s="2"/>
    </row>
    <row r="529" spans="2:12" x14ac:dyDescent="0.2">
      <c r="B529" s="436" t="s">
        <v>1081</v>
      </c>
      <c r="C529" s="15"/>
      <c r="D529" s="15"/>
      <c r="E529" s="15">
        <f t="shared" si="75"/>
        <v>0</v>
      </c>
      <c r="F529" s="16">
        <f t="shared" si="76"/>
        <v>0</v>
      </c>
      <c r="G529" s="2"/>
      <c r="H529" s="189"/>
      <c r="I529" s="471"/>
      <c r="J529" s="471"/>
      <c r="K529" s="471"/>
      <c r="L529" s="2"/>
    </row>
    <row r="530" spans="2:12" x14ac:dyDescent="0.2">
      <c r="B530" s="436" t="s">
        <v>1082</v>
      </c>
      <c r="C530" s="15"/>
      <c r="D530" s="15"/>
      <c r="E530" s="15">
        <f t="shared" si="75"/>
        <v>0</v>
      </c>
      <c r="F530" s="16">
        <f t="shared" si="76"/>
        <v>0</v>
      </c>
      <c r="G530" s="2"/>
      <c r="H530" s="189"/>
      <c r="I530" s="471"/>
      <c r="J530" s="471"/>
      <c r="K530" s="471"/>
      <c r="L530" s="2"/>
    </row>
    <row r="531" spans="2:12" x14ac:dyDescent="0.2">
      <c r="B531" s="436" t="s">
        <v>1083</v>
      </c>
      <c r="C531" s="15"/>
      <c r="D531" s="15"/>
      <c r="E531" s="15">
        <f t="shared" si="75"/>
        <v>0</v>
      </c>
      <c r="F531" s="16">
        <f t="shared" si="76"/>
        <v>0</v>
      </c>
      <c r="G531" s="2"/>
      <c r="H531" s="189"/>
      <c r="I531" s="471"/>
      <c r="J531" s="471"/>
      <c r="K531" s="471"/>
      <c r="L531" s="2"/>
    </row>
    <row r="532" spans="2:12" x14ac:dyDescent="0.2">
      <c r="B532" s="436" t="s">
        <v>1084</v>
      </c>
      <c r="C532" s="15"/>
      <c r="D532" s="15"/>
      <c r="E532" s="15">
        <f t="shared" si="75"/>
        <v>0</v>
      </c>
      <c r="F532" s="16">
        <f t="shared" si="76"/>
        <v>0</v>
      </c>
      <c r="G532" s="2"/>
      <c r="H532" s="189"/>
      <c r="I532" s="471"/>
      <c r="J532" s="471"/>
      <c r="K532" s="471"/>
      <c r="L532" s="2"/>
    </row>
    <row r="533" spans="2:12" x14ac:dyDescent="0.2">
      <c r="B533" s="436" t="s">
        <v>1085</v>
      </c>
      <c r="C533" s="15"/>
      <c r="D533" s="15"/>
      <c r="E533" s="15">
        <f t="shared" si="75"/>
        <v>0</v>
      </c>
      <c r="F533" s="16">
        <f t="shared" si="76"/>
        <v>0</v>
      </c>
      <c r="G533" s="2"/>
      <c r="H533" s="189"/>
      <c r="I533" s="471"/>
      <c r="J533" s="471"/>
      <c r="K533" s="471"/>
      <c r="L533" s="2"/>
    </row>
    <row r="534" spans="2:12" x14ac:dyDescent="0.2">
      <c r="B534" s="436" t="s">
        <v>1086</v>
      </c>
      <c r="C534" s="15"/>
      <c r="D534" s="15"/>
      <c r="E534" s="15">
        <f t="shared" si="75"/>
        <v>0</v>
      </c>
      <c r="F534" s="16">
        <f t="shared" si="76"/>
        <v>0</v>
      </c>
      <c r="G534" s="2"/>
      <c r="H534" s="189"/>
      <c r="I534" s="471"/>
      <c r="J534" s="471"/>
      <c r="K534" s="471"/>
      <c r="L534" s="2"/>
    </row>
    <row r="535" spans="2:12" x14ac:dyDescent="0.2">
      <c r="B535" s="436" t="s">
        <v>1087</v>
      </c>
      <c r="C535" s="15"/>
      <c r="D535" s="15"/>
      <c r="E535" s="15">
        <f t="shared" si="75"/>
        <v>0</v>
      </c>
      <c r="F535" s="16">
        <f t="shared" si="76"/>
        <v>0</v>
      </c>
      <c r="G535" s="2"/>
      <c r="H535" s="189"/>
      <c r="I535" s="471"/>
      <c r="J535" s="471"/>
      <c r="K535" s="471"/>
      <c r="L535" s="2"/>
    </row>
    <row r="536" spans="2:12" x14ac:dyDescent="0.2">
      <c r="B536" s="436" t="s">
        <v>1088</v>
      </c>
      <c r="C536" s="15"/>
      <c r="D536" s="15"/>
      <c r="E536" s="15">
        <f t="shared" si="75"/>
        <v>0</v>
      </c>
      <c r="F536" s="16">
        <f t="shared" si="76"/>
        <v>0</v>
      </c>
      <c r="G536" s="2"/>
      <c r="H536" s="189"/>
      <c r="I536" s="471"/>
      <c r="J536" s="471"/>
      <c r="K536" s="471"/>
      <c r="L536" s="2"/>
    </row>
    <row r="537" spans="2:12" x14ac:dyDescent="0.2">
      <c r="B537" s="436" t="s">
        <v>1089</v>
      </c>
      <c r="C537" s="476">
        <v>539.51</v>
      </c>
      <c r="D537" s="15"/>
      <c r="E537" s="15">
        <f t="shared" si="75"/>
        <v>323.70599999999996</v>
      </c>
      <c r="F537" s="16">
        <f t="shared" si="76"/>
        <v>863.21599999999989</v>
      </c>
      <c r="G537" s="2"/>
      <c r="H537" s="189"/>
      <c r="I537" s="471"/>
      <c r="J537" s="471"/>
      <c r="K537" s="471"/>
      <c r="L537" s="2"/>
    </row>
    <row r="538" spans="2:12" x14ac:dyDescent="0.2">
      <c r="B538" s="436" t="s">
        <v>1090</v>
      </c>
      <c r="C538" s="15"/>
      <c r="D538" s="15"/>
      <c r="E538" s="15">
        <f t="shared" si="75"/>
        <v>0</v>
      </c>
      <c r="F538" s="16">
        <f t="shared" si="76"/>
        <v>0</v>
      </c>
      <c r="G538" s="2"/>
      <c r="H538" s="189"/>
      <c r="I538" s="471"/>
      <c r="J538" s="471"/>
      <c r="K538" s="471"/>
      <c r="L538" s="2"/>
    </row>
    <row r="539" spans="2:12" x14ac:dyDescent="0.2">
      <c r="B539" s="436" t="s">
        <v>1091</v>
      </c>
      <c r="C539" s="15"/>
      <c r="D539" s="15"/>
      <c r="E539" s="15">
        <f t="shared" si="75"/>
        <v>0</v>
      </c>
      <c r="F539" s="16">
        <f t="shared" si="76"/>
        <v>0</v>
      </c>
      <c r="G539" s="2"/>
      <c r="H539" s="189"/>
      <c r="I539" s="471"/>
      <c r="J539" s="471"/>
      <c r="K539" s="471"/>
      <c r="L539" s="2"/>
    </row>
    <row r="540" spans="2:12" x14ac:dyDescent="0.2">
      <c r="B540" s="436" t="s">
        <v>1092</v>
      </c>
      <c r="C540" s="15"/>
      <c r="D540" s="15"/>
      <c r="E540" s="15">
        <f t="shared" si="75"/>
        <v>0</v>
      </c>
      <c r="F540" s="16">
        <f t="shared" si="76"/>
        <v>0</v>
      </c>
      <c r="G540" s="2"/>
      <c r="H540" s="189"/>
      <c r="I540" s="471"/>
      <c r="J540" s="471"/>
      <c r="K540" s="471"/>
      <c r="L540" s="2"/>
    </row>
    <row r="541" spans="2:12" x14ac:dyDescent="0.2">
      <c r="B541" s="436" t="s">
        <v>1093</v>
      </c>
      <c r="C541" s="15"/>
      <c r="D541" s="15"/>
      <c r="E541" s="15">
        <f t="shared" si="75"/>
        <v>0</v>
      </c>
      <c r="F541" s="16">
        <f t="shared" si="76"/>
        <v>0</v>
      </c>
      <c r="G541" s="2"/>
      <c r="H541" s="189"/>
      <c r="I541" s="471"/>
      <c r="J541" s="471"/>
      <c r="K541" s="471"/>
      <c r="L541" s="2"/>
    </row>
    <row r="542" spans="2:12" x14ac:dyDescent="0.2">
      <c r="B542" s="436" t="s">
        <v>1094</v>
      </c>
      <c r="C542" s="15"/>
      <c r="D542" s="15"/>
      <c r="E542" s="15">
        <f t="shared" si="75"/>
        <v>0</v>
      </c>
      <c r="F542" s="16">
        <f t="shared" si="76"/>
        <v>0</v>
      </c>
      <c r="G542" s="2"/>
      <c r="H542" s="189"/>
      <c r="I542" s="471"/>
      <c r="J542" s="471"/>
      <c r="K542" s="471"/>
      <c r="L542" s="2"/>
    </row>
    <row r="543" spans="2:12" x14ac:dyDescent="0.2">
      <c r="B543" s="436" t="s">
        <v>1095</v>
      </c>
      <c r="C543" s="15"/>
      <c r="D543" s="15"/>
      <c r="E543" s="15">
        <f t="shared" si="75"/>
        <v>0</v>
      </c>
      <c r="F543" s="16">
        <f t="shared" si="76"/>
        <v>0</v>
      </c>
      <c r="G543" s="2"/>
      <c r="H543" s="189"/>
      <c r="I543" s="471"/>
      <c r="J543" s="471"/>
      <c r="K543" s="471"/>
      <c r="L543" s="2"/>
    </row>
    <row r="544" spans="2:12" x14ac:dyDescent="0.2">
      <c r="B544" s="436" t="s">
        <v>1096</v>
      </c>
      <c r="C544" s="15"/>
      <c r="D544" s="15"/>
      <c r="E544" s="15">
        <f t="shared" ref="E544:E569" si="79">C544*$E$6</f>
        <v>0</v>
      </c>
      <c r="F544" s="16">
        <f t="shared" ref="F544:F569" si="80">C544+D544+E544</f>
        <v>0</v>
      </c>
      <c r="G544" s="2"/>
      <c r="H544" s="189"/>
      <c r="I544" s="471"/>
      <c r="J544" s="471"/>
      <c r="K544" s="471"/>
      <c r="L544" s="2"/>
    </row>
    <row r="545" spans="2:12" x14ac:dyDescent="0.2">
      <c r="B545" s="436" t="s">
        <v>1097</v>
      </c>
      <c r="C545" s="15"/>
      <c r="D545" s="15"/>
      <c r="E545" s="15">
        <f t="shared" si="79"/>
        <v>0</v>
      </c>
      <c r="F545" s="16">
        <f t="shared" si="80"/>
        <v>0</v>
      </c>
      <c r="G545" s="2"/>
      <c r="H545" s="189"/>
      <c r="I545" s="471"/>
      <c r="J545" s="471"/>
      <c r="K545" s="471"/>
      <c r="L545" s="2"/>
    </row>
    <row r="546" spans="2:12" x14ac:dyDescent="0.2">
      <c r="B546" s="436" t="s">
        <v>1098</v>
      </c>
      <c r="C546" s="15"/>
      <c r="D546" s="15"/>
      <c r="E546" s="15">
        <f t="shared" si="79"/>
        <v>0</v>
      </c>
      <c r="F546" s="16">
        <f t="shared" si="80"/>
        <v>0</v>
      </c>
      <c r="G546" s="2"/>
      <c r="H546" s="189"/>
      <c r="I546" s="471"/>
      <c r="J546" s="471"/>
      <c r="K546" s="471"/>
      <c r="L546" s="2"/>
    </row>
    <row r="547" spans="2:12" x14ac:dyDescent="0.2">
      <c r="B547" s="436" t="s">
        <v>1099</v>
      </c>
      <c r="C547" s="15"/>
      <c r="D547" s="15"/>
      <c r="E547" s="15">
        <f t="shared" si="79"/>
        <v>0</v>
      </c>
      <c r="F547" s="16">
        <f t="shared" si="80"/>
        <v>0</v>
      </c>
      <c r="G547" s="2"/>
      <c r="H547" s="189"/>
      <c r="I547" s="471"/>
      <c r="J547" s="471"/>
      <c r="K547" s="471"/>
      <c r="L547" s="2"/>
    </row>
    <row r="548" spans="2:12" x14ac:dyDescent="0.2">
      <c r="B548" s="436" t="s">
        <v>1100</v>
      </c>
      <c r="C548" s="15"/>
      <c r="D548" s="15"/>
      <c r="E548" s="15">
        <f t="shared" si="79"/>
        <v>0</v>
      </c>
      <c r="F548" s="16">
        <f t="shared" si="80"/>
        <v>0</v>
      </c>
      <c r="G548" s="2"/>
      <c r="H548" s="189"/>
      <c r="I548" s="471"/>
      <c r="J548" s="471"/>
      <c r="K548" s="471"/>
      <c r="L548" s="2"/>
    </row>
    <row r="549" spans="2:12" x14ac:dyDescent="0.2">
      <c r="B549" s="436" t="s">
        <v>1101</v>
      </c>
      <c r="C549" s="15"/>
      <c r="D549" s="15"/>
      <c r="E549" s="15">
        <f t="shared" si="79"/>
        <v>0</v>
      </c>
      <c r="F549" s="16">
        <f t="shared" si="80"/>
        <v>0</v>
      </c>
      <c r="G549" s="2"/>
      <c r="H549" s="189"/>
      <c r="I549" s="471"/>
      <c r="J549" s="471"/>
      <c r="K549" s="471"/>
      <c r="L549" s="2"/>
    </row>
    <row r="550" spans="2:12" x14ac:dyDescent="0.2">
      <c r="B550" s="436" t="s">
        <v>1102</v>
      </c>
      <c r="C550" s="15"/>
      <c r="D550" s="15"/>
      <c r="E550" s="15">
        <f t="shared" si="79"/>
        <v>0</v>
      </c>
      <c r="F550" s="16">
        <f t="shared" si="80"/>
        <v>0</v>
      </c>
      <c r="G550" s="2"/>
      <c r="H550" s="189"/>
      <c r="I550" s="471"/>
      <c r="J550" s="471"/>
      <c r="K550" s="471"/>
      <c r="L550" s="2"/>
    </row>
    <row r="551" spans="2:12" x14ac:dyDescent="0.2">
      <c r="B551" s="436" t="s">
        <v>1103</v>
      </c>
      <c r="C551" s="15"/>
      <c r="D551" s="15"/>
      <c r="E551" s="15">
        <f t="shared" si="79"/>
        <v>0</v>
      </c>
      <c r="F551" s="16">
        <f t="shared" si="80"/>
        <v>0</v>
      </c>
      <c r="G551" s="2"/>
      <c r="H551" s="189"/>
      <c r="I551" s="471"/>
      <c r="J551" s="471"/>
      <c r="K551" s="471"/>
      <c r="L551" s="2"/>
    </row>
    <row r="552" spans="2:12" x14ac:dyDescent="0.2">
      <c r="B552" s="436" t="s">
        <v>1104</v>
      </c>
      <c r="C552" s="15"/>
      <c r="D552" s="15"/>
      <c r="E552" s="15">
        <f t="shared" si="79"/>
        <v>0</v>
      </c>
      <c r="F552" s="16">
        <f t="shared" si="80"/>
        <v>0</v>
      </c>
      <c r="G552" s="2"/>
      <c r="H552" s="189"/>
      <c r="I552" s="471"/>
      <c r="J552" s="471"/>
      <c r="K552" s="471"/>
      <c r="L552" s="2"/>
    </row>
    <row r="553" spans="2:12" x14ac:dyDescent="0.2">
      <c r="B553" s="436" t="s">
        <v>1105</v>
      </c>
      <c r="C553" s="15"/>
      <c r="D553" s="15"/>
      <c r="E553" s="15">
        <f t="shared" si="79"/>
        <v>0</v>
      </c>
      <c r="F553" s="16">
        <f t="shared" si="80"/>
        <v>0</v>
      </c>
      <c r="G553" s="2"/>
      <c r="H553" s="189"/>
      <c r="I553" s="471"/>
      <c r="J553" s="471"/>
      <c r="K553" s="471"/>
      <c r="L553" s="2"/>
    </row>
    <row r="554" spans="2:12" x14ac:dyDescent="0.2">
      <c r="B554" s="436" t="s">
        <v>1106</v>
      </c>
      <c r="C554" s="15"/>
      <c r="D554" s="15"/>
      <c r="E554" s="15">
        <f t="shared" si="79"/>
        <v>0</v>
      </c>
      <c r="F554" s="16">
        <f t="shared" si="80"/>
        <v>0</v>
      </c>
      <c r="G554" s="2"/>
      <c r="H554" s="189"/>
      <c r="I554" s="471"/>
      <c r="J554" s="471"/>
      <c r="K554" s="471"/>
      <c r="L554" s="2"/>
    </row>
    <row r="555" spans="2:12" x14ac:dyDescent="0.2">
      <c r="B555" s="436" t="s">
        <v>1107</v>
      </c>
      <c r="C555" s="15"/>
      <c r="D555" s="15"/>
      <c r="E555" s="15">
        <f t="shared" si="79"/>
        <v>0</v>
      </c>
      <c r="F555" s="16">
        <f t="shared" si="80"/>
        <v>0</v>
      </c>
      <c r="G555" s="2"/>
      <c r="H555" s="189"/>
      <c r="I555" s="471"/>
      <c r="J555" s="471"/>
      <c r="K555" s="471"/>
      <c r="L555" s="2"/>
    </row>
    <row r="556" spans="2:12" x14ac:dyDescent="0.2">
      <c r="B556" s="436" t="s">
        <v>1108</v>
      </c>
      <c r="C556" s="15"/>
      <c r="D556" s="15"/>
      <c r="E556" s="15">
        <f t="shared" si="79"/>
        <v>0</v>
      </c>
      <c r="F556" s="16">
        <f t="shared" si="80"/>
        <v>0</v>
      </c>
      <c r="G556" s="2"/>
      <c r="H556" s="189"/>
      <c r="I556" s="471"/>
      <c r="J556" s="471"/>
      <c r="K556" s="471"/>
      <c r="L556" s="2"/>
    </row>
    <row r="557" spans="2:12" x14ac:dyDescent="0.2">
      <c r="B557" s="436" t="s">
        <v>1109</v>
      </c>
      <c r="C557" s="15"/>
      <c r="D557" s="15"/>
      <c r="E557" s="15">
        <f t="shared" si="79"/>
        <v>0</v>
      </c>
      <c r="F557" s="16">
        <f t="shared" si="80"/>
        <v>0</v>
      </c>
      <c r="G557" s="2"/>
      <c r="H557" s="189"/>
      <c r="I557" s="471"/>
      <c r="J557" s="471"/>
      <c r="K557" s="471"/>
      <c r="L557" s="2"/>
    </row>
    <row r="558" spans="2:12" x14ac:dyDescent="0.2">
      <c r="B558" s="436" t="s">
        <v>1110</v>
      </c>
      <c r="C558" s="15"/>
      <c r="D558" s="15"/>
      <c r="E558" s="15">
        <f t="shared" si="79"/>
        <v>0</v>
      </c>
      <c r="F558" s="16">
        <f t="shared" si="80"/>
        <v>0</v>
      </c>
      <c r="G558" s="2"/>
      <c r="H558" s="189"/>
      <c r="I558" s="471"/>
      <c r="J558" s="471"/>
      <c r="K558" s="471"/>
      <c r="L558" s="2"/>
    </row>
    <row r="559" spans="2:12" x14ac:dyDescent="0.2">
      <c r="B559" s="436" t="s">
        <v>1111</v>
      </c>
      <c r="C559" s="15"/>
      <c r="D559" s="15"/>
      <c r="E559" s="15">
        <f t="shared" si="79"/>
        <v>0</v>
      </c>
      <c r="F559" s="16">
        <f t="shared" si="80"/>
        <v>0</v>
      </c>
      <c r="G559" s="2"/>
      <c r="H559" s="189"/>
      <c r="I559" s="471"/>
      <c r="J559" s="471"/>
      <c r="K559" s="471"/>
      <c r="L559" s="2"/>
    </row>
    <row r="560" spans="2:12" x14ac:dyDescent="0.2">
      <c r="B560" s="436" t="s">
        <v>1112</v>
      </c>
      <c r="C560" s="15"/>
      <c r="D560" s="15"/>
      <c r="E560" s="15">
        <f t="shared" si="79"/>
        <v>0</v>
      </c>
      <c r="F560" s="16">
        <f t="shared" si="80"/>
        <v>0</v>
      </c>
      <c r="G560" s="2"/>
      <c r="H560" s="189"/>
      <c r="I560" s="471"/>
      <c r="J560" s="471"/>
      <c r="K560" s="471"/>
      <c r="L560" s="2"/>
    </row>
    <row r="561" spans="2:12" x14ac:dyDescent="0.2">
      <c r="B561" s="436" t="s">
        <v>1113</v>
      </c>
      <c r="C561" s="15"/>
      <c r="D561" s="15"/>
      <c r="E561" s="15">
        <f t="shared" si="79"/>
        <v>0</v>
      </c>
      <c r="F561" s="16">
        <f t="shared" si="80"/>
        <v>0</v>
      </c>
      <c r="G561" s="2"/>
      <c r="H561" s="189"/>
      <c r="I561" s="471"/>
      <c r="J561" s="471"/>
      <c r="K561" s="471"/>
      <c r="L561" s="2"/>
    </row>
    <row r="562" spans="2:12" x14ac:dyDescent="0.2">
      <c r="B562" s="436" t="s">
        <v>1106</v>
      </c>
      <c r="C562" s="15"/>
      <c r="D562" s="15"/>
      <c r="E562" s="15">
        <f t="shared" si="79"/>
        <v>0</v>
      </c>
      <c r="F562" s="16">
        <f t="shared" si="80"/>
        <v>0</v>
      </c>
      <c r="G562" s="2"/>
      <c r="H562" s="189"/>
      <c r="I562" s="471"/>
      <c r="J562" s="471"/>
      <c r="K562" s="471"/>
      <c r="L562" s="2"/>
    </row>
    <row r="563" spans="2:12" x14ac:dyDescent="0.2">
      <c r="B563" s="436" t="s">
        <v>1114</v>
      </c>
      <c r="C563" s="15"/>
      <c r="D563" s="15"/>
      <c r="E563" s="15">
        <f t="shared" si="79"/>
        <v>0</v>
      </c>
      <c r="F563" s="16">
        <f t="shared" si="80"/>
        <v>0</v>
      </c>
      <c r="G563" s="2"/>
      <c r="H563" s="189"/>
      <c r="I563" s="471"/>
      <c r="J563" s="471"/>
      <c r="K563" s="471"/>
      <c r="L563" s="2"/>
    </row>
    <row r="564" spans="2:12" x14ac:dyDescent="0.2">
      <c r="B564" s="436" t="s">
        <v>1115</v>
      </c>
      <c r="C564" s="15"/>
      <c r="D564" s="15"/>
      <c r="E564" s="15">
        <f t="shared" si="79"/>
        <v>0</v>
      </c>
      <c r="F564" s="16">
        <f t="shared" si="80"/>
        <v>0</v>
      </c>
      <c r="G564" s="2"/>
      <c r="H564" s="189"/>
      <c r="I564" s="471"/>
      <c r="J564" s="471"/>
      <c r="K564" s="471"/>
      <c r="L564" s="2"/>
    </row>
    <row r="565" spans="2:12" x14ac:dyDescent="0.2">
      <c r="B565" s="436" t="s">
        <v>1116</v>
      </c>
      <c r="C565" s="15"/>
      <c r="D565" s="15"/>
      <c r="E565" s="15">
        <f t="shared" si="79"/>
        <v>0</v>
      </c>
      <c r="F565" s="16">
        <f t="shared" si="80"/>
        <v>0</v>
      </c>
      <c r="G565" s="2"/>
      <c r="H565" s="189"/>
      <c r="I565" s="471"/>
      <c r="J565" s="471"/>
      <c r="K565" s="471"/>
      <c r="L565" s="2"/>
    </row>
    <row r="566" spans="2:12" x14ac:dyDescent="0.2">
      <c r="B566" s="436" t="s">
        <v>1117</v>
      </c>
      <c r="C566" s="15"/>
      <c r="D566" s="15"/>
      <c r="E566" s="15">
        <f t="shared" si="79"/>
        <v>0</v>
      </c>
      <c r="F566" s="16">
        <f t="shared" si="80"/>
        <v>0</v>
      </c>
      <c r="G566" s="2"/>
      <c r="H566" s="189"/>
      <c r="I566" s="471"/>
      <c r="J566" s="471"/>
      <c r="K566" s="471"/>
      <c r="L566" s="2"/>
    </row>
    <row r="567" spans="2:12" x14ac:dyDescent="0.2">
      <c r="B567" s="436" t="s">
        <v>1118</v>
      </c>
      <c r="C567" s="15"/>
      <c r="D567" s="15"/>
      <c r="E567" s="15">
        <f t="shared" si="79"/>
        <v>0</v>
      </c>
      <c r="F567" s="16">
        <f t="shared" si="80"/>
        <v>0</v>
      </c>
      <c r="G567" s="2"/>
      <c r="H567" s="189"/>
      <c r="I567" s="471"/>
      <c r="J567" s="471"/>
      <c r="K567" s="471"/>
      <c r="L567" s="2"/>
    </row>
    <row r="568" spans="2:12" x14ac:dyDescent="0.2">
      <c r="B568" s="436" t="s">
        <v>1119</v>
      </c>
      <c r="C568" s="15"/>
      <c r="D568" s="15"/>
      <c r="E568" s="15">
        <f t="shared" si="79"/>
        <v>0</v>
      </c>
      <c r="F568" s="16">
        <f t="shared" si="80"/>
        <v>0</v>
      </c>
      <c r="G568" s="2"/>
      <c r="H568" s="189"/>
      <c r="I568" s="471"/>
      <c r="J568" s="471"/>
      <c r="K568" s="471"/>
      <c r="L568" s="2"/>
    </row>
    <row r="569" spans="2:12" x14ac:dyDescent="0.2">
      <c r="B569" s="436" t="s">
        <v>1120</v>
      </c>
      <c r="C569" s="15"/>
      <c r="D569" s="15"/>
      <c r="E569" s="15">
        <f t="shared" si="79"/>
        <v>0</v>
      </c>
      <c r="F569" s="16">
        <f t="shared" si="80"/>
        <v>0</v>
      </c>
      <c r="G569" s="2"/>
      <c r="H569" s="189"/>
      <c r="I569" s="471"/>
      <c r="J569" s="471"/>
      <c r="K569" s="471"/>
      <c r="L569" s="2"/>
    </row>
    <row r="570" spans="2:12" x14ac:dyDescent="0.2">
      <c r="B570" s="436"/>
      <c r="C570" s="15"/>
      <c r="D570" s="15"/>
      <c r="E570" s="15"/>
      <c r="F570" s="16"/>
      <c r="G570" s="2"/>
      <c r="H570" s="189"/>
      <c r="I570" s="471"/>
      <c r="J570" s="471"/>
      <c r="K570" s="471"/>
      <c r="L570" s="2"/>
    </row>
    <row r="571" spans="2:12" ht="13.5" thickBot="1" x14ac:dyDescent="0.25">
      <c r="B571" s="456"/>
      <c r="C571" s="457"/>
      <c r="D571" s="457"/>
      <c r="E571" s="457"/>
      <c r="F571" s="459"/>
      <c r="G571" s="2"/>
      <c r="H571" s="189"/>
      <c r="I571" s="471"/>
      <c r="J571" s="471"/>
      <c r="K571" s="471"/>
      <c r="L571" s="2"/>
    </row>
    <row r="572" spans="2:12" ht="13.5" thickTop="1" x14ac:dyDescent="0.2">
      <c r="B572" s="527" t="s">
        <v>1121</v>
      </c>
      <c r="C572" s="239"/>
      <c r="D572" s="154"/>
      <c r="E572" s="461"/>
      <c r="F572" s="155"/>
      <c r="G572" s="2"/>
      <c r="H572" s="189"/>
      <c r="I572" s="471"/>
      <c r="J572" s="471"/>
      <c r="K572" s="471"/>
      <c r="L572" s="2"/>
    </row>
    <row r="573" spans="2:12" x14ac:dyDescent="0.2">
      <c r="B573" s="528" t="s">
        <v>1122</v>
      </c>
      <c r="C573" s="97"/>
      <c r="D573" s="15"/>
      <c r="E573" s="86"/>
      <c r="F573" s="16"/>
      <c r="G573" s="2"/>
      <c r="H573" s="189"/>
      <c r="I573" s="471"/>
      <c r="J573" s="471"/>
      <c r="K573" s="471"/>
      <c r="L573" s="2"/>
    </row>
    <row r="574" spans="2:12" x14ac:dyDescent="0.2">
      <c r="B574" s="528" t="s">
        <v>1123</v>
      </c>
      <c r="C574" s="97"/>
      <c r="D574" s="15"/>
      <c r="E574" s="86"/>
      <c r="F574" s="16"/>
      <c r="G574" s="2"/>
      <c r="H574" s="189"/>
      <c r="I574" s="471"/>
      <c r="J574" s="471"/>
      <c r="K574" s="471"/>
      <c r="L574" s="2"/>
    </row>
    <row r="575" spans="2:12" x14ac:dyDescent="0.2">
      <c r="B575" s="11" t="s">
        <v>66</v>
      </c>
      <c r="C575" s="97">
        <v>100</v>
      </c>
      <c r="D575" s="15"/>
      <c r="E575" s="86">
        <f>C575*E6</f>
        <v>60</v>
      </c>
      <c r="F575" s="16">
        <f>E575+C575</f>
        <v>160</v>
      </c>
      <c r="G575" s="2"/>
      <c r="H575" s="189"/>
      <c r="I575" s="471"/>
      <c r="J575" s="471"/>
      <c r="K575" s="471"/>
      <c r="L575" s="2"/>
    </row>
    <row r="576" spans="2:12" x14ac:dyDescent="0.2">
      <c r="B576" s="11" t="s">
        <v>1124</v>
      </c>
      <c r="C576" s="97">
        <v>180</v>
      </c>
      <c r="D576" s="15"/>
      <c r="E576" s="86">
        <f>C576*E6</f>
        <v>108</v>
      </c>
      <c r="F576" s="16">
        <f>E576+C576</f>
        <v>288</v>
      </c>
      <c r="G576" s="2"/>
      <c r="H576" s="189"/>
      <c r="I576" s="471"/>
      <c r="J576" s="471"/>
      <c r="K576" s="471"/>
      <c r="L576" s="2"/>
    </row>
    <row r="577" spans="1:12" x14ac:dyDescent="0.2">
      <c r="B577" s="11" t="s">
        <v>1125</v>
      </c>
      <c r="C577" s="97">
        <v>18.5</v>
      </c>
      <c r="D577" s="15"/>
      <c r="E577" s="86">
        <f>C577*E6</f>
        <v>11.1</v>
      </c>
      <c r="F577" s="16">
        <f t="shared" ref="F577:F584" si="81">E577+C577</f>
        <v>29.6</v>
      </c>
      <c r="G577" s="2"/>
      <c r="H577" s="189"/>
      <c r="I577" s="471"/>
      <c r="J577" s="471"/>
      <c r="K577" s="471"/>
      <c r="L577" s="2"/>
    </row>
    <row r="578" spans="1:12" x14ac:dyDescent="0.2">
      <c r="B578" s="11" t="s">
        <v>1126</v>
      </c>
      <c r="C578" s="97">
        <v>660</v>
      </c>
      <c r="D578" s="15"/>
      <c r="E578" s="86">
        <f>C578*E6</f>
        <v>396</v>
      </c>
      <c r="F578" s="16">
        <f t="shared" si="81"/>
        <v>1056</v>
      </c>
      <c r="G578" s="2"/>
      <c r="H578" s="189"/>
      <c r="I578" s="471"/>
      <c r="J578" s="471"/>
      <c r="K578" s="471"/>
      <c r="L578" s="2"/>
    </row>
    <row r="579" spans="1:12" x14ac:dyDescent="0.2">
      <c r="B579" s="11" t="s">
        <v>1127</v>
      </c>
      <c r="C579" s="529">
        <f>C1146</f>
        <v>160</v>
      </c>
      <c r="D579" s="15"/>
      <c r="E579" s="86">
        <f>C579*E6</f>
        <v>96</v>
      </c>
      <c r="F579" s="16">
        <f t="shared" si="81"/>
        <v>256</v>
      </c>
      <c r="G579" s="2"/>
      <c r="H579" s="189"/>
      <c r="I579" s="471"/>
      <c r="J579" s="471"/>
      <c r="K579" s="471"/>
      <c r="L579" s="2"/>
    </row>
    <row r="580" spans="1:12" x14ac:dyDescent="0.2">
      <c r="B580" s="11"/>
      <c r="C580" s="97"/>
      <c r="D580" s="15"/>
      <c r="E580" s="86">
        <f>C580*E7</f>
        <v>0</v>
      </c>
      <c r="F580" s="16">
        <f t="shared" si="81"/>
        <v>0</v>
      </c>
      <c r="G580" s="2"/>
      <c r="H580" s="189"/>
      <c r="I580" s="471"/>
      <c r="J580" s="471"/>
      <c r="K580" s="471"/>
      <c r="L580" s="2"/>
    </row>
    <row r="581" spans="1:12" x14ac:dyDescent="0.2">
      <c r="B581" s="185" t="s">
        <v>1128</v>
      </c>
      <c r="C581" s="97"/>
      <c r="D581" s="15"/>
      <c r="E581" s="86"/>
      <c r="F581" s="16"/>
      <c r="G581" s="2"/>
      <c r="H581" s="189"/>
      <c r="I581" s="471"/>
      <c r="J581" s="471"/>
      <c r="K581" s="471"/>
      <c r="L581" s="2"/>
    </row>
    <row r="582" spans="1:12" x14ac:dyDescent="0.2">
      <c r="B582" s="11" t="s">
        <v>1129</v>
      </c>
      <c r="C582" s="97">
        <v>380</v>
      </c>
      <c r="D582" s="15"/>
      <c r="E582" s="86">
        <f>C582*$E$6</f>
        <v>228</v>
      </c>
      <c r="F582" s="16">
        <f t="shared" si="81"/>
        <v>608</v>
      </c>
      <c r="G582" s="2"/>
      <c r="H582" s="189"/>
      <c r="I582" s="471"/>
      <c r="J582" s="471"/>
      <c r="K582" s="471"/>
      <c r="L582" s="2"/>
    </row>
    <row r="583" spans="1:12" x14ac:dyDescent="0.2">
      <c r="B583" s="11" t="s">
        <v>1130</v>
      </c>
      <c r="C583" s="97">
        <v>7.56</v>
      </c>
      <c r="D583" s="15"/>
      <c r="E583" s="86">
        <f>C583*$E$6</f>
        <v>4.5359999999999996</v>
      </c>
      <c r="F583" s="16">
        <f t="shared" si="81"/>
        <v>12.096</v>
      </c>
      <c r="G583" s="2"/>
      <c r="H583" s="189"/>
      <c r="I583" s="471"/>
      <c r="J583" s="471"/>
      <c r="K583" s="471"/>
      <c r="L583" s="2"/>
    </row>
    <row r="584" spans="1:12" x14ac:dyDescent="0.2">
      <c r="B584" s="11" t="s">
        <v>1131</v>
      </c>
      <c r="C584" s="97">
        <v>60</v>
      </c>
      <c r="D584" s="15"/>
      <c r="E584" s="86">
        <f>C584*$E$6</f>
        <v>36</v>
      </c>
      <c r="F584" s="16">
        <f t="shared" si="81"/>
        <v>96</v>
      </c>
      <c r="G584" s="2"/>
      <c r="H584" s="189"/>
      <c r="I584" s="471"/>
      <c r="J584" s="471"/>
      <c r="K584" s="471"/>
      <c r="L584" s="2"/>
    </row>
    <row r="585" spans="1:12" x14ac:dyDescent="0.2">
      <c r="B585" s="11"/>
      <c r="C585" s="97"/>
      <c r="D585" s="15"/>
      <c r="E585" s="86"/>
      <c r="F585" s="16"/>
      <c r="G585" s="2"/>
      <c r="H585" s="189"/>
      <c r="I585" s="471"/>
      <c r="J585" s="471"/>
      <c r="K585" s="471"/>
      <c r="L585" s="2"/>
    </row>
    <row r="586" spans="1:12" x14ac:dyDescent="0.2">
      <c r="B586" s="11"/>
      <c r="C586" s="97"/>
      <c r="D586" s="15"/>
      <c r="E586" s="86"/>
      <c r="F586" s="16"/>
      <c r="G586" s="2"/>
      <c r="H586" s="189"/>
      <c r="I586" s="471"/>
      <c r="J586" s="471"/>
      <c r="K586" s="471"/>
      <c r="L586" s="2"/>
    </row>
    <row r="587" spans="1:12" x14ac:dyDescent="0.2">
      <c r="B587" s="11"/>
      <c r="C587" s="97"/>
      <c r="D587" s="15"/>
      <c r="E587" s="86"/>
      <c r="F587" s="16"/>
      <c r="G587" s="2"/>
      <c r="H587" s="189"/>
      <c r="I587" s="471"/>
      <c r="J587" s="471"/>
      <c r="K587" s="471"/>
      <c r="L587" s="2"/>
    </row>
    <row r="588" spans="1:12" x14ac:dyDescent="0.2">
      <c r="B588" s="11"/>
      <c r="C588" s="97"/>
      <c r="D588" s="15"/>
      <c r="E588" s="86"/>
      <c r="F588" s="16"/>
      <c r="G588" s="2"/>
      <c r="H588" s="189"/>
      <c r="I588" s="471"/>
      <c r="J588" s="471"/>
      <c r="K588" s="471"/>
      <c r="L588" s="2"/>
    </row>
    <row r="589" spans="1:12" x14ac:dyDescent="0.2">
      <c r="B589" s="11"/>
      <c r="C589" s="97"/>
      <c r="D589" s="15"/>
      <c r="E589" s="86"/>
      <c r="F589" s="16"/>
      <c r="G589" s="2"/>
      <c r="H589" s="189"/>
      <c r="I589" s="471"/>
      <c r="J589" s="471"/>
      <c r="K589" s="471"/>
      <c r="L589" s="2"/>
    </row>
    <row r="590" spans="1:12" x14ac:dyDescent="0.2">
      <c r="B590" s="10"/>
      <c r="C590" s="15"/>
      <c r="D590" s="15"/>
      <c r="E590" s="86"/>
      <c r="F590" s="16"/>
      <c r="G590" s="2"/>
      <c r="H590" s="189"/>
      <c r="I590" s="471"/>
      <c r="J590" s="471"/>
      <c r="K590" s="471"/>
      <c r="L590" s="2"/>
    </row>
    <row r="591" spans="1:12" ht="13.5" thickBot="1" x14ac:dyDescent="0.25">
      <c r="B591" s="530"/>
      <c r="C591" s="97"/>
      <c r="D591" s="97"/>
      <c r="E591" s="451"/>
      <c r="F591" s="87"/>
      <c r="G591" s="2"/>
      <c r="H591" s="189"/>
      <c r="I591" s="189"/>
      <c r="J591" s="189"/>
      <c r="K591" s="189"/>
      <c r="L591" s="2"/>
    </row>
    <row r="592" spans="1:12" ht="13.5" thickTop="1" x14ac:dyDescent="0.2">
      <c r="A592" s="531"/>
      <c r="B592" s="532" t="s">
        <v>1132</v>
      </c>
      <c r="C592" s="453" t="s">
        <v>1133</v>
      </c>
      <c r="D592" s="533">
        <v>0.1</v>
      </c>
      <c r="E592" s="453"/>
      <c r="F592" s="455"/>
      <c r="G592" s="2"/>
      <c r="H592" s="189"/>
      <c r="I592" s="471"/>
      <c r="J592" s="471"/>
      <c r="K592" s="471"/>
      <c r="L592" s="2"/>
    </row>
    <row r="593" spans="1:12" x14ac:dyDescent="0.2">
      <c r="A593" s="534"/>
      <c r="B593" s="6"/>
      <c r="C593" s="15"/>
      <c r="D593" s="15"/>
      <c r="E593" s="15"/>
      <c r="F593" s="16"/>
      <c r="G593" s="2"/>
      <c r="H593" s="189"/>
      <c r="I593" s="471"/>
      <c r="J593" s="471"/>
      <c r="K593" s="471"/>
      <c r="L593" s="2"/>
    </row>
    <row r="594" spans="1:12" x14ac:dyDescent="0.2">
      <c r="A594" s="534" t="s">
        <v>1134</v>
      </c>
      <c r="B594" s="436" t="s">
        <v>1135</v>
      </c>
      <c r="C594" s="469">
        <v>14.61</v>
      </c>
      <c r="D594" s="15">
        <f>C594*$D$592</f>
        <v>1.4610000000000001</v>
      </c>
      <c r="E594" s="15">
        <f>(C594+D594)*E6</f>
        <v>9.6425999999999981</v>
      </c>
      <c r="F594" s="16">
        <f>C594+D594+E594</f>
        <v>25.713599999999996</v>
      </c>
      <c r="G594" s="2" t="s">
        <v>1136</v>
      </c>
      <c r="H594" s="497"/>
      <c r="I594" s="471"/>
      <c r="J594" s="471"/>
      <c r="K594" s="471"/>
      <c r="L594" s="2"/>
    </row>
    <row r="595" spans="1:12" x14ac:dyDescent="0.2">
      <c r="A595" s="534" t="s">
        <v>1137</v>
      </c>
      <c r="B595" s="436" t="s">
        <v>1138</v>
      </c>
      <c r="C595" s="469">
        <v>18.84</v>
      </c>
      <c r="D595" s="15">
        <f t="shared" ref="D595:D625" si="82">C595*$D$592</f>
        <v>1.8840000000000001</v>
      </c>
      <c r="E595" s="15">
        <f>(C595+D595)*E6</f>
        <v>12.4344</v>
      </c>
      <c r="F595" s="16">
        <f>C595+D595+E595</f>
        <v>33.1584</v>
      </c>
      <c r="G595" s="2"/>
      <c r="H595" s="189"/>
      <c r="I595" s="471"/>
      <c r="J595" s="471"/>
      <c r="K595" s="471"/>
      <c r="L595" s="2"/>
    </row>
    <row r="596" spans="1:12" x14ac:dyDescent="0.2">
      <c r="A596" s="534" t="s">
        <v>1139</v>
      </c>
      <c r="B596" s="436" t="s">
        <v>276</v>
      </c>
      <c r="C596" s="469">
        <v>9.0299999999999994</v>
      </c>
      <c r="D596" s="15">
        <f t="shared" si="82"/>
        <v>0.90300000000000002</v>
      </c>
      <c r="E596" s="15">
        <f>C596*$E$6</f>
        <v>5.4179999999999993</v>
      </c>
      <c r="F596" s="16">
        <f>C596+E596+D596</f>
        <v>15.350999999999999</v>
      </c>
      <c r="G596" s="2"/>
      <c r="H596" s="189"/>
      <c r="I596" s="471"/>
      <c r="J596" s="471"/>
      <c r="K596" s="471"/>
      <c r="L596" s="2"/>
    </row>
    <row r="597" spans="1:12" x14ac:dyDescent="0.2">
      <c r="A597" s="534" t="s">
        <v>2</v>
      </c>
      <c r="B597" s="436" t="s">
        <v>1140</v>
      </c>
      <c r="C597" s="145">
        <v>38.520000000000003</v>
      </c>
      <c r="D597" s="15">
        <f t="shared" si="82"/>
        <v>3.8520000000000003</v>
      </c>
      <c r="E597" s="15">
        <f>C597*$E$6</f>
        <v>23.112000000000002</v>
      </c>
      <c r="F597" s="16">
        <f>C597+E597+D597</f>
        <v>65.484000000000009</v>
      </c>
      <c r="G597" s="2" t="s">
        <v>881</v>
      </c>
      <c r="H597" s="189"/>
      <c r="I597" s="471"/>
      <c r="J597" s="471"/>
      <c r="K597" s="471"/>
      <c r="L597" s="2"/>
    </row>
    <row r="598" spans="1:12" x14ac:dyDescent="0.2">
      <c r="A598" s="534" t="s">
        <v>1141</v>
      </c>
      <c r="B598" s="436" t="s">
        <v>1142</v>
      </c>
      <c r="C598" s="469">
        <v>15.31</v>
      </c>
      <c r="D598" s="15">
        <f t="shared" si="82"/>
        <v>1.5310000000000001</v>
      </c>
      <c r="E598" s="15">
        <f>C598*E6</f>
        <v>9.1859999999999999</v>
      </c>
      <c r="F598" s="16">
        <f>C598+E598+D598</f>
        <v>26.027000000000001</v>
      </c>
      <c r="G598" s="2"/>
      <c r="H598" s="189"/>
      <c r="I598" s="471"/>
      <c r="J598" s="471"/>
      <c r="K598" s="471"/>
      <c r="L598" s="2"/>
    </row>
    <row r="599" spans="1:12" x14ac:dyDescent="0.2">
      <c r="A599" s="534" t="s">
        <v>1143</v>
      </c>
      <c r="B599" s="148" t="s">
        <v>1144</v>
      </c>
      <c r="C599" s="469">
        <v>21.53</v>
      </c>
      <c r="D599" s="15">
        <f t="shared" si="82"/>
        <v>2.153</v>
      </c>
      <c r="E599" s="15">
        <f>(C599+D599)*E6</f>
        <v>14.2098</v>
      </c>
      <c r="F599" s="16">
        <f>C599+D599+E599</f>
        <v>37.892800000000001</v>
      </c>
      <c r="G599" s="2"/>
      <c r="H599" s="189"/>
      <c r="I599" s="471"/>
      <c r="J599" s="471"/>
      <c r="K599" s="471"/>
      <c r="L599" s="2"/>
    </row>
    <row r="600" spans="1:12" x14ac:dyDescent="0.2">
      <c r="A600" s="534" t="s">
        <v>1145</v>
      </c>
      <c r="B600" s="436" t="s">
        <v>1146</v>
      </c>
      <c r="C600" s="469">
        <v>7.16</v>
      </c>
      <c r="D600" s="15">
        <f t="shared" si="82"/>
        <v>0.71600000000000008</v>
      </c>
      <c r="E600" s="15">
        <f>(C600+D600)*E6</f>
        <v>4.7256</v>
      </c>
      <c r="F600" s="16">
        <f>C600+D600+E600</f>
        <v>12.601600000000001</v>
      </c>
      <c r="G600" s="2"/>
      <c r="H600" s="189"/>
      <c r="I600" s="471"/>
      <c r="J600" s="471"/>
      <c r="K600" s="471"/>
      <c r="L600" s="2"/>
    </row>
    <row r="601" spans="1:12" x14ac:dyDescent="0.2">
      <c r="A601" s="534" t="s">
        <v>1147</v>
      </c>
      <c r="B601" s="436" t="s">
        <v>1148</v>
      </c>
      <c r="C601" s="469">
        <v>13.9</v>
      </c>
      <c r="D601" s="15">
        <f t="shared" si="82"/>
        <v>1.3900000000000001</v>
      </c>
      <c r="E601" s="15">
        <f>C601*E6</f>
        <v>8.34</v>
      </c>
      <c r="F601" s="16">
        <f>C601+E601+D601</f>
        <v>23.630000000000003</v>
      </c>
      <c r="G601" s="2"/>
      <c r="H601" s="189"/>
      <c r="I601" s="471"/>
      <c r="J601" s="471"/>
      <c r="K601" s="471"/>
      <c r="L601" s="2"/>
    </row>
    <row r="602" spans="1:12" x14ac:dyDescent="0.2">
      <c r="A602" s="534" t="s">
        <v>1149</v>
      </c>
      <c r="B602" s="436" t="s">
        <v>1150</v>
      </c>
      <c r="C602" s="469">
        <v>18.77</v>
      </c>
      <c r="D602" s="15">
        <f t="shared" si="82"/>
        <v>1.877</v>
      </c>
      <c r="E602" s="15">
        <f>C602*E6</f>
        <v>11.261999999999999</v>
      </c>
      <c r="F602" s="16">
        <f>C602+E602+D602</f>
        <v>31.908999999999995</v>
      </c>
      <c r="G602" s="2"/>
      <c r="H602" s="189"/>
      <c r="I602" s="471"/>
      <c r="J602" s="471"/>
      <c r="K602" s="471"/>
      <c r="L602" s="2"/>
    </row>
    <row r="603" spans="1:12" x14ac:dyDescent="0.2">
      <c r="A603" s="534" t="s">
        <v>1151</v>
      </c>
      <c r="B603" s="148" t="s">
        <v>1152</v>
      </c>
      <c r="C603" s="469">
        <v>6.52</v>
      </c>
      <c r="D603" s="15">
        <f t="shared" si="82"/>
        <v>0.65200000000000002</v>
      </c>
      <c r="E603" s="15">
        <f>(C603+D603)*E6</f>
        <v>4.3031999999999995</v>
      </c>
      <c r="F603" s="16">
        <f>C603+D603+E603</f>
        <v>11.475199999999999</v>
      </c>
      <c r="G603" s="2"/>
      <c r="H603" s="189"/>
      <c r="I603" s="471"/>
      <c r="J603" s="471"/>
      <c r="K603" s="471"/>
      <c r="L603" s="2"/>
    </row>
    <row r="604" spans="1:12" x14ac:dyDescent="0.2">
      <c r="A604" s="534" t="s">
        <v>1147</v>
      </c>
      <c r="B604" s="436" t="s">
        <v>1153</v>
      </c>
      <c r="C604" s="469">
        <v>15.91</v>
      </c>
      <c r="D604" s="15">
        <f t="shared" si="82"/>
        <v>1.5910000000000002</v>
      </c>
      <c r="E604" s="15">
        <f>(C604+D604)*E6</f>
        <v>10.5006</v>
      </c>
      <c r="F604" s="16">
        <f>C604+D604+E604</f>
        <v>28.001600000000003</v>
      </c>
      <c r="G604" s="2"/>
      <c r="H604" s="189"/>
      <c r="I604" s="471"/>
      <c r="J604" s="471"/>
      <c r="K604" s="471"/>
      <c r="L604" s="2"/>
    </row>
    <row r="605" spans="1:12" x14ac:dyDescent="0.2">
      <c r="A605" s="534" t="s">
        <v>1154</v>
      </c>
      <c r="B605" s="148" t="s">
        <v>1155</v>
      </c>
      <c r="C605" s="469">
        <v>10.47</v>
      </c>
      <c r="D605" s="15">
        <f t="shared" si="82"/>
        <v>1.0470000000000002</v>
      </c>
      <c r="E605" s="15">
        <f>(C605+D605)*E6</f>
        <v>6.9102000000000006</v>
      </c>
      <c r="F605" s="16">
        <f>C605+E605+D605</f>
        <v>18.427200000000003</v>
      </c>
      <c r="G605" s="2"/>
      <c r="H605" s="189"/>
      <c r="I605" s="471"/>
      <c r="J605" s="471"/>
      <c r="K605" s="471"/>
      <c r="L605" s="2"/>
    </row>
    <row r="606" spans="1:12" x14ac:dyDescent="0.2">
      <c r="A606" s="534" t="s">
        <v>1156</v>
      </c>
      <c r="B606" s="486" t="s">
        <v>105</v>
      </c>
      <c r="C606" s="469">
        <v>17.350000000000001</v>
      </c>
      <c r="D606" s="15">
        <f t="shared" si="82"/>
        <v>1.7350000000000003</v>
      </c>
      <c r="E606" s="15">
        <f>(C606+D606)*E6</f>
        <v>11.451000000000001</v>
      </c>
      <c r="F606" s="16">
        <f t="shared" ref="F606:F625" si="83">C606+D606+E606</f>
        <v>30.536000000000001</v>
      </c>
      <c r="G606" s="2"/>
      <c r="H606" s="189"/>
      <c r="I606" s="471"/>
      <c r="J606" s="471"/>
      <c r="K606" s="471"/>
      <c r="L606" s="2"/>
    </row>
    <row r="607" spans="1:12" x14ac:dyDescent="0.2">
      <c r="A607" s="534" t="s">
        <v>1157</v>
      </c>
      <c r="B607" s="486" t="s">
        <v>1158</v>
      </c>
      <c r="C607" s="469">
        <v>15.31</v>
      </c>
      <c r="D607" s="15">
        <f t="shared" si="82"/>
        <v>1.5310000000000001</v>
      </c>
      <c r="E607" s="15">
        <f>(C607+D607)*$E$6</f>
        <v>10.1046</v>
      </c>
      <c r="F607" s="16">
        <f t="shared" si="83"/>
        <v>26.945599999999999</v>
      </c>
      <c r="G607" s="2"/>
      <c r="H607" s="189"/>
      <c r="I607" s="471"/>
      <c r="J607" s="471"/>
      <c r="K607" s="471"/>
      <c r="L607" s="2"/>
    </row>
    <row r="608" spans="1:12" x14ac:dyDescent="0.2">
      <c r="A608" s="534"/>
      <c r="B608" s="436"/>
      <c r="C608" s="15"/>
      <c r="D608" s="15">
        <f t="shared" si="82"/>
        <v>0</v>
      </c>
      <c r="E608" s="15">
        <f>(C608+D608)*$E$6</f>
        <v>0</v>
      </c>
      <c r="F608" s="16">
        <f t="shared" si="83"/>
        <v>0</v>
      </c>
      <c r="G608" s="2"/>
      <c r="H608" s="189"/>
      <c r="I608" s="471"/>
      <c r="J608" s="471"/>
      <c r="K608" s="471"/>
      <c r="L608" s="2"/>
    </row>
    <row r="609" spans="1:12" x14ac:dyDescent="0.2">
      <c r="A609" s="534" t="s">
        <v>1156</v>
      </c>
      <c r="B609" s="436" t="s">
        <v>1159</v>
      </c>
      <c r="C609" s="469">
        <v>17.350000000000001</v>
      </c>
      <c r="D609" s="15">
        <f t="shared" si="82"/>
        <v>1.7350000000000003</v>
      </c>
      <c r="E609" s="15">
        <f>(C609+D609)*$E$6</f>
        <v>11.451000000000001</v>
      </c>
      <c r="F609" s="16">
        <f t="shared" si="83"/>
        <v>30.536000000000001</v>
      </c>
      <c r="G609" s="2"/>
      <c r="H609" s="189"/>
      <c r="I609" s="471"/>
      <c r="J609" s="471"/>
      <c r="K609" s="471"/>
      <c r="L609" s="2"/>
    </row>
    <row r="610" spans="1:12" x14ac:dyDescent="0.2">
      <c r="A610" s="534" t="s">
        <v>1160</v>
      </c>
      <c r="B610" s="436" t="s">
        <v>1161</v>
      </c>
      <c r="C610" s="469">
        <v>7.95</v>
      </c>
      <c r="D610" s="15">
        <f t="shared" si="82"/>
        <v>0.79500000000000004</v>
      </c>
      <c r="E610" s="15">
        <f>(C610+D610)*E6</f>
        <v>5.2470000000000008</v>
      </c>
      <c r="F610" s="16">
        <f t="shared" si="83"/>
        <v>13.992000000000001</v>
      </c>
      <c r="G610" s="2"/>
      <c r="H610" s="189"/>
      <c r="I610" s="471"/>
      <c r="J610" s="471"/>
      <c r="K610" s="471"/>
      <c r="L610" s="2"/>
    </row>
    <row r="611" spans="1:12" x14ac:dyDescent="0.2">
      <c r="A611" s="534" t="s">
        <v>1139</v>
      </c>
      <c r="B611" s="436" t="s">
        <v>284</v>
      </c>
      <c r="C611" s="469">
        <v>9.0299999999999994</v>
      </c>
      <c r="D611" s="15">
        <f t="shared" si="82"/>
        <v>0.90300000000000002</v>
      </c>
      <c r="E611" s="15">
        <f>(C611+D611)*E6</f>
        <v>5.9597999999999995</v>
      </c>
      <c r="F611" s="16">
        <f>C611+D611+E611</f>
        <v>15.892799999999999</v>
      </c>
      <c r="G611" s="2"/>
      <c r="H611" s="189"/>
      <c r="I611" s="471"/>
      <c r="J611" s="471"/>
      <c r="K611" s="471"/>
      <c r="L611" s="2"/>
    </row>
    <row r="612" spans="1:12" x14ac:dyDescent="0.2">
      <c r="A612" s="534" t="s">
        <v>2</v>
      </c>
      <c r="B612" s="436" t="s">
        <v>1162</v>
      </c>
      <c r="C612" s="469">
        <v>11.5</v>
      </c>
      <c r="D612" s="15">
        <f t="shared" si="82"/>
        <v>1.1500000000000001</v>
      </c>
      <c r="E612" s="15">
        <f>(C612+D612)*E6</f>
        <v>7.59</v>
      </c>
      <c r="F612" s="16">
        <f t="shared" si="83"/>
        <v>20.240000000000002</v>
      </c>
      <c r="G612" s="2"/>
      <c r="H612" s="189"/>
      <c r="I612" s="471"/>
      <c r="J612" s="471"/>
      <c r="K612" s="471"/>
      <c r="L612" s="2"/>
    </row>
    <row r="613" spans="1:12" x14ac:dyDescent="0.2">
      <c r="A613" s="534"/>
      <c r="B613" s="436" t="s">
        <v>1163</v>
      </c>
      <c r="C613" s="145">
        <v>50</v>
      </c>
      <c r="D613" s="15">
        <f t="shared" si="82"/>
        <v>5</v>
      </c>
      <c r="E613" s="15">
        <f>(C613+D613)*E6</f>
        <v>33</v>
      </c>
      <c r="F613" s="16">
        <f t="shared" si="83"/>
        <v>88</v>
      </c>
      <c r="G613" s="2" t="s">
        <v>881</v>
      </c>
      <c r="H613" s="189"/>
      <c r="I613" s="471"/>
      <c r="J613" s="471"/>
      <c r="K613" s="471"/>
      <c r="L613" s="2"/>
    </row>
    <row r="614" spans="1:12" x14ac:dyDescent="0.2">
      <c r="A614" s="534"/>
      <c r="B614" s="436" t="s">
        <v>1164</v>
      </c>
      <c r="C614" s="145">
        <v>95</v>
      </c>
      <c r="D614" s="15">
        <f t="shared" si="82"/>
        <v>9.5</v>
      </c>
      <c r="E614" s="15">
        <f>(C614+D614)*E6</f>
        <v>62.699999999999996</v>
      </c>
      <c r="F614" s="16">
        <f t="shared" si="83"/>
        <v>167.2</v>
      </c>
      <c r="G614" s="2"/>
      <c r="H614" s="189"/>
      <c r="I614" s="471"/>
      <c r="J614" s="471"/>
      <c r="K614" s="471"/>
      <c r="L614" s="2"/>
    </row>
    <row r="615" spans="1:12" x14ac:dyDescent="0.2">
      <c r="A615" s="534"/>
      <c r="B615" s="436" t="s">
        <v>1165</v>
      </c>
      <c r="C615" s="145">
        <v>95</v>
      </c>
      <c r="D615" s="15">
        <f t="shared" si="82"/>
        <v>9.5</v>
      </c>
      <c r="E615" s="15">
        <f>(C615+D615)*E6</f>
        <v>62.699999999999996</v>
      </c>
      <c r="F615" s="16">
        <f t="shared" si="83"/>
        <v>167.2</v>
      </c>
      <c r="G615" s="2"/>
      <c r="H615" s="189"/>
      <c r="I615" s="471"/>
      <c r="J615" s="471"/>
      <c r="K615" s="471"/>
      <c r="L615" s="2"/>
    </row>
    <row r="616" spans="1:12" x14ac:dyDescent="0.2">
      <c r="A616" s="534"/>
      <c r="B616" s="436"/>
      <c r="C616" s="15"/>
      <c r="D616" s="15">
        <f t="shared" si="82"/>
        <v>0</v>
      </c>
      <c r="E616" s="15"/>
      <c r="F616" s="16">
        <f t="shared" si="83"/>
        <v>0</v>
      </c>
      <c r="G616" s="2"/>
      <c r="H616" s="189"/>
      <c r="I616" s="471"/>
      <c r="J616" s="471"/>
      <c r="K616" s="471"/>
      <c r="L616" s="2"/>
    </row>
    <row r="617" spans="1:12" x14ac:dyDescent="0.2">
      <c r="A617" s="534"/>
      <c r="B617" s="496" t="s">
        <v>1166</v>
      </c>
      <c r="C617" s="15"/>
      <c r="D617" s="15">
        <f t="shared" si="82"/>
        <v>0</v>
      </c>
      <c r="E617" s="15"/>
      <c r="F617" s="16">
        <f t="shared" si="83"/>
        <v>0</v>
      </c>
      <c r="G617" s="2"/>
      <c r="H617" s="189"/>
      <c r="I617" s="471"/>
      <c r="J617" s="471"/>
      <c r="K617" s="471"/>
      <c r="L617" s="2"/>
    </row>
    <row r="618" spans="1:12" x14ac:dyDescent="0.2">
      <c r="A618" s="534" t="s">
        <v>1167</v>
      </c>
      <c r="B618" s="436" t="s">
        <v>1168</v>
      </c>
      <c r="C618" s="469">
        <v>35.82</v>
      </c>
      <c r="D618" s="15">
        <f t="shared" si="82"/>
        <v>3.5820000000000003</v>
      </c>
      <c r="E618" s="15">
        <f>(C618+D618)*$E$6</f>
        <v>23.641200000000001</v>
      </c>
      <c r="F618" s="16">
        <f t="shared" si="83"/>
        <v>63.043199999999999</v>
      </c>
      <c r="G618" s="2"/>
      <c r="H618" s="189" t="s">
        <v>1169</v>
      </c>
      <c r="I618" s="471"/>
      <c r="J618" s="471"/>
      <c r="K618" s="471"/>
      <c r="L618" s="2"/>
    </row>
    <row r="619" spans="1:12" x14ac:dyDescent="0.2">
      <c r="A619" s="534" t="s">
        <v>1156</v>
      </c>
      <c r="B619" s="436" t="s">
        <v>293</v>
      </c>
      <c r="C619" s="469">
        <v>17.350000000000001</v>
      </c>
      <c r="D619" s="15">
        <f t="shared" si="82"/>
        <v>1.7350000000000003</v>
      </c>
      <c r="E619" s="15">
        <f>(C619+D619)*$E$6</f>
        <v>11.451000000000001</v>
      </c>
      <c r="F619" s="16">
        <f t="shared" si="83"/>
        <v>30.536000000000001</v>
      </c>
      <c r="G619" s="2"/>
      <c r="H619" s="189"/>
      <c r="I619" s="471"/>
      <c r="J619" s="471"/>
      <c r="K619" s="471"/>
      <c r="L619" s="2"/>
    </row>
    <row r="620" spans="1:12" x14ac:dyDescent="0.2">
      <c r="A620" s="534" t="s">
        <v>1149</v>
      </c>
      <c r="B620" s="436" t="s">
        <v>294</v>
      </c>
      <c r="C620" s="469">
        <v>18.77</v>
      </c>
      <c r="D620" s="15">
        <f t="shared" si="82"/>
        <v>1.877</v>
      </c>
      <c r="E620" s="15">
        <f t="shared" ref="E620:E625" si="84">(C620+D620)*$E$6</f>
        <v>12.388199999999999</v>
      </c>
      <c r="F620" s="16">
        <f t="shared" si="83"/>
        <v>33.035199999999996</v>
      </c>
      <c r="G620" s="2"/>
      <c r="H620" s="189"/>
      <c r="I620" s="471"/>
      <c r="J620" s="471"/>
      <c r="K620" s="471"/>
      <c r="L620" s="2"/>
    </row>
    <row r="621" spans="1:12" x14ac:dyDescent="0.2">
      <c r="A621" s="534" t="s">
        <v>1134</v>
      </c>
      <c r="B621" s="486" t="s">
        <v>296</v>
      </c>
      <c r="C621" s="469">
        <v>14.61</v>
      </c>
      <c r="D621" s="15">
        <f t="shared" si="82"/>
        <v>1.4610000000000001</v>
      </c>
      <c r="E621" s="15">
        <f t="shared" si="84"/>
        <v>9.6425999999999981</v>
      </c>
      <c r="F621" s="16">
        <f t="shared" si="83"/>
        <v>25.713599999999996</v>
      </c>
      <c r="G621" s="2"/>
      <c r="H621" s="189"/>
      <c r="I621" s="471"/>
      <c r="J621" s="471"/>
      <c r="K621" s="471"/>
      <c r="L621" s="2"/>
    </row>
    <row r="622" spans="1:12" x14ac:dyDescent="0.2">
      <c r="A622" s="534" t="s">
        <v>1170</v>
      </c>
      <c r="B622" s="486" t="s">
        <v>297</v>
      </c>
      <c r="C622" s="469">
        <v>17.489999999999998</v>
      </c>
      <c r="D622" s="15">
        <f t="shared" si="82"/>
        <v>1.7489999999999999</v>
      </c>
      <c r="E622" s="15">
        <f t="shared" si="84"/>
        <v>11.543399999999998</v>
      </c>
      <c r="F622" s="16">
        <f t="shared" si="83"/>
        <v>30.782399999999996</v>
      </c>
      <c r="G622" s="2"/>
      <c r="H622" s="189"/>
      <c r="I622" s="471"/>
      <c r="J622" s="471"/>
      <c r="K622" s="471"/>
      <c r="L622" s="2"/>
    </row>
    <row r="623" spans="1:12" x14ac:dyDescent="0.2">
      <c r="A623" s="534" t="s">
        <v>1171</v>
      </c>
      <c r="B623" s="436" t="s">
        <v>1172</v>
      </c>
      <c r="C623" s="469">
        <v>32.299999999999997</v>
      </c>
      <c r="D623" s="15">
        <f t="shared" si="82"/>
        <v>3.23</v>
      </c>
      <c r="E623" s="15">
        <f t="shared" si="84"/>
        <v>21.317999999999994</v>
      </c>
      <c r="F623" s="16">
        <f t="shared" si="83"/>
        <v>56.847999999999985</v>
      </c>
      <c r="G623" s="2"/>
      <c r="H623" s="189"/>
      <c r="I623" s="471"/>
      <c r="J623" s="471"/>
      <c r="K623" s="471"/>
      <c r="L623" s="2"/>
    </row>
    <row r="624" spans="1:12" x14ac:dyDescent="0.2">
      <c r="A624" s="534" t="s">
        <v>1173</v>
      </c>
      <c r="B624" s="436" t="s">
        <v>1174</v>
      </c>
      <c r="C624" s="469">
        <v>5</v>
      </c>
      <c r="D624" s="15">
        <f t="shared" si="82"/>
        <v>0.5</v>
      </c>
      <c r="E624" s="15">
        <f t="shared" si="84"/>
        <v>3.3</v>
      </c>
      <c r="F624" s="16">
        <f t="shared" si="83"/>
        <v>8.8000000000000007</v>
      </c>
      <c r="G624" s="2"/>
      <c r="H624" s="189"/>
      <c r="I624" s="471"/>
      <c r="J624" s="471"/>
      <c r="K624" s="471"/>
      <c r="L624" s="2"/>
    </row>
    <row r="625" spans="1:12" x14ac:dyDescent="0.2">
      <c r="A625" s="534" t="s">
        <v>1175</v>
      </c>
      <c r="B625" s="11" t="s">
        <v>488</v>
      </c>
      <c r="C625" s="469">
        <v>11.96</v>
      </c>
      <c r="D625" s="15">
        <f t="shared" si="82"/>
        <v>1.1960000000000002</v>
      </c>
      <c r="E625" s="15">
        <f t="shared" si="84"/>
        <v>7.8936000000000002</v>
      </c>
      <c r="F625" s="16">
        <f t="shared" si="83"/>
        <v>21.049600000000002</v>
      </c>
      <c r="G625" s="2"/>
      <c r="H625" s="189"/>
      <c r="I625" s="471"/>
      <c r="J625" s="471"/>
      <c r="K625" s="471"/>
      <c r="L625" s="2"/>
    </row>
    <row r="626" spans="1:12" x14ac:dyDescent="0.2">
      <c r="A626" s="534"/>
      <c r="B626" s="436"/>
      <c r="C626" s="15"/>
      <c r="D626" s="15"/>
      <c r="E626" s="15"/>
      <c r="F626" s="16"/>
      <c r="G626" s="2"/>
      <c r="H626" s="189"/>
      <c r="I626" s="471"/>
      <c r="J626" s="471"/>
      <c r="K626" s="471"/>
      <c r="L626" s="2"/>
    </row>
    <row r="627" spans="1:12" x14ac:dyDescent="0.2">
      <c r="A627" s="534"/>
      <c r="B627" s="447" t="s">
        <v>1176</v>
      </c>
      <c r="C627" s="15"/>
      <c r="D627" s="15"/>
      <c r="E627" s="15"/>
      <c r="F627" s="16"/>
      <c r="G627" s="2"/>
      <c r="H627" s="189"/>
      <c r="I627" s="471"/>
      <c r="J627" s="471"/>
      <c r="K627" s="471"/>
      <c r="L627" s="2"/>
    </row>
    <row r="628" spans="1:12" x14ac:dyDescent="0.2">
      <c r="A628" s="534"/>
      <c r="B628" s="447"/>
      <c r="C628" s="15"/>
      <c r="D628" s="15"/>
      <c r="E628" s="15"/>
      <c r="F628" s="16"/>
      <c r="G628" s="2"/>
      <c r="H628" s="189"/>
      <c r="I628" s="471"/>
      <c r="J628" s="471"/>
      <c r="K628" s="471"/>
      <c r="L628" s="2"/>
    </row>
    <row r="629" spans="1:12" x14ac:dyDescent="0.2">
      <c r="A629" s="534"/>
      <c r="B629" s="447" t="s">
        <v>1177</v>
      </c>
      <c r="C629" s="15"/>
      <c r="D629" s="473">
        <v>0.1</v>
      </c>
      <c r="E629" s="15"/>
      <c r="F629" s="16"/>
      <c r="G629" s="2"/>
      <c r="H629" s="189"/>
      <c r="I629" s="471"/>
      <c r="J629" s="471"/>
      <c r="K629" s="471"/>
      <c r="L629" s="2"/>
    </row>
    <row r="630" spans="1:12" x14ac:dyDescent="0.2">
      <c r="A630" s="534"/>
      <c r="B630" s="436" t="s">
        <v>1178</v>
      </c>
      <c r="C630" s="469">
        <v>7.26</v>
      </c>
      <c r="D630" s="15">
        <f>C630*$D$629</f>
        <v>0.72599999999999998</v>
      </c>
      <c r="E630" s="15">
        <f>(C630+D630)*E6</f>
        <v>4.7915999999999999</v>
      </c>
      <c r="F630" s="16">
        <f t="shared" ref="F630:F637" si="85">C630+D630+E630</f>
        <v>12.7776</v>
      </c>
      <c r="G630" s="2"/>
      <c r="H630" s="189"/>
      <c r="I630" s="471"/>
      <c r="J630" s="471"/>
      <c r="K630" s="471"/>
      <c r="L630" s="2"/>
    </row>
    <row r="631" spans="1:12" x14ac:dyDescent="0.2">
      <c r="A631" s="534"/>
      <c r="B631" s="436" t="s">
        <v>1179</v>
      </c>
      <c r="C631" s="469">
        <v>11.4</v>
      </c>
      <c r="D631" s="15">
        <f t="shared" ref="D631:D670" si="86">C631*$D$629</f>
        <v>1.1400000000000001</v>
      </c>
      <c r="E631" s="15">
        <f>(C631+D631)*E6</f>
        <v>7.524</v>
      </c>
      <c r="F631" s="16">
        <f t="shared" si="85"/>
        <v>20.064</v>
      </c>
      <c r="G631" s="2"/>
      <c r="H631" s="189"/>
      <c r="I631" s="471"/>
      <c r="J631" s="471"/>
      <c r="K631" s="471"/>
      <c r="L631" s="2"/>
    </row>
    <row r="632" spans="1:12" x14ac:dyDescent="0.2">
      <c r="A632" s="534"/>
      <c r="B632" s="436" t="s">
        <v>1180</v>
      </c>
      <c r="C632" s="469">
        <v>10.95</v>
      </c>
      <c r="D632" s="15">
        <f t="shared" si="86"/>
        <v>1.095</v>
      </c>
      <c r="E632" s="15">
        <f>(C632+D632)*E6</f>
        <v>7.2269999999999994</v>
      </c>
      <c r="F632" s="16">
        <f t="shared" si="85"/>
        <v>19.271999999999998</v>
      </c>
      <c r="G632" s="2"/>
      <c r="H632" s="189"/>
      <c r="I632" s="471"/>
      <c r="J632" s="471"/>
      <c r="K632" s="471"/>
      <c r="L632" s="2"/>
    </row>
    <row r="633" spans="1:12" x14ac:dyDescent="0.2">
      <c r="A633" s="534"/>
      <c r="B633" s="436" t="s">
        <v>1181</v>
      </c>
      <c r="C633" s="145">
        <v>33.630000000000003</v>
      </c>
      <c r="D633" s="15">
        <f t="shared" si="86"/>
        <v>3.3630000000000004</v>
      </c>
      <c r="E633" s="15">
        <f>(C633+D633)*E6</f>
        <v>22.195800000000002</v>
      </c>
      <c r="F633" s="16">
        <f t="shared" si="85"/>
        <v>59.188800000000001</v>
      </c>
      <c r="G633" s="2" t="s">
        <v>881</v>
      </c>
      <c r="H633" s="189"/>
      <c r="I633" s="471"/>
      <c r="J633" s="471"/>
      <c r="K633" s="471"/>
      <c r="L633" s="2"/>
    </row>
    <row r="634" spans="1:12" x14ac:dyDescent="0.2">
      <c r="A634" s="534"/>
      <c r="B634" s="436" t="s">
        <v>1182</v>
      </c>
      <c r="C634" s="145">
        <v>44</v>
      </c>
      <c r="D634" s="15">
        <f t="shared" si="86"/>
        <v>4.4000000000000004</v>
      </c>
      <c r="E634" s="15">
        <f>(C634+D634)*E6</f>
        <v>29.04</v>
      </c>
      <c r="F634" s="16">
        <f t="shared" si="85"/>
        <v>77.44</v>
      </c>
      <c r="G634" s="2" t="s">
        <v>881</v>
      </c>
      <c r="H634" s="189"/>
      <c r="I634" s="471"/>
      <c r="J634" s="471"/>
      <c r="K634" s="471"/>
      <c r="L634" s="2"/>
    </row>
    <row r="635" spans="1:12" x14ac:dyDescent="0.2">
      <c r="A635" s="534"/>
      <c r="B635" s="436" t="s">
        <v>1183</v>
      </c>
      <c r="C635" s="145">
        <v>13.55</v>
      </c>
      <c r="D635" s="15">
        <f t="shared" si="86"/>
        <v>1.3550000000000002</v>
      </c>
      <c r="E635" s="15">
        <f>(C635+D635)*E6</f>
        <v>8.9429999999999996</v>
      </c>
      <c r="F635" s="16">
        <f t="shared" si="85"/>
        <v>23.847999999999999</v>
      </c>
      <c r="G635" s="2" t="s">
        <v>881</v>
      </c>
      <c r="H635" s="189"/>
      <c r="I635" s="471"/>
      <c r="J635" s="471"/>
      <c r="K635" s="471"/>
      <c r="L635" s="2"/>
    </row>
    <row r="636" spans="1:12" x14ac:dyDescent="0.2">
      <c r="A636" s="534"/>
      <c r="B636" s="436" t="s">
        <v>1184</v>
      </c>
      <c r="C636" s="145">
        <v>20</v>
      </c>
      <c r="D636" s="15">
        <f t="shared" si="86"/>
        <v>2</v>
      </c>
      <c r="E636" s="15">
        <f>(C636+D636)*E6</f>
        <v>13.2</v>
      </c>
      <c r="F636" s="16">
        <f t="shared" si="85"/>
        <v>35.200000000000003</v>
      </c>
      <c r="G636" s="2" t="s">
        <v>881</v>
      </c>
      <c r="H636" s="189"/>
      <c r="I636" s="471"/>
      <c r="J636" s="471"/>
      <c r="K636" s="471"/>
      <c r="L636" s="2"/>
    </row>
    <row r="637" spans="1:12" x14ac:dyDescent="0.2">
      <c r="A637" s="534"/>
      <c r="B637" s="436" t="s">
        <v>1185</v>
      </c>
      <c r="C637" s="145">
        <v>54</v>
      </c>
      <c r="D637" s="15">
        <f t="shared" si="86"/>
        <v>5.4</v>
      </c>
      <c r="E637" s="15">
        <f>(C637+D637)*E6</f>
        <v>35.64</v>
      </c>
      <c r="F637" s="16">
        <f t="shared" si="85"/>
        <v>95.039999999999992</v>
      </c>
      <c r="G637" s="2" t="s">
        <v>881</v>
      </c>
      <c r="H637" s="189"/>
      <c r="I637" s="471"/>
      <c r="J637" s="471"/>
      <c r="K637" s="471"/>
      <c r="L637" s="2"/>
    </row>
    <row r="638" spans="1:12" x14ac:dyDescent="0.2">
      <c r="A638" s="534"/>
      <c r="B638" s="447" t="s">
        <v>1186</v>
      </c>
      <c r="C638" s="432"/>
      <c r="D638" s="15">
        <f t="shared" si="86"/>
        <v>0</v>
      </c>
      <c r="E638" s="432"/>
      <c r="F638" s="434"/>
      <c r="G638" s="2"/>
      <c r="H638" s="189"/>
      <c r="I638" s="471"/>
      <c r="J638" s="471"/>
      <c r="K638" s="471"/>
      <c r="L638" s="2"/>
    </row>
    <row r="639" spans="1:12" x14ac:dyDescent="0.2">
      <c r="A639" s="534"/>
      <c r="B639" s="436" t="s">
        <v>1187</v>
      </c>
      <c r="C639" s="469">
        <v>3.56</v>
      </c>
      <c r="D639" s="15">
        <f t="shared" si="86"/>
        <v>0.35600000000000004</v>
      </c>
      <c r="E639" s="15">
        <f>(C639+D639)*E6</f>
        <v>2.3495999999999997</v>
      </c>
      <c r="F639" s="16">
        <f>C639+D639+E639</f>
        <v>6.2655999999999992</v>
      </c>
      <c r="G639" s="2"/>
      <c r="H639" s="189"/>
      <c r="I639" s="471"/>
      <c r="J639" s="471"/>
      <c r="K639" s="471"/>
      <c r="L639" s="2"/>
    </row>
    <row r="640" spans="1:12" x14ac:dyDescent="0.2">
      <c r="A640" s="534"/>
      <c r="B640" s="436" t="s">
        <v>1188</v>
      </c>
      <c r="C640" s="145">
        <v>3.56</v>
      </c>
      <c r="D640" s="15">
        <f t="shared" si="86"/>
        <v>0.35600000000000004</v>
      </c>
      <c r="E640" s="15">
        <f>(C640+D640)*E6</f>
        <v>2.3495999999999997</v>
      </c>
      <c r="F640" s="16">
        <f>C640+D640+E640</f>
        <v>6.2655999999999992</v>
      </c>
      <c r="G640" s="2" t="s">
        <v>881</v>
      </c>
      <c r="H640" s="189"/>
      <c r="I640" s="471"/>
      <c r="J640" s="471"/>
      <c r="K640" s="471"/>
      <c r="L640" s="2"/>
    </row>
    <row r="641" spans="1:12" x14ac:dyDescent="0.2">
      <c r="A641" s="534"/>
      <c r="B641" s="436" t="s">
        <v>1189</v>
      </c>
      <c r="C641" s="145">
        <v>6</v>
      </c>
      <c r="D641" s="15">
        <f t="shared" si="86"/>
        <v>0.60000000000000009</v>
      </c>
      <c r="E641" s="15">
        <f>(C641+D641)*E6</f>
        <v>3.9599999999999995</v>
      </c>
      <c r="F641" s="16">
        <f>C641+D641+E641</f>
        <v>10.559999999999999</v>
      </c>
      <c r="G641" s="2" t="s">
        <v>881</v>
      </c>
      <c r="H641" s="189"/>
      <c r="I641" s="471"/>
      <c r="J641" s="471"/>
      <c r="K641" s="471"/>
      <c r="L641" s="2"/>
    </row>
    <row r="642" spans="1:12" x14ac:dyDescent="0.2">
      <c r="A642" s="534"/>
      <c r="B642" s="447" t="s">
        <v>1190</v>
      </c>
      <c r="C642" s="432"/>
      <c r="D642" s="15">
        <f t="shared" si="86"/>
        <v>0</v>
      </c>
      <c r="E642" s="432"/>
      <c r="F642" s="434"/>
      <c r="G642" s="2"/>
      <c r="H642" s="189"/>
      <c r="I642" s="471"/>
      <c r="J642" s="471"/>
      <c r="K642" s="471"/>
      <c r="L642" s="2"/>
    </row>
    <row r="643" spans="1:12" x14ac:dyDescent="0.2">
      <c r="A643" s="534"/>
      <c r="B643" s="436" t="s">
        <v>1191</v>
      </c>
      <c r="C643" s="469">
        <v>22.98</v>
      </c>
      <c r="D643" s="15">
        <f t="shared" si="86"/>
        <v>2.298</v>
      </c>
      <c r="E643" s="15">
        <f>(C643+D643)*E6</f>
        <v>15.166799999999999</v>
      </c>
      <c r="F643" s="16">
        <f>C643+D643+E643</f>
        <v>40.444800000000001</v>
      </c>
      <c r="G643" s="2"/>
      <c r="H643" s="189"/>
      <c r="I643" s="471"/>
      <c r="J643" s="471"/>
      <c r="K643" s="471"/>
      <c r="L643" s="2"/>
    </row>
    <row r="644" spans="1:12" x14ac:dyDescent="0.2">
      <c r="A644" s="534"/>
      <c r="B644" s="436" t="s">
        <v>1192</v>
      </c>
      <c r="C644" s="469">
        <v>37.1</v>
      </c>
      <c r="D644" s="15">
        <f t="shared" si="86"/>
        <v>3.7100000000000004</v>
      </c>
      <c r="E644" s="15">
        <f>(C644+D644)*E6</f>
        <v>24.486000000000001</v>
      </c>
      <c r="F644" s="16">
        <f>C644+D644</f>
        <v>40.81</v>
      </c>
      <c r="G644" s="2"/>
      <c r="H644" s="189"/>
      <c r="I644" s="471"/>
      <c r="J644" s="471"/>
      <c r="K644" s="471"/>
      <c r="L644" s="2"/>
    </row>
    <row r="645" spans="1:12" x14ac:dyDescent="0.2">
      <c r="A645" s="534"/>
      <c r="B645" s="436" t="s">
        <v>1193</v>
      </c>
      <c r="C645" s="145">
        <v>30</v>
      </c>
      <c r="D645" s="15">
        <f t="shared" si="86"/>
        <v>3</v>
      </c>
      <c r="E645" s="15">
        <f>(C645+D645)*E6</f>
        <v>19.8</v>
      </c>
      <c r="F645" s="16">
        <f>C645+D645+E645</f>
        <v>52.8</v>
      </c>
      <c r="G645" s="2" t="s">
        <v>881</v>
      </c>
      <c r="H645" s="189"/>
      <c r="I645" s="471"/>
      <c r="J645" s="471"/>
      <c r="K645" s="471"/>
      <c r="L645" s="2"/>
    </row>
    <row r="646" spans="1:12" x14ac:dyDescent="0.2">
      <c r="A646" s="534"/>
      <c r="B646" s="436" t="s">
        <v>1184</v>
      </c>
      <c r="C646" s="145">
        <v>30</v>
      </c>
      <c r="D646" s="15">
        <f t="shared" si="86"/>
        <v>3</v>
      </c>
      <c r="E646" s="15">
        <f>(C646+D646)*E6</f>
        <v>19.8</v>
      </c>
      <c r="F646" s="16">
        <f>C646+D646+E646</f>
        <v>52.8</v>
      </c>
      <c r="G646" s="2" t="s">
        <v>881</v>
      </c>
      <c r="H646" s="189"/>
      <c r="I646" s="471"/>
      <c r="J646" s="471"/>
      <c r="K646" s="471"/>
      <c r="L646" s="2"/>
    </row>
    <row r="647" spans="1:12" x14ac:dyDescent="0.2">
      <c r="A647" s="534"/>
      <c r="B647" s="436"/>
      <c r="C647" s="15"/>
      <c r="D647" s="15"/>
      <c r="E647" s="15"/>
      <c r="F647" s="16"/>
      <c r="G647" s="2"/>
      <c r="H647" s="189"/>
      <c r="I647" s="471"/>
      <c r="J647" s="471"/>
      <c r="K647" s="471"/>
      <c r="L647" s="2"/>
    </row>
    <row r="648" spans="1:12" x14ac:dyDescent="0.2">
      <c r="A648" s="534"/>
      <c r="B648" s="447" t="s">
        <v>243</v>
      </c>
      <c r="C648" s="432"/>
      <c r="D648" s="15"/>
      <c r="E648" s="432"/>
      <c r="F648" s="434"/>
      <c r="G648" s="2"/>
      <c r="H648" s="189"/>
      <c r="I648" s="471"/>
      <c r="J648" s="471"/>
      <c r="K648" s="471"/>
      <c r="L648" s="2"/>
    </row>
    <row r="649" spans="1:12" x14ac:dyDescent="0.2">
      <c r="A649" s="534"/>
      <c r="B649" s="436" t="s">
        <v>1194</v>
      </c>
      <c r="C649" s="469">
        <v>3.9</v>
      </c>
      <c r="D649" s="15">
        <f t="shared" si="86"/>
        <v>0.39</v>
      </c>
      <c r="E649" s="15">
        <f>(C649+D649)*E6</f>
        <v>2.5739999999999998</v>
      </c>
      <c r="F649" s="16">
        <f>C649+D649+E649</f>
        <v>6.8639999999999999</v>
      </c>
      <c r="G649" s="2"/>
      <c r="H649" s="189"/>
      <c r="I649" s="471"/>
      <c r="J649" s="471"/>
      <c r="K649" s="471"/>
      <c r="L649" s="2"/>
    </row>
    <row r="650" spans="1:12" x14ac:dyDescent="0.2">
      <c r="A650" s="534"/>
      <c r="B650" s="436" t="s">
        <v>1195</v>
      </c>
      <c r="C650" s="469">
        <v>6.01</v>
      </c>
      <c r="D650" s="15">
        <f t="shared" si="86"/>
        <v>0.60099999999999998</v>
      </c>
      <c r="E650" s="15">
        <f>(C650+D650)*E6</f>
        <v>3.9665999999999997</v>
      </c>
      <c r="F650" s="16">
        <f>C650+D650+E650</f>
        <v>10.5776</v>
      </c>
      <c r="G650" s="2"/>
      <c r="H650" s="189"/>
      <c r="I650" s="471"/>
      <c r="J650" s="471"/>
      <c r="K650" s="471"/>
      <c r="L650" s="2"/>
    </row>
    <row r="651" spans="1:12" x14ac:dyDescent="0.2">
      <c r="A651" s="534"/>
      <c r="B651" s="436" t="s">
        <v>1196</v>
      </c>
      <c r="C651" s="145">
        <v>6.5</v>
      </c>
      <c r="D651" s="15">
        <f t="shared" si="86"/>
        <v>0.65</v>
      </c>
      <c r="E651" s="15">
        <f>(C651+D651)*E6</f>
        <v>4.29</v>
      </c>
      <c r="F651" s="16">
        <f>C651+D651+E651</f>
        <v>11.440000000000001</v>
      </c>
      <c r="G651" s="2" t="s">
        <v>881</v>
      </c>
      <c r="H651" s="189"/>
      <c r="I651" s="471"/>
      <c r="J651" s="471"/>
      <c r="K651" s="471"/>
      <c r="L651" s="2"/>
    </row>
    <row r="652" spans="1:12" x14ac:dyDescent="0.2">
      <c r="A652" s="534"/>
      <c r="B652" s="436"/>
      <c r="C652" s="15"/>
      <c r="D652" s="15"/>
      <c r="E652" s="15"/>
      <c r="F652" s="16"/>
      <c r="G652" s="2"/>
      <c r="H652" s="189"/>
      <c r="I652" s="471"/>
      <c r="J652" s="471"/>
      <c r="K652" s="471"/>
      <c r="L652" s="2"/>
    </row>
    <row r="653" spans="1:12" x14ac:dyDescent="0.2">
      <c r="A653" s="534"/>
      <c r="B653" s="447" t="s">
        <v>1197</v>
      </c>
      <c r="C653" s="15"/>
      <c r="D653" s="15"/>
      <c r="E653" s="15"/>
      <c r="F653" s="16"/>
      <c r="G653" s="2"/>
      <c r="H653" s="189"/>
      <c r="I653" s="471"/>
      <c r="J653" s="471"/>
      <c r="K653" s="471"/>
      <c r="L653" s="2"/>
    </row>
    <row r="654" spans="1:12" x14ac:dyDescent="0.2">
      <c r="A654" s="534"/>
      <c r="B654" s="436" t="s">
        <v>1198</v>
      </c>
      <c r="C654" s="469">
        <v>19.420000000000002</v>
      </c>
      <c r="D654" s="15">
        <f t="shared" si="86"/>
        <v>1.9420000000000002</v>
      </c>
      <c r="E654" s="15">
        <f>(C654+D654)*E6</f>
        <v>12.817200000000001</v>
      </c>
      <c r="F654" s="16">
        <f>C654+D654+E654</f>
        <v>34.179200000000002</v>
      </c>
      <c r="G654" s="2"/>
      <c r="H654" s="189"/>
      <c r="I654" s="471"/>
      <c r="J654" s="471"/>
      <c r="K654" s="471"/>
      <c r="L654" s="2"/>
    </row>
    <row r="655" spans="1:12" x14ac:dyDescent="0.2">
      <c r="A655" s="534"/>
      <c r="B655" s="436" t="s">
        <v>1199</v>
      </c>
      <c r="C655" s="469">
        <v>20.71</v>
      </c>
      <c r="D655" s="15">
        <f t="shared" si="86"/>
        <v>2.0710000000000002</v>
      </c>
      <c r="E655" s="15">
        <f>(C655+D655)*E6</f>
        <v>13.668600000000001</v>
      </c>
      <c r="F655" s="16">
        <f>C655+D655+E655</f>
        <v>36.449600000000004</v>
      </c>
      <c r="G655" s="2"/>
      <c r="H655" s="189"/>
      <c r="I655" s="471"/>
      <c r="J655" s="471"/>
      <c r="K655" s="471"/>
      <c r="L655" s="2"/>
    </row>
    <row r="656" spans="1:12" x14ac:dyDescent="0.2">
      <c r="A656" s="534"/>
      <c r="B656" s="436" t="s">
        <v>1200</v>
      </c>
      <c r="C656" s="15">
        <v>26.84</v>
      </c>
      <c r="D656" s="15">
        <f t="shared" si="86"/>
        <v>2.6840000000000002</v>
      </c>
      <c r="E656" s="15">
        <f>(C656+D656)*E6</f>
        <v>17.714400000000001</v>
      </c>
      <c r="F656" s="16">
        <f>C656+D656+E656</f>
        <v>47.238399999999999</v>
      </c>
      <c r="G656" s="2"/>
      <c r="H656" s="189"/>
      <c r="I656" s="471"/>
      <c r="J656" s="471"/>
      <c r="K656" s="471"/>
      <c r="L656" s="2"/>
    </row>
    <row r="657" spans="1:12" x14ac:dyDescent="0.2">
      <c r="A657" s="534"/>
      <c r="B657" s="436" t="s">
        <v>1201</v>
      </c>
      <c r="C657" s="15">
        <v>36.06</v>
      </c>
      <c r="D657" s="15">
        <f t="shared" si="86"/>
        <v>3.6060000000000003</v>
      </c>
      <c r="E657" s="15">
        <f>(C657+D657)*E6</f>
        <v>23.799600000000002</v>
      </c>
      <c r="F657" s="16">
        <f>C657+D657+E657</f>
        <v>63.465600000000009</v>
      </c>
      <c r="G657" s="2"/>
      <c r="H657" s="189"/>
      <c r="I657" s="471"/>
      <c r="J657" s="471"/>
      <c r="K657" s="471"/>
      <c r="L657" s="2"/>
    </row>
    <row r="658" spans="1:12" x14ac:dyDescent="0.2">
      <c r="A658" s="534"/>
      <c r="B658" s="447" t="s">
        <v>1202</v>
      </c>
      <c r="C658" s="432"/>
      <c r="D658" s="15"/>
      <c r="E658" s="432"/>
      <c r="F658" s="434"/>
      <c r="G658" s="2"/>
      <c r="H658" s="189"/>
      <c r="I658" s="471"/>
      <c r="J658" s="471"/>
      <c r="K658" s="471"/>
      <c r="L658" s="2"/>
    </row>
    <row r="659" spans="1:12" x14ac:dyDescent="0.2">
      <c r="A659" s="534"/>
      <c r="B659" s="436" t="s">
        <v>1203</v>
      </c>
      <c r="C659" s="15">
        <v>50.07</v>
      </c>
      <c r="D659" s="15">
        <f t="shared" si="86"/>
        <v>5.0070000000000006</v>
      </c>
      <c r="E659" s="15">
        <f>(C659+D659)*E6</f>
        <v>33.046199999999999</v>
      </c>
      <c r="F659" s="16">
        <f>C659+D659+E659</f>
        <v>88.123199999999997</v>
      </c>
      <c r="G659" s="2"/>
      <c r="H659" s="189"/>
      <c r="I659" s="471"/>
      <c r="J659" s="471"/>
      <c r="K659" s="471"/>
      <c r="L659" s="2"/>
    </row>
    <row r="660" spans="1:12" x14ac:dyDescent="0.2">
      <c r="A660" s="534"/>
      <c r="B660" s="436" t="s">
        <v>1204</v>
      </c>
      <c r="C660" s="15">
        <v>70.25</v>
      </c>
      <c r="D660" s="15">
        <f t="shared" si="86"/>
        <v>7.0250000000000004</v>
      </c>
      <c r="E660" s="15">
        <f>(C660+D660)*E6</f>
        <v>46.365000000000002</v>
      </c>
      <c r="F660" s="16">
        <f>C660+D660+E660</f>
        <v>123.64000000000001</v>
      </c>
      <c r="G660" s="2"/>
      <c r="H660" s="189"/>
      <c r="I660" s="471"/>
      <c r="J660" s="471"/>
      <c r="K660" s="471"/>
      <c r="L660" s="2"/>
    </row>
    <row r="661" spans="1:12" x14ac:dyDescent="0.2">
      <c r="A661" s="534"/>
      <c r="B661" s="447" t="s">
        <v>1205</v>
      </c>
      <c r="C661" s="432"/>
      <c r="D661" s="15"/>
      <c r="E661" s="432"/>
      <c r="F661" s="434"/>
    </row>
    <row r="662" spans="1:12" x14ac:dyDescent="0.2">
      <c r="A662" s="534"/>
      <c r="B662" s="436" t="s">
        <v>1206</v>
      </c>
      <c r="C662" s="469">
        <v>5.97</v>
      </c>
      <c r="D662" s="15">
        <f t="shared" si="86"/>
        <v>0.59699999999999998</v>
      </c>
      <c r="E662" s="15">
        <f>(C662+D662)*E6</f>
        <v>3.9401999999999999</v>
      </c>
      <c r="F662" s="16">
        <f t="shared" ref="F662:F683" si="87">C662+D662+E662</f>
        <v>10.507200000000001</v>
      </c>
      <c r="G662" s="2"/>
      <c r="H662" s="189"/>
      <c r="I662" s="471"/>
      <c r="J662" s="471"/>
      <c r="K662" s="471"/>
      <c r="L662" s="2"/>
    </row>
    <row r="663" spans="1:12" x14ac:dyDescent="0.2">
      <c r="A663" s="534"/>
      <c r="B663" s="436" t="s">
        <v>1207</v>
      </c>
      <c r="C663" s="469">
        <v>7.78</v>
      </c>
      <c r="D663" s="15">
        <f t="shared" si="86"/>
        <v>0.77800000000000002</v>
      </c>
      <c r="E663" s="15">
        <f>(C663+D663)*E6</f>
        <v>5.1347999999999994</v>
      </c>
      <c r="F663" s="16">
        <f t="shared" si="87"/>
        <v>13.692799999999998</v>
      </c>
      <c r="G663" s="2"/>
      <c r="H663" s="189"/>
      <c r="I663" s="471"/>
      <c r="J663" s="471"/>
      <c r="K663" s="471"/>
      <c r="L663" s="2"/>
    </row>
    <row r="664" spans="1:12" x14ac:dyDescent="0.2">
      <c r="A664" s="534"/>
      <c r="B664" s="447" t="s">
        <v>1208</v>
      </c>
      <c r="C664" s="15"/>
      <c r="D664" s="15"/>
      <c r="E664" s="15"/>
      <c r="F664" s="16"/>
      <c r="G664" s="2"/>
      <c r="H664" s="189"/>
      <c r="I664" s="471"/>
      <c r="J664" s="471"/>
      <c r="K664" s="471"/>
      <c r="L664" s="2"/>
    </row>
    <row r="665" spans="1:12" x14ac:dyDescent="0.2">
      <c r="A665" s="534"/>
      <c r="B665" s="436" t="s">
        <v>1209</v>
      </c>
      <c r="C665" s="469">
        <v>3.66</v>
      </c>
      <c r="D665" s="15">
        <f t="shared" si="86"/>
        <v>0.36600000000000005</v>
      </c>
      <c r="E665" s="15">
        <f>(C665+D665)*E6</f>
        <v>2.4156</v>
      </c>
      <c r="F665" s="16">
        <f t="shared" si="87"/>
        <v>6.4415999999999993</v>
      </c>
      <c r="G665" s="2"/>
      <c r="H665" s="189"/>
      <c r="I665" s="471"/>
      <c r="J665" s="471"/>
      <c r="K665" s="471"/>
      <c r="L665" s="2"/>
    </row>
    <row r="666" spans="1:12" x14ac:dyDescent="0.2">
      <c r="A666" s="534"/>
      <c r="B666" s="436" t="s">
        <v>1210</v>
      </c>
      <c r="C666" s="469">
        <v>4.24</v>
      </c>
      <c r="D666" s="15">
        <f t="shared" si="86"/>
        <v>0.42400000000000004</v>
      </c>
      <c r="E666" s="15">
        <f>(C666+D666)*E6</f>
        <v>2.7984000000000004</v>
      </c>
      <c r="F666" s="16">
        <f t="shared" si="87"/>
        <v>7.4624000000000006</v>
      </c>
      <c r="G666" s="2"/>
      <c r="H666" s="189"/>
      <c r="I666" s="471"/>
      <c r="J666" s="471"/>
      <c r="K666" s="471"/>
      <c r="L666" s="2"/>
    </row>
    <row r="667" spans="1:12" x14ac:dyDescent="0.2">
      <c r="A667" s="534"/>
      <c r="B667" s="447" t="s">
        <v>1211</v>
      </c>
      <c r="C667" s="15"/>
      <c r="D667" s="15"/>
      <c r="E667" s="15"/>
      <c r="F667" s="16"/>
      <c r="G667" s="2"/>
      <c r="H667" s="189"/>
      <c r="I667" s="471"/>
      <c r="J667" s="471"/>
      <c r="K667" s="471"/>
      <c r="L667" s="2"/>
    </row>
    <row r="668" spans="1:12" x14ac:dyDescent="0.2">
      <c r="A668" s="534"/>
      <c r="B668" s="436" t="s">
        <v>268</v>
      </c>
      <c r="C668" s="469">
        <v>100</v>
      </c>
      <c r="D668" s="15">
        <f t="shared" si="86"/>
        <v>10</v>
      </c>
      <c r="E668" s="15">
        <f>(C668+D668)*E6</f>
        <v>66</v>
      </c>
      <c r="F668" s="16">
        <f t="shared" si="87"/>
        <v>176</v>
      </c>
      <c r="G668" s="2"/>
      <c r="H668" s="189"/>
      <c r="I668" s="471"/>
      <c r="J668" s="471"/>
      <c r="K668" s="471"/>
      <c r="L668" s="2"/>
    </row>
    <row r="669" spans="1:12" x14ac:dyDescent="0.2">
      <c r="A669" s="534"/>
      <c r="B669" s="436" t="s">
        <v>269</v>
      </c>
      <c r="C669" s="469">
        <v>180</v>
      </c>
      <c r="D669" s="15">
        <f t="shared" si="86"/>
        <v>18</v>
      </c>
      <c r="E669" s="15">
        <f>(C669+D669)*E6</f>
        <v>118.8</v>
      </c>
      <c r="F669" s="16">
        <f t="shared" si="87"/>
        <v>316.8</v>
      </c>
      <c r="G669" s="2"/>
      <c r="H669" s="189"/>
      <c r="I669" s="471"/>
      <c r="J669" s="471"/>
      <c r="K669" s="471"/>
      <c r="L669" s="2"/>
    </row>
    <row r="670" spans="1:12" x14ac:dyDescent="0.2">
      <c r="A670" s="534"/>
      <c r="B670" s="436" t="s">
        <v>270</v>
      </c>
      <c r="C670" s="469">
        <v>200</v>
      </c>
      <c r="D670" s="15">
        <f t="shared" si="86"/>
        <v>20</v>
      </c>
      <c r="E670" s="15">
        <f>(C670+D670)*E6</f>
        <v>132</v>
      </c>
      <c r="F670" s="16">
        <f t="shared" si="87"/>
        <v>352</v>
      </c>
      <c r="G670" s="2"/>
      <c r="H670" s="189"/>
      <c r="I670" s="471"/>
      <c r="J670" s="471"/>
      <c r="K670" s="471"/>
      <c r="L670" s="2"/>
    </row>
    <row r="671" spans="1:12" ht="14.25" customHeight="1" x14ac:dyDescent="0.2">
      <c r="A671" s="534"/>
      <c r="B671" s="449" t="s">
        <v>343</v>
      </c>
      <c r="C671" s="15"/>
      <c r="D671" s="15"/>
      <c r="E671" s="15">
        <f>(C671+D671)*E7</f>
        <v>0</v>
      </c>
      <c r="F671" s="16">
        <f t="shared" si="87"/>
        <v>0</v>
      </c>
      <c r="G671" s="2"/>
      <c r="H671" s="189"/>
      <c r="I671" s="471"/>
      <c r="J671" s="471"/>
      <c r="K671" s="471"/>
      <c r="L671" s="2"/>
    </row>
    <row r="672" spans="1:12" ht="14.25" customHeight="1" x14ac:dyDescent="0.2">
      <c r="A672" s="534"/>
      <c r="B672" s="535" t="s">
        <v>1212</v>
      </c>
      <c r="C672" s="536"/>
      <c r="D672" s="15"/>
      <c r="E672" s="15">
        <f>(C672+D672)*$E$6</f>
        <v>0</v>
      </c>
      <c r="F672" s="16">
        <f t="shared" si="87"/>
        <v>0</v>
      </c>
      <c r="G672" s="2"/>
      <c r="H672" s="189"/>
      <c r="I672" s="471"/>
      <c r="J672" s="471"/>
      <c r="K672" s="471"/>
      <c r="L672" s="2"/>
    </row>
    <row r="673" spans="1:12" ht="14.25" customHeight="1" x14ac:dyDescent="0.2">
      <c r="A673" s="534"/>
      <c r="B673" s="535" t="s">
        <v>1213</v>
      </c>
      <c r="C673" s="536"/>
      <c r="D673" s="15"/>
      <c r="E673" s="15">
        <f t="shared" ref="E673:E678" si="88">(C673+D673)*$E$6</f>
        <v>0</v>
      </c>
      <c r="F673" s="16">
        <f t="shared" si="87"/>
        <v>0</v>
      </c>
      <c r="G673" s="2"/>
      <c r="H673" s="189"/>
      <c r="I673" s="471"/>
      <c r="J673" s="471"/>
      <c r="K673" s="471"/>
      <c r="L673" s="2"/>
    </row>
    <row r="674" spans="1:12" ht="14.25" customHeight="1" x14ac:dyDescent="0.2">
      <c r="A674" s="534"/>
      <c r="B674" s="535" t="s">
        <v>1214</v>
      </c>
      <c r="C674" s="536"/>
      <c r="D674" s="15"/>
      <c r="E674" s="15">
        <f t="shared" si="88"/>
        <v>0</v>
      </c>
      <c r="F674" s="16">
        <f t="shared" si="87"/>
        <v>0</v>
      </c>
      <c r="G674" s="2"/>
      <c r="H674" s="189"/>
      <c r="I674" s="471"/>
      <c r="J674" s="471"/>
      <c r="K674" s="471"/>
      <c r="L674" s="2"/>
    </row>
    <row r="675" spans="1:12" ht="14.25" customHeight="1" x14ac:dyDescent="0.2">
      <c r="A675" s="534"/>
      <c r="B675" s="535" t="s">
        <v>1215</v>
      </c>
      <c r="C675" s="536"/>
      <c r="D675" s="15"/>
      <c r="E675" s="15">
        <f t="shared" si="88"/>
        <v>0</v>
      </c>
      <c r="F675" s="16">
        <f t="shared" si="87"/>
        <v>0</v>
      </c>
      <c r="G675" s="2"/>
      <c r="H675" s="189"/>
      <c r="I675" s="471"/>
      <c r="J675" s="471"/>
      <c r="K675" s="471"/>
      <c r="L675" s="2"/>
    </row>
    <row r="676" spans="1:12" ht="14.25" customHeight="1" x14ac:dyDescent="0.2">
      <c r="A676" s="534"/>
      <c r="B676" s="535" t="s">
        <v>344</v>
      </c>
      <c r="C676" s="537">
        <v>128.13999999999999</v>
      </c>
      <c r="D676" s="15"/>
      <c r="E676" s="15">
        <f t="shared" si="88"/>
        <v>76.883999999999986</v>
      </c>
      <c r="F676" s="16">
        <f t="shared" si="87"/>
        <v>205.02399999999997</v>
      </c>
      <c r="G676" s="2"/>
      <c r="H676" s="189"/>
      <c r="I676" s="471"/>
      <c r="J676" s="471"/>
      <c r="K676" s="471"/>
      <c r="L676" s="2"/>
    </row>
    <row r="677" spans="1:12" ht="14.25" customHeight="1" x14ac:dyDescent="0.2">
      <c r="A677" s="534"/>
      <c r="B677" s="535" t="s">
        <v>1216</v>
      </c>
      <c r="C677" s="538">
        <v>74.180000000000007</v>
      </c>
      <c r="D677" s="15"/>
      <c r="E677" s="15">
        <f t="shared" si="88"/>
        <v>44.508000000000003</v>
      </c>
      <c r="F677" s="16">
        <f t="shared" si="87"/>
        <v>118.68800000000002</v>
      </c>
      <c r="G677" s="2"/>
      <c r="H677" s="189"/>
      <c r="I677" s="471"/>
      <c r="J677" s="471"/>
      <c r="K677" s="471"/>
      <c r="L677" s="2"/>
    </row>
    <row r="678" spans="1:12" ht="14.25" customHeight="1" x14ac:dyDescent="0.2">
      <c r="A678" s="534"/>
      <c r="B678" s="535" t="s">
        <v>345</v>
      </c>
      <c r="C678" s="537">
        <v>167.42</v>
      </c>
      <c r="D678" s="15"/>
      <c r="E678" s="15">
        <f t="shared" si="88"/>
        <v>100.45199999999998</v>
      </c>
      <c r="F678" s="16">
        <f t="shared" si="87"/>
        <v>267.87199999999996</v>
      </c>
      <c r="G678" s="2"/>
      <c r="H678" s="189"/>
      <c r="I678" s="471"/>
      <c r="J678" s="471"/>
      <c r="K678" s="471"/>
      <c r="L678" s="2"/>
    </row>
    <row r="679" spans="1:12" ht="14.25" customHeight="1" x14ac:dyDescent="0.2">
      <c r="A679" s="534"/>
      <c r="B679" s="535" t="s">
        <v>1217</v>
      </c>
      <c r="C679" s="538">
        <v>71.959999999999994</v>
      </c>
      <c r="D679" s="15"/>
      <c r="E679" s="15">
        <f>(C679+D679)*$E$6</f>
        <v>43.175999999999995</v>
      </c>
      <c r="F679" s="16">
        <f t="shared" si="87"/>
        <v>115.136</v>
      </c>
      <c r="G679" s="2"/>
      <c r="H679" s="189"/>
      <c r="I679" s="471"/>
      <c r="J679" s="471"/>
      <c r="K679" s="471"/>
      <c r="L679" s="2"/>
    </row>
    <row r="680" spans="1:12" ht="14.25" customHeight="1" x14ac:dyDescent="0.2">
      <c r="A680" s="534"/>
      <c r="B680" s="535"/>
      <c r="C680" s="536"/>
      <c r="D680" s="15"/>
      <c r="E680" s="15">
        <f t="shared" ref="E680:E683" si="89">(C680+D680)*$E$6</f>
        <v>0</v>
      </c>
      <c r="F680" s="16">
        <f t="shared" si="87"/>
        <v>0</v>
      </c>
      <c r="G680" s="2"/>
      <c r="H680" s="189"/>
      <c r="I680" s="471"/>
      <c r="J680" s="471"/>
      <c r="K680" s="471"/>
      <c r="L680" s="2"/>
    </row>
    <row r="681" spans="1:12" ht="14.25" customHeight="1" x14ac:dyDescent="0.2">
      <c r="A681" s="534"/>
      <c r="B681" s="535" t="s">
        <v>1218</v>
      </c>
      <c r="C681" s="536"/>
      <c r="D681" s="15"/>
      <c r="E681" s="15">
        <f t="shared" si="89"/>
        <v>0</v>
      </c>
      <c r="F681" s="16">
        <f t="shared" si="87"/>
        <v>0</v>
      </c>
      <c r="G681" s="2"/>
      <c r="H681" s="189"/>
      <c r="I681" s="471"/>
      <c r="J681" s="471"/>
      <c r="K681" s="471"/>
      <c r="L681" s="2"/>
    </row>
    <row r="682" spans="1:12" ht="14.25" customHeight="1" x14ac:dyDescent="0.2">
      <c r="A682" s="534"/>
      <c r="B682" s="539" t="s">
        <v>1219</v>
      </c>
      <c r="C682" s="538">
        <v>15</v>
      </c>
      <c r="D682" s="15"/>
      <c r="E682" s="15">
        <f t="shared" si="89"/>
        <v>9</v>
      </c>
      <c r="F682" s="16">
        <f t="shared" si="87"/>
        <v>24</v>
      </c>
      <c r="G682" s="2"/>
      <c r="H682" s="189"/>
      <c r="I682" s="471"/>
      <c r="J682" s="471"/>
      <c r="K682" s="471"/>
      <c r="L682" s="2"/>
    </row>
    <row r="683" spans="1:12" ht="14.25" customHeight="1" x14ac:dyDescent="0.2">
      <c r="A683" s="534"/>
      <c r="B683" s="535" t="s">
        <v>1186</v>
      </c>
      <c r="C683" s="537">
        <f>2.48+2.98</f>
        <v>5.46</v>
      </c>
      <c r="D683" s="15"/>
      <c r="E683" s="15">
        <f t="shared" si="89"/>
        <v>3.2759999999999998</v>
      </c>
      <c r="F683" s="16">
        <f t="shared" si="87"/>
        <v>8.7360000000000007</v>
      </c>
      <c r="G683" s="2"/>
      <c r="H683" s="189"/>
      <c r="I683" s="471"/>
      <c r="J683" s="471"/>
      <c r="K683" s="471"/>
      <c r="L683" s="2"/>
    </row>
    <row r="684" spans="1:12" ht="14.25" customHeight="1" x14ac:dyDescent="0.2">
      <c r="A684" s="534"/>
      <c r="B684" s="436"/>
      <c r="C684" s="15"/>
      <c r="D684" s="15"/>
      <c r="E684" s="15"/>
      <c r="F684" s="16"/>
      <c r="G684" s="2"/>
      <c r="H684" s="189"/>
      <c r="I684" s="471"/>
      <c r="J684" s="471"/>
      <c r="K684" s="471"/>
      <c r="L684" s="2"/>
    </row>
    <row r="685" spans="1:12" ht="13.5" thickBot="1" x14ac:dyDescent="0.25">
      <c r="A685" s="540"/>
      <c r="B685" s="456"/>
      <c r="C685" s="457"/>
      <c r="D685" s="457"/>
      <c r="E685" s="457"/>
      <c r="F685" s="459"/>
      <c r="G685" s="2"/>
      <c r="H685" s="189"/>
      <c r="J685" s="471"/>
      <c r="K685" s="471"/>
      <c r="L685" s="2"/>
    </row>
    <row r="686" spans="1:12" ht="13.5" thickTop="1" x14ac:dyDescent="0.2">
      <c r="B686" s="541"/>
      <c r="C686" s="542"/>
      <c r="D686" s="542"/>
      <c r="E686" s="542"/>
      <c r="F686" s="543"/>
      <c r="G686" s="2"/>
      <c r="H686" s="189"/>
      <c r="I686" s="471"/>
      <c r="J686" s="471"/>
      <c r="K686" s="471"/>
      <c r="L686" s="2"/>
    </row>
    <row r="687" spans="1:12" x14ac:dyDescent="0.2">
      <c r="B687" s="447" t="s">
        <v>1220</v>
      </c>
      <c r="C687" s="15"/>
      <c r="D687" s="15"/>
      <c r="E687" s="15"/>
      <c r="F687" s="16"/>
      <c r="G687" s="2"/>
      <c r="H687" s="474">
        <v>0.08</v>
      </c>
      <c r="I687" s="471"/>
      <c r="J687" s="471"/>
      <c r="K687" s="471"/>
      <c r="L687" s="2"/>
    </row>
    <row r="688" spans="1:12" x14ac:dyDescent="0.2">
      <c r="B688" s="544" t="s">
        <v>1221</v>
      </c>
      <c r="C688" s="15"/>
      <c r="D688" s="15"/>
      <c r="E688" s="15"/>
      <c r="F688" s="16"/>
      <c r="G688" s="2"/>
      <c r="H688" s="189"/>
      <c r="I688" s="471"/>
      <c r="J688" s="471"/>
      <c r="K688" s="471"/>
      <c r="L688" s="2"/>
    </row>
    <row r="689" spans="2:12" x14ac:dyDescent="0.2">
      <c r="B689" s="447" t="s">
        <v>1222</v>
      </c>
      <c r="C689" s="15"/>
      <c r="D689" s="15"/>
      <c r="E689" s="15"/>
      <c r="F689" s="16"/>
      <c r="G689" s="2"/>
      <c r="H689" s="189"/>
      <c r="I689" s="471"/>
      <c r="J689" s="471"/>
      <c r="K689" s="471"/>
      <c r="L689" s="2"/>
    </row>
    <row r="690" spans="2:12" x14ac:dyDescent="0.2">
      <c r="B690" s="436" t="s">
        <v>1223</v>
      </c>
      <c r="C690" s="476">
        <v>12.61</v>
      </c>
      <c r="D690" s="15">
        <f>C690*C6</f>
        <v>0</v>
      </c>
      <c r="E690" s="15">
        <f>(C690+D690)*E6</f>
        <v>7.5659999999999989</v>
      </c>
      <c r="F690" s="16">
        <f>C690+D690+E690</f>
        <v>20.175999999999998</v>
      </c>
      <c r="G690" s="471" t="s">
        <v>1224</v>
      </c>
      <c r="H690" s="165"/>
      <c r="I690" s="471"/>
      <c r="J690" s="471"/>
      <c r="K690" s="471"/>
      <c r="L690" s="2"/>
    </row>
    <row r="691" spans="2:12" x14ac:dyDescent="0.2">
      <c r="B691" s="436" t="s">
        <v>1225</v>
      </c>
      <c r="C691" s="476">
        <v>15.42</v>
      </c>
      <c r="D691" s="15">
        <f>C691*C6</f>
        <v>0</v>
      </c>
      <c r="E691" s="15">
        <f>(C691+D691)*E6</f>
        <v>9.2519999999999989</v>
      </c>
      <c r="F691" s="16">
        <f t="shared" ref="F691:F737" si="90">C691+D691+E691</f>
        <v>24.671999999999997</v>
      </c>
      <c r="G691" s="2"/>
      <c r="H691" s="165"/>
      <c r="I691" s="471"/>
      <c r="J691" s="471"/>
      <c r="K691" s="471"/>
      <c r="L691" s="2"/>
    </row>
    <row r="692" spans="2:12" x14ac:dyDescent="0.2">
      <c r="B692" s="436" t="s">
        <v>1226</v>
      </c>
      <c r="C692" s="476">
        <v>14.01</v>
      </c>
      <c r="D692" s="15">
        <f>C692*C6</f>
        <v>0</v>
      </c>
      <c r="E692" s="15">
        <f>(C692+D692)*E6</f>
        <v>8.4059999999999988</v>
      </c>
      <c r="F692" s="16">
        <f t="shared" si="90"/>
        <v>22.415999999999997</v>
      </c>
      <c r="G692" s="2"/>
      <c r="H692" s="165"/>
      <c r="I692" s="471"/>
      <c r="J692" s="471"/>
      <c r="K692" s="471"/>
      <c r="L692" s="2"/>
    </row>
    <row r="693" spans="2:12" x14ac:dyDescent="0.2">
      <c r="B693" s="436" t="s">
        <v>1227</v>
      </c>
      <c r="C693" s="15">
        <v>0</v>
      </c>
      <c r="D693" s="15">
        <f>C693*C6</f>
        <v>0</v>
      </c>
      <c r="E693" s="15">
        <f>(C693+D693)*E6</f>
        <v>0</v>
      </c>
      <c r="F693" s="16">
        <f t="shared" si="90"/>
        <v>0</v>
      </c>
      <c r="G693" s="2"/>
      <c r="H693" s="189"/>
      <c r="I693" s="471"/>
      <c r="J693" s="471"/>
      <c r="K693" s="471"/>
      <c r="L693" s="2"/>
    </row>
    <row r="694" spans="2:12" x14ac:dyDescent="0.2">
      <c r="B694" s="436" t="s">
        <v>1228</v>
      </c>
      <c r="C694" s="15">
        <v>0</v>
      </c>
      <c r="D694" s="15">
        <f>C694*C6</f>
        <v>0</v>
      </c>
      <c r="E694" s="15">
        <f>(C694+D694)*E6</f>
        <v>0</v>
      </c>
      <c r="F694" s="16">
        <f t="shared" si="90"/>
        <v>0</v>
      </c>
      <c r="G694" s="2"/>
      <c r="H694" s="189"/>
      <c r="I694" s="471"/>
      <c r="J694" s="471"/>
      <c r="K694" s="471"/>
      <c r="L694" s="2"/>
    </row>
    <row r="695" spans="2:12" ht="13.5" thickBot="1" x14ac:dyDescent="0.25">
      <c r="B695" s="148" t="s">
        <v>1229</v>
      </c>
      <c r="C695" s="15"/>
      <c r="D695" s="15">
        <f>C695*C6</f>
        <v>0</v>
      </c>
      <c r="E695" s="15">
        <f>(C695+D695)*E6</f>
        <v>0</v>
      </c>
      <c r="F695" s="16">
        <f t="shared" si="90"/>
        <v>0</v>
      </c>
      <c r="G695" s="2"/>
      <c r="H695" s="189"/>
      <c r="I695" s="471"/>
      <c r="J695" s="471"/>
      <c r="K695" s="471"/>
      <c r="L695" s="2"/>
    </row>
    <row r="696" spans="2:12" ht="13.5" thickTop="1" x14ac:dyDescent="0.2">
      <c r="B696" s="148" t="s">
        <v>1230</v>
      </c>
      <c r="C696" s="15"/>
      <c r="D696" s="15">
        <f>C696*C6</f>
        <v>0</v>
      </c>
      <c r="E696" s="15">
        <f>(C696+D696)*E6</f>
        <v>0</v>
      </c>
      <c r="F696" s="16">
        <f t="shared" si="90"/>
        <v>0</v>
      </c>
      <c r="G696" s="2"/>
      <c r="H696" s="545"/>
      <c r="I696" s="937" t="s">
        <v>1231</v>
      </c>
      <c r="J696" s="471"/>
      <c r="K696" s="471"/>
      <c r="L696" s="2"/>
    </row>
    <row r="697" spans="2:12" ht="13.5" thickBot="1" x14ac:dyDescent="0.25">
      <c r="B697" s="546" t="s">
        <v>1232</v>
      </c>
      <c r="C697" s="457"/>
      <c r="D697" s="457">
        <f>C697*C6</f>
        <v>0</v>
      </c>
      <c r="E697" s="457">
        <f>(C697+D697)*E6</f>
        <v>0</v>
      </c>
      <c r="F697" s="459">
        <f t="shared" si="90"/>
        <v>0</v>
      </c>
      <c r="G697" s="2"/>
      <c r="H697" s="547"/>
      <c r="I697" s="938"/>
      <c r="J697" s="471"/>
      <c r="K697" s="471"/>
      <c r="L697" s="2"/>
    </row>
    <row r="698" spans="2:12" ht="13.5" thickTop="1" x14ac:dyDescent="0.2">
      <c r="B698" s="549" t="s">
        <v>1233</v>
      </c>
      <c r="C698" s="550"/>
      <c r="D698" s="154"/>
      <c r="E698" s="461"/>
      <c r="F698" s="155"/>
      <c r="G698" s="2"/>
      <c r="H698" s="551"/>
      <c r="I698" s="548"/>
      <c r="J698" s="471"/>
      <c r="K698" s="471"/>
      <c r="L698" s="2"/>
    </row>
    <row r="699" spans="2:12" x14ac:dyDescent="0.2">
      <c r="B699" s="436" t="s">
        <v>1234</v>
      </c>
      <c r="C699" s="552">
        <f>H699</f>
        <v>14.35608</v>
      </c>
      <c r="D699" s="15">
        <f>C699*$D$629</f>
        <v>1.4356080000000002</v>
      </c>
      <c r="E699" s="86">
        <f>(C699+D699)*E6</f>
        <v>9.4750128</v>
      </c>
      <c r="F699" s="16">
        <f t="shared" si="90"/>
        <v>25.266700800000002</v>
      </c>
      <c r="G699" s="2"/>
      <c r="H699" s="551">
        <f>I699*0.762</f>
        <v>14.35608</v>
      </c>
      <c r="I699" s="553">
        <v>18.84</v>
      </c>
      <c r="J699" s="471" t="s">
        <v>1235</v>
      </c>
      <c r="K699" s="497">
        <v>42877</v>
      </c>
      <c r="L699" s="2"/>
    </row>
    <row r="700" spans="2:12" x14ac:dyDescent="0.2">
      <c r="B700" s="436" t="s">
        <v>1236</v>
      </c>
      <c r="C700" s="552">
        <f>H700</f>
        <v>25.146000000000001</v>
      </c>
      <c r="D700" s="15">
        <f t="shared" ref="D700:D706" si="91">C700*$D$629</f>
        <v>2.5146000000000002</v>
      </c>
      <c r="E700" s="86">
        <f>(C700+D700)*E6</f>
        <v>16.596360000000001</v>
      </c>
      <c r="F700" s="16">
        <f t="shared" si="90"/>
        <v>44.256960000000007</v>
      </c>
      <c r="G700" s="2"/>
      <c r="H700" s="551">
        <f>I700*0.762</f>
        <v>25.146000000000001</v>
      </c>
      <c r="I700" s="554">
        <v>33</v>
      </c>
      <c r="J700" s="471" t="s">
        <v>1237</v>
      </c>
      <c r="K700" s="471"/>
      <c r="L700" s="2"/>
    </row>
    <row r="701" spans="2:12" x14ac:dyDescent="0.2">
      <c r="B701" s="436" t="s">
        <v>1238</v>
      </c>
      <c r="C701" s="552">
        <f>H701</f>
        <v>12.923520000000002</v>
      </c>
      <c r="D701" s="15">
        <f t="shared" si="91"/>
        <v>1.2923520000000002</v>
      </c>
      <c r="E701" s="86">
        <f>(C701+D701)*E6</f>
        <v>8.5295231999999999</v>
      </c>
      <c r="F701" s="16">
        <f t="shared" si="90"/>
        <v>22.745395200000001</v>
      </c>
      <c r="G701" s="2"/>
      <c r="H701" s="551">
        <f>I701*0.762</f>
        <v>12.923520000000002</v>
      </c>
      <c r="I701" s="553">
        <v>16.96</v>
      </c>
      <c r="J701" s="471"/>
      <c r="K701" s="471"/>
      <c r="L701" s="2"/>
    </row>
    <row r="702" spans="2:12" x14ac:dyDescent="0.2">
      <c r="B702" s="11" t="s">
        <v>1239</v>
      </c>
      <c r="C702" s="552">
        <f>H702</f>
        <v>26.959560000000003</v>
      </c>
      <c r="D702" s="15">
        <f t="shared" si="91"/>
        <v>2.6959560000000007</v>
      </c>
      <c r="E702" s="86">
        <f>(C702+D702)*E6</f>
        <v>17.793309600000004</v>
      </c>
      <c r="F702" s="16">
        <f t="shared" si="90"/>
        <v>47.448825600000006</v>
      </c>
      <c r="G702" s="2"/>
      <c r="H702" s="551">
        <f>I702*0.762</f>
        <v>26.959560000000003</v>
      </c>
      <c r="I702" s="553">
        <v>35.380000000000003</v>
      </c>
      <c r="J702" s="471"/>
      <c r="K702" s="471"/>
      <c r="L702" s="2"/>
    </row>
    <row r="703" spans="2:12" x14ac:dyDescent="0.2">
      <c r="B703" s="436" t="s">
        <v>332</v>
      </c>
      <c r="C703" s="552">
        <v>9.56</v>
      </c>
      <c r="D703" s="15">
        <f t="shared" si="91"/>
        <v>0.95600000000000007</v>
      </c>
      <c r="E703" s="86">
        <f>(C703+D703)*E6</f>
        <v>6.3095999999999997</v>
      </c>
      <c r="F703" s="16">
        <f t="shared" si="90"/>
        <v>16.825600000000001</v>
      </c>
      <c r="G703" s="2"/>
      <c r="H703" s="551"/>
      <c r="I703" s="554"/>
      <c r="J703" s="471"/>
      <c r="K703" s="471"/>
      <c r="L703" s="2"/>
    </row>
    <row r="704" spans="2:12" x14ac:dyDescent="0.2">
      <c r="B704" s="436" t="s">
        <v>1240</v>
      </c>
      <c r="C704" s="552">
        <f>H704</f>
        <v>15.911</v>
      </c>
      <c r="D704" s="15">
        <f t="shared" si="91"/>
        <v>1.5911</v>
      </c>
      <c r="E704" s="86">
        <f>(C704+D704)*E6</f>
        <v>10.501259999999998</v>
      </c>
      <c r="F704" s="16">
        <f t="shared" si="90"/>
        <v>28.003359999999997</v>
      </c>
      <c r="G704" s="2"/>
      <c r="H704" s="551">
        <f>I704*0.7</f>
        <v>15.911</v>
      </c>
      <c r="I704" s="553">
        <v>22.73</v>
      </c>
      <c r="J704" s="471"/>
      <c r="K704" s="471"/>
      <c r="L704" s="2"/>
    </row>
    <row r="705" spans="2:12" x14ac:dyDescent="0.2">
      <c r="B705" s="436" t="s">
        <v>1241</v>
      </c>
      <c r="C705" s="552">
        <f>H705</f>
        <v>17.681999999999999</v>
      </c>
      <c r="D705" s="15">
        <f t="shared" si="91"/>
        <v>1.7682</v>
      </c>
      <c r="E705" s="86">
        <f>(C705+D705)*E6</f>
        <v>11.670119999999999</v>
      </c>
      <c r="F705" s="16">
        <f t="shared" si="90"/>
        <v>31.12032</v>
      </c>
      <c r="G705" s="2"/>
      <c r="H705" s="551">
        <f>I705*0.7</f>
        <v>17.681999999999999</v>
      </c>
      <c r="I705" s="553">
        <v>25.26</v>
      </c>
      <c r="J705" s="471"/>
      <c r="K705" s="471"/>
      <c r="L705" s="2"/>
    </row>
    <row r="706" spans="2:12" x14ac:dyDescent="0.2">
      <c r="B706" s="436" t="s">
        <v>1242</v>
      </c>
      <c r="C706" s="469">
        <v>3.77</v>
      </c>
      <c r="D706" s="15">
        <f t="shared" si="91"/>
        <v>0.377</v>
      </c>
      <c r="E706" s="86">
        <f>(C706+D706)*E6</f>
        <v>2.4882</v>
      </c>
      <c r="F706" s="16">
        <f t="shared" si="90"/>
        <v>6.6352000000000002</v>
      </c>
      <c r="G706" s="2"/>
      <c r="H706" s="551"/>
      <c r="I706" s="554"/>
      <c r="J706" s="471"/>
      <c r="K706" s="471"/>
      <c r="L706" s="2"/>
    </row>
    <row r="707" spans="2:12" ht="13.5" thickBot="1" x14ac:dyDescent="0.25">
      <c r="B707" s="436" t="s">
        <v>1243</v>
      </c>
      <c r="C707" s="476">
        <v>1.53</v>
      </c>
      <c r="D707" s="15">
        <f>C707*C6</f>
        <v>0</v>
      </c>
      <c r="E707" s="15">
        <f>(C707+D707)*E6</f>
        <v>0.91799999999999993</v>
      </c>
      <c r="F707" s="16">
        <f t="shared" si="90"/>
        <v>2.448</v>
      </c>
      <c r="G707" s="2"/>
      <c r="H707" s="555">
        <f>I707/14</f>
        <v>1.422857142857143</v>
      </c>
      <c r="I707" s="556">
        <v>19.920000000000002</v>
      </c>
      <c r="J707" s="471"/>
      <c r="K707" s="471" t="s">
        <v>1244</v>
      </c>
      <c r="L707" s="2"/>
    </row>
    <row r="708" spans="2:12" ht="14.25" thickTop="1" thickBot="1" x14ac:dyDescent="0.25">
      <c r="B708" s="456"/>
      <c r="C708" s="457"/>
      <c r="D708" s="457"/>
      <c r="E708" s="457"/>
      <c r="F708" s="459"/>
      <c r="G708" s="2"/>
      <c r="H708" s="165"/>
      <c r="I708" s="471"/>
      <c r="J708" s="471"/>
      <c r="K708" s="471"/>
      <c r="L708" s="2"/>
    </row>
    <row r="709" spans="2:12" ht="13.5" thickTop="1" x14ac:dyDescent="0.2">
      <c r="B709" s="557" t="s">
        <v>1245</v>
      </c>
      <c r="C709" s="558"/>
      <c r="D709" s="558"/>
      <c r="E709" s="559"/>
      <c r="F709" s="560"/>
      <c r="G709" s="561" t="s">
        <v>1246</v>
      </c>
      <c r="H709" s="165"/>
      <c r="I709" s="471"/>
      <c r="J709" s="471"/>
      <c r="K709" s="471"/>
      <c r="L709" s="2"/>
    </row>
    <row r="710" spans="2:12" x14ac:dyDescent="0.2">
      <c r="B710" s="479" t="s">
        <v>1247</v>
      </c>
      <c r="C710" s="239"/>
      <c r="D710" s="239"/>
      <c r="E710" s="170"/>
      <c r="F710" s="241"/>
      <c r="G710" s="562"/>
      <c r="H710" s="165"/>
      <c r="I710" s="471"/>
      <c r="J710" s="471"/>
      <c r="K710" s="471"/>
      <c r="L710" s="2"/>
    </row>
    <row r="711" spans="2:12" x14ac:dyDescent="0.2">
      <c r="B711" s="477" t="s">
        <v>1248</v>
      </c>
      <c r="C711" s="239">
        <v>110</v>
      </c>
      <c r="D711" s="239"/>
      <c r="E711" s="170">
        <f>(C711+D711)*E6</f>
        <v>66</v>
      </c>
      <c r="F711" s="241">
        <f>C711+D711+E711</f>
        <v>176</v>
      </c>
      <c r="G711" s="563">
        <f>1-C711/F711</f>
        <v>0.375</v>
      </c>
      <c r="H711" s="165"/>
      <c r="I711" s="471"/>
      <c r="J711" s="471"/>
      <c r="K711" s="471"/>
      <c r="L711" s="2"/>
    </row>
    <row r="712" spans="2:12" x14ac:dyDescent="0.2">
      <c r="B712" s="477" t="s">
        <v>1249</v>
      </c>
      <c r="C712" s="239">
        <v>110</v>
      </c>
      <c r="D712" s="239"/>
      <c r="E712" s="170">
        <f>(C712+D712)*E6</f>
        <v>66</v>
      </c>
      <c r="F712" s="241">
        <f t="shared" ref="F712:F723" si="92">C712+D712+E712</f>
        <v>176</v>
      </c>
      <c r="G712" s="563">
        <f t="shared" ref="G712:G723" si="93">1-C712/F712</f>
        <v>0.375</v>
      </c>
      <c r="H712" s="165"/>
      <c r="I712" s="471"/>
      <c r="J712" s="471"/>
      <c r="K712" s="471"/>
      <c r="L712" s="2"/>
    </row>
    <row r="713" spans="2:12" x14ac:dyDescent="0.2">
      <c r="B713" s="477" t="s">
        <v>1250</v>
      </c>
      <c r="C713" s="239">
        <v>110</v>
      </c>
      <c r="D713" s="239"/>
      <c r="E713" s="170">
        <f>(C713+D713)*E6</f>
        <v>66</v>
      </c>
      <c r="F713" s="241">
        <f t="shared" si="92"/>
        <v>176</v>
      </c>
      <c r="G713" s="563">
        <f t="shared" si="93"/>
        <v>0.375</v>
      </c>
      <c r="H713" s="165"/>
      <c r="I713" s="471"/>
      <c r="J713" s="471"/>
      <c r="K713" s="471"/>
      <c r="L713" s="2"/>
    </row>
    <row r="714" spans="2:12" x14ac:dyDescent="0.2">
      <c r="B714" s="477" t="s">
        <v>1251</v>
      </c>
      <c r="C714" s="239">
        <v>110</v>
      </c>
      <c r="D714" s="239"/>
      <c r="E714" s="170">
        <f>(C714+D714)*E6</f>
        <v>66</v>
      </c>
      <c r="F714" s="241">
        <f t="shared" si="92"/>
        <v>176</v>
      </c>
      <c r="G714" s="563">
        <f t="shared" si="93"/>
        <v>0.375</v>
      </c>
      <c r="H714" s="165"/>
      <c r="I714" s="471"/>
      <c r="J714" s="471"/>
      <c r="K714" s="471"/>
      <c r="L714" s="2"/>
    </row>
    <row r="715" spans="2:12" x14ac:dyDescent="0.2">
      <c r="B715" s="477"/>
      <c r="C715" s="239"/>
      <c r="D715" s="239"/>
      <c r="E715" s="170">
        <f>(C715+D715)*E6</f>
        <v>0</v>
      </c>
      <c r="F715" s="241">
        <f t="shared" si="92"/>
        <v>0</v>
      </c>
      <c r="G715" s="563"/>
      <c r="H715" s="165"/>
      <c r="I715" s="471"/>
      <c r="J715" s="471"/>
      <c r="K715" s="471"/>
      <c r="L715" s="2"/>
    </row>
    <row r="716" spans="2:12" x14ac:dyDescent="0.2">
      <c r="B716" s="479" t="s">
        <v>1252</v>
      </c>
      <c r="C716" s="239"/>
      <c r="D716" s="239"/>
      <c r="E716" s="170">
        <f>(C716+D716)*E6</f>
        <v>0</v>
      </c>
      <c r="F716" s="241">
        <f t="shared" si="92"/>
        <v>0</v>
      </c>
      <c r="G716" s="563"/>
      <c r="H716" s="165"/>
      <c r="I716" s="471"/>
      <c r="J716" s="471"/>
      <c r="K716" s="471"/>
      <c r="L716" s="2"/>
    </row>
    <row r="717" spans="2:12" x14ac:dyDescent="0.2">
      <c r="B717" s="477" t="s">
        <v>1253</v>
      </c>
      <c r="C717" s="239">
        <v>22</v>
      </c>
      <c r="D717" s="239"/>
      <c r="E717" s="170">
        <f>(C717+D717)*E6</f>
        <v>13.2</v>
      </c>
      <c r="F717" s="241">
        <f t="shared" si="92"/>
        <v>35.200000000000003</v>
      </c>
      <c r="G717" s="563">
        <f t="shared" si="93"/>
        <v>0.375</v>
      </c>
      <c r="H717" s="165"/>
      <c r="I717" s="471"/>
      <c r="J717" s="471"/>
      <c r="K717" s="471"/>
      <c r="L717" s="2"/>
    </row>
    <row r="718" spans="2:12" x14ac:dyDescent="0.2">
      <c r="B718" s="477" t="s">
        <v>1254</v>
      </c>
      <c r="C718" s="239">
        <v>28</v>
      </c>
      <c r="D718" s="239"/>
      <c r="E718" s="170">
        <f>(C718+D718)*E6</f>
        <v>16.8</v>
      </c>
      <c r="F718" s="241">
        <f t="shared" si="92"/>
        <v>44.8</v>
      </c>
      <c r="G718" s="563">
        <f t="shared" si="93"/>
        <v>0.375</v>
      </c>
      <c r="H718" s="165"/>
      <c r="I718" s="471"/>
      <c r="J718" s="471"/>
      <c r="K718" s="471"/>
      <c r="L718" s="2"/>
    </row>
    <row r="719" spans="2:12" x14ac:dyDescent="0.2">
      <c r="B719" s="477" t="s">
        <v>1255</v>
      </c>
      <c r="C719" s="239">
        <v>22</v>
      </c>
      <c r="D719" s="239"/>
      <c r="E719" s="170">
        <f>(C719+D719)*E6</f>
        <v>13.2</v>
      </c>
      <c r="F719" s="241">
        <f t="shared" si="92"/>
        <v>35.200000000000003</v>
      </c>
      <c r="G719" s="563">
        <f t="shared" si="93"/>
        <v>0.375</v>
      </c>
      <c r="H719" s="165"/>
      <c r="I719" s="471"/>
      <c r="J719" s="471"/>
      <c r="K719" s="471"/>
      <c r="L719" s="2"/>
    </row>
    <row r="720" spans="2:12" x14ac:dyDescent="0.2">
      <c r="B720" s="477" t="s">
        <v>1256</v>
      </c>
      <c r="C720" s="239">
        <v>22</v>
      </c>
      <c r="D720" s="239"/>
      <c r="E720" s="170">
        <f>(C720+D720)*E6</f>
        <v>13.2</v>
      </c>
      <c r="F720" s="241">
        <f t="shared" si="92"/>
        <v>35.200000000000003</v>
      </c>
      <c r="G720" s="563">
        <f t="shared" si="93"/>
        <v>0.375</v>
      </c>
      <c r="H720" s="165"/>
      <c r="I720" s="471"/>
      <c r="J720" s="471"/>
      <c r="K720" s="471"/>
      <c r="L720" s="2"/>
    </row>
    <row r="721" spans="2:12" x14ac:dyDescent="0.2">
      <c r="B721" s="477" t="s">
        <v>1257</v>
      </c>
      <c r="C721" s="239">
        <v>450</v>
      </c>
      <c r="D721" s="239"/>
      <c r="E721" s="170">
        <f>(C721+D721)*E6</f>
        <v>270</v>
      </c>
      <c r="F721" s="241">
        <f t="shared" si="92"/>
        <v>720</v>
      </c>
      <c r="G721" s="563">
        <f t="shared" si="93"/>
        <v>0.375</v>
      </c>
      <c r="H721" s="165"/>
      <c r="I721" s="471"/>
      <c r="J721" s="471"/>
      <c r="K721" s="471"/>
      <c r="L721" s="2"/>
    </row>
    <row r="722" spans="2:12" x14ac:dyDescent="0.2">
      <c r="B722" s="564" t="s">
        <v>1258</v>
      </c>
      <c r="C722" s="239">
        <v>15</v>
      </c>
      <c r="D722" s="239"/>
      <c r="E722" s="170">
        <f>(C722+D722)*E6</f>
        <v>9</v>
      </c>
      <c r="F722" s="241">
        <f t="shared" si="92"/>
        <v>24</v>
      </c>
      <c r="G722" s="563">
        <f t="shared" si="93"/>
        <v>0.375</v>
      </c>
      <c r="H722" s="165"/>
      <c r="I722" s="471"/>
      <c r="J722" s="471"/>
      <c r="K722" s="471"/>
      <c r="L722" s="2"/>
    </row>
    <row r="723" spans="2:12" x14ac:dyDescent="0.2">
      <c r="B723" s="565" t="s">
        <v>1259</v>
      </c>
      <c r="C723" s="239">
        <v>150</v>
      </c>
      <c r="D723" s="239"/>
      <c r="E723" s="170">
        <f>(C723+D723)*E6</f>
        <v>90</v>
      </c>
      <c r="F723" s="241">
        <f t="shared" si="92"/>
        <v>240</v>
      </c>
      <c r="G723" s="563">
        <f t="shared" si="93"/>
        <v>0.375</v>
      </c>
      <c r="H723" s="165"/>
      <c r="I723" s="471"/>
      <c r="J723" s="471"/>
      <c r="K723" s="471"/>
      <c r="L723" s="2"/>
    </row>
    <row r="724" spans="2:12" ht="13.5" thickBot="1" x14ac:dyDescent="0.25">
      <c r="B724" s="566" t="s">
        <v>517</v>
      </c>
      <c r="C724" s="567">
        <v>30</v>
      </c>
      <c r="D724" s="568">
        <v>20</v>
      </c>
      <c r="E724" s="170"/>
      <c r="F724" s="241"/>
      <c r="G724" s="563"/>
      <c r="H724" s="165"/>
      <c r="I724" s="471"/>
      <c r="J724" s="471"/>
      <c r="K724" s="471"/>
      <c r="L724" s="2"/>
    </row>
    <row r="725" spans="2:12" ht="13.5" thickTop="1" x14ac:dyDescent="0.2">
      <c r="B725" s="532" t="s">
        <v>1260</v>
      </c>
      <c r="C725" s="453"/>
      <c r="D725" s="453"/>
      <c r="E725" s="453"/>
      <c r="F725" s="455"/>
      <c r="G725" s="541"/>
      <c r="H725" s="455"/>
      <c r="I725" s="471"/>
      <c r="J725" s="471"/>
      <c r="K725" s="471"/>
      <c r="L725" s="2"/>
    </row>
    <row r="726" spans="2:12" x14ac:dyDescent="0.2">
      <c r="B726" s="436" t="s">
        <v>1261</v>
      </c>
      <c r="C726" s="552">
        <v>42.8</v>
      </c>
      <c r="D726" s="15">
        <f>C726*C6</f>
        <v>0</v>
      </c>
      <c r="E726" s="15">
        <f>(C726+D726)*$E$6</f>
        <v>25.679999999999996</v>
      </c>
      <c r="F726" s="16">
        <f t="shared" si="90"/>
        <v>68.47999999999999</v>
      </c>
      <c r="G726" s="148"/>
      <c r="H726" s="12"/>
      <c r="I726" s="471"/>
      <c r="J726" s="471"/>
      <c r="K726" s="471"/>
      <c r="L726" s="2"/>
    </row>
    <row r="727" spans="2:12" x14ac:dyDescent="0.2">
      <c r="B727" s="436" t="s">
        <v>1262</v>
      </c>
      <c r="C727" s="552">
        <f>H727/G727</f>
        <v>9.5714285714285712</v>
      </c>
      <c r="D727" s="15">
        <f>C727*C6</f>
        <v>0</v>
      </c>
      <c r="E727" s="15">
        <f>(C727+D727)*$E$6</f>
        <v>5.7428571428571429</v>
      </c>
      <c r="F727" s="16">
        <f t="shared" si="90"/>
        <v>15.314285714285713</v>
      </c>
      <c r="G727" s="569">
        <v>7</v>
      </c>
      <c r="H727" s="570">
        <v>67</v>
      </c>
      <c r="I727" s="471"/>
      <c r="J727" s="471"/>
      <c r="K727" s="471"/>
      <c r="L727" s="2"/>
    </row>
    <row r="728" spans="2:12" x14ac:dyDescent="0.2">
      <c r="B728" s="436" t="s">
        <v>1263</v>
      </c>
      <c r="C728" s="552">
        <f t="shared" ref="C728:C730" si="94">H728/G728</f>
        <v>9.5</v>
      </c>
      <c r="D728" s="15"/>
      <c r="E728" s="15">
        <f t="shared" ref="E728:E730" si="95">(C728+D728)*$E$6</f>
        <v>5.7</v>
      </c>
      <c r="F728" s="16">
        <f t="shared" si="90"/>
        <v>15.2</v>
      </c>
      <c r="G728" s="569">
        <v>6</v>
      </c>
      <c r="H728" s="570">
        <v>57</v>
      </c>
      <c r="I728" s="471"/>
      <c r="J728" s="471"/>
      <c r="K728" s="471"/>
      <c r="L728" s="2"/>
    </row>
    <row r="729" spans="2:12" x14ac:dyDescent="0.2">
      <c r="B729" s="436" t="s">
        <v>1264</v>
      </c>
      <c r="C729" s="552">
        <f t="shared" si="94"/>
        <v>9.6</v>
      </c>
      <c r="D729" s="15"/>
      <c r="E729" s="15">
        <f t="shared" si="95"/>
        <v>5.76</v>
      </c>
      <c r="F729" s="16">
        <f t="shared" si="90"/>
        <v>15.36</v>
      </c>
      <c r="G729" s="569">
        <v>5</v>
      </c>
      <c r="H729" s="570">
        <v>48</v>
      </c>
      <c r="I729" s="471"/>
      <c r="J729" s="471"/>
      <c r="K729" s="471"/>
      <c r="L729" s="2"/>
    </row>
    <row r="730" spans="2:12" x14ac:dyDescent="0.2">
      <c r="B730" s="436" t="s">
        <v>1265</v>
      </c>
      <c r="C730" s="552">
        <f t="shared" si="94"/>
        <v>9.5</v>
      </c>
      <c r="D730" s="15"/>
      <c r="E730" s="15">
        <f t="shared" si="95"/>
        <v>5.7</v>
      </c>
      <c r="F730" s="16">
        <f t="shared" si="90"/>
        <v>15.2</v>
      </c>
      <c r="G730" s="569">
        <v>4</v>
      </c>
      <c r="H730" s="570">
        <v>38</v>
      </c>
      <c r="I730" s="471"/>
      <c r="J730" s="471"/>
      <c r="K730" s="471"/>
      <c r="L730" s="2"/>
    </row>
    <row r="731" spans="2:12" x14ac:dyDescent="0.2">
      <c r="B731" s="436"/>
      <c r="C731" s="15"/>
      <c r="D731" s="15"/>
      <c r="E731" s="15"/>
      <c r="F731" s="16"/>
      <c r="G731" s="571"/>
      <c r="H731" s="16"/>
      <c r="I731" s="471"/>
      <c r="J731" s="471"/>
      <c r="K731" s="471"/>
      <c r="L731" s="2"/>
    </row>
    <row r="732" spans="2:12" x14ac:dyDescent="0.2">
      <c r="B732" s="436" t="s">
        <v>1266</v>
      </c>
      <c r="C732" s="552">
        <v>3</v>
      </c>
      <c r="D732" s="15"/>
      <c r="E732" s="15">
        <f>(C732+D732)*E6</f>
        <v>1.7999999999999998</v>
      </c>
      <c r="F732" s="16">
        <f>C732+D732+E732</f>
        <v>4.8</v>
      </c>
      <c r="G732" s="148"/>
      <c r="H732" s="12"/>
      <c r="I732" s="471"/>
      <c r="J732" s="471"/>
      <c r="K732" s="471"/>
      <c r="L732" s="2"/>
    </row>
    <row r="733" spans="2:12" x14ac:dyDescent="0.2">
      <c r="B733" s="436" t="s">
        <v>1267</v>
      </c>
      <c r="C733" s="552">
        <f>H733/G733</f>
        <v>4.9230769230769234</v>
      </c>
      <c r="D733" s="15">
        <f>C733*C6</f>
        <v>0</v>
      </c>
      <c r="E733" s="15">
        <f>(C733+D733)*E6</f>
        <v>2.953846153846154</v>
      </c>
      <c r="F733" s="16">
        <f t="shared" si="90"/>
        <v>7.8769230769230774</v>
      </c>
      <c r="G733" s="572">
        <v>6.5</v>
      </c>
      <c r="H733" s="570">
        <v>32</v>
      </c>
      <c r="I733" s="471"/>
      <c r="J733" s="471"/>
      <c r="K733" s="471"/>
      <c r="L733" s="2"/>
    </row>
    <row r="734" spans="2:12" x14ac:dyDescent="0.2">
      <c r="B734" s="436" t="s">
        <v>1268</v>
      </c>
      <c r="C734" s="552">
        <f>H734/G734</f>
        <v>2.8571428571428572</v>
      </c>
      <c r="D734" s="15">
        <f>C734*C6</f>
        <v>0</v>
      </c>
      <c r="E734" s="15">
        <f>(C734+D734)*E6</f>
        <v>1.7142857142857142</v>
      </c>
      <c r="F734" s="16">
        <f t="shared" si="90"/>
        <v>4.5714285714285712</v>
      </c>
      <c r="G734" s="572">
        <v>14</v>
      </c>
      <c r="H734" s="570">
        <v>40</v>
      </c>
      <c r="I734" s="189"/>
      <c r="J734" s="189"/>
      <c r="K734" s="189"/>
      <c r="L734" s="2"/>
    </row>
    <row r="735" spans="2:12" x14ac:dyDescent="0.2">
      <c r="B735" s="436" t="s">
        <v>1269</v>
      </c>
      <c r="C735" s="552">
        <f>H735/G735</f>
        <v>4.2857142857142856</v>
      </c>
      <c r="D735" s="15">
        <f>C735*C6</f>
        <v>0</v>
      </c>
      <c r="E735" s="15">
        <f>(C735+D735)*E6</f>
        <v>2.5714285714285712</v>
      </c>
      <c r="F735" s="16">
        <f t="shared" si="90"/>
        <v>6.8571428571428568</v>
      </c>
      <c r="G735" s="572">
        <v>14</v>
      </c>
      <c r="H735" s="570">
        <v>60</v>
      </c>
      <c r="I735" s="189"/>
      <c r="J735" s="189"/>
      <c r="K735" s="189"/>
      <c r="L735" s="2"/>
    </row>
    <row r="736" spans="2:12" x14ac:dyDescent="0.2">
      <c r="B736" s="436" t="s">
        <v>1270</v>
      </c>
      <c r="C736" s="573">
        <v>200</v>
      </c>
      <c r="D736" s="15">
        <f>C736*C6</f>
        <v>0</v>
      </c>
      <c r="E736" s="15">
        <f>(C736+D736)*E6</f>
        <v>120</v>
      </c>
      <c r="F736" s="16">
        <f t="shared" si="90"/>
        <v>320</v>
      </c>
      <c r="G736" s="148"/>
      <c r="H736" s="12"/>
      <c r="I736" s="189"/>
      <c r="J736" s="189"/>
      <c r="K736" s="189"/>
      <c r="L736" s="2"/>
    </row>
    <row r="737" spans="2:12" x14ac:dyDescent="0.2">
      <c r="B737" s="436" t="s">
        <v>1271</v>
      </c>
      <c r="C737" s="573">
        <v>381</v>
      </c>
      <c r="D737" s="15">
        <f>C737*C6</f>
        <v>0</v>
      </c>
      <c r="E737" s="15">
        <f>(C737+D737)*E6</f>
        <v>228.6</v>
      </c>
      <c r="F737" s="16">
        <f t="shared" si="90"/>
        <v>609.6</v>
      </c>
      <c r="G737" s="148" t="s">
        <v>1272</v>
      </c>
      <c r="H737" s="12"/>
      <c r="I737" s="189"/>
      <c r="J737" s="189"/>
      <c r="K737" s="189"/>
      <c r="L737" s="2"/>
    </row>
    <row r="738" spans="2:12" ht="13.5" thickBot="1" x14ac:dyDescent="0.25">
      <c r="B738" s="456"/>
      <c r="C738" s="457"/>
      <c r="D738" s="457"/>
      <c r="E738" s="457"/>
      <c r="F738" s="459"/>
      <c r="G738" s="546"/>
      <c r="H738" s="574"/>
      <c r="I738" s="189"/>
      <c r="J738" s="189"/>
      <c r="K738" s="189"/>
      <c r="L738" s="2"/>
    </row>
    <row r="739" spans="2:12" ht="13.5" thickTop="1" x14ac:dyDescent="0.2">
      <c r="B739" s="575" t="s">
        <v>1273</v>
      </c>
      <c r="C739" s="154"/>
      <c r="D739" s="154"/>
      <c r="E739" s="461"/>
      <c r="F739" s="455"/>
      <c r="G739" s="2"/>
      <c r="H739" s="189"/>
      <c r="I739" s="189"/>
      <c r="J739" s="189"/>
      <c r="K739" s="189"/>
      <c r="L739" s="2"/>
    </row>
    <row r="740" spans="2:12" x14ac:dyDescent="0.2">
      <c r="B740" s="6"/>
      <c r="C740" s="15"/>
      <c r="D740" s="15"/>
      <c r="E740" s="86"/>
      <c r="F740" s="16"/>
      <c r="G740" s="2"/>
      <c r="H740" s="189"/>
      <c r="I740" s="189"/>
      <c r="J740" s="189"/>
      <c r="K740" s="189"/>
      <c r="L740" s="2"/>
    </row>
    <row r="741" spans="2:12" x14ac:dyDescent="0.2">
      <c r="B741" s="436" t="s">
        <v>1274</v>
      </c>
      <c r="C741" s="469">
        <v>24.8</v>
      </c>
      <c r="D741" s="15">
        <f>C741*C6</f>
        <v>0</v>
      </c>
      <c r="E741" s="86">
        <f>(C741+D741)*E6</f>
        <v>14.879999999999999</v>
      </c>
      <c r="F741" s="16">
        <f>C741+D741+E741</f>
        <v>39.68</v>
      </c>
      <c r="G741" s="2"/>
      <c r="H741" s="189"/>
      <c r="I741" s="189"/>
      <c r="J741" s="189"/>
      <c r="K741" s="189"/>
      <c r="L741" s="2"/>
    </row>
    <row r="742" spans="2:12" x14ac:dyDescent="0.2">
      <c r="B742" s="436" t="s">
        <v>1275</v>
      </c>
      <c r="C742" s="202">
        <f>C741/6</f>
        <v>4.1333333333333337</v>
      </c>
      <c r="D742" s="15">
        <f>C742*C6</f>
        <v>0</v>
      </c>
      <c r="E742" s="86">
        <f>(C742+D742)*E6</f>
        <v>2.48</v>
      </c>
      <c r="F742" s="16">
        <f t="shared" ref="F742:F749" si="96">C742+D742+E742</f>
        <v>6.6133333333333333</v>
      </c>
      <c r="G742" s="2"/>
      <c r="H742" s="189"/>
      <c r="I742" s="189"/>
      <c r="J742" s="189"/>
      <c r="K742" s="189"/>
      <c r="L742" s="2"/>
    </row>
    <row r="743" spans="2:12" x14ac:dyDescent="0.2">
      <c r="B743" s="436" t="s">
        <v>1276</v>
      </c>
      <c r="C743" s="469">
        <v>4.53</v>
      </c>
      <c r="D743" s="15">
        <f>C743*C6</f>
        <v>0</v>
      </c>
      <c r="E743" s="86">
        <f>(C743+D743)*E6</f>
        <v>2.718</v>
      </c>
      <c r="F743" s="16">
        <f t="shared" si="96"/>
        <v>7.2480000000000002</v>
      </c>
      <c r="G743" s="2">
        <v>1</v>
      </c>
      <c r="H743" s="189"/>
      <c r="I743" s="189"/>
      <c r="J743" s="189"/>
      <c r="K743" s="189"/>
      <c r="L743" s="2"/>
    </row>
    <row r="744" spans="2:12" x14ac:dyDescent="0.2">
      <c r="B744" s="436" t="s">
        <v>1277</v>
      </c>
      <c r="C744" s="469">
        <v>2.2599999999999998</v>
      </c>
      <c r="D744" s="15">
        <f>C744*C6</f>
        <v>0</v>
      </c>
      <c r="E744" s="86">
        <f>(C744+D744)*E6</f>
        <v>1.3559999999999999</v>
      </c>
      <c r="F744" s="16">
        <f t="shared" si="96"/>
        <v>3.6159999999999997</v>
      </c>
      <c r="G744" s="2">
        <v>1</v>
      </c>
      <c r="H744" s="189"/>
      <c r="I744" s="189"/>
      <c r="J744" s="189"/>
      <c r="K744" s="189"/>
      <c r="L744" s="2"/>
    </row>
    <row r="745" spans="2:12" x14ac:dyDescent="0.2">
      <c r="B745" s="436" t="s">
        <v>1278</v>
      </c>
      <c r="C745" s="469">
        <v>4.53</v>
      </c>
      <c r="D745" s="15">
        <f>C745*C6</f>
        <v>0</v>
      </c>
      <c r="E745" s="86">
        <f>(C745+D745)*E6</f>
        <v>2.718</v>
      </c>
      <c r="F745" s="16">
        <f t="shared" si="96"/>
        <v>7.2480000000000002</v>
      </c>
      <c r="G745" s="2">
        <v>2</v>
      </c>
      <c r="H745" s="189"/>
      <c r="I745" s="189"/>
      <c r="J745" s="189"/>
      <c r="K745" s="189"/>
      <c r="L745" s="2"/>
    </row>
    <row r="746" spans="2:12" x14ac:dyDescent="0.2">
      <c r="B746" s="436" t="s">
        <v>1279</v>
      </c>
      <c r="C746" s="469">
        <v>3.38</v>
      </c>
      <c r="D746" s="15">
        <f>C746*C6</f>
        <v>0</v>
      </c>
      <c r="E746" s="86">
        <f>(C746+D746)*E6</f>
        <v>2.028</v>
      </c>
      <c r="F746" s="16">
        <f t="shared" si="96"/>
        <v>5.4079999999999995</v>
      </c>
      <c r="G746" s="2">
        <v>2</v>
      </c>
      <c r="H746" s="189"/>
      <c r="I746" s="189"/>
      <c r="J746" s="189"/>
      <c r="K746" s="189"/>
      <c r="L746" s="2"/>
    </row>
    <row r="747" spans="2:12" x14ac:dyDescent="0.2">
      <c r="B747" s="436" t="s">
        <v>1280</v>
      </c>
      <c r="C747" s="469">
        <v>3.54</v>
      </c>
      <c r="D747" s="15">
        <f>C747*C6</f>
        <v>0</v>
      </c>
      <c r="E747" s="86">
        <f>(C747+D747)*E6</f>
        <v>2.1240000000000001</v>
      </c>
      <c r="F747" s="16">
        <f t="shared" si="96"/>
        <v>5.6639999999999997</v>
      </c>
      <c r="G747" s="2">
        <v>2.5</v>
      </c>
      <c r="H747" s="189"/>
      <c r="I747" s="189"/>
      <c r="J747" s="189"/>
      <c r="K747" s="189"/>
      <c r="L747" s="2"/>
    </row>
    <row r="748" spans="2:12" x14ac:dyDescent="0.2">
      <c r="B748" s="436" t="s">
        <v>1281</v>
      </c>
      <c r="C748" s="469">
        <v>3.35</v>
      </c>
      <c r="D748" s="15">
        <f>C748*C6</f>
        <v>0</v>
      </c>
      <c r="E748" s="86">
        <f>(C748+D748)*E6</f>
        <v>2.0099999999999998</v>
      </c>
      <c r="F748" s="16">
        <f t="shared" si="96"/>
        <v>5.3599999999999994</v>
      </c>
      <c r="G748" s="2">
        <v>2.5</v>
      </c>
      <c r="H748" s="189"/>
      <c r="I748" s="189"/>
      <c r="J748" s="189"/>
      <c r="K748" s="189"/>
      <c r="L748" s="2"/>
    </row>
    <row r="749" spans="2:12" x14ac:dyDescent="0.2">
      <c r="B749" s="436" t="s">
        <v>1282</v>
      </c>
      <c r="C749" s="15">
        <v>3</v>
      </c>
      <c r="D749" s="15">
        <f>C749*C6</f>
        <v>0</v>
      </c>
      <c r="E749" s="86">
        <f>(C749+D749)*E6</f>
        <v>1.7999999999999998</v>
      </c>
      <c r="F749" s="16">
        <f t="shared" si="96"/>
        <v>4.8</v>
      </c>
      <c r="G749" s="2">
        <v>3</v>
      </c>
      <c r="H749" s="189"/>
      <c r="I749" s="189"/>
      <c r="J749" s="189"/>
      <c r="K749" s="189"/>
      <c r="L749" s="2"/>
    </row>
    <row r="750" spans="2:12" ht="13.5" thickBot="1" x14ac:dyDescent="0.25">
      <c r="B750" s="450"/>
      <c r="C750" s="97"/>
      <c r="D750" s="97"/>
      <c r="E750" s="451"/>
      <c r="F750" s="87"/>
      <c r="G750" s="2"/>
      <c r="H750" s="189"/>
      <c r="I750" s="471"/>
      <c r="J750" s="471"/>
      <c r="K750" s="189"/>
      <c r="L750" s="2"/>
    </row>
    <row r="751" spans="2:12" ht="13.5" thickTop="1" x14ac:dyDescent="0.2">
      <c r="B751" s="422" t="s">
        <v>1283</v>
      </c>
      <c r="C751" s="453"/>
      <c r="D751" s="454">
        <f>C751*10%</f>
        <v>0</v>
      </c>
      <c r="E751" s="576"/>
      <c r="F751" s="577">
        <f>C751+D751</f>
        <v>0</v>
      </c>
      <c r="G751" s="578" t="s">
        <v>719</v>
      </c>
      <c r="H751" s="579" t="s">
        <v>1284</v>
      </c>
      <c r="I751" s="580" t="s">
        <v>1285</v>
      </c>
      <c r="J751" s="471"/>
      <c r="K751" s="189"/>
      <c r="L751" s="2"/>
    </row>
    <row r="752" spans="2:12" x14ac:dyDescent="0.2">
      <c r="B752" s="447" t="s">
        <v>1286</v>
      </c>
      <c r="C752" s="15"/>
      <c r="D752" s="86"/>
      <c r="E752" s="581"/>
      <c r="F752" s="582"/>
      <c r="G752" s="440"/>
      <c r="H752" s="11"/>
      <c r="I752" s="583"/>
      <c r="J752" s="471"/>
      <c r="K752" s="189"/>
      <c r="L752" s="2"/>
    </row>
    <row r="753" spans="2:12" x14ac:dyDescent="0.2">
      <c r="B753" s="436" t="s">
        <v>1287</v>
      </c>
      <c r="C753" s="15">
        <f t="shared" ref="C753:C785" si="97">I753</f>
        <v>2.3636666666666667E-2</v>
      </c>
      <c r="D753" s="86">
        <f>C753*C6</f>
        <v>0</v>
      </c>
      <c r="E753" s="86">
        <f>(C753+D753)*E6</f>
        <v>1.4182E-2</v>
      </c>
      <c r="F753" s="584">
        <f>C753+D753+E753</f>
        <v>3.7818666666666667E-2</v>
      </c>
      <c r="G753" s="585">
        <v>70.91</v>
      </c>
      <c r="H753" s="11">
        <v>3000</v>
      </c>
      <c r="I753" s="583">
        <f t="shared" ref="I753:I771" si="98">G753/H753</f>
        <v>2.3636666666666667E-2</v>
      </c>
      <c r="J753" s="471"/>
      <c r="K753" s="189"/>
      <c r="L753" s="2"/>
    </row>
    <row r="754" spans="2:12" x14ac:dyDescent="0.2">
      <c r="B754" s="436" t="s">
        <v>1288</v>
      </c>
      <c r="C754" s="15">
        <f t="shared" si="97"/>
        <v>1.1666666666666667E-2</v>
      </c>
      <c r="D754" s="86">
        <f>C754*C6</f>
        <v>0</v>
      </c>
      <c r="E754" s="86">
        <f>(C754+D754)*E6</f>
        <v>7.0000000000000001E-3</v>
      </c>
      <c r="F754" s="584">
        <f t="shared" ref="F754:F801" si="99">C754+D754+E754</f>
        <v>1.8666666666666668E-2</v>
      </c>
      <c r="G754" s="585">
        <v>35</v>
      </c>
      <c r="H754" s="11">
        <v>3000</v>
      </c>
      <c r="I754" s="583">
        <f t="shared" si="98"/>
        <v>1.1666666666666667E-2</v>
      </c>
      <c r="J754" s="471"/>
      <c r="K754" s="189"/>
      <c r="L754" s="2"/>
    </row>
    <row r="755" spans="2:12" x14ac:dyDescent="0.2">
      <c r="B755" s="436" t="s">
        <v>1289</v>
      </c>
      <c r="C755" s="15">
        <f t="shared" si="97"/>
        <v>2.3329999999999997E-2</v>
      </c>
      <c r="D755" s="86">
        <f>C755*C6</f>
        <v>0</v>
      </c>
      <c r="E755" s="86">
        <f>(C755+D755)*E6</f>
        <v>1.3997999999999998E-2</v>
      </c>
      <c r="F755" s="584">
        <f t="shared" si="99"/>
        <v>3.7327999999999993E-2</v>
      </c>
      <c r="G755" s="585">
        <v>23.33</v>
      </c>
      <c r="H755" s="11">
        <v>1000</v>
      </c>
      <c r="I755" s="583">
        <f t="shared" si="98"/>
        <v>2.3329999999999997E-2</v>
      </c>
      <c r="J755" s="471"/>
      <c r="K755" s="189"/>
      <c r="L755" s="2"/>
    </row>
    <row r="756" spans="2:12" x14ac:dyDescent="0.2">
      <c r="B756" s="436" t="s">
        <v>1290</v>
      </c>
      <c r="C756" s="15">
        <f t="shared" si="97"/>
        <v>1.2E-2</v>
      </c>
      <c r="D756" s="86">
        <f>C756*C6</f>
        <v>0</v>
      </c>
      <c r="E756" s="86">
        <f>(C756+D756)*E6</f>
        <v>7.1999999999999998E-3</v>
      </c>
      <c r="F756" s="584">
        <f t="shared" si="99"/>
        <v>1.9200000000000002E-2</v>
      </c>
      <c r="G756" s="585">
        <v>66</v>
      </c>
      <c r="H756" s="11">
        <v>5500</v>
      </c>
      <c r="I756" s="583">
        <f t="shared" si="98"/>
        <v>1.2E-2</v>
      </c>
      <c r="J756" s="471"/>
      <c r="K756" s="471"/>
      <c r="L756" s="2"/>
    </row>
    <row r="757" spans="2:12" x14ac:dyDescent="0.2">
      <c r="B757" s="436" t="s">
        <v>1291</v>
      </c>
      <c r="C757" s="15">
        <f t="shared" si="97"/>
        <v>0.09</v>
      </c>
      <c r="D757" s="86">
        <f>C757*C6</f>
        <v>0</v>
      </c>
      <c r="E757" s="86">
        <f>(C757+D757)*E6</f>
        <v>5.3999999999999999E-2</v>
      </c>
      <c r="F757" s="584">
        <f t="shared" si="99"/>
        <v>0.14399999999999999</v>
      </c>
      <c r="G757" s="585">
        <v>90</v>
      </c>
      <c r="H757" s="11">
        <v>1000</v>
      </c>
      <c r="I757" s="583">
        <f t="shared" si="98"/>
        <v>0.09</v>
      </c>
      <c r="J757" s="471"/>
      <c r="K757" s="471"/>
      <c r="L757" s="2"/>
    </row>
    <row r="758" spans="2:12" x14ac:dyDescent="0.2">
      <c r="B758" s="436" t="s">
        <v>1292</v>
      </c>
      <c r="C758" s="15">
        <f t="shared" si="97"/>
        <v>6.1499999999999999E-2</v>
      </c>
      <c r="D758" s="86"/>
      <c r="E758" s="86">
        <f>(C758+D758)*E6</f>
        <v>3.6899999999999995E-2</v>
      </c>
      <c r="F758" s="584">
        <f>C758+D758+E758</f>
        <v>9.8399999999999987E-2</v>
      </c>
      <c r="G758" s="585">
        <v>246</v>
      </c>
      <c r="H758" s="11">
        <v>4000</v>
      </c>
      <c r="I758" s="583">
        <f t="shared" si="98"/>
        <v>6.1499999999999999E-2</v>
      </c>
      <c r="J758" s="471"/>
      <c r="K758" s="471"/>
      <c r="L758" s="2"/>
    </row>
    <row r="759" spans="2:12" x14ac:dyDescent="0.2">
      <c r="B759" s="436" t="s">
        <v>1293</v>
      </c>
      <c r="C759" s="476">
        <f t="shared" si="97"/>
        <v>0.19</v>
      </c>
      <c r="D759" s="86"/>
      <c r="E759" s="86">
        <f>(C759+D759)*E6</f>
        <v>0.11399999999999999</v>
      </c>
      <c r="F759" s="584">
        <f>C759+D759+E759</f>
        <v>0.30399999999999999</v>
      </c>
      <c r="G759" s="585">
        <v>380</v>
      </c>
      <c r="H759" s="11">
        <v>2000</v>
      </c>
      <c r="I759" s="583">
        <f>G759/H759</f>
        <v>0.19</v>
      </c>
      <c r="J759" s="471" t="s">
        <v>1294</v>
      </c>
      <c r="K759" s="471"/>
      <c r="L759" s="2"/>
    </row>
    <row r="760" spans="2:12" x14ac:dyDescent="0.2">
      <c r="B760" s="436" t="s">
        <v>1295</v>
      </c>
      <c r="C760" s="15">
        <f t="shared" si="97"/>
        <v>1.4166666666666666E-2</v>
      </c>
      <c r="D760" s="86"/>
      <c r="E760" s="86">
        <f>(C760+D760)*E6</f>
        <v>8.4999999999999989E-3</v>
      </c>
      <c r="F760" s="584">
        <f>C760+D760+E760</f>
        <v>2.2666666666666665E-2</v>
      </c>
      <c r="G760" s="585">
        <v>170</v>
      </c>
      <c r="H760" s="11">
        <v>12000</v>
      </c>
      <c r="I760" s="583">
        <f t="shared" si="98"/>
        <v>1.4166666666666666E-2</v>
      </c>
      <c r="J760" s="471"/>
      <c r="K760" s="471"/>
      <c r="L760" s="2"/>
    </row>
    <row r="761" spans="2:12" x14ac:dyDescent="0.2">
      <c r="B761" s="447" t="s">
        <v>1296</v>
      </c>
      <c r="C761" s="15"/>
      <c r="D761" s="86"/>
      <c r="E761" s="86"/>
      <c r="F761" s="584"/>
      <c r="G761" s="104"/>
      <c r="H761" s="11"/>
      <c r="I761" s="583"/>
      <c r="J761" s="471"/>
      <c r="K761" s="471"/>
      <c r="L761" s="2"/>
    </row>
    <row r="762" spans="2:12" x14ac:dyDescent="0.2">
      <c r="B762" s="436" t="s">
        <v>1297</v>
      </c>
      <c r="C762" s="15">
        <f t="shared" si="97"/>
        <v>0.30099999999999999</v>
      </c>
      <c r="D762" s="86">
        <f>C762*C6</f>
        <v>0</v>
      </c>
      <c r="E762" s="86">
        <f>(C762+D762)*E6</f>
        <v>0.18059999999999998</v>
      </c>
      <c r="F762" s="584">
        <f t="shared" si="99"/>
        <v>0.48159999999999997</v>
      </c>
      <c r="G762" s="585">
        <v>30.1</v>
      </c>
      <c r="H762" s="11">
        <v>100</v>
      </c>
      <c r="I762" s="583">
        <f t="shared" si="98"/>
        <v>0.30099999999999999</v>
      </c>
      <c r="J762" s="471"/>
      <c r="K762" s="471"/>
      <c r="L762" s="2"/>
    </row>
    <row r="763" spans="2:12" x14ac:dyDescent="0.2">
      <c r="B763" s="436" t="s">
        <v>1298</v>
      </c>
      <c r="C763" s="15">
        <f t="shared" si="97"/>
        <v>0.19500000000000001</v>
      </c>
      <c r="D763" s="86">
        <f>C763*C6</f>
        <v>0</v>
      </c>
      <c r="E763" s="86">
        <f>(C763+D763)*E6</f>
        <v>0.11699999999999999</v>
      </c>
      <c r="F763" s="584">
        <f t="shared" si="99"/>
        <v>0.312</v>
      </c>
      <c r="G763" s="585">
        <v>19.5</v>
      </c>
      <c r="H763" s="11">
        <v>100</v>
      </c>
      <c r="I763" s="583">
        <f t="shared" si="98"/>
        <v>0.19500000000000001</v>
      </c>
      <c r="J763" s="471"/>
      <c r="K763" s="471"/>
      <c r="L763" s="2"/>
    </row>
    <row r="764" spans="2:12" x14ac:dyDescent="0.2">
      <c r="B764" s="436" t="s">
        <v>1299</v>
      </c>
      <c r="C764" s="15">
        <f>I764</f>
        <v>2.363</v>
      </c>
      <c r="D764" s="86">
        <f>C764*C6</f>
        <v>0</v>
      </c>
      <c r="E764" s="86">
        <f>(C764+D764)*E6</f>
        <v>1.4177999999999999</v>
      </c>
      <c r="F764" s="584">
        <f t="shared" si="99"/>
        <v>3.7808000000000002</v>
      </c>
      <c r="G764" s="585">
        <v>236.3</v>
      </c>
      <c r="H764" s="11">
        <v>100</v>
      </c>
      <c r="I764" s="583">
        <f>G764/H764</f>
        <v>2.363</v>
      </c>
      <c r="J764" s="471"/>
      <c r="K764" s="471"/>
      <c r="L764" s="2"/>
    </row>
    <row r="765" spans="2:12" x14ac:dyDescent="0.2">
      <c r="B765" s="447" t="s">
        <v>1300</v>
      </c>
      <c r="C765" s="15"/>
      <c r="D765" s="86"/>
      <c r="E765" s="86"/>
      <c r="F765" s="584">
        <f t="shared" si="99"/>
        <v>0</v>
      </c>
      <c r="G765" s="104"/>
      <c r="H765" s="11"/>
      <c r="I765" s="583"/>
      <c r="J765" s="471"/>
      <c r="K765" s="471"/>
      <c r="L765" s="2"/>
    </row>
    <row r="766" spans="2:12" x14ac:dyDescent="0.2">
      <c r="B766" s="436" t="s">
        <v>1301</v>
      </c>
      <c r="C766" s="15">
        <f t="shared" si="97"/>
        <v>0.4</v>
      </c>
      <c r="D766" s="86">
        <f>C766*C6</f>
        <v>0</v>
      </c>
      <c r="E766" s="86">
        <f>(C766+D766)*E6</f>
        <v>0.24</v>
      </c>
      <c r="F766" s="584">
        <f t="shared" si="99"/>
        <v>0.64</v>
      </c>
      <c r="G766" s="585">
        <v>400</v>
      </c>
      <c r="H766" s="11">
        <v>1000</v>
      </c>
      <c r="I766" s="583">
        <f t="shared" si="98"/>
        <v>0.4</v>
      </c>
      <c r="J766" s="471"/>
      <c r="K766" s="471"/>
      <c r="L766" s="2"/>
    </row>
    <row r="767" spans="2:12" x14ac:dyDescent="0.2">
      <c r="B767" s="436" t="s">
        <v>1302</v>
      </c>
      <c r="C767" s="15">
        <f t="shared" si="97"/>
        <v>0.20100000000000001</v>
      </c>
      <c r="D767" s="86">
        <f>C767*C6</f>
        <v>0</v>
      </c>
      <c r="E767" s="86">
        <f>(C767+D767)*E6</f>
        <v>0.1206</v>
      </c>
      <c r="F767" s="584">
        <f t="shared" si="99"/>
        <v>0.3216</v>
      </c>
      <c r="G767" s="585">
        <v>201</v>
      </c>
      <c r="H767" s="11">
        <v>1000</v>
      </c>
      <c r="I767" s="583">
        <f t="shared" si="98"/>
        <v>0.20100000000000001</v>
      </c>
      <c r="J767" s="471"/>
      <c r="K767" s="471"/>
      <c r="L767" s="2"/>
    </row>
    <row r="768" spans="2:12" x14ac:dyDescent="0.2">
      <c r="B768" s="436" t="s">
        <v>1303</v>
      </c>
      <c r="C768" s="15">
        <f t="shared" si="97"/>
        <v>0.20499999999999999</v>
      </c>
      <c r="D768" s="86">
        <f>C768*C6</f>
        <v>0</v>
      </c>
      <c r="E768" s="86">
        <f>(C768+D768)*E6</f>
        <v>0.12299999999999998</v>
      </c>
      <c r="F768" s="584">
        <f t="shared" si="99"/>
        <v>0.32799999999999996</v>
      </c>
      <c r="G768" s="585">
        <v>20.5</v>
      </c>
      <c r="H768" s="11">
        <v>100</v>
      </c>
      <c r="I768" s="583">
        <f t="shared" si="98"/>
        <v>0.20499999999999999</v>
      </c>
      <c r="J768" s="471"/>
      <c r="K768" s="471"/>
      <c r="L768" s="2"/>
    </row>
    <row r="769" spans="2:12" x14ac:dyDescent="0.2">
      <c r="B769" s="436" t="s">
        <v>1304</v>
      </c>
      <c r="C769" s="15">
        <f>I769</f>
        <v>0.3</v>
      </c>
      <c r="D769" s="86">
        <f>C769*C6</f>
        <v>0</v>
      </c>
      <c r="E769" s="86">
        <f>(C769+D769)*E6</f>
        <v>0.18</v>
      </c>
      <c r="F769" s="584">
        <f t="shared" si="99"/>
        <v>0.48</v>
      </c>
      <c r="G769" s="586">
        <v>300</v>
      </c>
      <c r="H769" s="11">
        <v>1000</v>
      </c>
      <c r="I769" s="583">
        <f t="shared" si="98"/>
        <v>0.3</v>
      </c>
      <c r="J769" s="471" t="s">
        <v>1305</v>
      </c>
      <c r="K769" s="471">
        <v>165</v>
      </c>
      <c r="L769" s="2"/>
    </row>
    <row r="770" spans="2:12" x14ac:dyDescent="0.2">
      <c r="B770" s="436" t="s">
        <v>1306</v>
      </c>
      <c r="C770" s="15">
        <f>I770</f>
        <v>0.24100000000000002</v>
      </c>
      <c r="D770" s="86">
        <f>C770*C6</f>
        <v>0</v>
      </c>
      <c r="E770" s="86">
        <f>(C770+D770)*E6</f>
        <v>0.14460000000000001</v>
      </c>
      <c r="F770" s="584">
        <f t="shared" si="99"/>
        <v>0.38560000000000005</v>
      </c>
      <c r="G770" s="586">
        <v>12.05</v>
      </c>
      <c r="H770" s="11">
        <v>50</v>
      </c>
      <c r="I770" s="583">
        <f t="shared" si="98"/>
        <v>0.24100000000000002</v>
      </c>
      <c r="J770" s="471"/>
      <c r="K770" s="471"/>
      <c r="L770" s="2"/>
    </row>
    <row r="771" spans="2:12" x14ac:dyDescent="0.2">
      <c r="B771" s="436" t="s">
        <v>1307</v>
      </c>
      <c r="C771" s="15">
        <f>I771</f>
        <v>0.22839999999999999</v>
      </c>
      <c r="D771" s="86">
        <f>C771*C6</f>
        <v>0</v>
      </c>
      <c r="E771" s="86">
        <f>(C771+D771)*E6</f>
        <v>0.13704</v>
      </c>
      <c r="F771" s="584">
        <f t="shared" si="99"/>
        <v>0.36543999999999999</v>
      </c>
      <c r="G771" s="586">
        <v>11.42</v>
      </c>
      <c r="H771" s="11">
        <v>50</v>
      </c>
      <c r="I771" s="583">
        <f t="shared" si="98"/>
        <v>0.22839999999999999</v>
      </c>
      <c r="J771" s="471"/>
      <c r="K771" s="471"/>
      <c r="L771" s="2"/>
    </row>
    <row r="772" spans="2:12" x14ac:dyDescent="0.2">
      <c r="B772" s="587" t="s">
        <v>1308</v>
      </c>
      <c r="E772" s="86"/>
      <c r="F772" s="584">
        <f t="shared" si="99"/>
        <v>0</v>
      </c>
      <c r="G772" s="534"/>
      <c r="H772" s="588"/>
      <c r="I772" s="589"/>
      <c r="J772" s="471"/>
      <c r="K772" s="189"/>
      <c r="L772" s="2"/>
    </row>
    <row r="773" spans="2:12" x14ac:dyDescent="0.2">
      <c r="B773" s="436" t="s">
        <v>1309</v>
      </c>
      <c r="C773" s="15">
        <f t="shared" si="97"/>
        <v>0.35200000000000004</v>
      </c>
      <c r="D773" s="86">
        <f>C773*C6</f>
        <v>0</v>
      </c>
      <c r="E773" s="86">
        <f>(C773+D773)*E6</f>
        <v>0.21120000000000003</v>
      </c>
      <c r="F773" s="584">
        <f t="shared" si="99"/>
        <v>0.56320000000000003</v>
      </c>
      <c r="G773" s="585">
        <v>35.200000000000003</v>
      </c>
      <c r="H773" s="11">
        <v>100</v>
      </c>
      <c r="I773" s="583">
        <f t="shared" ref="I773:I785" si="100">G773/H773</f>
        <v>0.35200000000000004</v>
      </c>
      <c r="J773" s="471"/>
      <c r="K773" s="189"/>
      <c r="L773" s="2"/>
    </row>
    <row r="774" spans="2:12" x14ac:dyDescent="0.2">
      <c r="B774" s="436" t="s">
        <v>1310</v>
      </c>
      <c r="C774" s="15">
        <f t="shared" si="97"/>
        <v>0.39159999999999995</v>
      </c>
      <c r="D774" s="86">
        <f>C774*C6</f>
        <v>0</v>
      </c>
      <c r="E774" s="86">
        <f>(C774+D774)*E6</f>
        <v>0.23495999999999995</v>
      </c>
      <c r="F774" s="584">
        <f t="shared" si="99"/>
        <v>0.62655999999999989</v>
      </c>
      <c r="G774" s="585">
        <v>39.159999999999997</v>
      </c>
      <c r="H774" s="11">
        <v>100</v>
      </c>
      <c r="I774" s="583">
        <f t="shared" si="100"/>
        <v>0.39159999999999995</v>
      </c>
      <c r="J774" s="471"/>
      <c r="K774" s="189"/>
      <c r="L774" s="2"/>
    </row>
    <row r="775" spans="2:12" x14ac:dyDescent="0.2">
      <c r="B775" s="436" t="s">
        <v>1311</v>
      </c>
      <c r="C775" s="15">
        <f t="shared" si="97"/>
        <v>2.7E-2</v>
      </c>
      <c r="D775" s="86">
        <f>C775*C6</f>
        <v>0</v>
      </c>
      <c r="E775" s="86">
        <f>(C775+D775)*E6</f>
        <v>1.6199999999999999E-2</v>
      </c>
      <c r="F775" s="584">
        <f t="shared" si="99"/>
        <v>4.3200000000000002E-2</v>
      </c>
      <c r="G775" s="585">
        <v>27</v>
      </c>
      <c r="H775" s="11">
        <v>1000</v>
      </c>
      <c r="I775" s="583">
        <f t="shared" si="100"/>
        <v>2.7E-2</v>
      </c>
      <c r="J775" s="471"/>
      <c r="K775" s="471"/>
      <c r="L775" s="2"/>
    </row>
    <row r="776" spans="2:12" x14ac:dyDescent="0.2">
      <c r="B776" s="436" t="s">
        <v>1312</v>
      </c>
      <c r="C776" s="15">
        <f t="shared" si="97"/>
        <v>1</v>
      </c>
      <c r="D776" s="86">
        <f>C776*C6</f>
        <v>0</v>
      </c>
      <c r="E776" s="86">
        <f>(C776+D776)*E6</f>
        <v>0.6</v>
      </c>
      <c r="F776" s="584">
        <f t="shared" si="99"/>
        <v>1.6</v>
      </c>
      <c r="G776" s="585">
        <v>50</v>
      </c>
      <c r="H776" s="11">
        <v>50</v>
      </c>
      <c r="I776" s="583">
        <f t="shared" si="100"/>
        <v>1</v>
      </c>
      <c r="J776" s="471"/>
      <c r="K776" s="471"/>
      <c r="L776" s="2"/>
    </row>
    <row r="777" spans="2:12" x14ac:dyDescent="0.2">
      <c r="B777" s="436" t="s">
        <v>1313</v>
      </c>
      <c r="C777" s="15">
        <f t="shared" si="97"/>
        <v>0.17499999999999999</v>
      </c>
      <c r="D777" s="86">
        <f>C777*C6</f>
        <v>0</v>
      </c>
      <c r="E777" s="86">
        <f>(C777+D777)*E6</f>
        <v>0.105</v>
      </c>
      <c r="F777" s="584">
        <f t="shared" si="99"/>
        <v>0.27999999999999997</v>
      </c>
      <c r="G777" s="585">
        <v>35</v>
      </c>
      <c r="H777" s="11">
        <v>200</v>
      </c>
      <c r="I777" s="583">
        <f t="shared" si="100"/>
        <v>0.17499999999999999</v>
      </c>
      <c r="J777" s="471"/>
      <c r="K777" s="471"/>
      <c r="L777" s="2"/>
    </row>
    <row r="778" spans="2:12" x14ac:dyDescent="0.2">
      <c r="B778" s="436" t="s">
        <v>1314</v>
      </c>
      <c r="C778" s="307">
        <f t="shared" si="97"/>
        <v>280</v>
      </c>
      <c r="D778" s="86">
        <f>C778*C6</f>
        <v>0</v>
      </c>
      <c r="E778" s="86">
        <f>(C778+D778)*E6</f>
        <v>168</v>
      </c>
      <c r="F778" s="584">
        <f t="shared" si="99"/>
        <v>448</v>
      </c>
      <c r="G778" s="104">
        <v>280</v>
      </c>
      <c r="H778" s="11">
        <v>1</v>
      </c>
      <c r="I778" s="583">
        <f t="shared" si="100"/>
        <v>280</v>
      </c>
      <c r="J778" s="471"/>
      <c r="K778" s="471"/>
      <c r="L778" s="2"/>
    </row>
    <row r="779" spans="2:12" x14ac:dyDescent="0.2">
      <c r="B779" s="436" t="s">
        <v>1315</v>
      </c>
      <c r="C779" s="15">
        <f t="shared" si="97"/>
        <v>85.45</v>
      </c>
      <c r="D779" s="86">
        <f>C779*C6</f>
        <v>0</v>
      </c>
      <c r="E779" s="86">
        <f>(C779+D779)*E6</f>
        <v>51.27</v>
      </c>
      <c r="F779" s="582">
        <f t="shared" si="99"/>
        <v>136.72</v>
      </c>
      <c r="G779" s="585">
        <v>85.45</v>
      </c>
      <c r="H779" s="11">
        <v>1</v>
      </c>
      <c r="I779" s="583">
        <f t="shared" si="100"/>
        <v>85.45</v>
      </c>
      <c r="J779" s="189"/>
      <c r="K779" s="189"/>
      <c r="L779" s="2"/>
    </row>
    <row r="780" spans="2:12" x14ac:dyDescent="0.2">
      <c r="B780" s="436" t="s">
        <v>1316</v>
      </c>
      <c r="C780" s="476">
        <v>1.4</v>
      </c>
      <c r="D780" s="86">
        <f>C780*C6</f>
        <v>0</v>
      </c>
      <c r="E780" s="86">
        <f>(C780+D780)*E6</f>
        <v>0.84</v>
      </c>
      <c r="F780" s="584">
        <f t="shared" si="99"/>
        <v>2.2399999999999998</v>
      </c>
      <c r="G780" s="104"/>
      <c r="H780" s="11"/>
      <c r="I780" s="583"/>
      <c r="J780" s="189" t="s">
        <v>1317</v>
      </c>
      <c r="L780" s="2"/>
    </row>
    <row r="781" spans="2:12" x14ac:dyDescent="0.2">
      <c r="B781" s="436" t="s">
        <v>1318</v>
      </c>
      <c r="C781" s="15">
        <f t="shared" si="97"/>
        <v>3</v>
      </c>
      <c r="D781" s="86">
        <f>C781*C6</f>
        <v>0</v>
      </c>
      <c r="E781" s="86">
        <f>(C781+D781)*E6</f>
        <v>1.7999999999999998</v>
      </c>
      <c r="F781" s="584">
        <f t="shared" si="99"/>
        <v>4.8</v>
      </c>
      <c r="G781" s="585">
        <v>3</v>
      </c>
      <c r="H781" s="11">
        <v>1</v>
      </c>
      <c r="I781" s="583">
        <f t="shared" si="100"/>
        <v>3</v>
      </c>
      <c r="J781" s="189"/>
      <c r="K781" s="189"/>
      <c r="L781" s="2"/>
    </row>
    <row r="782" spans="2:12" x14ac:dyDescent="0.2">
      <c r="B782" s="436" t="s">
        <v>1319</v>
      </c>
      <c r="C782" s="15">
        <f t="shared" si="97"/>
        <v>4.3</v>
      </c>
      <c r="D782" s="86">
        <f>C782*C6</f>
        <v>0</v>
      </c>
      <c r="E782" s="86">
        <f>(C782+D782)*E6</f>
        <v>2.5799999999999996</v>
      </c>
      <c r="F782" s="584">
        <f t="shared" si="99"/>
        <v>6.879999999999999</v>
      </c>
      <c r="G782" s="585">
        <v>4.3</v>
      </c>
      <c r="H782" s="11">
        <v>1</v>
      </c>
      <c r="I782" s="583">
        <f t="shared" si="100"/>
        <v>4.3</v>
      </c>
      <c r="J782" s="471"/>
      <c r="K782" s="471"/>
      <c r="L782" s="2"/>
    </row>
    <row r="783" spans="2:12" x14ac:dyDescent="0.2">
      <c r="B783" s="436" t="s">
        <v>1320</v>
      </c>
      <c r="C783" s="590">
        <f t="shared" si="97"/>
        <v>5.3</v>
      </c>
      <c r="D783" s="86">
        <f>C783*C6</f>
        <v>0</v>
      </c>
      <c r="E783" s="86">
        <f>(C783+D783)*E6</f>
        <v>3.1799999999999997</v>
      </c>
      <c r="F783" s="584">
        <f t="shared" si="99"/>
        <v>8.48</v>
      </c>
      <c r="G783" s="591">
        <v>106</v>
      </c>
      <c r="H783" s="11">
        <v>20</v>
      </c>
      <c r="I783" s="583">
        <f t="shared" si="100"/>
        <v>5.3</v>
      </c>
      <c r="J783" s="471"/>
      <c r="K783" s="471"/>
      <c r="L783" s="2"/>
    </row>
    <row r="784" spans="2:12" x14ac:dyDescent="0.2">
      <c r="B784" s="436" t="s">
        <v>1321</v>
      </c>
      <c r="C784" s="15">
        <f>C783/3</f>
        <v>1.7666666666666666</v>
      </c>
      <c r="D784" s="86"/>
      <c r="E784" s="86">
        <f>(C784+D784)*E6</f>
        <v>1.0599999999999998</v>
      </c>
      <c r="F784" s="584">
        <f t="shared" si="99"/>
        <v>2.8266666666666662</v>
      </c>
      <c r="G784" s="585"/>
      <c r="H784" s="11"/>
      <c r="I784" s="583"/>
      <c r="J784" s="471"/>
      <c r="K784" s="471"/>
      <c r="L784" s="2"/>
    </row>
    <row r="785" spans="2:12" x14ac:dyDescent="0.2">
      <c r="B785" s="436" t="s">
        <v>1322</v>
      </c>
      <c r="C785" s="15">
        <f t="shared" si="97"/>
        <v>2.8000000000000001E-2</v>
      </c>
      <c r="D785" s="86">
        <f>C785*C6</f>
        <v>0</v>
      </c>
      <c r="E785" s="86">
        <f>(C785+D785)*E6</f>
        <v>1.6799999999999999E-2</v>
      </c>
      <c r="F785" s="584">
        <f t="shared" si="99"/>
        <v>4.48E-2</v>
      </c>
      <c r="G785" s="585">
        <v>14</v>
      </c>
      <c r="H785" s="11">
        <v>500</v>
      </c>
      <c r="I785" s="583">
        <f t="shared" si="100"/>
        <v>2.8000000000000001E-2</v>
      </c>
      <c r="J785" s="471"/>
      <c r="K785" s="471"/>
      <c r="L785" s="2"/>
    </row>
    <row r="786" spans="2:12" x14ac:dyDescent="0.2">
      <c r="B786" s="450" t="s">
        <v>1323</v>
      </c>
      <c r="C786" s="97">
        <f>I786</f>
        <v>1.4500000000000001E-2</v>
      </c>
      <c r="D786" s="451">
        <f>C786*C6</f>
        <v>0</v>
      </c>
      <c r="E786" s="86">
        <f>(C786+D786)*E6</f>
        <v>8.6999999999999994E-3</v>
      </c>
      <c r="F786" s="584">
        <f t="shared" si="99"/>
        <v>2.3199999999999998E-2</v>
      </c>
      <c r="G786" s="592">
        <v>14.5</v>
      </c>
      <c r="H786" s="437">
        <v>1000</v>
      </c>
      <c r="I786" s="593">
        <f>G786/H786</f>
        <v>1.4500000000000001E-2</v>
      </c>
      <c r="J786" s="471"/>
      <c r="K786" s="471"/>
      <c r="L786" s="2"/>
    </row>
    <row r="787" spans="2:12" x14ac:dyDescent="0.2">
      <c r="B787" s="450" t="s">
        <v>1324</v>
      </c>
      <c r="C787" s="594">
        <v>11.9</v>
      </c>
      <c r="D787" s="15">
        <f>C787*C6</f>
        <v>0</v>
      </c>
      <c r="E787" s="86">
        <f>(C787+D787)*E6</f>
        <v>7.14</v>
      </c>
      <c r="F787" s="16">
        <f>C787+D787+E787</f>
        <v>19.04</v>
      </c>
      <c r="G787" s="2"/>
      <c r="H787" s="189"/>
      <c r="I787" s="471"/>
      <c r="J787" s="471"/>
      <c r="K787" s="471"/>
      <c r="L787" s="2"/>
    </row>
    <row r="788" spans="2:12" x14ac:dyDescent="0.2">
      <c r="B788" s="450"/>
      <c r="C788" s="97"/>
      <c r="D788" s="451"/>
      <c r="E788" s="86"/>
      <c r="F788" s="584"/>
      <c r="G788" s="595"/>
      <c r="H788" s="437"/>
      <c r="I788" s="593"/>
      <c r="J788" s="471"/>
      <c r="K788" s="471"/>
      <c r="L788" s="2"/>
    </row>
    <row r="789" spans="2:12" x14ac:dyDescent="0.2">
      <c r="B789" s="596" t="s">
        <v>1325</v>
      </c>
      <c r="C789" s="97"/>
      <c r="D789" s="451"/>
      <c r="E789" s="86"/>
      <c r="F789" s="584"/>
      <c r="G789" s="595"/>
      <c r="H789" s="437"/>
      <c r="I789" s="593"/>
      <c r="J789" s="471"/>
      <c r="K789" s="471"/>
      <c r="L789" s="2"/>
    </row>
    <row r="790" spans="2:12" x14ac:dyDescent="0.2">
      <c r="B790" s="436" t="s">
        <v>1326</v>
      </c>
      <c r="C790" s="15">
        <v>32.5</v>
      </c>
      <c r="D790" s="451">
        <f>C790*C6</f>
        <v>0</v>
      </c>
      <c r="E790" s="86">
        <f>(C790+D790)*E6</f>
        <v>19.5</v>
      </c>
      <c r="F790" s="582">
        <f t="shared" si="99"/>
        <v>52</v>
      </c>
      <c r="G790" s="585">
        <v>45.2</v>
      </c>
      <c r="H790" s="11">
        <v>1</v>
      </c>
      <c r="I790" s="583">
        <f>G790/H790</f>
        <v>45.2</v>
      </c>
      <c r="J790" s="471"/>
      <c r="K790" s="471"/>
      <c r="L790" s="2"/>
    </row>
    <row r="791" spans="2:12" x14ac:dyDescent="0.2">
      <c r="B791" s="436" t="s">
        <v>1327</v>
      </c>
      <c r="C791" s="15">
        <f>I791</f>
        <v>0</v>
      </c>
      <c r="D791" s="451">
        <f>C791*C6</f>
        <v>0</v>
      </c>
      <c r="E791" s="86">
        <f>(C791+D791)*E6</f>
        <v>0</v>
      </c>
      <c r="F791" s="584">
        <f t="shared" si="99"/>
        <v>0</v>
      </c>
      <c r="G791" s="104">
        <v>0</v>
      </c>
      <c r="H791" s="11">
        <v>1</v>
      </c>
      <c r="I791" s="583">
        <f>G791/H791</f>
        <v>0</v>
      </c>
      <c r="J791" s="471"/>
      <c r="K791" s="471"/>
      <c r="L791" s="2"/>
    </row>
    <row r="792" spans="2:12" x14ac:dyDescent="0.2">
      <c r="B792" s="436" t="s">
        <v>1328</v>
      </c>
      <c r="C792" s="15">
        <f>I792</f>
        <v>4</v>
      </c>
      <c r="D792" s="451">
        <f>C792*C6</f>
        <v>0</v>
      </c>
      <c r="E792" s="86">
        <f>(C792+D792)*E6</f>
        <v>2.4</v>
      </c>
      <c r="F792" s="582">
        <f t="shared" si="99"/>
        <v>6.4</v>
      </c>
      <c r="G792" s="585">
        <v>4</v>
      </c>
      <c r="H792" s="11">
        <v>1</v>
      </c>
      <c r="I792" s="583">
        <f>G792/H792</f>
        <v>4</v>
      </c>
      <c r="J792" s="471"/>
      <c r="K792" s="471"/>
      <c r="L792" s="2"/>
    </row>
    <row r="793" spans="2:12" x14ac:dyDescent="0.2">
      <c r="B793" s="436" t="s">
        <v>1329</v>
      </c>
      <c r="C793" s="15">
        <v>80</v>
      </c>
      <c r="D793" s="451"/>
      <c r="E793" s="86">
        <f>(C793+D793)*E6</f>
        <v>48</v>
      </c>
      <c r="F793" s="582">
        <f>C793+D793+E793</f>
        <v>128</v>
      </c>
      <c r="G793" s="585"/>
      <c r="H793" s="11"/>
      <c r="I793" s="583"/>
      <c r="J793" s="471"/>
      <c r="K793" s="471"/>
      <c r="L793" s="2"/>
    </row>
    <row r="794" spans="2:12" x14ac:dyDescent="0.2">
      <c r="B794" s="436" t="s">
        <v>1330</v>
      </c>
      <c r="C794" s="15">
        <v>5.6</v>
      </c>
      <c r="D794" s="451"/>
      <c r="E794" s="86">
        <f>(C794+D794)*E6</f>
        <v>3.36</v>
      </c>
      <c r="F794" s="582">
        <f>C794+D794+E794</f>
        <v>8.9599999999999991</v>
      </c>
      <c r="G794" s="585"/>
      <c r="H794" s="11"/>
      <c r="I794" s="583"/>
      <c r="J794" s="471"/>
      <c r="K794" s="471"/>
      <c r="L794" s="2"/>
    </row>
    <row r="795" spans="2:12" x14ac:dyDescent="0.2">
      <c r="B795" s="436"/>
      <c r="C795" s="15"/>
      <c r="D795" s="451"/>
      <c r="E795" s="86">
        <f>(C795+D795)*E6</f>
        <v>0</v>
      </c>
      <c r="F795" s="582">
        <f t="shared" si="99"/>
        <v>0</v>
      </c>
      <c r="G795" s="104"/>
      <c r="H795" s="11"/>
      <c r="I795" s="583"/>
      <c r="J795" s="471"/>
      <c r="K795" s="471"/>
      <c r="L795" s="2"/>
    </row>
    <row r="796" spans="2:12" x14ac:dyDescent="0.2">
      <c r="B796" s="436" t="s">
        <v>1331</v>
      </c>
      <c r="C796" s="15">
        <f>I796</f>
        <v>21.333333333333332</v>
      </c>
      <c r="D796" s="451">
        <f>C796*C6</f>
        <v>0</v>
      </c>
      <c r="E796" s="86">
        <f>(C796+D796)*E6</f>
        <v>12.799999999999999</v>
      </c>
      <c r="F796" s="582">
        <f t="shared" si="99"/>
        <v>34.133333333333333</v>
      </c>
      <c r="G796" s="585">
        <v>64</v>
      </c>
      <c r="H796" s="11">
        <v>3</v>
      </c>
      <c r="I796" s="583">
        <f>G796/H796</f>
        <v>21.333333333333332</v>
      </c>
      <c r="J796" s="471"/>
      <c r="K796" s="471"/>
      <c r="L796" s="2"/>
    </row>
    <row r="797" spans="2:12" x14ac:dyDescent="0.2">
      <c r="B797" s="428" t="s">
        <v>183</v>
      </c>
      <c r="C797" s="97"/>
      <c r="D797" s="451"/>
      <c r="E797" s="86">
        <f>(C797+D797)*E6</f>
        <v>0</v>
      </c>
      <c r="F797" s="582"/>
      <c r="G797" s="595"/>
      <c r="H797" s="437"/>
      <c r="I797" s="593"/>
      <c r="J797" s="471"/>
      <c r="K797" s="471"/>
      <c r="L797" s="2"/>
    </row>
    <row r="798" spans="2:12" x14ac:dyDescent="0.2">
      <c r="B798" s="84"/>
      <c r="C798" s="97"/>
      <c r="D798" s="451"/>
      <c r="E798" s="86">
        <f>(C798+D798)*E6</f>
        <v>0</v>
      </c>
      <c r="F798" s="584"/>
      <c r="G798" s="595"/>
      <c r="H798" s="437"/>
      <c r="I798" s="593"/>
      <c r="J798" s="471"/>
      <c r="K798" s="471"/>
      <c r="L798" s="2"/>
    </row>
    <row r="799" spans="2:12" x14ac:dyDescent="0.2">
      <c r="B799" s="39" t="s">
        <v>1332</v>
      </c>
      <c r="C799" s="594">
        <v>111.75</v>
      </c>
      <c r="D799" s="451">
        <f>C799*C6</f>
        <v>0</v>
      </c>
      <c r="E799" s="86">
        <f>(C799+D799)*E6</f>
        <v>67.05</v>
      </c>
      <c r="F799" s="584">
        <f t="shared" si="99"/>
        <v>178.8</v>
      </c>
      <c r="G799" s="595"/>
      <c r="H799" s="437"/>
      <c r="I799" s="593"/>
      <c r="J799" s="471"/>
      <c r="K799" s="471"/>
      <c r="L799" s="2"/>
    </row>
    <row r="800" spans="2:12" x14ac:dyDescent="0.2">
      <c r="B800" s="39" t="s">
        <v>1333</v>
      </c>
      <c r="C800" s="594">
        <v>155.63</v>
      </c>
      <c r="D800" s="451">
        <f>C800*C6</f>
        <v>0</v>
      </c>
      <c r="E800" s="86">
        <f>(C800+D800)*E6</f>
        <v>93.378</v>
      </c>
      <c r="F800" s="584">
        <f t="shared" si="99"/>
        <v>249.00799999999998</v>
      </c>
      <c r="G800" s="595"/>
      <c r="H800" s="437"/>
      <c r="I800" s="593"/>
      <c r="J800" s="471"/>
      <c r="K800" s="471"/>
      <c r="L800" s="2"/>
    </row>
    <row r="801" spans="2:12" x14ac:dyDescent="0.2">
      <c r="B801" s="39" t="s">
        <v>1334</v>
      </c>
      <c r="C801" s="594">
        <v>137.63</v>
      </c>
      <c r="D801" s="451">
        <f>C801*C6</f>
        <v>0</v>
      </c>
      <c r="E801" s="86">
        <f>(C801+D801)*E6</f>
        <v>82.577999999999989</v>
      </c>
      <c r="F801" s="584">
        <f t="shared" si="99"/>
        <v>220.20799999999997</v>
      </c>
      <c r="G801" s="595"/>
      <c r="H801" s="437"/>
      <c r="I801" s="593"/>
      <c r="J801" s="471"/>
      <c r="K801" s="471"/>
      <c r="L801" s="2"/>
    </row>
    <row r="802" spans="2:12" x14ac:dyDescent="0.2">
      <c r="B802" s="450" t="s">
        <v>1335</v>
      </c>
      <c r="C802" s="97">
        <v>1.62</v>
      </c>
      <c r="D802" s="451"/>
      <c r="E802" s="451">
        <f>C802*E6</f>
        <v>0.97199999999999998</v>
      </c>
      <c r="F802" s="582">
        <f>C802+E802</f>
        <v>2.5920000000000001</v>
      </c>
      <c r="G802" s="595"/>
      <c r="H802" s="437"/>
      <c r="I802" s="593"/>
      <c r="J802" s="471"/>
      <c r="K802" s="471"/>
      <c r="L802" s="2"/>
    </row>
    <row r="803" spans="2:12" ht="13.5" thickBot="1" x14ac:dyDescent="0.25">
      <c r="B803" s="456" t="s">
        <v>1336</v>
      </c>
      <c r="C803" s="457">
        <v>132</v>
      </c>
      <c r="D803" s="457"/>
      <c r="E803" s="458">
        <f>C803*E6</f>
        <v>79.2</v>
      </c>
      <c r="F803" s="597">
        <f>C803+E803</f>
        <v>211.2</v>
      </c>
      <c r="G803" s="598"/>
      <c r="H803" s="599"/>
      <c r="I803" s="600"/>
      <c r="J803" s="471"/>
      <c r="K803" s="471"/>
      <c r="L803" s="2"/>
    </row>
    <row r="804" spans="2:12" ht="13.5" thickTop="1" x14ac:dyDescent="0.2">
      <c r="C804" s="15"/>
      <c r="D804" s="15">
        <f>C804*10%</f>
        <v>0</v>
      </c>
      <c r="E804" s="86"/>
      <c r="F804" s="16">
        <f>C804+D804</f>
        <v>0</v>
      </c>
      <c r="G804" s="2"/>
      <c r="H804" s="189"/>
      <c r="I804" s="471"/>
      <c r="J804" s="471"/>
      <c r="K804" s="471"/>
      <c r="L804" s="2"/>
    </row>
    <row r="805" spans="2:12" x14ac:dyDescent="0.2">
      <c r="B805" s="447" t="s">
        <v>356</v>
      </c>
      <c r="C805" s="15"/>
      <c r="D805" s="15"/>
      <c r="E805" s="86"/>
      <c r="F805" s="16"/>
      <c r="G805" s="2"/>
      <c r="H805" s="189"/>
      <c r="I805" s="471"/>
      <c r="J805" s="471"/>
      <c r="K805" s="471"/>
      <c r="L805" s="2"/>
    </row>
    <row r="806" spans="2:12" x14ac:dyDescent="0.2">
      <c r="B806" s="436" t="s">
        <v>1337</v>
      </c>
      <c r="C806" s="15">
        <v>120</v>
      </c>
      <c r="D806" s="15">
        <f>C806*C6</f>
        <v>0</v>
      </c>
      <c r="E806" s="86">
        <f>(C806+D806)*E6</f>
        <v>72</v>
      </c>
      <c r="F806" s="16">
        <f>C806+D806+E806</f>
        <v>192</v>
      </c>
      <c r="G806" s="2"/>
      <c r="H806" s="189"/>
      <c r="I806" s="471"/>
      <c r="J806" s="471"/>
      <c r="K806" s="471"/>
      <c r="L806" s="2"/>
    </row>
    <row r="807" spans="2:12" x14ac:dyDescent="0.2">
      <c r="B807" s="436" t="s">
        <v>1338</v>
      </c>
      <c r="C807" s="15">
        <v>175</v>
      </c>
      <c r="D807" s="15"/>
      <c r="E807" s="86">
        <f>(C807+D807)*E6</f>
        <v>105</v>
      </c>
      <c r="F807" s="16">
        <f>C807+E807</f>
        <v>280</v>
      </c>
      <c r="G807" s="2"/>
      <c r="H807" s="189"/>
      <c r="I807" s="471"/>
      <c r="J807" s="471"/>
      <c r="K807" s="471"/>
      <c r="L807" s="2"/>
    </row>
    <row r="808" spans="2:12" x14ac:dyDescent="0.2">
      <c r="B808" s="436" t="s">
        <v>1339</v>
      </c>
      <c r="C808" s="15">
        <v>5</v>
      </c>
      <c r="D808" s="15"/>
      <c r="E808" s="86">
        <f>(C808+D808)*E6</f>
        <v>3</v>
      </c>
      <c r="F808" s="16">
        <f>C808+E808</f>
        <v>8</v>
      </c>
      <c r="G808" s="2"/>
      <c r="H808" s="189"/>
      <c r="I808" s="471"/>
      <c r="J808" s="471"/>
      <c r="K808" s="471"/>
      <c r="L808" s="2"/>
    </row>
    <row r="809" spans="2:12" x14ac:dyDescent="0.2">
      <c r="B809" s="436" t="s">
        <v>1340</v>
      </c>
      <c r="C809" s="469">
        <v>90</v>
      </c>
      <c r="D809" s="15"/>
      <c r="E809" s="86">
        <f>(C809+D809)*E6</f>
        <v>54</v>
      </c>
      <c r="F809" s="16">
        <f>C809+E809</f>
        <v>144</v>
      </c>
      <c r="G809" s="2" t="s">
        <v>1341</v>
      </c>
      <c r="H809" s="189"/>
      <c r="I809" s="471"/>
      <c r="J809" s="471"/>
      <c r="K809" s="471"/>
      <c r="L809" s="2"/>
    </row>
    <row r="810" spans="2:12" x14ac:dyDescent="0.2">
      <c r="B810" s="436" t="s">
        <v>92</v>
      </c>
      <c r="C810" s="469">
        <v>250</v>
      </c>
      <c r="D810" s="15">
        <f>C810*C6</f>
        <v>0</v>
      </c>
      <c r="E810" s="86">
        <f>(C810+D810)*E6</f>
        <v>150</v>
      </c>
      <c r="F810" s="16">
        <f>C810+D810+E810</f>
        <v>400</v>
      </c>
      <c r="G810" s="2" t="s">
        <v>1342</v>
      </c>
      <c r="H810" s="189"/>
      <c r="I810" s="471"/>
      <c r="J810" s="471"/>
      <c r="K810" s="471"/>
      <c r="L810" s="2"/>
    </row>
    <row r="811" spans="2:12" x14ac:dyDescent="0.2">
      <c r="B811" s="436" t="s">
        <v>1343</v>
      </c>
      <c r="C811" s="15">
        <v>50</v>
      </c>
      <c r="D811" s="15"/>
      <c r="E811" s="86">
        <f>(C811+D811)*E6</f>
        <v>30</v>
      </c>
      <c r="F811" s="16">
        <f>C811+D811+E811</f>
        <v>80</v>
      </c>
      <c r="G811" s="2"/>
      <c r="H811" s="189"/>
      <c r="I811" s="471"/>
      <c r="J811" s="471"/>
      <c r="K811" s="471"/>
      <c r="L811" s="2"/>
    </row>
    <row r="812" spans="2:12" x14ac:dyDescent="0.2">
      <c r="B812" s="436" t="s">
        <v>1344</v>
      </c>
      <c r="C812" s="15">
        <v>35</v>
      </c>
      <c r="D812" s="15">
        <f>C812*C8</f>
        <v>0</v>
      </c>
      <c r="E812" s="86">
        <f>(C812+D812)*E6</f>
        <v>21</v>
      </c>
      <c r="F812" s="16">
        <f>C812+D812+E812</f>
        <v>56</v>
      </c>
      <c r="G812" s="2"/>
      <c r="H812" s="189"/>
      <c r="I812" s="471"/>
      <c r="J812" s="471"/>
      <c r="K812" s="471"/>
      <c r="L812" s="2"/>
    </row>
    <row r="813" spans="2:12" x14ac:dyDescent="0.2">
      <c r="B813" s="436" t="s">
        <v>1345</v>
      </c>
      <c r="C813" s="15">
        <v>25</v>
      </c>
      <c r="D813" s="15"/>
      <c r="E813" s="86">
        <f>(C813+D813)*E6</f>
        <v>15</v>
      </c>
      <c r="F813" s="16">
        <f>C813+D813+E813</f>
        <v>40</v>
      </c>
      <c r="G813" s="2"/>
      <c r="H813" s="189"/>
      <c r="I813" s="471"/>
      <c r="J813" s="471"/>
      <c r="K813" s="471"/>
      <c r="L813" s="2"/>
    </row>
    <row r="814" spans="2:12" x14ac:dyDescent="0.2">
      <c r="B814" s="436" t="s">
        <v>1346</v>
      </c>
      <c r="C814" s="15">
        <v>50</v>
      </c>
      <c r="D814" s="15">
        <f>C814*C6</f>
        <v>0</v>
      </c>
      <c r="E814" s="86">
        <f>(C814+D814)*E6</f>
        <v>30</v>
      </c>
      <c r="F814" s="16">
        <f t="shared" ref="F814:F824" si="101">C814+D814+E814</f>
        <v>80</v>
      </c>
      <c r="G814" s="2"/>
      <c r="H814" s="189"/>
      <c r="I814" s="471"/>
      <c r="J814" s="471"/>
      <c r="K814" s="471"/>
      <c r="L814" s="2"/>
    </row>
    <row r="815" spans="2:12" x14ac:dyDescent="0.2">
      <c r="B815" s="447" t="s">
        <v>1347</v>
      </c>
      <c r="C815" s="15"/>
      <c r="D815" s="15"/>
      <c r="E815" s="86"/>
      <c r="F815" s="16"/>
      <c r="G815" s="2"/>
      <c r="H815" s="189"/>
      <c r="I815" s="471"/>
      <c r="J815" s="471"/>
      <c r="K815" s="471"/>
      <c r="L815" s="2"/>
    </row>
    <row r="816" spans="2:12" x14ac:dyDescent="0.2">
      <c r="B816" s="436" t="s">
        <v>1348</v>
      </c>
      <c r="C816" s="573">
        <v>12</v>
      </c>
      <c r="D816" s="15">
        <f>C816*C6</f>
        <v>0</v>
      </c>
      <c r="E816" s="86">
        <f>(C816+D816)*E6</f>
        <v>7.1999999999999993</v>
      </c>
      <c r="F816" s="16">
        <f t="shared" si="101"/>
        <v>19.2</v>
      </c>
      <c r="G816" s="2"/>
      <c r="H816" s="189"/>
      <c r="I816" s="471"/>
      <c r="J816" s="471"/>
      <c r="K816" s="471"/>
      <c r="L816" s="2"/>
    </row>
    <row r="817" spans="2:12" x14ac:dyDescent="0.2">
      <c r="B817" s="436" t="s">
        <v>1349</v>
      </c>
      <c r="C817" s="573">
        <v>14</v>
      </c>
      <c r="D817" s="15">
        <f>C817*C6</f>
        <v>0</v>
      </c>
      <c r="E817" s="86">
        <f>(C817+D817)*E6</f>
        <v>8.4</v>
      </c>
      <c r="F817" s="16">
        <f t="shared" si="101"/>
        <v>22.4</v>
      </c>
      <c r="G817" s="2"/>
      <c r="H817" s="189"/>
      <c r="I817" s="471"/>
      <c r="J817" s="471"/>
      <c r="K817" s="471"/>
      <c r="L817" s="2"/>
    </row>
    <row r="818" spans="2:12" x14ac:dyDescent="0.2">
      <c r="B818" s="450" t="s">
        <v>1350</v>
      </c>
      <c r="C818" s="594">
        <v>0.93</v>
      </c>
      <c r="D818" s="97">
        <f>C818*C6</f>
        <v>0</v>
      </c>
      <c r="E818" s="86">
        <f>(C818+D818)*E6</f>
        <v>0.55800000000000005</v>
      </c>
      <c r="F818" s="16">
        <f t="shared" si="101"/>
        <v>1.488</v>
      </c>
      <c r="G818" s="2"/>
      <c r="H818" s="189"/>
      <c r="I818" s="471"/>
      <c r="J818" s="471"/>
      <c r="K818" s="471"/>
      <c r="L818" s="2"/>
    </row>
    <row r="819" spans="2:12" x14ac:dyDescent="0.2">
      <c r="B819" s="450"/>
      <c r="C819" s="97"/>
      <c r="D819" s="97"/>
      <c r="E819" s="451"/>
      <c r="F819" s="16"/>
      <c r="G819" s="2"/>
      <c r="H819" s="189"/>
      <c r="I819" s="471"/>
      <c r="J819" s="471"/>
      <c r="K819" s="471"/>
      <c r="L819" s="2"/>
    </row>
    <row r="820" spans="2:12" x14ac:dyDescent="0.2">
      <c r="B820" s="447" t="s">
        <v>1351</v>
      </c>
      <c r="C820" s="97"/>
      <c r="D820" s="97"/>
      <c r="E820" s="451"/>
      <c r="F820" s="16"/>
      <c r="G820" s="2"/>
      <c r="H820" s="189"/>
      <c r="I820" s="471"/>
      <c r="J820" s="471"/>
      <c r="K820" s="471"/>
      <c r="L820" s="2"/>
    </row>
    <row r="821" spans="2:12" x14ac:dyDescent="0.2">
      <c r="B821" s="447"/>
      <c r="C821" s="97"/>
      <c r="D821" s="97"/>
      <c r="E821" s="451"/>
      <c r="F821" s="16"/>
      <c r="G821" s="2"/>
      <c r="H821" s="189"/>
      <c r="I821" s="471"/>
      <c r="J821" s="471"/>
      <c r="K821" s="471"/>
      <c r="L821" s="2"/>
    </row>
    <row r="822" spans="2:12" x14ac:dyDescent="0.2">
      <c r="B822" s="436" t="s">
        <v>1352</v>
      </c>
      <c r="C822" s="601">
        <v>130</v>
      </c>
      <c r="D822" s="97">
        <f>C822*C6</f>
        <v>0</v>
      </c>
      <c r="E822" s="86">
        <f>(C822+D822)*E6</f>
        <v>78</v>
      </c>
      <c r="F822" s="16">
        <f t="shared" si="101"/>
        <v>208</v>
      </c>
      <c r="G822" s="2"/>
      <c r="H822" s="189"/>
      <c r="I822" s="471"/>
      <c r="J822" s="471"/>
      <c r="K822" s="471"/>
      <c r="L822" s="2"/>
    </row>
    <row r="823" spans="2:12" x14ac:dyDescent="0.2">
      <c r="B823" s="436" t="s">
        <v>1353</v>
      </c>
      <c r="C823" s="601">
        <v>110</v>
      </c>
      <c r="D823" s="97">
        <f>C823*C6</f>
        <v>0</v>
      </c>
      <c r="E823" s="86">
        <f>(C823+D823)*E6</f>
        <v>66</v>
      </c>
      <c r="F823" s="16">
        <f t="shared" si="101"/>
        <v>176</v>
      </c>
      <c r="G823" s="2"/>
      <c r="H823" s="189"/>
      <c r="I823" s="471"/>
      <c r="J823" s="471"/>
      <c r="K823" s="471"/>
      <c r="L823" s="2"/>
    </row>
    <row r="824" spans="2:12" x14ac:dyDescent="0.2">
      <c r="B824" s="436" t="s">
        <v>1354</v>
      </c>
      <c r="C824" s="307">
        <v>80</v>
      </c>
      <c r="D824" s="15">
        <f>C824*C6</f>
        <v>0</v>
      </c>
      <c r="E824" s="15">
        <f>(C824+D824)*E6</f>
        <v>48</v>
      </c>
      <c r="F824" s="16">
        <f t="shared" si="101"/>
        <v>128</v>
      </c>
      <c r="G824" s="2"/>
      <c r="H824" s="189"/>
      <c r="I824" s="471"/>
      <c r="J824" s="471"/>
      <c r="K824" s="471"/>
      <c r="L824" s="2"/>
    </row>
    <row r="825" spans="2:12" x14ac:dyDescent="0.2">
      <c r="B825" s="14"/>
      <c r="C825" s="432"/>
      <c r="D825" s="432"/>
      <c r="E825" s="432"/>
      <c r="F825" s="434"/>
      <c r="G825" s="2"/>
      <c r="H825" s="189"/>
      <c r="I825" s="471"/>
      <c r="J825" s="471"/>
      <c r="K825" s="471"/>
      <c r="L825" s="2"/>
    </row>
    <row r="826" spans="2:12" x14ac:dyDescent="0.2">
      <c r="B826" s="14"/>
      <c r="C826" s="432"/>
      <c r="D826" s="432"/>
      <c r="E826" s="432"/>
      <c r="F826" s="434"/>
    </row>
    <row r="827" spans="2:12" x14ac:dyDescent="0.2">
      <c r="B827" s="436"/>
      <c r="C827" s="15"/>
      <c r="D827" s="15"/>
      <c r="E827" s="15"/>
      <c r="F827" s="16"/>
      <c r="G827" s="2"/>
      <c r="H827" s="189"/>
      <c r="I827" s="471"/>
      <c r="J827" s="471"/>
      <c r="K827" s="471"/>
      <c r="L827" s="2"/>
    </row>
    <row r="828" spans="2:12" x14ac:dyDescent="0.2">
      <c r="B828" s="148"/>
      <c r="C828" s="10"/>
      <c r="D828" s="10" t="s">
        <v>684</v>
      </c>
      <c r="E828" s="602"/>
      <c r="F828" s="513"/>
      <c r="G828" s="2"/>
      <c r="H828" s="189"/>
      <c r="I828" s="471"/>
      <c r="J828" s="471"/>
      <c r="K828" s="471"/>
      <c r="L828" s="2"/>
    </row>
    <row r="829" spans="2:12" x14ac:dyDescent="0.2">
      <c r="B829" s="603" t="s">
        <v>1355</v>
      </c>
      <c r="C829" s="10"/>
      <c r="D829" s="466">
        <v>0</v>
      </c>
      <c r="E829" s="602"/>
      <c r="F829" s="513"/>
      <c r="G829" s="2"/>
      <c r="H829" s="189"/>
      <c r="I829" s="471"/>
      <c r="J829" s="471"/>
      <c r="K829" s="471"/>
      <c r="L829" s="2"/>
    </row>
    <row r="830" spans="2:12" x14ac:dyDescent="0.2">
      <c r="B830" s="436" t="s">
        <v>679</v>
      </c>
      <c r="C830" s="476">
        <v>180</v>
      </c>
      <c r="D830" s="15">
        <f>C830*D829</f>
        <v>0</v>
      </c>
      <c r="E830" s="86">
        <f>(C830+D830)*E6</f>
        <v>108</v>
      </c>
      <c r="F830" s="16">
        <f>C830+D830+E830</f>
        <v>288</v>
      </c>
      <c r="G830" s="2" t="s">
        <v>1356</v>
      </c>
      <c r="H830" s="189"/>
      <c r="I830" s="471"/>
      <c r="J830" s="471"/>
      <c r="K830" s="471"/>
      <c r="L830" s="2"/>
    </row>
    <row r="831" spans="2:12" x14ac:dyDescent="0.2">
      <c r="B831" s="436" t="s">
        <v>1357</v>
      </c>
      <c r="C831" s="476">
        <v>180</v>
      </c>
      <c r="D831" s="15">
        <f>C831*D829</f>
        <v>0</v>
      </c>
      <c r="E831" s="86">
        <f>(C831+D831)*E6</f>
        <v>108</v>
      </c>
      <c r="F831" s="16">
        <f>C831+D831+E831</f>
        <v>288</v>
      </c>
      <c r="G831" s="2"/>
      <c r="H831" s="189"/>
      <c r="I831" s="471"/>
      <c r="J831" s="471"/>
      <c r="K831" s="471"/>
      <c r="L831" s="2"/>
    </row>
    <row r="832" spans="2:12" x14ac:dyDescent="0.2">
      <c r="B832" s="436" t="s">
        <v>1358</v>
      </c>
      <c r="C832" s="476">
        <v>400</v>
      </c>
      <c r="D832" s="15">
        <f>C832*D829</f>
        <v>0</v>
      </c>
      <c r="E832" s="86">
        <f>(C832+D832)*E6</f>
        <v>240</v>
      </c>
      <c r="F832" s="16">
        <f>C832+D832+E832</f>
        <v>640</v>
      </c>
      <c r="G832" s="2"/>
      <c r="H832" s="189"/>
      <c r="I832" s="471"/>
      <c r="J832" s="471"/>
      <c r="K832" s="471"/>
      <c r="L832" s="2"/>
    </row>
    <row r="833" spans="2:12" x14ac:dyDescent="0.2">
      <c r="B833" s="436"/>
      <c r="C833" s="15"/>
      <c r="D833" s="15">
        <f>C833*10%</f>
        <v>0</v>
      </c>
      <c r="E833" s="86"/>
      <c r="F833" s="16">
        <f>C833+D833</f>
        <v>0</v>
      </c>
      <c r="G833" s="2"/>
      <c r="H833" s="189"/>
      <c r="I833" s="471"/>
      <c r="J833" s="471"/>
      <c r="K833" s="471"/>
      <c r="L833" s="2"/>
    </row>
    <row r="834" spans="2:12" x14ac:dyDescent="0.2">
      <c r="B834" s="447" t="s">
        <v>1359</v>
      </c>
      <c r="C834" s="15"/>
      <c r="D834" s="15"/>
      <c r="E834" s="86"/>
      <c r="F834" s="16"/>
      <c r="G834" s="2"/>
      <c r="H834" s="189"/>
      <c r="I834" s="471"/>
      <c r="J834" s="471"/>
      <c r="K834" s="471"/>
      <c r="L834" s="2"/>
    </row>
    <row r="835" spans="2:12" x14ac:dyDescent="0.2">
      <c r="B835" s="436"/>
      <c r="C835" s="15"/>
      <c r="D835" s="15"/>
      <c r="E835" s="86"/>
      <c r="F835" s="16"/>
      <c r="G835" s="2"/>
      <c r="H835" s="189"/>
      <c r="I835" s="471"/>
      <c r="J835" s="471"/>
      <c r="K835" s="471"/>
      <c r="L835" s="2"/>
    </row>
    <row r="836" spans="2:12" x14ac:dyDescent="0.2">
      <c r="B836" s="436" t="s">
        <v>1360</v>
      </c>
      <c r="C836" s="573">
        <v>8.15</v>
      </c>
      <c r="D836" s="15">
        <f>C836*C6</f>
        <v>0</v>
      </c>
      <c r="E836" s="86">
        <f>(C836+D836)*E6</f>
        <v>4.8899999999999997</v>
      </c>
      <c r="F836" s="16">
        <f t="shared" ref="F836:F841" si="102">C836+D836+E836</f>
        <v>13.04</v>
      </c>
      <c r="G836" s="2"/>
      <c r="H836" s="189"/>
      <c r="I836" s="471"/>
      <c r="J836" s="471"/>
      <c r="K836" s="471"/>
      <c r="L836" s="2"/>
    </row>
    <row r="837" spans="2:12" x14ac:dyDescent="0.2">
      <c r="B837" s="436" t="s">
        <v>1361</v>
      </c>
      <c r="C837" s="573">
        <v>5.79</v>
      </c>
      <c r="D837" s="15">
        <f>C837*C6</f>
        <v>0</v>
      </c>
      <c r="E837" s="86">
        <f>(C837+D837)*E6</f>
        <v>3.4739999999999998</v>
      </c>
      <c r="F837" s="16">
        <f t="shared" si="102"/>
        <v>9.2639999999999993</v>
      </c>
      <c r="G837" s="2"/>
      <c r="H837" s="189"/>
      <c r="I837" s="471"/>
      <c r="J837" s="471"/>
      <c r="K837" s="471"/>
      <c r="L837" s="2"/>
    </row>
    <row r="838" spans="2:12" x14ac:dyDescent="0.2">
      <c r="B838" s="436" t="s">
        <v>1362</v>
      </c>
      <c r="C838" s="573">
        <v>5.65</v>
      </c>
      <c r="D838" s="15">
        <f>C838*C6</f>
        <v>0</v>
      </c>
      <c r="E838" s="86">
        <f>(C838+D838)*E6</f>
        <v>3.39</v>
      </c>
      <c r="F838" s="16">
        <f t="shared" si="102"/>
        <v>9.0400000000000009</v>
      </c>
      <c r="G838" s="2"/>
      <c r="H838" s="189"/>
      <c r="I838" s="471"/>
      <c r="J838" s="471"/>
      <c r="K838" s="471"/>
      <c r="L838" s="2"/>
    </row>
    <row r="839" spans="2:12" x14ac:dyDescent="0.2">
      <c r="B839" s="436" t="s">
        <v>1363</v>
      </c>
      <c r="C839" s="573">
        <v>5.65</v>
      </c>
      <c r="D839" s="15">
        <f>C839*C6</f>
        <v>0</v>
      </c>
      <c r="E839" s="86">
        <f>(C839+D839)*E6</f>
        <v>3.39</v>
      </c>
      <c r="F839" s="16">
        <f t="shared" si="102"/>
        <v>9.0400000000000009</v>
      </c>
      <c r="G839" s="2"/>
      <c r="H839" s="189"/>
      <c r="I839" s="471"/>
      <c r="J839" s="471"/>
      <c r="K839" s="471"/>
      <c r="L839" s="2"/>
    </row>
    <row r="840" spans="2:12" x14ac:dyDescent="0.2">
      <c r="B840" s="436" t="s">
        <v>1364</v>
      </c>
      <c r="C840" s="573">
        <v>9</v>
      </c>
      <c r="D840" s="15">
        <f>C840*C6</f>
        <v>0</v>
      </c>
      <c r="E840" s="86">
        <f>(C840+D840)*E6</f>
        <v>5.3999999999999995</v>
      </c>
      <c r="F840" s="16">
        <f t="shared" si="102"/>
        <v>14.399999999999999</v>
      </c>
      <c r="G840" s="2"/>
      <c r="H840" s="189"/>
      <c r="I840" s="471"/>
      <c r="J840" s="471"/>
      <c r="K840" s="471"/>
      <c r="L840" s="2"/>
    </row>
    <row r="841" spans="2:12" x14ac:dyDescent="0.2">
      <c r="B841" s="436" t="s">
        <v>1365</v>
      </c>
      <c r="C841" s="573">
        <v>5.4</v>
      </c>
      <c r="D841" s="15">
        <f>C841*C6</f>
        <v>0</v>
      </c>
      <c r="E841" s="86">
        <f>(C841+D841)*E6</f>
        <v>3.24</v>
      </c>
      <c r="F841" s="16">
        <f t="shared" si="102"/>
        <v>8.64</v>
      </c>
      <c r="G841" s="2"/>
      <c r="H841" s="189"/>
      <c r="I841" s="471"/>
      <c r="J841" s="471"/>
      <c r="K841" s="471"/>
      <c r="L841" s="2"/>
    </row>
    <row r="842" spans="2:12" x14ac:dyDescent="0.2">
      <c r="B842" s="436"/>
      <c r="C842" s="15"/>
      <c r="D842" s="15"/>
      <c r="E842" s="86"/>
      <c r="F842" s="16"/>
      <c r="G842" s="2"/>
      <c r="H842" s="189"/>
      <c r="I842" s="471"/>
      <c r="J842" s="471"/>
      <c r="K842" s="471"/>
      <c r="L842" s="2"/>
    </row>
    <row r="843" spans="2:12" x14ac:dyDescent="0.2">
      <c r="B843" s="436"/>
      <c r="C843" s="15"/>
      <c r="D843" s="15"/>
      <c r="E843" s="86"/>
      <c r="F843" s="16"/>
      <c r="G843" s="2"/>
      <c r="H843" s="189"/>
      <c r="I843" s="471"/>
      <c r="J843" s="471"/>
      <c r="K843" s="471"/>
      <c r="L843" s="2"/>
    </row>
    <row r="844" spans="2:12" x14ac:dyDescent="0.2">
      <c r="B844" s="447" t="s">
        <v>1366</v>
      </c>
      <c r="C844" s="15"/>
      <c r="D844" s="15"/>
      <c r="E844" s="86"/>
      <c r="F844" s="16"/>
      <c r="G844" s="2"/>
      <c r="H844" s="189"/>
      <c r="I844" s="471"/>
      <c r="J844" s="471"/>
      <c r="K844" s="471"/>
      <c r="L844" s="2"/>
    </row>
    <row r="845" spans="2:12" x14ac:dyDescent="0.2">
      <c r="B845" s="436" t="s">
        <v>1367</v>
      </c>
      <c r="C845" s="573">
        <v>2.23</v>
      </c>
      <c r="D845" s="15">
        <f>C845*C6</f>
        <v>0</v>
      </c>
      <c r="E845" s="86">
        <f>(C845+D845)*E6</f>
        <v>1.3379999999999999</v>
      </c>
      <c r="F845" s="16">
        <f>C845+D845+E845</f>
        <v>3.5679999999999996</v>
      </c>
      <c r="G845" s="2"/>
      <c r="H845" s="189"/>
      <c r="I845" s="471"/>
      <c r="J845" s="471"/>
      <c r="K845" s="471"/>
      <c r="L845" s="2"/>
    </row>
    <row r="846" spans="2:12" x14ac:dyDescent="0.2">
      <c r="B846" s="604" t="s">
        <v>1368</v>
      </c>
      <c r="C846" s="573">
        <v>1.23</v>
      </c>
      <c r="D846" s="15">
        <f>C846*C6</f>
        <v>0</v>
      </c>
      <c r="E846" s="86">
        <f>(C846+D846)*E6</f>
        <v>0.73799999999999999</v>
      </c>
      <c r="F846" s="16">
        <f>C846+D846+E846</f>
        <v>1.968</v>
      </c>
      <c r="G846" s="2"/>
      <c r="H846" s="189"/>
      <c r="I846" s="471"/>
      <c r="J846" s="471"/>
      <c r="K846" s="471"/>
      <c r="L846" s="2"/>
    </row>
    <row r="847" spans="2:12" x14ac:dyDescent="0.2">
      <c r="B847" s="604"/>
      <c r="C847" s="15"/>
      <c r="D847" s="15"/>
      <c r="E847" s="86"/>
      <c r="F847" s="16"/>
      <c r="G847" s="2"/>
      <c r="H847" s="189"/>
      <c r="I847" s="471"/>
      <c r="J847" s="471"/>
      <c r="K847" s="471"/>
      <c r="L847" s="2"/>
    </row>
    <row r="848" spans="2:12" x14ac:dyDescent="0.2">
      <c r="B848" s="428" t="s">
        <v>1369</v>
      </c>
      <c r="C848" s="10"/>
      <c r="D848" s="10"/>
      <c r="E848" s="602"/>
      <c r="F848" s="513"/>
      <c r="G848" s="2"/>
      <c r="H848" s="189"/>
      <c r="I848" s="471"/>
      <c r="J848" s="471"/>
      <c r="K848" s="471"/>
      <c r="L848" s="2"/>
    </row>
    <row r="849" spans="2:12" x14ac:dyDescent="0.2">
      <c r="B849" s="250"/>
      <c r="C849" s="10"/>
      <c r="D849" s="10"/>
      <c r="E849" s="602"/>
      <c r="F849" s="513"/>
      <c r="G849" s="2"/>
      <c r="H849" s="189"/>
      <c r="I849" s="471"/>
      <c r="J849" s="471"/>
      <c r="K849" s="471"/>
      <c r="L849" s="2"/>
    </row>
    <row r="850" spans="2:12" x14ac:dyDescent="0.2">
      <c r="B850" s="11" t="s">
        <v>1370</v>
      </c>
      <c r="C850" s="573">
        <v>2.67</v>
      </c>
      <c r="D850" s="15">
        <f>C850*C6</f>
        <v>0</v>
      </c>
      <c r="E850" s="86">
        <f>(C850+D850)*E6</f>
        <v>1.6019999999999999</v>
      </c>
      <c r="F850" s="16">
        <f>C850+D850+E850</f>
        <v>4.2720000000000002</v>
      </c>
      <c r="G850" s="2"/>
      <c r="H850" s="189"/>
      <c r="I850" s="471"/>
      <c r="J850" s="471"/>
      <c r="K850" s="471"/>
      <c r="L850" s="2"/>
    </row>
    <row r="851" spans="2:12" x14ac:dyDescent="0.2">
      <c r="B851" s="11" t="s">
        <v>1371</v>
      </c>
      <c r="C851" s="573">
        <v>0.23</v>
      </c>
      <c r="D851" s="15">
        <f>C851*C6</f>
        <v>0</v>
      </c>
      <c r="E851" s="86">
        <f>(C851+D851)*E6</f>
        <v>0.13800000000000001</v>
      </c>
      <c r="F851" s="16">
        <f t="shared" ref="F851:F860" si="103">C851+D851+E851</f>
        <v>0.36799999999999999</v>
      </c>
      <c r="G851" s="2"/>
      <c r="H851" s="2"/>
      <c r="I851" s="2"/>
      <c r="J851" s="2"/>
      <c r="K851" s="471"/>
      <c r="L851" s="2"/>
    </row>
    <row r="852" spans="2:12" x14ac:dyDescent="0.2">
      <c r="B852" s="11" t="s">
        <v>1372</v>
      </c>
      <c r="C852" s="573">
        <v>0.35</v>
      </c>
      <c r="D852" s="15">
        <f>C852*C6</f>
        <v>0</v>
      </c>
      <c r="E852" s="86">
        <f>(C852+D852)*E6</f>
        <v>0.21</v>
      </c>
      <c r="F852" s="16">
        <f t="shared" si="103"/>
        <v>0.55999999999999994</v>
      </c>
      <c r="G852" s="2"/>
      <c r="H852" s="2"/>
      <c r="I852" s="2"/>
      <c r="J852" s="2"/>
      <c r="K852" s="471"/>
      <c r="L852" s="2"/>
    </row>
    <row r="853" spans="2:12" x14ac:dyDescent="0.2">
      <c r="B853" s="11" t="s">
        <v>1373</v>
      </c>
      <c r="C853" s="573">
        <v>0.45</v>
      </c>
      <c r="D853" s="15">
        <f>C853*C6</f>
        <v>0</v>
      </c>
      <c r="E853" s="86">
        <f>(C853+D853)*E6</f>
        <v>0.27</v>
      </c>
      <c r="F853" s="16">
        <f t="shared" si="103"/>
        <v>0.72</v>
      </c>
      <c r="G853" s="2"/>
      <c r="H853" s="2"/>
      <c r="I853" s="2"/>
      <c r="J853" s="2"/>
      <c r="K853" s="471"/>
      <c r="L853" s="2"/>
    </row>
    <row r="854" spans="2:12" x14ac:dyDescent="0.2">
      <c r="B854" s="11" t="s">
        <v>1374</v>
      </c>
      <c r="C854" s="573">
        <v>0.11</v>
      </c>
      <c r="D854" s="15">
        <f>C854*C6</f>
        <v>0</v>
      </c>
      <c r="E854" s="86">
        <f>(C854+D854)*E6</f>
        <v>6.6000000000000003E-2</v>
      </c>
      <c r="F854" s="16">
        <f t="shared" si="103"/>
        <v>0.17599999999999999</v>
      </c>
      <c r="G854" s="2"/>
      <c r="H854" s="2"/>
      <c r="I854" s="2"/>
      <c r="J854" s="2"/>
      <c r="K854" s="471"/>
      <c r="L854" s="2"/>
    </row>
    <row r="855" spans="2:12" x14ac:dyDescent="0.2">
      <c r="B855" s="11" t="s">
        <v>1375</v>
      </c>
      <c r="C855" s="573">
        <v>1</v>
      </c>
      <c r="D855" s="15">
        <f>C855*C6</f>
        <v>0</v>
      </c>
      <c r="E855" s="86">
        <f>(C855+D855)*E6</f>
        <v>0.6</v>
      </c>
      <c r="F855" s="16">
        <f t="shared" si="103"/>
        <v>1.6</v>
      </c>
      <c r="G855" s="431"/>
      <c r="H855" s="189"/>
      <c r="I855" s="471"/>
      <c r="J855" s="471"/>
      <c r="K855" s="471"/>
      <c r="L855" s="2"/>
    </row>
    <row r="856" spans="2:12" x14ac:dyDescent="0.2">
      <c r="B856" s="437" t="s">
        <v>1376</v>
      </c>
      <c r="C856" s="601">
        <v>45</v>
      </c>
      <c r="D856" s="15">
        <f>C856*C6</f>
        <v>0</v>
      </c>
      <c r="E856" s="86">
        <f>(C856+D856)*E6</f>
        <v>27</v>
      </c>
      <c r="F856" s="16">
        <f>C856++D856+E856</f>
        <v>72</v>
      </c>
      <c r="G856" s="431"/>
      <c r="H856" s="189"/>
      <c r="I856" s="471"/>
      <c r="J856" s="471"/>
      <c r="K856" s="471"/>
      <c r="L856" s="2"/>
    </row>
    <row r="857" spans="2:12" x14ac:dyDescent="0.2">
      <c r="B857" s="437"/>
      <c r="C857" s="97"/>
      <c r="D857" s="15"/>
      <c r="E857" s="86"/>
      <c r="F857" s="16"/>
      <c r="G857" s="431"/>
      <c r="H857" s="189"/>
      <c r="I857" s="471"/>
      <c r="J857" s="471"/>
      <c r="K857" s="471"/>
      <c r="L857" s="2"/>
    </row>
    <row r="858" spans="2:12" x14ac:dyDescent="0.2">
      <c r="B858" s="437" t="s">
        <v>1377</v>
      </c>
      <c r="C858" s="601">
        <v>32</v>
      </c>
      <c r="D858" s="15">
        <f>C858*C6</f>
        <v>0</v>
      </c>
      <c r="E858" s="86">
        <f>(C858+D858)*E6</f>
        <v>19.2</v>
      </c>
      <c r="F858" s="16">
        <f t="shared" si="103"/>
        <v>51.2</v>
      </c>
      <c r="G858" s="431"/>
      <c r="H858" s="189"/>
      <c r="I858" s="471"/>
      <c r="J858" s="471"/>
      <c r="K858" s="471"/>
      <c r="L858" s="2"/>
    </row>
    <row r="859" spans="2:12" x14ac:dyDescent="0.2">
      <c r="B859" s="437" t="s">
        <v>1378</v>
      </c>
      <c r="C859" s="601">
        <v>24.18</v>
      </c>
      <c r="D859" s="15">
        <f>C859*C6</f>
        <v>0</v>
      </c>
      <c r="E859" s="86">
        <f>(C859+D859)*E6</f>
        <v>14.507999999999999</v>
      </c>
      <c r="F859" s="16">
        <f t="shared" si="103"/>
        <v>38.688000000000002</v>
      </c>
      <c r="G859" s="431"/>
      <c r="H859" s="189"/>
      <c r="I859" s="471"/>
      <c r="J859" s="471"/>
      <c r="K859" s="471"/>
      <c r="L859" s="2"/>
    </row>
    <row r="860" spans="2:12" x14ac:dyDescent="0.2">
      <c r="B860" s="437" t="s">
        <v>1379</v>
      </c>
      <c r="C860" s="601">
        <v>37.799999999999997</v>
      </c>
      <c r="D860" s="15">
        <f>C860*C6</f>
        <v>0</v>
      </c>
      <c r="E860" s="86">
        <f>(C860+D860)*E6</f>
        <v>22.679999999999996</v>
      </c>
      <c r="F860" s="16">
        <f t="shared" si="103"/>
        <v>60.47999999999999</v>
      </c>
      <c r="G860" s="431"/>
      <c r="H860" s="189"/>
      <c r="I860" s="471"/>
      <c r="J860" s="471"/>
      <c r="K860" s="471"/>
      <c r="L860" s="2"/>
    </row>
    <row r="861" spans="2:12" x14ac:dyDescent="0.2">
      <c r="B861" s="437" t="s">
        <v>1380</v>
      </c>
      <c r="C861" s="601">
        <v>135</v>
      </c>
      <c r="D861" s="97"/>
      <c r="E861" s="86">
        <f>(C861+D861)*E6</f>
        <v>81</v>
      </c>
      <c r="F861" s="16">
        <f>C861+D861+E861</f>
        <v>216</v>
      </c>
      <c r="G861" s="431"/>
      <c r="H861" s="189"/>
      <c r="I861" s="471"/>
      <c r="J861" s="471"/>
      <c r="K861" s="471"/>
      <c r="L861" s="2"/>
    </row>
    <row r="862" spans="2:12" x14ac:dyDescent="0.2">
      <c r="B862" s="437" t="s">
        <v>1381</v>
      </c>
      <c r="C862" s="601">
        <v>39</v>
      </c>
      <c r="D862" s="97"/>
      <c r="E862" s="86">
        <f>(C862+D862)*E6</f>
        <v>23.4</v>
      </c>
      <c r="F862" s="16">
        <f>C862+D862+E862</f>
        <v>62.4</v>
      </c>
      <c r="G862" s="431"/>
      <c r="H862" s="189"/>
      <c r="I862" s="471"/>
      <c r="J862" s="471"/>
      <c r="K862" s="471"/>
      <c r="L862" s="2"/>
    </row>
    <row r="863" spans="2:12" x14ac:dyDescent="0.2">
      <c r="B863" s="437" t="s">
        <v>1382</v>
      </c>
      <c r="C863" s="601">
        <v>39</v>
      </c>
      <c r="D863" s="97"/>
      <c r="E863" s="86">
        <f>(C863+D863)*E6</f>
        <v>23.4</v>
      </c>
      <c r="F863" s="16">
        <f>C863+D863+E863</f>
        <v>62.4</v>
      </c>
      <c r="G863" s="431"/>
      <c r="H863" s="189"/>
      <c r="I863" s="471"/>
      <c r="J863" s="471"/>
      <c r="K863" s="471"/>
      <c r="L863" s="2"/>
    </row>
    <row r="864" spans="2:12" x14ac:dyDescent="0.2">
      <c r="B864" s="437" t="s">
        <v>1383</v>
      </c>
      <c r="C864" s="601">
        <v>0.2</v>
      </c>
      <c r="D864" s="97"/>
      <c r="E864" s="86">
        <f>(C864+D864)*E6</f>
        <v>0.12</v>
      </c>
      <c r="F864" s="16">
        <f>C864+D864+E864</f>
        <v>0.32</v>
      </c>
      <c r="G864" s="431"/>
      <c r="H864" s="189"/>
      <c r="I864" s="471"/>
      <c r="J864" s="471"/>
      <c r="K864" s="471"/>
      <c r="L864" s="2"/>
    </row>
    <row r="865" spans="2:12" x14ac:dyDescent="0.2">
      <c r="B865" s="106"/>
      <c r="C865" s="15"/>
      <c r="D865" s="15"/>
      <c r="E865" s="86">
        <f t="shared" ref="E865:E868" si="104">(C865+D865)*$E$6</f>
        <v>0</v>
      </c>
      <c r="F865" s="16">
        <f t="shared" ref="F865:F868" si="105">C865+D865+E865</f>
        <v>0</v>
      </c>
      <c r="G865" s="2"/>
      <c r="H865" s="189"/>
      <c r="I865" s="189"/>
      <c r="J865" s="189"/>
      <c r="K865" s="189"/>
      <c r="L865" s="2"/>
    </row>
    <row r="866" spans="2:12" x14ac:dyDescent="0.2">
      <c r="B866" s="605" t="s">
        <v>1384</v>
      </c>
      <c r="C866" s="15"/>
      <c r="D866" s="15"/>
      <c r="E866" s="86">
        <f t="shared" si="104"/>
        <v>0</v>
      </c>
      <c r="F866" s="16">
        <f t="shared" si="105"/>
        <v>0</v>
      </c>
      <c r="G866" s="2"/>
      <c r="H866" s="189"/>
      <c r="I866" s="189"/>
      <c r="J866" s="189"/>
      <c r="K866" s="189"/>
      <c r="L866" s="2"/>
    </row>
    <row r="867" spans="2:12" x14ac:dyDescent="0.2">
      <c r="B867" s="106" t="s">
        <v>1385</v>
      </c>
      <c r="C867" s="476">
        <v>44</v>
      </c>
      <c r="D867" s="15"/>
      <c r="E867" s="86">
        <f t="shared" si="104"/>
        <v>26.4</v>
      </c>
      <c r="F867" s="16">
        <f t="shared" si="105"/>
        <v>70.400000000000006</v>
      </c>
      <c r="G867" s="2" t="s">
        <v>1317</v>
      </c>
      <c r="H867" s="189"/>
      <c r="I867" s="189"/>
      <c r="J867" s="189"/>
      <c r="K867" s="189"/>
      <c r="L867" s="2"/>
    </row>
    <row r="868" spans="2:12" x14ac:dyDescent="0.2">
      <c r="B868" s="106" t="s">
        <v>1386</v>
      </c>
      <c r="C868" s="15">
        <v>135</v>
      </c>
      <c r="D868" s="15"/>
      <c r="E868" s="86">
        <f t="shared" si="104"/>
        <v>81</v>
      </c>
      <c r="F868" s="16">
        <f t="shared" si="105"/>
        <v>216</v>
      </c>
      <c r="G868" s="2"/>
      <c r="H868" s="189"/>
      <c r="I868" s="189"/>
      <c r="J868" s="189"/>
      <c r="K868" s="189"/>
      <c r="L868" s="2"/>
    </row>
    <row r="869" spans="2:12" x14ac:dyDescent="0.2">
      <c r="B869" s="429" t="s">
        <v>1387</v>
      </c>
      <c r="C869" s="15"/>
      <c r="D869" s="15"/>
      <c r="E869" s="86"/>
      <c r="F869" s="16"/>
      <c r="G869" s="2"/>
      <c r="H869" s="189"/>
      <c r="I869" s="189"/>
      <c r="J869" s="189"/>
      <c r="K869" s="189"/>
      <c r="L869" s="2"/>
    </row>
    <row r="870" spans="2:12" x14ac:dyDescent="0.2">
      <c r="B870" s="106" t="s">
        <v>1388</v>
      </c>
      <c r="C870" s="476">
        <v>120</v>
      </c>
      <c r="D870" s="15"/>
      <c r="E870" s="86">
        <f>(C870+D870)*$E$6</f>
        <v>72</v>
      </c>
      <c r="F870" s="16">
        <f>C870+D870+E870</f>
        <v>192</v>
      </c>
      <c r="G870" s="489">
        <v>44541</v>
      </c>
      <c r="H870" s="189"/>
      <c r="I870" s="189"/>
      <c r="J870" s="189"/>
      <c r="K870" s="189"/>
      <c r="L870" s="2"/>
    </row>
    <row r="871" spans="2:12" x14ac:dyDescent="0.2">
      <c r="B871" s="106" t="s">
        <v>1389</v>
      </c>
      <c r="C871" s="15">
        <v>10.4</v>
      </c>
      <c r="D871" s="15"/>
      <c r="G871" s="2"/>
      <c r="H871" s="189"/>
      <c r="I871" s="189"/>
      <c r="J871" s="189"/>
      <c r="K871" s="189"/>
      <c r="L871" s="2"/>
    </row>
    <row r="872" spans="2:12" x14ac:dyDescent="0.2">
      <c r="B872" s="606" t="s">
        <v>1390</v>
      </c>
      <c r="C872" s="607">
        <f>C871/25</f>
        <v>0.41600000000000004</v>
      </c>
      <c r="E872" s="86">
        <f>(C872+D871)*E6</f>
        <v>0.24960000000000002</v>
      </c>
      <c r="F872" s="16">
        <f>C872+E872</f>
        <v>0.66560000000000008</v>
      </c>
      <c r="G872" s="608" t="s">
        <v>1391</v>
      </c>
      <c r="H872" s="189"/>
      <c r="I872" s="189"/>
      <c r="J872" s="189"/>
      <c r="K872" s="189"/>
      <c r="L872" s="2"/>
    </row>
    <row r="873" spans="2:12" x14ac:dyDescent="0.2">
      <c r="B873" s="106" t="s">
        <v>1392</v>
      </c>
      <c r="C873" s="15">
        <v>8.35</v>
      </c>
      <c r="D873" s="15"/>
      <c r="E873" s="86"/>
      <c r="F873" s="16"/>
      <c r="G873" s="2"/>
      <c r="H873" s="189"/>
      <c r="I873" s="189"/>
      <c r="J873" s="189"/>
      <c r="K873" s="189"/>
      <c r="L873" s="2"/>
    </row>
    <row r="874" spans="2:12" x14ac:dyDescent="0.2">
      <c r="B874" s="106" t="s">
        <v>1393</v>
      </c>
      <c r="C874" s="609">
        <f>C873/6</f>
        <v>1.3916666666666666</v>
      </c>
      <c r="D874" s="15"/>
      <c r="E874" s="86">
        <f>(C874+D873)*E6</f>
        <v>0.83499999999999996</v>
      </c>
      <c r="F874" s="16">
        <f>C874+D874+E874</f>
        <v>2.2266666666666666</v>
      </c>
      <c r="G874" s="608" t="s">
        <v>1394</v>
      </c>
      <c r="H874" s="189"/>
      <c r="I874" s="189"/>
      <c r="J874" s="189"/>
      <c r="K874" s="189"/>
      <c r="L874" s="2"/>
    </row>
    <row r="875" spans="2:12" x14ac:dyDescent="0.2">
      <c r="B875" s="106"/>
      <c r="C875" s="573"/>
      <c r="D875" s="15"/>
      <c r="E875" s="86"/>
      <c r="F875" s="16"/>
      <c r="G875" s="2"/>
      <c r="H875" s="189"/>
      <c r="I875" s="189"/>
      <c r="J875" s="189"/>
      <c r="K875" s="189"/>
      <c r="L875" s="2"/>
    </row>
    <row r="876" spans="2:12" x14ac:dyDescent="0.2">
      <c r="B876" s="429" t="s">
        <v>1395</v>
      </c>
      <c r="C876" s="573"/>
      <c r="D876" s="15"/>
      <c r="E876" s="86"/>
      <c r="F876" s="16"/>
      <c r="G876" s="2"/>
      <c r="H876" s="189"/>
      <c r="I876" s="189"/>
      <c r="J876" s="189"/>
      <c r="K876" s="189"/>
      <c r="L876" s="2"/>
    </row>
    <row r="877" spans="2:12" x14ac:dyDescent="0.2">
      <c r="B877" s="427" t="s">
        <v>681</v>
      </c>
      <c r="C877" s="307">
        <f>25.86</f>
        <v>25.86</v>
      </c>
      <c r="D877" s="15">
        <f>C877*C6</f>
        <v>0</v>
      </c>
      <c r="E877" s="451">
        <f t="shared" ref="E877:E880" si="106">(C877+D877)*$E$6</f>
        <v>15.515999999999998</v>
      </c>
      <c r="F877" s="16">
        <f>C877+D877+E877</f>
        <v>41.375999999999998</v>
      </c>
      <c r="G877" s="608" t="s">
        <v>1394</v>
      </c>
      <c r="H877" s="189"/>
      <c r="I877" s="189" t="s">
        <v>1396</v>
      </c>
      <c r="J877" s="189"/>
      <c r="K877" s="189"/>
      <c r="L877" s="2"/>
    </row>
    <row r="878" spans="2:12" x14ac:dyDescent="0.2">
      <c r="B878" s="427" t="s">
        <v>1397</v>
      </c>
      <c r="C878" s="307">
        <f>(0.77+0.85)*18</f>
        <v>29.160000000000004</v>
      </c>
      <c r="D878" s="15">
        <f>C878*C6</f>
        <v>0</v>
      </c>
      <c r="E878" s="451">
        <f t="shared" si="106"/>
        <v>17.496000000000002</v>
      </c>
      <c r="F878" s="16">
        <f>C878+D878+E878</f>
        <v>46.656000000000006</v>
      </c>
      <c r="G878" s="608" t="s">
        <v>1394</v>
      </c>
      <c r="H878" s="189"/>
      <c r="I878" s="189"/>
      <c r="J878" s="189"/>
      <c r="K878" s="189"/>
      <c r="L878" s="2"/>
    </row>
    <row r="879" spans="2:12" x14ac:dyDescent="0.2">
      <c r="B879" s="106"/>
      <c r="C879" s="15"/>
      <c r="D879" s="15"/>
      <c r="E879" s="451">
        <f t="shared" si="106"/>
        <v>0</v>
      </c>
      <c r="F879" s="16"/>
      <c r="G879" s="2"/>
      <c r="H879" s="189"/>
      <c r="I879" s="189"/>
      <c r="J879" s="189"/>
      <c r="K879" s="189"/>
      <c r="L879" s="2"/>
    </row>
    <row r="880" spans="2:12" x14ac:dyDescent="0.2">
      <c r="B880" s="436" t="s">
        <v>1398</v>
      </c>
      <c r="C880" s="15">
        <v>0</v>
      </c>
      <c r="D880" s="15">
        <f>C880*10%</f>
        <v>0</v>
      </c>
      <c r="E880" s="451">
        <f t="shared" si="106"/>
        <v>0</v>
      </c>
      <c r="F880" s="16"/>
      <c r="G880" s="2"/>
      <c r="H880" s="189"/>
      <c r="I880" s="189"/>
      <c r="J880" s="189"/>
      <c r="K880" s="189"/>
      <c r="L880" s="2"/>
    </row>
    <row r="881" spans="2:12" x14ac:dyDescent="0.2">
      <c r="B881" s="450" t="s">
        <v>1399</v>
      </c>
      <c r="C881" s="594">
        <v>1.68</v>
      </c>
      <c r="D881" s="97">
        <f>C881*C6</f>
        <v>0</v>
      </c>
      <c r="E881" s="451">
        <f>(C881+D881)*$E$6</f>
        <v>1.008</v>
      </c>
      <c r="F881" s="87">
        <f>C881+D881+E881</f>
        <v>2.6879999999999997</v>
      </c>
      <c r="G881" s="2"/>
      <c r="H881" s="189"/>
      <c r="I881" s="471"/>
      <c r="J881" s="471"/>
      <c r="K881" s="471"/>
      <c r="L881" s="2"/>
    </row>
    <row r="882" spans="2:12" x14ac:dyDescent="0.2">
      <c r="B882" s="477"/>
      <c r="C882" s="610"/>
      <c r="D882" s="239"/>
      <c r="E882" s="170"/>
      <c r="F882" s="241"/>
      <c r="G882" s="2"/>
      <c r="H882" s="189"/>
      <c r="I882" s="471"/>
      <c r="J882" s="471"/>
      <c r="K882" s="471"/>
      <c r="L882" s="2"/>
    </row>
    <row r="883" spans="2:12" ht="13.5" thickBot="1" x14ac:dyDescent="0.25">
      <c r="B883" s="477"/>
      <c r="C883" s="610"/>
      <c r="D883" s="239"/>
      <c r="E883" s="170"/>
      <c r="F883" s="241"/>
      <c r="G883" s="2"/>
      <c r="H883" s="189"/>
      <c r="I883" s="471"/>
      <c r="J883" s="471"/>
      <c r="K883" s="471"/>
      <c r="L883" s="2"/>
    </row>
    <row r="884" spans="2:12" ht="13.5" thickTop="1" x14ac:dyDescent="0.2">
      <c r="B884" s="532" t="s">
        <v>1400</v>
      </c>
      <c r="C884" s="453"/>
      <c r="D884" s="453"/>
      <c r="E884" s="453"/>
      <c r="F884" s="455"/>
      <c r="G884" s="2"/>
      <c r="H884" s="189"/>
      <c r="I884" s="471"/>
      <c r="J884" s="471"/>
      <c r="K884" s="471"/>
      <c r="L884" s="2"/>
    </row>
    <row r="885" spans="2:12" x14ac:dyDescent="0.2">
      <c r="B885" s="611" t="s">
        <v>1401</v>
      </c>
      <c r="C885" s="140"/>
      <c r="D885" s="140"/>
      <c r="E885" s="140"/>
      <c r="F885" s="612">
        <v>2500</v>
      </c>
      <c r="G885" s="3"/>
      <c r="H885" s="189"/>
      <c r="I885" s="471"/>
      <c r="J885" s="189"/>
      <c r="K885" s="471"/>
      <c r="L885" s="2"/>
    </row>
    <row r="886" spans="2:12" ht="13.5" thickBot="1" x14ac:dyDescent="0.25">
      <c r="B886" s="613" t="s">
        <v>1402</v>
      </c>
      <c r="C886" s="3"/>
      <c r="D886" s="3"/>
      <c r="E886" s="3"/>
      <c r="F886" s="614">
        <v>0</v>
      </c>
      <c r="G886" s="3"/>
      <c r="H886" s="189"/>
      <c r="I886" s="471"/>
      <c r="J886" s="189"/>
      <c r="L886" s="2"/>
    </row>
    <row r="887" spans="2:12" ht="14.25" thickTop="1" thickBot="1" x14ac:dyDescent="0.25">
      <c r="B887" s="615"/>
      <c r="C887" s="616"/>
      <c r="D887" s="616"/>
      <c r="E887" s="616"/>
      <c r="F887" s="617"/>
      <c r="G887" s="3"/>
      <c r="H887" s="189"/>
      <c r="I887" s="471"/>
      <c r="J887" s="189"/>
      <c r="K887" s="471"/>
      <c r="L887" s="2"/>
    </row>
    <row r="888" spans="2:12" ht="13.5" thickTop="1" x14ac:dyDescent="0.2">
      <c r="B888" s="422" t="s">
        <v>1403</v>
      </c>
      <c r="C888" s="453"/>
      <c r="D888" s="453"/>
      <c r="E888" s="454"/>
      <c r="F888" s="455"/>
      <c r="G888" s="3"/>
      <c r="H888" s="189"/>
      <c r="I888" s="471"/>
      <c r="J888" s="189"/>
      <c r="K888" s="471"/>
      <c r="L888" s="2"/>
    </row>
    <row r="889" spans="2:12" x14ac:dyDescent="0.2">
      <c r="B889" s="618"/>
      <c r="C889" s="154"/>
      <c r="D889" s="154"/>
      <c r="E889" s="461"/>
      <c r="F889" s="155"/>
      <c r="G889" s="3"/>
      <c r="H889" s="189"/>
      <c r="I889" s="471"/>
      <c r="J889" s="189"/>
      <c r="K889" s="471"/>
      <c r="L889" s="2"/>
    </row>
    <row r="890" spans="2:12" x14ac:dyDescent="0.2">
      <c r="B890" s="106" t="s">
        <v>1404</v>
      </c>
      <c r="C890" s="550">
        <v>126</v>
      </c>
      <c r="D890" s="154"/>
      <c r="E890" s="86">
        <f>(C890+D890)*$E$6</f>
        <v>75.599999999999994</v>
      </c>
      <c r="F890" s="16">
        <f>C890+D890+E890</f>
        <v>201.6</v>
      </c>
      <c r="G890" s="3"/>
      <c r="H890" s="189"/>
      <c r="I890" s="471"/>
      <c r="J890" s="189"/>
      <c r="K890" s="471"/>
      <c r="L890" s="2"/>
    </row>
    <row r="891" spans="2:12" x14ac:dyDescent="0.2">
      <c r="B891" s="106" t="s">
        <v>522</v>
      </c>
      <c r="C891" s="552">
        <v>65</v>
      </c>
      <c r="D891" s="15">
        <f>C891*C6</f>
        <v>0</v>
      </c>
      <c r="E891" s="86">
        <f>(C891+D891)*$E$6</f>
        <v>39</v>
      </c>
      <c r="F891" s="16">
        <f>C891+D891+E891</f>
        <v>104</v>
      </c>
      <c r="G891" s="3"/>
      <c r="H891" s="189"/>
      <c r="I891" s="471"/>
      <c r="J891" s="189"/>
      <c r="K891" s="471"/>
      <c r="L891" s="2"/>
    </row>
    <row r="892" spans="2:12" x14ac:dyDescent="0.2">
      <c r="B892" s="106" t="s">
        <v>1405</v>
      </c>
      <c r="C892" s="552">
        <v>40</v>
      </c>
      <c r="D892" s="15"/>
      <c r="E892" s="86">
        <f>(C892+D892)*$E$6</f>
        <v>24</v>
      </c>
      <c r="F892" s="16">
        <f>C892+D892+E892</f>
        <v>64</v>
      </c>
      <c r="G892" s="3"/>
      <c r="H892" s="189"/>
      <c r="I892" s="471"/>
      <c r="J892" s="189"/>
      <c r="K892" s="471"/>
      <c r="L892" s="2"/>
    </row>
    <row r="893" spans="2:12" x14ac:dyDescent="0.2">
      <c r="B893" s="106" t="s">
        <v>1406</v>
      </c>
      <c r="C893" s="552">
        <v>45</v>
      </c>
      <c r="D893" s="15"/>
      <c r="E893" s="86">
        <f>(C893+D893)*$E$6</f>
        <v>27</v>
      </c>
      <c r="F893" s="16">
        <f>C893+D893+E893</f>
        <v>72</v>
      </c>
      <c r="G893" s="3"/>
      <c r="H893" s="189"/>
      <c r="I893" s="471"/>
      <c r="J893" s="189"/>
      <c r="K893" s="471"/>
      <c r="L893" s="2"/>
    </row>
    <row r="894" spans="2:12" x14ac:dyDescent="0.2">
      <c r="B894" s="436" t="s">
        <v>1407</v>
      </c>
      <c r="C894" s="552">
        <v>1500</v>
      </c>
      <c r="D894" s="15">
        <f>C894*C6</f>
        <v>0</v>
      </c>
      <c r="E894" s="86">
        <f>(C894+D894)*$E$6</f>
        <v>900</v>
      </c>
      <c r="F894" s="16">
        <f>C894+D894+E894</f>
        <v>2400</v>
      </c>
      <c r="G894" s="3"/>
      <c r="H894" s="189"/>
      <c r="I894" s="471"/>
      <c r="J894" s="189"/>
      <c r="K894" s="471"/>
      <c r="L894" s="2"/>
    </row>
    <row r="895" spans="2:12" x14ac:dyDescent="0.2">
      <c r="B895" s="436"/>
      <c r="C895" s="15"/>
      <c r="D895" s="15"/>
      <c r="E895" s="86"/>
      <c r="F895" s="16"/>
      <c r="G895" s="3"/>
      <c r="H895" s="189"/>
      <c r="I895" s="471"/>
      <c r="J895" s="189"/>
      <c r="K895" s="471"/>
      <c r="L895" s="2"/>
    </row>
    <row r="896" spans="2:12" x14ac:dyDescent="0.2">
      <c r="B896" s="436"/>
      <c r="C896" s="15"/>
      <c r="D896" s="15"/>
      <c r="E896" s="86"/>
      <c r="F896" s="16"/>
      <c r="G896" s="3"/>
      <c r="H896" s="189"/>
      <c r="I896" s="471"/>
      <c r="J896" s="189"/>
      <c r="K896" s="471"/>
      <c r="L896" s="2"/>
    </row>
    <row r="897" spans="2:12" ht="13.5" thickBot="1" x14ac:dyDescent="0.25">
      <c r="B897" s="456"/>
      <c r="C897" s="457"/>
      <c r="D897" s="457"/>
      <c r="E897" s="458"/>
      <c r="F897" s="459"/>
      <c r="G897" s="3"/>
      <c r="H897" s="189"/>
      <c r="I897" s="471"/>
      <c r="J897" s="189"/>
      <c r="K897" s="471"/>
      <c r="L897" s="2"/>
    </row>
    <row r="898" spans="2:12" ht="13.5" thickTop="1" x14ac:dyDescent="0.2">
      <c r="B898" s="72"/>
      <c r="C898" s="89"/>
      <c r="D898" s="89"/>
      <c r="E898" s="89"/>
      <c r="F898" s="336"/>
      <c r="G898" s="3"/>
      <c r="H898" s="189"/>
      <c r="I898" s="471"/>
      <c r="J898" s="189"/>
      <c r="K898" s="471"/>
      <c r="L898" s="2"/>
    </row>
    <row r="899" spans="2:12" ht="13.5" thickBot="1" x14ac:dyDescent="0.25">
      <c r="B899" s="189"/>
      <c r="C899" s="165"/>
      <c r="D899" s="165"/>
      <c r="E899" s="165"/>
      <c r="F899" s="619"/>
      <c r="G899" s="2"/>
      <c r="H899" s="189"/>
      <c r="I899" s="471"/>
      <c r="J899" s="189"/>
      <c r="K899" s="471"/>
      <c r="L899" s="2"/>
    </row>
    <row r="900" spans="2:12" ht="14.25" thickTop="1" thickBot="1" x14ac:dyDescent="0.25">
      <c r="B900" s="422" t="s">
        <v>1408</v>
      </c>
      <c r="C900" s="453" t="s">
        <v>1409</v>
      </c>
      <c r="D900" s="453" t="s">
        <v>1410</v>
      </c>
      <c r="E900" s="620">
        <f>0.6*1</f>
        <v>0.6</v>
      </c>
      <c r="F900" s="621">
        <v>0.5</v>
      </c>
      <c r="G900" s="541"/>
      <c r="H900" s="442"/>
      <c r="I900" s="622" t="s">
        <v>1411</v>
      </c>
      <c r="J900" s="622" t="s">
        <v>1412</v>
      </c>
      <c r="K900" s="939" t="s">
        <v>1413</v>
      </c>
      <c r="L900" s="2"/>
    </row>
    <row r="901" spans="2:12" ht="13.5" thickTop="1" x14ac:dyDescent="0.2">
      <c r="B901" s="436" t="s">
        <v>1414</v>
      </c>
      <c r="C901" s="15">
        <v>120</v>
      </c>
      <c r="D901" s="15">
        <f>C901/10</f>
        <v>12</v>
      </c>
      <c r="E901" s="86">
        <f>(C901+D901)*E6</f>
        <v>79.2</v>
      </c>
      <c r="F901" s="16">
        <f>C901+E901/40</f>
        <v>121.98</v>
      </c>
      <c r="G901" s="148"/>
      <c r="H901" s="11"/>
      <c r="I901" s="623">
        <v>55</v>
      </c>
      <c r="J901" s="624">
        <f>I901/60</f>
        <v>0.91666666666666663</v>
      </c>
      <c r="K901" s="927"/>
      <c r="L901" s="2"/>
    </row>
    <row r="902" spans="2:12" x14ac:dyDescent="0.2">
      <c r="B902" s="436"/>
      <c r="C902" s="311" t="s">
        <v>1415</v>
      </c>
      <c r="D902" s="311" t="s">
        <v>1416</v>
      </c>
      <c r="E902" s="86"/>
      <c r="F902" s="311" t="s">
        <v>1417</v>
      </c>
      <c r="G902" s="440"/>
      <c r="H902" s="11"/>
      <c r="I902" s="15"/>
      <c r="J902" s="15"/>
      <c r="K902" s="625"/>
      <c r="L902" s="2"/>
    </row>
    <row r="903" spans="2:12" x14ac:dyDescent="0.2">
      <c r="B903" s="148"/>
      <c r="C903" s="15">
        <f>C901/40</f>
        <v>3</v>
      </c>
      <c r="D903" s="15">
        <f>C901/80</f>
        <v>1.5</v>
      </c>
      <c r="E903" s="86">
        <f>(C903+D903)*E6</f>
        <v>2.6999999999999997</v>
      </c>
      <c r="F903" s="15">
        <f>C901/120</f>
        <v>1</v>
      </c>
      <c r="G903" s="440"/>
      <c r="H903" s="11"/>
      <c r="I903" s="15"/>
      <c r="J903" s="15"/>
      <c r="K903" s="625"/>
      <c r="L903" s="2"/>
    </row>
    <row r="904" spans="2:12" x14ac:dyDescent="0.2">
      <c r="B904" s="148"/>
      <c r="C904" s="15"/>
      <c r="D904" s="15"/>
      <c r="E904" s="86"/>
      <c r="F904" s="86"/>
      <c r="G904" s="440"/>
      <c r="H904" s="11"/>
      <c r="I904" s="15"/>
      <c r="J904" s="15"/>
      <c r="K904" s="625"/>
      <c r="L904" s="2"/>
    </row>
    <row r="905" spans="2:12" x14ac:dyDescent="0.2">
      <c r="B905" s="436" t="s">
        <v>1418</v>
      </c>
      <c r="C905" s="15">
        <v>55</v>
      </c>
      <c r="D905" s="15">
        <f>C905/4</f>
        <v>13.75</v>
      </c>
      <c r="E905" s="86">
        <f>(C905+D905)*E6</f>
        <v>41.25</v>
      </c>
      <c r="F905" s="16">
        <f>C905+E905/8</f>
        <v>60.15625</v>
      </c>
      <c r="G905" s="148"/>
      <c r="H905" s="11"/>
      <c r="I905" s="15"/>
      <c r="J905" s="15"/>
      <c r="K905" s="625"/>
      <c r="L905" s="2"/>
    </row>
    <row r="906" spans="2:12" x14ac:dyDescent="0.2">
      <c r="B906" s="436"/>
      <c r="C906" s="15"/>
      <c r="D906" s="15"/>
      <c r="E906" s="86">
        <f>(C906+D906)*E6</f>
        <v>0</v>
      </c>
      <c r="F906" s="16"/>
      <c r="G906" s="148"/>
      <c r="H906" s="11"/>
      <c r="I906" s="15"/>
      <c r="J906" s="15"/>
      <c r="K906" s="625"/>
      <c r="L906" s="2"/>
    </row>
    <row r="907" spans="2:12" x14ac:dyDescent="0.2">
      <c r="B907" s="436" t="s">
        <v>1419</v>
      </c>
      <c r="C907" s="15">
        <v>37.5</v>
      </c>
      <c r="D907" s="161"/>
      <c r="E907" s="86">
        <f>(C907+D907)*E6</f>
        <v>22.5</v>
      </c>
      <c r="F907" s="16">
        <f>D907+C907+E907</f>
        <v>60</v>
      </c>
      <c r="G907" s="148"/>
      <c r="H907" s="11"/>
      <c r="I907" s="15"/>
      <c r="J907" s="15"/>
      <c r="K907" s="625"/>
      <c r="L907" s="2"/>
    </row>
    <row r="908" spans="2:12" x14ac:dyDescent="0.2">
      <c r="B908" s="436"/>
      <c r="C908" s="311" t="s">
        <v>1420</v>
      </c>
      <c r="D908" s="311" t="s">
        <v>1421</v>
      </c>
      <c r="E908" s="626" t="s">
        <v>0</v>
      </c>
      <c r="F908" s="627" t="s">
        <v>686</v>
      </c>
      <c r="G908" s="628" t="s">
        <v>1422</v>
      </c>
      <c r="H908" s="11"/>
      <c r="I908" s="15"/>
      <c r="J908" s="15"/>
      <c r="K908" s="625"/>
      <c r="L908" s="2"/>
    </row>
    <row r="909" spans="2:12" x14ac:dyDescent="0.2">
      <c r="B909" s="436" t="s">
        <v>1423</v>
      </c>
      <c r="C909" s="15">
        <f t="shared" ref="C909:C940" si="107">J909</f>
        <v>20.625</v>
      </c>
      <c r="D909" s="15">
        <v>1.58</v>
      </c>
      <c r="E909" s="86">
        <f>(C909+D909)*$E$900</f>
        <v>13.322999999999999</v>
      </c>
      <c r="F909" s="16">
        <f>C909+D909+E909</f>
        <v>35.527999999999999</v>
      </c>
      <c r="G909" s="571">
        <f t="shared" ref="G909:G940" si="108">C909+D909</f>
        <v>22.204999999999998</v>
      </c>
      <c r="H909" s="11"/>
      <c r="I909" s="15"/>
      <c r="J909" s="15">
        <f>K909*J901</f>
        <v>20.625</v>
      </c>
      <c r="K909" s="629">
        <v>22.5</v>
      </c>
      <c r="L909" s="2"/>
    </row>
    <row r="910" spans="2:12" x14ac:dyDescent="0.2">
      <c r="B910" s="436" t="s">
        <v>1424</v>
      </c>
      <c r="C910" s="15">
        <f t="shared" si="107"/>
        <v>14.666666666666666</v>
      </c>
      <c r="D910" s="15">
        <v>1.58</v>
      </c>
      <c r="E910" s="86">
        <f t="shared" ref="E910:E974" si="109">(C910+D910)*$E$900</f>
        <v>9.7479999999999993</v>
      </c>
      <c r="F910" s="16">
        <f t="shared" ref="F910:F970" si="110">C910+D910+E910</f>
        <v>25.994666666666667</v>
      </c>
      <c r="G910" s="571">
        <f t="shared" si="108"/>
        <v>16.246666666666666</v>
      </c>
      <c r="H910" s="11"/>
      <c r="I910" s="15"/>
      <c r="J910" s="15">
        <f>K910*J901</f>
        <v>14.666666666666666</v>
      </c>
      <c r="K910" s="629">
        <v>16</v>
      </c>
      <c r="L910" s="2"/>
    </row>
    <row r="911" spans="2:12" x14ac:dyDescent="0.2">
      <c r="B911" s="436" t="s">
        <v>1425</v>
      </c>
      <c r="C911" s="15">
        <f t="shared" si="107"/>
        <v>4.3999999999999995</v>
      </c>
      <c r="D911" s="15">
        <v>0.4</v>
      </c>
      <c r="E911" s="86">
        <f t="shared" si="109"/>
        <v>2.88</v>
      </c>
      <c r="F911" s="16">
        <f t="shared" si="110"/>
        <v>7.68</v>
      </c>
      <c r="G911" s="571">
        <f t="shared" si="108"/>
        <v>4.8</v>
      </c>
      <c r="H911" s="11"/>
      <c r="I911" s="15"/>
      <c r="J911" s="15">
        <f>K911*J901</f>
        <v>4.3999999999999995</v>
      </c>
      <c r="K911" s="629">
        <v>4.8</v>
      </c>
      <c r="L911" s="2"/>
    </row>
    <row r="912" spans="2:12" x14ac:dyDescent="0.2">
      <c r="B912" s="436"/>
      <c r="C912" s="15"/>
      <c r="D912" s="15"/>
      <c r="E912" s="86"/>
      <c r="F912" s="16"/>
      <c r="G912" s="571"/>
      <c r="H912" s="11"/>
      <c r="I912" s="15"/>
      <c r="J912" s="15"/>
      <c r="K912" s="629"/>
      <c r="L912" s="2"/>
    </row>
    <row r="913" spans="2:12" x14ac:dyDescent="0.2">
      <c r="B913" s="436" t="s">
        <v>1426</v>
      </c>
      <c r="C913" s="15">
        <f t="shared" si="107"/>
        <v>40.333333333333329</v>
      </c>
      <c r="D913" s="15"/>
      <c r="E913" s="86">
        <f t="shared" si="109"/>
        <v>24.199999999999996</v>
      </c>
      <c r="F913" s="16">
        <f t="shared" si="110"/>
        <v>64.533333333333331</v>
      </c>
      <c r="G913" s="571">
        <f t="shared" si="108"/>
        <v>40.333333333333329</v>
      </c>
      <c r="H913" s="11"/>
      <c r="I913" s="11"/>
      <c r="J913" s="15">
        <f>K913*J901</f>
        <v>40.333333333333329</v>
      </c>
      <c r="K913" s="630">
        <v>44</v>
      </c>
      <c r="L913" s="2"/>
    </row>
    <row r="914" spans="2:12" x14ac:dyDescent="0.2">
      <c r="B914" s="436" t="s">
        <v>1427</v>
      </c>
      <c r="C914" s="15">
        <f t="shared" si="107"/>
        <v>18.333333333333332</v>
      </c>
      <c r="D914" s="15">
        <v>3.3</v>
      </c>
      <c r="E914" s="86">
        <f t="shared" si="109"/>
        <v>12.979999999999999</v>
      </c>
      <c r="F914" s="16">
        <f t="shared" si="110"/>
        <v>34.61333333333333</v>
      </c>
      <c r="G914" s="571">
        <f t="shared" si="108"/>
        <v>21.633333333333333</v>
      </c>
      <c r="H914" s="11"/>
      <c r="I914" s="248"/>
      <c r="J914" s="248">
        <f>K914*J901</f>
        <v>18.333333333333332</v>
      </c>
      <c r="K914" s="631">
        <v>20</v>
      </c>
      <c r="L914" s="2"/>
    </row>
    <row r="915" spans="2:12" x14ac:dyDescent="0.2">
      <c r="B915" s="436" t="s">
        <v>1428</v>
      </c>
      <c r="C915" s="15">
        <f t="shared" si="107"/>
        <v>18.333333333333332</v>
      </c>
      <c r="D915" s="15">
        <v>4.3</v>
      </c>
      <c r="E915" s="86">
        <f t="shared" si="109"/>
        <v>13.58</v>
      </c>
      <c r="F915" s="16">
        <f t="shared" si="110"/>
        <v>36.213333333333331</v>
      </c>
      <c r="G915" s="571">
        <f t="shared" si="108"/>
        <v>22.633333333333333</v>
      </c>
      <c r="H915" s="11"/>
      <c r="I915" s="248"/>
      <c r="J915" s="248">
        <f>K915*J901</f>
        <v>18.333333333333332</v>
      </c>
      <c r="K915" s="631">
        <v>20</v>
      </c>
      <c r="L915" s="2"/>
    </row>
    <row r="916" spans="2:12" x14ac:dyDescent="0.2">
      <c r="B916" s="436" t="s">
        <v>1429</v>
      </c>
      <c r="C916" s="15">
        <f t="shared" si="107"/>
        <v>5.5</v>
      </c>
      <c r="D916" s="15">
        <v>4.9000000000000004</v>
      </c>
      <c r="E916" s="86">
        <f t="shared" si="109"/>
        <v>6.24</v>
      </c>
      <c r="F916" s="16">
        <f t="shared" si="110"/>
        <v>16.64</v>
      </c>
      <c r="G916" s="571">
        <f t="shared" si="108"/>
        <v>10.4</v>
      </c>
      <c r="H916" s="11"/>
      <c r="I916" s="248"/>
      <c r="J916" s="248">
        <f>K916*J901</f>
        <v>5.5</v>
      </c>
      <c r="K916" s="631">
        <v>6</v>
      </c>
      <c r="L916" s="2"/>
    </row>
    <row r="917" spans="2:12" x14ac:dyDescent="0.2">
      <c r="B917" s="436" t="s">
        <v>1430</v>
      </c>
      <c r="C917" s="15">
        <f t="shared" si="107"/>
        <v>55</v>
      </c>
      <c r="D917" s="15">
        <v>5</v>
      </c>
      <c r="E917" s="86">
        <f t="shared" si="109"/>
        <v>36</v>
      </c>
      <c r="F917" s="16">
        <f t="shared" si="110"/>
        <v>96</v>
      </c>
      <c r="G917" s="571">
        <f t="shared" si="108"/>
        <v>60</v>
      </c>
      <c r="H917" s="11"/>
      <c r="I917" s="248"/>
      <c r="J917" s="248">
        <f>K917*J901</f>
        <v>55</v>
      </c>
      <c r="K917" s="631">
        <v>60</v>
      </c>
      <c r="L917" s="2"/>
    </row>
    <row r="918" spans="2:12" x14ac:dyDescent="0.2">
      <c r="B918" s="436"/>
      <c r="C918" s="15"/>
      <c r="D918" s="15"/>
      <c r="E918" s="86"/>
      <c r="F918" s="16"/>
      <c r="G918" s="571"/>
      <c r="H918" s="11"/>
      <c r="I918" s="248"/>
      <c r="J918" s="248"/>
      <c r="K918" s="631"/>
      <c r="L918" s="2"/>
    </row>
    <row r="919" spans="2:12" x14ac:dyDescent="0.2">
      <c r="B919" s="436"/>
      <c r="C919" s="15"/>
      <c r="D919" s="15"/>
      <c r="E919" s="86"/>
      <c r="F919" s="16"/>
      <c r="G919" s="571"/>
      <c r="H919" s="11"/>
      <c r="I919" s="248"/>
      <c r="J919" s="248"/>
      <c r="K919" s="631"/>
      <c r="L919" s="2"/>
    </row>
    <row r="920" spans="2:12" x14ac:dyDescent="0.2">
      <c r="B920" s="436" t="s">
        <v>1431</v>
      </c>
      <c r="C920" s="15">
        <f t="shared" ref="C920:C922" si="111">J920</f>
        <v>8.25</v>
      </c>
      <c r="D920" s="15">
        <v>1.25</v>
      </c>
      <c r="E920" s="86">
        <f t="shared" ref="E920:E922" si="112">(C920+D920)*$E$900</f>
        <v>5.7</v>
      </c>
      <c r="F920" s="16">
        <f t="shared" ref="F920:F922" si="113">C920+D920+E920</f>
        <v>15.2</v>
      </c>
      <c r="G920" s="571">
        <f t="shared" ref="G920:G922" si="114">C920+D920</f>
        <v>9.5</v>
      </c>
      <c r="H920" s="11"/>
      <c r="I920" s="248"/>
      <c r="J920" s="248">
        <f>K920*J901</f>
        <v>8.25</v>
      </c>
      <c r="K920" s="631">
        <v>9</v>
      </c>
      <c r="L920" s="2"/>
    </row>
    <row r="921" spans="2:12" x14ac:dyDescent="0.2">
      <c r="B921" s="436" t="s">
        <v>1432</v>
      </c>
      <c r="C921" s="15">
        <f t="shared" si="111"/>
        <v>8.25</v>
      </c>
      <c r="D921" s="15">
        <v>1.25</v>
      </c>
      <c r="E921" s="86">
        <f t="shared" si="112"/>
        <v>5.7</v>
      </c>
      <c r="F921" s="16">
        <f t="shared" si="113"/>
        <v>15.2</v>
      </c>
      <c r="G921" s="571">
        <f t="shared" si="114"/>
        <v>9.5</v>
      </c>
      <c r="H921" s="11"/>
      <c r="I921" s="248"/>
      <c r="J921" s="248">
        <f>K921*J901</f>
        <v>8.25</v>
      </c>
      <c r="K921" s="631">
        <v>9</v>
      </c>
      <c r="L921" s="2"/>
    </row>
    <row r="922" spans="2:12" x14ac:dyDescent="0.2">
      <c r="B922" s="436" t="s">
        <v>1433</v>
      </c>
      <c r="C922" s="15">
        <f t="shared" si="111"/>
        <v>18.333333333333332</v>
      </c>
      <c r="D922" s="15">
        <v>2.25</v>
      </c>
      <c r="E922" s="86">
        <f t="shared" si="112"/>
        <v>12.35</v>
      </c>
      <c r="F922" s="16">
        <f t="shared" si="113"/>
        <v>32.93333333333333</v>
      </c>
      <c r="G922" s="571">
        <f t="shared" si="114"/>
        <v>20.583333333333332</v>
      </c>
      <c r="H922" s="11"/>
      <c r="I922" s="248"/>
      <c r="J922" s="248">
        <f>K922*J901</f>
        <v>18.333333333333332</v>
      </c>
      <c r="K922" s="631">
        <v>20</v>
      </c>
      <c r="L922" s="2"/>
    </row>
    <row r="923" spans="2:12" x14ac:dyDescent="0.2">
      <c r="B923" s="128" t="s">
        <v>1434</v>
      </c>
      <c r="C923" s="15">
        <f>J923</f>
        <v>4.583333333333333</v>
      </c>
      <c r="D923" s="15">
        <v>1.25</v>
      </c>
      <c r="E923" s="86">
        <f>(C923+D923)*$E$900</f>
        <v>3.4999999999999996</v>
      </c>
      <c r="F923" s="16">
        <f>C923+D923+E923</f>
        <v>9.3333333333333321</v>
      </c>
      <c r="G923" s="571">
        <f>C923+D923</f>
        <v>5.833333333333333</v>
      </c>
      <c r="H923" s="11"/>
      <c r="I923" s="248"/>
      <c r="J923" s="248">
        <f>K923*$J$901</f>
        <v>4.583333333333333</v>
      </c>
      <c r="K923" s="631">
        <v>5</v>
      </c>
      <c r="L923" s="2"/>
    </row>
    <row r="924" spans="2:12" x14ac:dyDescent="0.2">
      <c r="B924" s="128" t="s">
        <v>1435</v>
      </c>
      <c r="C924" s="15">
        <f>J924</f>
        <v>8.25</v>
      </c>
      <c r="D924" s="15">
        <v>2.25</v>
      </c>
      <c r="E924" s="86">
        <f>(C924+D924)*$E$900</f>
        <v>6.3</v>
      </c>
      <c r="F924" s="16">
        <f>C924+D924+E924</f>
        <v>16.8</v>
      </c>
      <c r="G924" s="571">
        <f>C924+D924</f>
        <v>10.5</v>
      </c>
      <c r="H924" s="11"/>
      <c r="I924" s="248"/>
      <c r="J924" s="248">
        <f>K924*$J$901</f>
        <v>8.25</v>
      </c>
      <c r="K924" s="631">
        <v>9</v>
      </c>
      <c r="L924" s="2"/>
    </row>
    <row r="925" spans="2:12" x14ac:dyDescent="0.2">
      <c r="B925" s="128" t="s">
        <v>688</v>
      </c>
      <c r="C925" s="15">
        <f>J925</f>
        <v>96.25</v>
      </c>
      <c r="D925" s="15">
        <v>3.25</v>
      </c>
      <c r="E925" s="86">
        <f>(C925+D925)*$E$900</f>
        <v>59.699999999999996</v>
      </c>
      <c r="F925" s="16">
        <f>C925+D925+E925</f>
        <v>159.19999999999999</v>
      </c>
      <c r="G925" s="571">
        <f>C925+D925</f>
        <v>99.5</v>
      </c>
      <c r="H925" s="11"/>
      <c r="I925" s="248"/>
      <c r="J925" s="248">
        <f>K925*$J$901</f>
        <v>96.25</v>
      </c>
      <c r="K925" s="631">
        <v>105</v>
      </c>
      <c r="L925" s="2"/>
    </row>
    <row r="926" spans="2:12" x14ac:dyDescent="0.2">
      <c r="B926" s="449" t="s">
        <v>1436</v>
      </c>
      <c r="C926" s="15"/>
      <c r="D926" s="15"/>
      <c r="E926" s="86"/>
      <c r="F926" s="16"/>
      <c r="G926" s="571"/>
      <c r="H926" s="11"/>
      <c r="I926" s="248"/>
      <c r="J926" s="248"/>
      <c r="K926" s="631"/>
      <c r="L926" s="2"/>
    </row>
    <row r="927" spans="2:12" x14ac:dyDescent="0.2">
      <c r="B927" s="432" t="s">
        <v>687</v>
      </c>
      <c r="C927" s="15">
        <f t="shared" ref="C927:C929" si="115">J927</f>
        <v>82.5</v>
      </c>
      <c r="D927" s="15">
        <v>4.25</v>
      </c>
      <c r="E927" s="86">
        <f t="shared" ref="E927:E929" si="116">(C927+D927)*$E$900</f>
        <v>52.05</v>
      </c>
      <c r="F927" s="16">
        <f t="shared" ref="F927:F929" si="117">C927+D927+E927</f>
        <v>138.80000000000001</v>
      </c>
      <c r="G927" s="571">
        <f t="shared" ref="G927:G929" si="118">C927+D927</f>
        <v>86.75</v>
      </c>
      <c r="H927" s="11"/>
      <c r="I927" s="248"/>
      <c r="J927" s="248">
        <f t="shared" ref="J927:J929" si="119">K927*$J$901</f>
        <v>82.5</v>
      </c>
      <c r="K927" s="631">
        <v>90</v>
      </c>
      <c r="L927" s="2"/>
    </row>
    <row r="928" spans="2:12" x14ac:dyDescent="0.2">
      <c r="B928" s="432" t="s">
        <v>1437</v>
      </c>
      <c r="C928" s="15">
        <f t="shared" si="115"/>
        <v>110</v>
      </c>
      <c r="D928" s="15">
        <v>5.25</v>
      </c>
      <c r="E928" s="86">
        <f t="shared" si="116"/>
        <v>69.149999999999991</v>
      </c>
      <c r="F928" s="16">
        <f t="shared" si="117"/>
        <v>184.39999999999998</v>
      </c>
      <c r="G928" s="571">
        <f t="shared" si="118"/>
        <v>115.25</v>
      </c>
      <c r="H928" s="11"/>
      <c r="I928" s="248"/>
      <c r="J928" s="248">
        <f t="shared" si="119"/>
        <v>110</v>
      </c>
      <c r="K928" s="631">
        <v>120</v>
      </c>
      <c r="L928" s="2"/>
    </row>
    <row r="929" spans="2:12" x14ac:dyDescent="0.2">
      <c r="B929" s="10" t="s">
        <v>1438</v>
      </c>
      <c r="C929" s="15">
        <f t="shared" si="115"/>
        <v>110</v>
      </c>
      <c r="D929" s="15">
        <v>6.25</v>
      </c>
      <c r="E929" s="86">
        <f t="shared" si="116"/>
        <v>69.75</v>
      </c>
      <c r="F929" s="16">
        <f t="shared" si="117"/>
        <v>186</v>
      </c>
      <c r="G929" s="571">
        <f t="shared" si="118"/>
        <v>116.25</v>
      </c>
      <c r="H929" s="11"/>
      <c r="I929" s="248"/>
      <c r="J929" s="248">
        <f t="shared" si="119"/>
        <v>110</v>
      </c>
      <c r="K929" s="631">
        <v>120</v>
      </c>
      <c r="L929" s="2"/>
    </row>
    <row r="930" spans="2:12" x14ac:dyDescent="0.2">
      <c r="B930" s="436"/>
      <c r="C930" s="15"/>
      <c r="D930" s="15"/>
      <c r="E930" s="86"/>
      <c r="F930" s="16"/>
      <c r="G930" s="571"/>
      <c r="H930" s="11"/>
      <c r="I930" s="248"/>
      <c r="J930" s="248"/>
      <c r="K930" s="632"/>
      <c r="L930" s="2"/>
    </row>
    <row r="931" spans="2:12" x14ac:dyDescent="0.2">
      <c r="B931" s="436"/>
      <c r="C931" s="15"/>
      <c r="D931" s="15"/>
      <c r="E931" s="86"/>
      <c r="F931" s="16"/>
      <c r="G931" s="571"/>
      <c r="H931" s="11"/>
      <c r="I931" s="248"/>
      <c r="J931" s="248"/>
      <c r="K931" s="632"/>
      <c r="L931" s="2"/>
    </row>
    <row r="932" spans="2:12" x14ac:dyDescent="0.2">
      <c r="B932" s="436"/>
      <c r="C932" s="15"/>
      <c r="D932" s="15"/>
      <c r="E932" s="86"/>
      <c r="F932" s="16"/>
      <c r="G932" s="571"/>
      <c r="H932" s="11"/>
      <c r="I932" s="248"/>
      <c r="J932" s="248"/>
      <c r="K932" s="632"/>
      <c r="L932" s="2"/>
    </row>
    <row r="933" spans="2:12" x14ac:dyDescent="0.2">
      <c r="B933" s="436"/>
      <c r="C933" s="15"/>
      <c r="D933" s="15"/>
      <c r="E933" s="86"/>
      <c r="F933" s="16"/>
      <c r="G933" s="571"/>
      <c r="H933" s="11"/>
      <c r="I933" s="248"/>
      <c r="J933" s="248"/>
      <c r="K933" s="632"/>
      <c r="L933" s="2"/>
    </row>
    <row r="934" spans="2:12" x14ac:dyDescent="0.2">
      <c r="B934" s="436"/>
      <c r="C934" s="15"/>
      <c r="D934" s="15"/>
      <c r="E934" s="86"/>
      <c r="F934" s="16"/>
      <c r="G934" s="571"/>
      <c r="H934" s="11"/>
      <c r="I934" s="248"/>
      <c r="J934" s="248"/>
      <c r="K934" s="632"/>
      <c r="L934" s="2"/>
    </row>
    <row r="935" spans="2:12" x14ac:dyDescent="0.2">
      <c r="B935" s="436"/>
      <c r="C935" s="15"/>
      <c r="D935" s="15"/>
      <c r="E935" s="86"/>
      <c r="F935" s="16"/>
      <c r="G935" s="571"/>
      <c r="H935" s="11"/>
      <c r="I935" s="248"/>
      <c r="J935" s="248"/>
      <c r="K935" s="632"/>
      <c r="L935" s="2"/>
    </row>
    <row r="936" spans="2:12" x14ac:dyDescent="0.2">
      <c r="B936" s="436"/>
      <c r="C936" s="15"/>
      <c r="D936" s="15"/>
      <c r="E936" s="86"/>
      <c r="F936" s="16"/>
      <c r="G936" s="571"/>
      <c r="H936" s="11"/>
      <c r="I936" s="248"/>
      <c r="J936" s="248"/>
      <c r="K936" s="632"/>
      <c r="L936" s="2"/>
    </row>
    <row r="937" spans="2:12" x14ac:dyDescent="0.2">
      <c r="B937" s="436"/>
      <c r="C937" s="15"/>
      <c r="D937" s="15"/>
      <c r="E937" s="86"/>
      <c r="F937" s="16"/>
      <c r="G937" s="571"/>
      <c r="H937" s="11"/>
      <c r="I937" s="248"/>
      <c r="J937" s="248"/>
      <c r="K937" s="632"/>
      <c r="L937" s="2"/>
    </row>
    <row r="938" spans="2:12" x14ac:dyDescent="0.2">
      <c r="B938" s="436" t="s">
        <v>683</v>
      </c>
      <c r="C938" s="15">
        <f>J901*K938</f>
        <v>4.583333333333333</v>
      </c>
      <c r="D938" s="15">
        <v>1.28</v>
      </c>
      <c r="E938" s="86">
        <f t="shared" si="109"/>
        <v>3.5179999999999998</v>
      </c>
      <c r="F938" s="16">
        <f t="shared" si="110"/>
        <v>9.381333333333334</v>
      </c>
      <c r="G938" s="571">
        <f t="shared" si="108"/>
        <v>5.8633333333333333</v>
      </c>
      <c r="H938" s="11"/>
      <c r="I938" s="248"/>
      <c r="J938" s="248">
        <f>J901*K938</f>
        <v>4.583333333333333</v>
      </c>
      <c r="K938" s="632">
        <v>5</v>
      </c>
      <c r="L938" s="2"/>
    </row>
    <row r="939" spans="2:12" x14ac:dyDescent="0.2">
      <c r="B939" s="436" t="s">
        <v>1439</v>
      </c>
      <c r="C939" s="15">
        <f>J939</f>
        <v>4.583333333333333</v>
      </c>
      <c r="D939" s="15">
        <f>D905/16</f>
        <v>0.859375</v>
      </c>
      <c r="E939" s="86">
        <f t="shared" si="109"/>
        <v>3.2656249999999996</v>
      </c>
      <c r="F939" s="16">
        <f>C939+D939+E939</f>
        <v>8.7083333333333321</v>
      </c>
      <c r="G939" s="571">
        <f t="shared" si="108"/>
        <v>5.442708333333333</v>
      </c>
      <c r="H939" s="11"/>
      <c r="I939" s="248"/>
      <c r="J939" s="248">
        <f>J901*K939</f>
        <v>4.583333333333333</v>
      </c>
      <c r="K939" s="632">
        <v>5</v>
      </c>
      <c r="L939" s="2"/>
    </row>
    <row r="940" spans="2:12" x14ac:dyDescent="0.2">
      <c r="B940" s="436" t="s">
        <v>1440</v>
      </c>
      <c r="C940" s="15">
        <f t="shared" si="107"/>
        <v>13.75</v>
      </c>
      <c r="D940" s="15">
        <f>D901/4</f>
        <v>3</v>
      </c>
      <c r="E940" s="86">
        <f t="shared" si="109"/>
        <v>10.049999999999999</v>
      </c>
      <c r="F940" s="16">
        <f>C940+D940+E940</f>
        <v>26.799999999999997</v>
      </c>
      <c r="G940" s="571">
        <f t="shared" si="108"/>
        <v>16.75</v>
      </c>
      <c r="H940" s="11"/>
      <c r="I940" s="248"/>
      <c r="J940" s="248">
        <f>J901*K940</f>
        <v>13.75</v>
      </c>
      <c r="K940" s="632">
        <v>15</v>
      </c>
      <c r="L940" s="2"/>
    </row>
    <row r="941" spans="2:12" x14ac:dyDescent="0.2">
      <c r="B941" s="436"/>
      <c r="C941" s="15"/>
      <c r="D941" s="15"/>
      <c r="E941" s="86"/>
      <c r="F941" s="16"/>
      <c r="G941" s="571"/>
      <c r="H941" s="11"/>
      <c r="I941" s="248"/>
      <c r="J941" s="248"/>
      <c r="K941" s="632"/>
      <c r="L941" s="2"/>
    </row>
    <row r="942" spans="2:12" x14ac:dyDescent="0.2">
      <c r="B942" s="436"/>
      <c r="C942" s="15"/>
      <c r="D942" s="15"/>
      <c r="E942" s="86"/>
      <c r="F942" s="16"/>
      <c r="G942" s="571"/>
      <c r="H942" s="11"/>
      <c r="I942" s="248"/>
      <c r="J942" s="248"/>
      <c r="K942" s="632"/>
      <c r="L942" s="2"/>
    </row>
    <row r="943" spans="2:12" x14ac:dyDescent="0.2">
      <c r="B943" s="436" t="s">
        <v>1441</v>
      </c>
      <c r="C943" s="15">
        <f t="shared" ref="C943:C959" si="120">J943</f>
        <v>47.666666666666664</v>
      </c>
      <c r="D943" s="15">
        <v>3.3</v>
      </c>
      <c r="E943" s="86">
        <f t="shared" si="109"/>
        <v>30.579999999999995</v>
      </c>
      <c r="F943" s="16">
        <f t="shared" si="110"/>
        <v>81.546666666666653</v>
      </c>
      <c r="G943" s="571">
        <f t="shared" ref="G943:G970" si="121">C943+D943</f>
        <v>50.966666666666661</v>
      </c>
      <c r="H943" s="11"/>
      <c r="I943" s="248"/>
      <c r="J943" s="248">
        <f>K943*J901</f>
        <v>47.666666666666664</v>
      </c>
      <c r="K943" s="632">
        <v>52</v>
      </c>
      <c r="L943" s="2"/>
    </row>
    <row r="944" spans="2:12" x14ac:dyDescent="0.2">
      <c r="B944" s="436" t="s">
        <v>1442</v>
      </c>
      <c r="C944" s="15">
        <f t="shared" si="120"/>
        <v>14.208333333333332</v>
      </c>
      <c r="D944" s="15">
        <v>0.55000000000000004</v>
      </c>
      <c r="E944" s="86">
        <f t="shared" si="109"/>
        <v>8.8549999999999986</v>
      </c>
      <c r="F944" s="16">
        <f t="shared" si="110"/>
        <v>23.61333333333333</v>
      </c>
      <c r="G944" s="571">
        <f t="shared" si="121"/>
        <v>14.758333333333333</v>
      </c>
      <c r="H944" s="11"/>
      <c r="I944" s="248"/>
      <c r="J944" s="248">
        <f>K944*J901</f>
        <v>14.208333333333332</v>
      </c>
      <c r="K944" s="632">
        <v>15.5</v>
      </c>
      <c r="L944" s="2"/>
    </row>
    <row r="945" spans="2:12" x14ac:dyDescent="0.2">
      <c r="B945" s="436" t="s">
        <v>1443</v>
      </c>
      <c r="C945" s="15">
        <f t="shared" si="120"/>
        <v>4.583333333333333</v>
      </c>
      <c r="D945" s="15">
        <v>1.07</v>
      </c>
      <c r="E945" s="86">
        <f t="shared" si="109"/>
        <v>3.3919999999999999</v>
      </c>
      <c r="F945" s="16">
        <f t="shared" si="110"/>
        <v>9.0453333333333337</v>
      </c>
      <c r="G945" s="571">
        <f t="shared" si="121"/>
        <v>5.6533333333333333</v>
      </c>
      <c r="H945" s="11"/>
      <c r="I945" s="248"/>
      <c r="J945" s="248">
        <f>K945*J901</f>
        <v>4.583333333333333</v>
      </c>
      <c r="K945" s="632">
        <v>5</v>
      </c>
      <c r="L945" s="2"/>
    </row>
    <row r="946" spans="2:12" x14ac:dyDescent="0.2">
      <c r="B946" s="436" t="s">
        <v>1444</v>
      </c>
      <c r="C946" s="15">
        <f t="shared" si="120"/>
        <v>3.6666666666666665</v>
      </c>
      <c r="D946" s="15">
        <v>0.55000000000000004</v>
      </c>
      <c r="E946" s="86">
        <f t="shared" si="109"/>
        <v>2.5299999999999998</v>
      </c>
      <c r="F946" s="16">
        <f>C946+D946+E946</f>
        <v>6.7466666666666661</v>
      </c>
      <c r="G946" s="571">
        <f t="shared" si="121"/>
        <v>4.2166666666666668</v>
      </c>
      <c r="H946" s="11"/>
      <c r="I946" s="248"/>
      <c r="J946" s="248">
        <f>K946*J901</f>
        <v>3.6666666666666665</v>
      </c>
      <c r="K946" s="632">
        <v>4</v>
      </c>
      <c r="L946" s="2"/>
    </row>
    <row r="947" spans="2:12" x14ac:dyDescent="0.2">
      <c r="B947" s="436" t="s">
        <v>1445</v>
      </c>
      <c r="C947" s="15">
        <f>J947</f>
        <v>3.6666666666666665</v>
      </c>
      <c r="D947" s="15">
        <v>1.18</v>
      </c>
      <c r="E947" s="86">
        <f t="shared" si="109"/>
        <v>2.9079999999999999</v>
      </c>
      <c r="F947" s="16">
        <f>C947+D947+E947</f>
        <v>7.754666666666667</v>
      </c>
      <c r="G947" s="571">
        <f>C947+D947</f>
        <v>4.8466666666666667</v>
      </c>
      <c r="H947" s="11"/>
      <c r="I947" s="248"/>
      <c r="J947" s="248">
        <f>K947*J901</f>
        <v>3.6666666666666665</v>
      </c>
      <c r="K947" s="632">
        <v>4</v>
      </c>
      <c r="L947" s="2"/>
    </row>
    <row r="948" spans="2:12" x14ac:dyDescent="0.2">
      <c r="B948" s="436"/>
      <c r="C948" s="15"/>
      <c r="D948" s="15"/>
      <c r="E948" s="86"/>
      <c r="F948" s="16"/>
      <c r="G948" s="571"/>
      <c r="H948" s="11"/>
      <c r="I948" s="248"/>
      <c r="J948" s="248"/>
      <c r="K948" s="632"/>
      <c r="L948" s="2"/>
    </row>
    <row r="949" spans="2:12" x14ac:dyDescent="0.2">
      <c r="B949" s="633" t="s">
        <v>1446</v>
      </c>
      <c r="C949" s="15">
        <f t="shared" si="120"/>
        <v>24.997499999999999</v>
      </c>
      <c r="D949" s="15"/>
      <c r="E949" s="86">
        <f t="shared" si="109"/>
        <v>14.998499999999998</v>
      </c>
      <c r="F949" s="16">
        <f t="shared" si="110"/>
        <v>39.995999999999995</v>
      </c>
      <c r="G949" s="571">
        <f t="shared" si="121"/>
        <v>24.997499999999999</v>
      </c>
      <c r="H949" s="11"/>
      <c r="I949" s="248"/>
      <c r="J949" s="248">
        <f>K949*J901</f>
        <v>24.997499999999999</v>
      </c>
      <c r="K949" s="630">
        <v>27.27</v>
      </c>
      <c r="L949" s="2"/>
    </row>
    <row r="950" spans="2:12" x14ac:dyDescent="0.2">
      <c r="B950" s="633" t="s">
        <v>1447</v>
      </c>
      <c r="C950" s="15">
        <f t="shared" si="120"/>
        <v>21.45</v>
      </c>
      <c r="D950" s="15"/>
      <c r="E950" s="86">
        <f t="shared" si="109"/>
        <v>12.87</v>
      </c>
      <c r="F950" s="16">
        <f t="shared" si="110"/>
        <v>34.32</v>
      </c>
      <c r="G950" s="571">
        <f t="shared" si="121"/>
        <v>21.45</v>
      </c>
      <c r="H950" s="11"/>
      <c r="I950" s="248"/>
      <c r="J950" s="248">
        <f>K950*J901</f>
        <v>21.45</v>
      </c>
      <c r="K950" s="630">
        <v>23.4</v>
      </c>
      <c r="L950" s="2"/>
    </row>
    <row r="951" spans="2:12" x14ac:dyDescent="0.2">
      <c r="B951" s="633" t="s">
        <v>1448</v>
      </c>
      <c r="C951" s="15">
        <f t="shared" si="120"/>
        <v>12.998333333333333</v>
      </c>
      <c r="D951" s="15"/>
      <c r="E951" s="86">
        <f t="shared" si="109"/>
        <v>7.7989999999999995</v>
      </c>
      <c r="F951" s="16">
        <f t="shared" si="110"/>
        <v>20.797333333333334</v>
      </c>
      <c r="G951" s="571">
        <f t="shared" si="121"/>
        <v>12.998333333333333</v>
      </c>
      <c r="H951" s="11"/>
      <c r="I951" s="248"/>
      <c r="J951" s="248">
        <f>K951*J901</f>
        <v>12.998333333333333</v>
      </c>
      <c r="K951" s="630">
        <v>14.18</v>
      </c>
      <c r="L951" s="2"/>
    </row>
    <row r="952" spans="2:12" x14ac:dyDescent="0.2">
      <c r="B952" s="436"/>
      <c r="C952" s="15"/>
      <c r="D952" s="15"/>
      <c r="E952" s="86"/>
      <c r="F952" s="16"/>
      <c r="G952" s="571"/>
      <c r="H952" s="11"/>
      <c r="I952" s="248"/>
      <c r="J952" s="248"/>
      <c r="K952" s="632"/>
      <c r="L952" s="2"/>
    </row>
    <row r="953" spans="2:12" x14ac:dyDescent="0.2">
      <c r="B953" s="436"/>
      <c r="C953" s="15"/>
      <c r="D953" s="15"/>
      <c r="E953" s="86"/>
      <c r="F953" s="16"/>
      <c r="G953" s="571"/>
      <c r="H953" s="11"/>
      <c r="I953" s="248"/>
      <c r="J953" s="248"/>
      <c r="K953" s="632"/>
      <c r="L953" s="2"/>
    </row>
    <row r="954" spans="2:12" x14ac:dyDescent="0.2">
      <c r="B954" s="436" t="s">
        <v>1449</v>
      </c>
      <c r="C954" s="15">
        <f t="shared" si="120"/>
        <v>13.75</v>
      </c>
      <c r="D954" s="15">
        <f>F901/2</f>
        <v>60.99</v>
      </c>
      <c r="E954" s="86">
        <f t="shared" si="109"/>
        <v>44.844000000000001</v>
      </c>
      <c r="F954" s="16">
        <f t="shared" si="110"/>
        <v>119.584</v>
      </c>
      <c r="G954" s="571">
        <f t="shared" si="121"/>
        <v>74.740000000000009</v>
      </c>
      <c r="H954" s="11"/>
      <c r="I954" s="248"/>
      <c r="J954" s="248">
        <f>K954*J901</f>
        <v>13.75</v>
      </c>
      <c r="K954" s="632">
        <v>15</v>
      </c>
      <c r="L954" s="2"/>
    </row>
    <row r="955" spans="2:12" x14ac:dyDescent="0.2">
      <c r="B955" s="477" t="s">
        <v>682</v>
      </c>
      <c r="C955" s="15">
        <f t="shared" si="120"/>
        <v>5.5</v>
      </c>
      <c r="D955" s="15">
        <v>0.55000000000000004</v>
      </c>
      <c r="E955" s="86">
        <f t="shared" si="109"/>
        <v>3.63</v>
      </c>
      <c r="F955" s="16">
        <f t="shared" si="110"/>
        <v>9.68</v>
      </c>
      <c r="G955" s="571">
        <f t="shared" si="121"/>
        <v>6.05</v>
      </c>
      <c r="H955" s="11"/>
      <c r="I955" s="10"/>
      <c r="J955" s="15">
        <f>K955*J901</f>
        <v>5.5</v>
      </c>
      <c r="K955" s="632">
        <v>6</v>
      </c>
      <c r="L955" s="2"/>
    </row>
    <row r="956" spans="2:12" x14ac:dyDescent="0.2">
      <c r="B956" s="436" t="s">
        <v>1450</v>
      </c>
      <c r="C956" s="15">
        <f t="shared" si="120"/>
        <v>2.75</v>
      </c>
      <c r="D956" s="15">
        <v>0.21</v>
      </c>
      <c r="E956" s="86">
        <f t="shared" si="109"/>
        <v>1.776</v>
      </c>
      <c r="F956" s="16">
        <f t="shared" si="110"/>
        <v>4.7359999999999998</v>
      </c>
      <c r="G956" s="571">
        <f t="shared" si="121"/>
        <v>2.96</v>
      </c>
      <c r="H956" s="11"/>
      <c r="I956" s="10"/>
      <c r="J956" s="15">
        <f>K956*J901</f>
        <v>2.75</v>
      </c>
      <c r="K956" s="632">
        <v>3</v>
      </c>
      <c r="L956" s="2"/>
    </row>
    <row r="957" spans="2:12" x14ac:dyDescent="0.2">
      <c r="B957" s="436" t="s">
        <v>1451</v>
      </c>
      <c r="C957" s="15">
        <f t="shared" si="120"/>
        <v>27.5</v>
      </c>
      <c r="D957" s="15">
        <f>D901/4</f>
        <v>3</v>
      </c>
      <c r="E957" s="86">
        <f t="shared" si="109"/>
        <v>18.3</v>
      </c>
      <c r="F957" s="16">
        <f t="shared" si="110"/>
        <v>48.8</v>
      </c>
      <c r="G957" s="571">
        <f t="shared" si="121"/>
        <v>30.5</v>
      </c>
      <c r="H957" s="11"/>
      <c r="I957" s="10"/>
      <c r="J957" s="15">
        <f>K957*J901</f>
        <v>27.5</v>
      </c>
      <c r="K957" s="632">
        <v>30</v>
      </c>
      <c r="L957" s="2"/>
    </row>
    <row r="958" spans="2:12" x14ac:dyDescent="0.2">
      <c r="B958" s="436" t="s">
        <v>1452</v>
      </c>
      <c r="C958" s="15">
        <f>J901*K958</f>
        <v>27.5</v>
      </c>
      <c r="D958" s="15">
        <v>3.11</v>
      </c>
      <c r="E958" s="86">
        <f t="shared" si="109"/>
        <v>18.366</v>
      </c>
      <c r="F958" s="16">
        <f t="shared" si="110"/>
        <v>48.975999999999999</v>
      </c>
      <c r="G958" s="571">
        <f t="shared" si="121"/>
        <v>30.61</v>
      </c>
      <c r="H958" s="11"/>
      <c r="I958" s="10"/>
      <c r="J958" s="15">
        <f>K958*J901</f>
        <v>27.5</v>
      </c>
      <c r="K958" s="632">
        <v>30</v>
      </c>
      <c r="L958" s="2"/>
    </row>
    <row r="959" spans="2:12" x14ac:dyDescent="0.2">
      <c r="B959" s="436" t="s">
        <v>1453</v>
      </c>
      <c r="C959" s="15">
        <f t="shared" si="120"/>
        <v>27.5</v>
      </c>
      <c r="D959" s="15">
        <v>1.98</v>
      </c>
      <c r="E959" s="86">
        <f t="shared" si="109"/>
        <v>17.687999999999999</v>
      </c>
      <c r="F959" s="16">
        <f t="shared" si="110"/>
        <v>47.167999999999999</v>
      </c>
      <c r="G959" s="571">
        <f t="shared" si="121"/>
        <v>29.48</v>
      </c>
      <c r="H959" s="11"/>
      <c r="I959" s="10"/>
      <c r="J959" s="15">
        <f>K959*J901</f>
        <v>27.5</v>
      </c>
      <c r="K959" s="632">
        <v>30</v>
      </c>
      <c r="L959" s="2"/>
    </row>
    <row r="960" spans="2:12" x14ac:dyDescent="0.2">
      <c r="B960" s="436" t="s">
        <v>1454</v>
      </c>
      <c r="C960" s="15">
        <f>J960</f>
        <v>7.333333333333333</v>
      </c>
      <c r="D960" s="15">
        <f>D901/4</f>
        <v>3</v>
      </c>
      <c r="E960" s="86">
        <f t="shared" si="109"/>
        <v>6.1999999999999993</v>
      </c>
      <c r="F960" s="16">
        <f t="shared" si="110"/>
        <v>16.533333333333331</v>
      </c>
      <c r="G960" s="571">
        <f t="shared" si="121"/>
        <v>10.333333333333332</v>
      </c>
      <c r="H960" s="11"/>
      <c r="I960" s="10"/>
      <c r="J960" s="15">
        <f>J901*K960</f>
        <v>7.333333333333333</v>
      </c>
      <c r="K960" s="632">
        <v>8</v>
      </c>
      <c r="L960" s="2"/>
    </row>
    <row r="961" spans="2:12" x14ac:dyDescent="0.2">
      <c r="B961" s="436" t="s">
        <v>1455</v>
      </c>
      <c r="C961" s="15">
        <f>C960+C958*2</f>
        <v>62.333333333333336</v>
      </c>
      <c r="D961" s="15">
        <f>D960+D958</f>
        <v>6.1099999999999994</v>
      </c>
      <c r="E961" s="86">
        <f t="shared" si="109"/>
        <v>41.065999999999995</v>
      </c>
      <c r="F961" s="16">
        <f t="shared" si="110"/>
        <v>109.50933333333333</v>
      </c>
      <c r="G961" s="571">
        <f t="shared" si="121"/>
        <v>68.443333333333328</v>
      </c>
      <c r="H961" s="11"/>
      <c r="I961" s="10"/>
      <c r="J961" s="15"/>
      <c r="K961" s="632"/>
      <c r="L961" s="2"/>
    </row>
    <row r="962" spans="2:12" x14ac:dyDescent="0.2">
      <c r="B962" s="436"/>
      <c r="C962" s="15"/>
      <c r="D962" s="15"/>
      <c r="E962" s="86"/>
      <c r="F962" s="16"/>
      <c r="G962" s="571"/>
      <c r="H962" s="11"/>
      <c r="I962" s="10"/>
      <c r="J962" s="15"/>
      <c r="K962" s="632"/>
      <c r="L962" s="2"/>
    </row>
    <row r="963" spans="2:12" x14ac:dyDescent="0.2">
      <c r="B963" s="436"/>
      <c r="C963" s="15"/>
      <c r="D963" s="15"/>
      <c r="E963" s="86"/>
      <c r="F963" s="16"/>
      <c r="G963" s="571"/>
      <c r="H963" s="11"/>
      <c r="I963" s="10"/>
      <c r="J963" s="15"/>
      <c r="K963" s="632"/>
      <c r="L963" s="2"/>
    </row>
    <row r="964" spans="2:12" x14ac:dyDescent="0.2">
      <c r="B964" s="436"/>
      <c r="C964" s="15"/>
      <c r="D964" s="15"/>
      <c r="E964" s="86"/>
      <c r="F964" s="16"/>
      <c r="G964" s="571"/>
      <c r="H964" s="11"/>
      <c r="I964" s="10"/>
      <c r="J964" s="15"/>
      <c r="K964" s="632"/>
      <c r="L964" s="2"/>
    </row>
    <row r="965" spans="2:12" x14ac:dyDescent="0.2">
      <c r="B965" s="436" t="s">
        <v>1456</v>
      </c>
      <c r="C965" s="15">
        <f>J965</f>
        <v>22.916666666666664</v>
      </c>
      <c r="D965" s="15">
        <f t="shared" ref="D965" si="122">D964+D962</f>
        <v>0</v>
      </c>
      <c r="E965" s="86">
        <f t="shared" ref="E965" si="123">(C965+D965)*$E$900</f>
        <v>13.749999999999998</v>
      </c>
      <c r="F965" s="16">
        <f t="shared" ref="F965" si="124">C965+D965+E965</f>
        <v>36.666666666666664</v>
      </c>
      <c r="G965" s="571"/>
      <c r="H965" s="11"/>
      <c r="I965" s="10"/>
      <c r="J965" s="15">
        <f>K965*J901</f>
        <v>22.916666666666664</v>
      </c>
      <c r="K965" s="632">
        <v>25</v>
      </c>
      <c r="L965" s="2"/>
    </row>
    <row r="966" spans="2:12" x14ac:dyDescent="0.2">
      <c r="B966" s="436" t="s">
        <v>1457</v>
      </c>
      <c r="C966" s="15">
        <f>J966</f>
        <v>22.916666666666664</v>
      </c>
      <c r="D966" s="15"/>
      <c r="E966" s="86">
        <f t="shared" si="109"/>
        <v>13.749999999999998</v>
      </c>
      <c r="F966" s="16">
        <f t="shared" si="110"/>
        <v>36.666666666666664</v>
      </c>
      <c r="G966" s="571">
        <f t="shared" si="121"/>
        <v>22.916666666666664</v>
      </c>
      <c r="H966" s="11"/>
      <c r="I966" s="10"/>
      <c r="J966" s="15">
        <f>K966*J901</f>
        <v>22.916666666666664</v>
      </c>
      <c r="K966" s="632">
        <v>25</v>
      </c>
      <c r="L966" s="2"/>
    </row>
    <row r="967" spans="2:12" x14ac:dyDescent="0.2">
      <c r="B967" s="436" t="s">
        <v>1458</v>
      </c>
      <c r="C967" s="15">
        <f>J967</f>
        <v>22.916666666666664</v>
      </c>
      <c r="D967" s="15"/>
      <c r="E967" s="86">
        <f t="shared" si="109"/>
        <v>13.749999999999998</v>
      </c>
      <c r="F967" s="16">
        <f t="shared" si="110"/>
        <v>36.666666666666664</v>
      </c>
      <c r="G967" s="571">
        <f t="shared" si="121"/>
        <v>22.916666666666664</v>
      </c>
      <c r="H967" s="11"/>
      <c r="I967" s="10"/>
      <c r="J967" s="15">
        <f>K967*J901</f>
        <v>22.916666666666664</v>
      </c>
      <c r="K967" s="632">
        <v>25</v>
      </c>
      <c r="L967" s="2"/>
    </row>
    <row r="968" spans="2:12" x14ac:dyDescent="0.2">
      <c r="B968" s="436" t="s">
        <v>545</v>
      </c>
      <c r="C968" s="15">
        <f>K968</f>
        <v>1</v>
      </c>
      <c r="D968" s="15"/>
      <c r="E968" s="86">
        <f t="shared" si="109"/>
        <v>0.6</v>
      </c>
      <c r="F968" s="16">
        <f t="shared" si="110"/>
        <v>1.6</v>
      </c>
      <c r="G968" s="571">
        <f t="shared" si="121"/>
        <v>1</v>
      </c>
      <c r="H968" s="11"/>
      <c r="I968" s="10"/>
      <c r="J968" s="15">
        <f>K968*$J$901</f>
        <v>0.91666666666666663</v>
      </c>
      <c r="K968" s="632">
        <v>1</v>
      </c>
      <c r="L968" s="2"/>
    </row>
    <row r="969" spans="2:12" x14ac:dyDescent="0.2">
      <c r="B969" s="436" t="s">
        <v>1459</v>
      </c>
      <c r="C969" s="15">
        <f>J969</f>
        <v>14.666666666666666</v>
      </c>
      <c r="D969" s="15">
        <f>D956*8</f>
        <v>1.68</v>
      </c>
      <c r="E969" s="86">
        <f t="shared" si="109"/>
        <v>9.8079999999999998</v>
      </c>
      <c r="F969" s="16">
        <f t="shared" si="110"/>
        <v>26.154666666666667</v>
      </c>
      <c r="G969" s="571">
        <f t="shared" si="121"/>
        <v>16.346666666666668</v>
      </c>
      <c r="H969" s="11"/>
      <c r="I969" s="10"/>
      <c r="J969" s="15">
        <f>K969*J901</f>
        <v>14.666666666666666</v>
      </c>
      <c r="K969" s="632">
        <v>16</v>
      </c>
      <c r="L969" s="2"/>
    </row>
    <row r="970" spans="2:12" x14ac:dyDescent="0.2">
      <c r="B970" s="436" t="s">
        <v>517</v>
      </c>
      <c r="C970" s="15">
        <f>J970</f>
        <v>440</v>
      </c>
      <c r="D970" s="15">
        <f>C907+C901</f>
        <v>157.5</v>
      </c>
      <c r="E970" s="86">
        <f t="shared" si="109"/>
        <v>358.5</v>
      </c>
      <c r="F970" s="16">
        <f t="shared" si="110"/>
        <v>956</v>
      </c>
      <c r="G970" s="571">
        <f t="shared" si="121"/>
        <v>597.5</v>
      </c>
      <c r="H970" s="11"/>
      <c r="I970" s="634"/>
      <c r="J970" s="634">
        <f>K970*J901</f>
        <v>440</v>
      </c>
      <c r="K970" s="634">
        <v>480</v>
      </c>
      <c r="L970" s="189"/>
    </row>
    <row r="971" spans="2:12" x14ac:dyDescent="0.2">
      <c r="B971" s="450"/>
      <c r="C971" s="97"/>
      <c r="D971" s="97"/>
      <c r="E971" s="86"/>
      <c r="F971" s="87"/>
      <c r="G971" s="635"/>
      <c r="H971" s="437"/>
      <c r="I971" s="636"/>
      <c r="J971" s="636"/>
      <c r="K971" s="636"/>
      <c r="L971" s="189"/>
    </row>
    <row r="972" spans="2:12" x14ac:dyDescent="0.2">
      <c r="B972" s="450"/>
      <c r="C972" s="97"/>
      <c r="D972" s="97"/>
      <c r="E972" s="86"/>
      <c r="F972" s="87"/>
      <c r="G972" s="635"/>
      <c r="H972" s="437"/>
      <c r="I972" s="636"/>
      <c r="J972" s="636"/>
      <c r="K972" s="636"/>
      <c r="L972" s="189"/>
    </row>
    <row r="973" spans="2:12" x14ac:dyDescent="0.2">
      <c r="B973" s="450"/>
      <c r="C973" s="97"/>
      <c r="D973" s="97"/>
      <c r="E973" s="86"/>
      <c r="F973" s="87"/>
      <c r="G973" s="635"/>
      <c r="H973" s="437"/>
      <c r="I973" s="636"/>
      <c r="J973" s="636"/>
      <c r="K973" s="636"/>
      <c r="L973" s="189"/>
    </row>
    <row r="974" spans="2:12" ht="13.5" thickBot="1" x14ac:dyDescent="0.25">
      <c r="B974" s="456"/>
      <c r="C974" s="457"/>
      <c r="D974" s="457"/>
      <c r="E974" s="86">
        <f t="shared" si="109"/>
        <v>0</v>
      </c>
      <c r="F974" s="459"/>
      <c r="G974" s="456"/>
      <c r="H974" s="599"/>
      <c r="I974" s="637"/>
      <c r="J974" s="637"/>
      <c r="K974" s="637"/>
      <c r="L974" s="189"/>
    </row>
    <row r="975" spans="2:12" ht="13.5" thickTop="1" x14ac:dyDescent="0.2">
      <c r="B975" s="189"/>
      <c r="C975" s="165"/>
      <c r="D975" s="165"/>
      <c r="E975" s="165"/>
      <c r="F975" s="165"/>
      <c r="G975" s="189"/>
      <c r="H975" s="189"/>
      <c r="I975" s="638"/>
      <c r="J975" s="638"/>
      <c r="K975" s="638"/>
      <c r="L975" s="189"/>
    </row>
    <row r="976" spans="2:12" ht="13.5" thickBot="1" x14ac:dyDescent="0.25">
      <c r="B976" s="189"/>
      <c r="C976" s="165"/>
      <c r="D976" s="165"/>
      <c r="E976" s="165"/>
      <c r="F976" s="165"/>
      <c r="G976" s="189"/>
      <c r="H976" s="189"/>
      <c r="I976" s="638"/>
      <c r="J976" s="638"/>
      <c r="K976" s="638"/>
      <c r="L976" s="189"/>
    </row>
    <row r="977" spans="2:12" ht="15.75" thickTop="1" x14ac:dyDescent="0.25">
      <c r="B977" s="639" t="s">
        <v>1460</v>
      </c>
      <c r="C977" s="453"/>
      <c r="D977" s="453"/>
      <c r="E977" s="453"/>
      <c r="F977" s="455"/>
      <c r="G977" s="189"/>
      <c r="H977" s="189"/>
      <c r="I977" s="638"/>
      <c r="J977" s="638"/>
      <c r="K977" s="638"/>
      <c r="L977" s="189"/>
    </row>
    <row r="978" spans="2:12" x14ac:dyDescent="0.2">
      <c r="B978" s="436"/>
      <c r="C978" s="15"/>
      <c r="D978" s="15"/>
      <c r="E978" s="15"/>
      <c r="F978" s="16"/>
      <c r="G978" s="189"/>
      <c r="H978" s="189"/>
      <c r="I978" s="638"/>
      <c r="J978" s="638"/>
      <c r="K978" s="638"/>
      <c r="L978" s="189"/>
    </row>
    <row r="979" spans="2:12" x14ac:dyDescent="0.2">
      <c r="B979" s="436" t="s">
        <v>1461</v>
      </c>
      <c r="C979" s="15">
        <v>50</v>
      </c>
      <c r="E979" s="15">
        <f>$E$6*C979</f>
        <v>30</v>
      </c>
      <c r="F979" s="16">
        <f>C979+E979</f>
        <v>80</v>
      </c>
      <c r="G979" s="189"/>
      <c r="H979" s="189"/>
      <c r="I979" s="638"/>
      <c r="J979" s="638"/>
      <c r="K979" s="638"/>
      <c r="L979" s="189"/>
    </row>
    <row r="980" spans="2:12" x14ac:dyDescent="0.2">
      <c r="B980" s="436" t="s">
        <v>1462</v>
      </c>
      <c r="C980" s="15">
        <v>60</v>
      </c>
      <c r="D980" s="15"/>
      <c r="E980" s="15">
        <f t="shared" ref="E980:E1005" si="125">$E$6*C980</f>
        <v>36</v>
      </c>
      <c r="F980" s="16">
        <f t="shared" ref="F980:F1005" si="126">C980+E980</f>
        <v>96</v>
      </c>
      <c r="G980" s="189"/>
      <c r="H980" s="189"/>
      <c r="I980" s="638"/>
      <c r="J980" s="638"/>
      <c r="K980" s="638"/>
      <c r="L980" s="189"/>
    </row>
    <row r="981" spans="2:12" x14ac:dyDescent="0.2">
      <c r="B981" s="436" t="s">
        <v>545</v>
      </c>
      <c r="C981" s="15">
        <v>70</v>
      </c>
      <c r="D981" s="15"/>
      <c r="E981" s="15">
        <f t="shared" si="125"/>
        <v>42</v>
      </c>
      <c r="F981" s="16">
        <f t="shared" si="126"/>
        <v>112</v>
      </c>
      <c r="G981" s="189"/>
      <c r="H981" s="189"/>
      <c r="I981" s="638"/>
      <c r="J981" s="638"/>
      <c r="K981" s="638"/>
      <c r="L981" s="189"/>
    </row>
    <row r="982" spans="2:12" x14ac:dyDescent="0.2">
      <c r="B982" s="436"/>
      <c r="C982" s="15"/>
      <c r="D982" s="15"/>
      <c r="E982" s="15">
        <f t="shared" si="125"/>
        <v>0</v>
      </c>
      <c r="F982" s="16">
        <f t="shared" si="126"/>
        <v>0</v>
      </c>
      <c r="G982" s="189"/>
      <c r="H982" s="189"/>
      <c r="I982" s="638"/>
      <c r="J982" s="638"/>
      <c r="K982" s="638"/>
      <c r="L982" s="189"/>
    </row>
    <row r="983" spans="2:12" x14ac:dyDescent="0.2">
      <c r="B983" s="436" t="s">
        <v>1463</v>
      </c>
      <c r="C983" s="15">
        <v>50</v>
      </c>
      <c r="D983" s="15"/>
      <c r="E983" s="15">
        <f t="shared" si="125"/>
        <v>30</v>
      </c>
      <c r="F983" s="16">
        <f t="shared" si="126"/>
        <v>80</v>
      </c>
      <c r="G983" s="189"/>
      <c r="H983" s="189"/>
      <c r="I983" s="638"/>
      <c r="J983" s="638"/>
      <c r="K983" s="638"/>
      <c r="L983" s="189"/>
    </row>
    <row r="984" spans="2:12" x14ac:dyDescent="0.2">
      <c r="B984" s="436" t="s">
        <v>1464</v>
      </c>
      <c r="C984" s="15">
        <v>55</v>
      </c>
      <c r="D984" s="15"/>
      <c r="E984" s="15">
        <f t="shared" si="125"/>
        <v>33</v>
      </c>
      <c r="F984" s="16">
        <f t="shared" si="126"/>
        <v>88</v>
      </c>
      <c r="G984" s="189"/>
      <c r="H984" s="189"/>
      <c r="I984" s="638"/>
      <c r="J984" s="638"/>
      <c r="K984" s="638"/>
      <c r="L984" s="189"/>
    </row>
    <row r="985" spans="2:12" x14ac:dyDescent="0.2">
      <c r="B985" s="436"/>
      <c r="C985" s="15"/>
      <c r="D985" s="15"/>
      <c r="E985" s="15">
        <f t="shared" si="125"/>
        <v>0</v>
      </c>
      <c r="F985" s="16">
        <f t="shared" si="126"/>
        <v>0</v>
      </c>
      <c r="G985" s="189"/>
      <c r="H985" s="189"/>
      <c r="I985" s="638"/>
      <c r="J985" s="638"/>
      <c r="K985" s="638"/>
      <c r="L985" s="189"/>
    </row>
    <row r="986" spans="2:12" x14ac:dyDescent="0.2">
      <c r="B986" s="11" t="s">
        <v>1465</v>
      </c>
      <c r="C986" s="15">
        <v>70</v>
      </c>
      <c r="D986" s="15"/>
      <c r="E986" s="15">
        <f t="shared" si="125"/>
        <v>42</v>
      </c>
      <c r="F986" s="16">
        <f t="shared" si="126"/>
        <v>112</v>
      </c>
      <c r="G986" s="189"/>
      <c r="H986" s="189"/>
      <c r="I986" s="638"/>
      <c r="J986" s="638"/>
      <c r="K986" s="638"/>
      <c r="L986" s="189"/>
    </row>
    <row r="987" spans="2:12" x14ac:dyDescent="0.2">
      <c r="B987" s="11" t="s">
        <v>1466</v>
      </c>
      <c r="C987" s="15">
        <v>70</v>
      </c>
      <c r="D987" s="15"/>
      <c r="E987" s="15">
        <f t="shared" si="125"/>
        <v>42</v>
      </c>
      <c r="F987" s="16">
        <f t="shared" si="126"/>
        <v>112</v>
      </c>
      <c r="G987" s="189"/>
      <c r="H987" s="189"/>
      <c r="I987" s="638"/>
      <c r="J987" s="638"/>
      <c r="K987" s="638"/>
      <c r="L987" s="189"/>
    </row>
    <row r="988" spans="2:12" x14ac:dyDescent="0.2">
      <c r="B988" s="440"/>
      <c r="C988" s="15"/>
      <c r="D988" s="15"/>
      <c r="E988" s="15"/>
      <c r="F988" s="16"/>
      <c r="G988" s="189"/>
      <c r="H988" s="189"/>
      <c r="I988" s="638"/>
      <c r="J988" s="638"/>
      <c r="K988" s="638"/>
      <c r="L988" s="189"/>
    </row>
    <row r="989" spans="2:12" x14ac:dyDescent="0.2">
      <c r="B989" s="436" t="s">
        <v>1467</v>
      </c>
      <c r="C989" s="15">
        <v>5</v>
      </c>
      <c r="D989" s="15"/>
      <c r="E989" s="15">
        <f t="shared" si="125"/>
        <v>3</v>
      </c>
      <c r="F989" s="16">
        <f t="shared" si="126"/>
        <v>8</v>
      </c>
      <c r="G989" s="189"/>
      <c r="H989" s="189"/>
      <c r="I989" s="638"/>
      <c r="J989" s="638"/>
      <c r="K989" s="638"/>
      <c r="L989" s="189"/>
    </row>
    <row r="990" spans="2:12" x14ac:dyDescent="0.2">
      <c r="B990" s="436"/>
      <c r="C990" s="15"/>
      <c r="D990" s="15"/>
      <c r="E990" s="15">
        <f t="shared" si="125"/>
        <v>0</v>
      </c>
      <c r="F990" s="16">
        <f t="shared" si="126"/>
        <v>0</v>
      </c>
      <c r="G990" s="189"/>
      <c r="H990" s="189"/>
      <c r="I990" s="638"/>
      <c r="J990" s="638"/>
      <c r="K990" s="638"/>
      <c r="L990" s="189"/>
    </row>
    <row r="991" spans="2:12" x14ac:dyDescent="0.2">
      <c r="B991" s="436" t="s">
        <v>1468</v>
      </c>
      <c r="C991" s="15">
        <v>45</v>
      </c>
      <c r="D991" s="15"/>
      <c r="E991" s="15">
        <f t="shared" si="125"/>
        <v>27</v>
      </c>
      <c r="F991" s="16">
        <f t="shared" si="126"/>
        <v>72</v>
      </c>
      <c r="G991" s="189"/>
      <c r="H991" s="189"/>
      <c r="I991" s="638"/>
      <c r="J991" s="638"/>
      <c r="K991" s="638"/>
      <c r="L991" s="189"/>
    </row>
    <row r="992" spans="2:12" x14ac:dyDescent="0.2">
      <c r="B992" s="436" t="s">
        <v>1469</v>
      </c>
      <c r="C992" s="15">
        <v>35</v>
      </c>
      <c r="D992" s="15"/>
      <c r="E992" s="15">
        <f t="shared" si="125"/>
        <v>21</v>
      </c>
      <c r="F992" s="16">
        <f t="shared" si="126"/>
        <v>56</v>
      </c>
      <c r="G992" s="189"/>
      <c r="H992" s="189"/>
      <c r="I992" s="638"/>
      <c r="J992" s="638"/>
      <c r="K992" s="638"/>
      <c r="L992" s="189"/>
    </row>
    <row r="993" spans="2:12" x14ac:dyDescent="0.2">
      <c r="B993" s="436"/>
      <c r="C993" s="15"/>
      <c r="D993" s="15"/>
      <c r="E993" s="15">
        <f t="shared" si="125"/>
        <v>0</v>
      </c>
      <c r="F993" s="16">
        <f t="shared" si="126"/>
        <v>0</v>
      </c>
      <c r="G993" s="189"/>
      <c r="H993" s="189"/>
      <c r="I993" s="638"/>
      <c r="J993" s="638"/>
      <c r="K993" s="638"/>
      <c r="L993" s="189"/>
    </row>
    <row r="994" spans="2:12" ht="13.5" thickBot="1" x14ac:dyDescent="0.25">
      <c r="B994" s="456"/>
      <c r="C994" s="457"/>
      <c r="D994" s="97"/>
      <c r="E994" s="97">
        <f t="shared" si="125"/>
        <v>0</v>
      </c>
      <c r="F994" s="87">
        <f t="shared" si="126"/>
        <v>0</v>
      </c>
      <c r="G994" s="189"/>
      <c r="H994" s="189"/>
      <c r="I994" s="638"/>
      <c r="J994" s="638"/>
      <c r="K994" s="638"/>
      <c r="L994" s="189"/>
    </row>
    <row r="995" spans="2:12" ht="13.5" thickTop="1" x14ac:dyDescent="0.2">
      <c r="B995" s="189"/>
      <c r="C995" s="165"/>
      <c r="D995" s="640"/>
      <c r="E995" s="640"/>
      <c r="F995" s="640"/>
      <c r="G995" s="189"/>
      <c r="H995" s="189"/>
      <c r="I995" s="638"/>
      <c r="J995" s="638"/>
      <c r="K995" s="638"/>
      <c r="L995" s="189"/>
    </row>
    <row r="996" spans="2:12" ht="13.5" thickBot="1" x14ac:dyDescent="0.25">
      <c r="B996" s="189"/>
      <c r="C996" s="165"/>
      <c r="D996" s="165"/>
      <c r="E996" s="165"/>
      <c r="F996" s="165"/>
      <c r="G996" s="189"/>
      <c r="H996" s="189"/>
      <c r="I996" s="638"/>
      <c r="J996" s="638"/>
      <c r="K996" s="638"/>
      <c r="L996" s="189"/>
    </row>
    <row r="997" spans="2:12" ht="13.5" thickTop="1" x14ac:dyDescent="0.2">
      <c r="B997" s="452" t="s">
        <v>1470</v>
      </c>
      <c r="C997" s="453"/>
      <c r="D997" s="453"/>
      <c r="E997" s="453">
        <f t="shared" si="125"/>
        <v>0</v>
      </c>
      <c r="F997" s="455">
        <f t="shared" si="126"/>
        <v>0</v>
      </c>
      <c r="G997" s="189"/>
      <c r="H997" s="189"/>
      <c r="I997" s="638"/>
      <c r="J997" s="638"/>
      <c r="K997" s="638"/>
      <c r="L997" s="189"/>
    </row>
    <row r="998" spans="2:12" x14ac:dyDescent="0.2">
      <c r="B998" s="493"/>
      <c r="C998" s="154"/>
      <c r="D998" s="154"/>
      <c r="E998" s="154"/>
      <c r="F998" s="155"/>
      <c r="G998" s="189"/>
      <c r="H998" s="189"/>
      <c r="I998" s="638"/>
      <c r="J998" s="638"/>
      <c r="K998" s="638"/>
      <c r="L998" s="189"/>
    </row>
    <row r="999" spans="2:12" x14ac:dyDescent="0.2">
      <c r="B999" s="436" t="s">
        <v>1471</v>
      </c>
      <c r="C999" s="15">
        <v>38.11</v>
      </c>
      <c r="D999" s="15"/>
      <c r="E999" s="15">
        <f t="shared" si="125"/>
        <v>22.866</v>
      </c>
      <c r="F999" s="16">
        <f t="shared" si="126"/>
        <v>60.975999999999999</v>
      </c>
      <c r="G999" s="189"/>
      <c r="H999" s="189"/>
      <c r="I999" s="638"/>
      <c r="J999" s="638"/>
      <c r="K999" s="638"/>
      <c r="L999" s="189"/>
    </row>
    <row r="1000" spans="2:12" x14ac:dyDescent="0.2">
      <c r="B1000" s="436" t="s">
        <v>1472</v>
      </c>
      <c r="C1000" s="15">
        <v>46.6</v>
      </c>
      <c r="D1000" s="15"/>
      <c r="E1000" s="15">
        <f t="shared" si="125"/>
        <v>27.96</v>
      </c>
      <c r="F1000" s="16">
        <f t="shared" si="126"/>
        <v>74.56</v>
      </c>
      <c r="G1000" s="189"/>
      <c r="H1000" s="189"/>
      <c r="I1000" s="638"/>
      <c r="J1000" s="638"/>
      <c r="K1000" s="638"/>
      <c r="L1000" s="189"/>
    </row>
    <row r="1001" spans="2:12" x14ac:dyDescent="0.2">
      <c r="B1001" s="436" t="s">
        <v>1473</v>
      </c>
      <c r="C1001" s="15">
        <v>70.58</v>
      </c>
      <c r="D1001" s="15"/>
      <c r="E1001" s="15">
        <f t="shared" si="125"/>
        <v>42.347999999999999</v>
      </c>
      <c r="F1001" s="16">
        <f t="shared" si="126"/>
        <v>112.928</v>
      </c>
      <c r="G1001" s="189"/>
      <c r="H1001" s="189"/>
      <c r="I1001" s="638"/>
      <c r="J1001" s="638"/>
      <c r="K1001" s="638"/>
      <c r="L1001" s="189"/>
    </row>
    <row r="1002" spans="2:12" x14ac:dyDescent="0.2">
      <c r="B1002" s="436" t="s">
        <v>1474</v>
      </c>
      <c r="C1002" s="15">
        <v>79.400000000000006</v>
      </c>
      <c r="D1002" s="15"/>
      <c r="E1002" s="15">
        <f t="shared" si="125"/>
        <v>47.64</v>
      </c>
      <c r="F1002" s="16">
        <f t="shared" si="126"/>
        <v>127.04</v>
      </c>
      <c r="G1002" s="189"/>
      <c r="H1002" s="189"/>
      <c r="I1002" s="638"/>
      <c r="J1002" s="638"/>
      <c r="K1002" s="638"/>
      <c r="L1002" s="189"/>
    </row>
    <row r="1003" spans="2:12" x14ac:dyDescent="0.2">
      <c r="B1003" s="436" t="s">
        <v>1475</v>
      </c>
      <c r="C1003" s="15">
        <v>88.22</v>
      </c>
      <c r="D1003" s="15"/>
      <c r="E1003" s="15">
        <f t="shared" si="125"/>
        <v>52.931999999999995</v>
      </c>
      <c r="F1003" s="16">
        <f t="shared" si="126"/>
        <v>141.15199999999999</v>
      </c>
      <c r="G1003" s="189"/>
      <c r="H1003" s="189"/>
      <c r="I1003" s="638"/>
      <c r="J1003" s="638"/>
      <c r="K1003" s="638"/>
      <c r="L1003" s="189"/>
    </row>
    <row r="1004" spans="2:12" x14ac:dyDescent="0.2">
      <c r="B1004" s="436" t="s">
        <v>1476</v>
      </c>
      <c r="C1004" s="15">
        <v>210.94</v>
      </c>
      <c r="D1004" s="15"/>
      <c r="E1004" s="15">
        <f t="shared" si="125"/>
        <v>126.56399999999999</v>
      </c>
      <c r="F1004" s="16">
        <f t="shared" si="126"/>
        <v>337.50400000000002</v>
      </c>
      <c r="G1004" s="189"/>
      <c r="H1004" s="189"/>
      <c r="I1004" s="638"/>
      <c r="J1004" s="638"/>
      <c r="K1004" s="638"/>
      <c r="L1004" s="189"/>
    </row>
    <row r="1005" spans="2:12" x14ac:dyDescent="0.2">
      <c r="B1005" s="436" t="s">
        <v>66</v>
      </c>
      <c r="C1005" s="15">
        <v>150</v>
      </c>
      <c r="D1005" s="15"/>
      <c r="E1005" s="15">
        <f t="shared" si="125"/>
        <v>90</v>
      </c>
      <c r="F1005" s="16">
        <f t="shared" si="126"/>
        <v>240</v>
      </c>
      <c r="G1005" s="189"/>
      <c r="H1005" s="189"/>
      <c r="I1005" s="638"/>
      <c r="J1005" s="638"/>
      <c r="K1005" s="638"/>
      <c r="L1005" s="189"/>
    </row>
    <row r="1006" spans="2:12" x14ac:dyDescent="0.2">
      <c r="B1006" s="436"/>
      <c r="C1006" s="15"/>
      <c r="D1006" s="15"/>
      <c r="E1006" s="15"/>
      <c r="F1006" s="16"/>
      <c r="G1006" s="189"/>
      <c r="H1006" s="189"/>
      <c r="I1006" s="638"/>
      <c r="J1006" s="638"/>
      <c r="K1006" s="638"/>
      <c r="L1006" s="189"/>
    </row>
    <row r="1007" spans="2:12" ht="13.5" thickBot="1" x14ac:dyDescent="0.25">
      <c r="B1007" s="456"/>
      <c r="C1007" s="457"/>
      <c r="D1007" s="457"/>
      <c r="E1007" s="457"/>
      <c r="F1007" s="459"/>
      <c r="G1007" s="189"/>
      <c r="H1007" s="189"/>
      <c r="I1007" s="638"/>
      <c r="J1007" s="638"/>
      <c r="K1007" s="638"/>
      <c r="L1007" s="189"/>
    </row>
    <row r="1008" spans="2:12" ht="13.5" thickTop="1" x14ac:dyDescent="0.2">
      <c r="B1008" s="189"/>
      <c r="C1008" s="165"/>
      <c r="D1008" s="165"/>
      <c r="E1008" s="165"/>
      <c r="F1008" s="165"/>
      <c r="G1008" s="189"/>
      <c r="H1008" s="189"/>
      <c r="I1008" s="638"/>
      <c r="J1008" s="638"/>
      <c r="K1008" s="638"/>
      <c r="L1008" s="189"/>
    </row>
    <row r="1009" spans="2:12" x14ac:dyDescent="0.2">
      <c r="B1009" s="189"/>
      <c r="C1009" s="165"/>
      <c r="D1009" s="165"/>
      <c r="E1009" s="165"/>
      <c r="F1009" s="165"/>
      <c r="G1009" s="189"/>
      <c r="H1009" s="189"/>
      <c r="I1009" s="638"/>
      <c r="J1009" s="638"/>
      <c r="K1009" s="638"/>
      <c r="L1009" s="189"/>
    </row>
    <row r="1010" spans="2:12" x14ac:dyDescent="0.2">
      <c r="B1010" s="189"/>
      <c r="C1010" s="165"/>
      <c r="D1010" s="165"/>
      <c r="E1010" s="165"/>
      <c r="F1010" s="165"/>
      <c r="G1010" s="189"/>
      <c r="H1010" s="189"/>
      <c r="I1010" s="638"/>
      <c r="J1010" s="638"/>
      <c r="K1010" s="638"/>
      <c r="L1010" s="189"/>
    </row>
    <row r="1011" spans="2:12" x14ac:dyDescent="0.2">
      <c r="B1011" s="189"/>
      <c r="C1011" s="165"/>
      <c r="D1011" s="165"/>
      <c r="E1011" s="165"/>
      <c r="F1011" s="165"/>
      <c r="G1011" s="189"/>
      <c r="H1011" s="189"/>
      <c r="I1011" s="638"/>
      <c r="J1011" s="638"/>
      <c r="K1011" s="638"/>
      <c r="L1011" s="189"/>
    </row>
    <row r="1012" spans="2:12" ht="13.5" thickBot="1" x14ac:dyDescent="0.25">
      <c r="B1012" s="2"/>
      <c r="C1012" s="2"/>
      <c r="D1012" s="2"/>
      <c r="E1012" s="2"/>
      <c r="F1012" s="2"/>
      <c r="G1012" s="641"/>
      <c r="H1012" s="641"/>
      <c r="I1012" s="638"/>
      <c r="J1012" s="638"/>
      <c r="K1012" s="638"/>
      <c r="L1012" s="189"/>
    </row>
    <row r="1013" spans="2:12" ht="14.25" thickTop="1" thickBot="1" x14ac:dyDescent="0.25">
      <c r="B1013" s="422" t="s">
        <v>1477</v>
      </c>
      <c r="C1013" s="453"/>
      <c r="D1013" s="453"/>
      <c r="E1013" s="454"/>
      <c r="F1013" s="455"/>
      <c r="G1013" s="642"/>
      <c r="H1013" s="643"/>
      <c r="I1013" s="622" t="s">
        <v>1411</v>
      </c>
      <c r="J1013" s="622" t="s">
        <v>1412</v>
      </c>
      <c r="K1013" s="939" t="s">
        <v>1413</v>
      </c>
      <c r="L1013" s="2"/>
    </row>
    <row r="1014" spans="2:12" ht="14.25" thickTop="1" thickBot="1" x14ac:dyDescent="0.25">
      <c r="B1014" s="436"/>
      <c r="C1014" s="940" t="s">
        <v>685</v>
      </c>
      <c r="D1014" s="941"/>
      <c r="E1014" s="644"/>
      <c r="F1014" s="645">
        <f>0.6*1</f>
        <v>0.6</v>
      </c>
      <c r="G1014" s="646"/>
      <c r="H1014" s="647"/>
      <c r="I1014" s="648">
        <v>85</v>
      </c>
      <c r="J1014" s="648">
        <f>I1014/60</f>
        <v>1.4166666666666667</v>
      </c>
      <c r="K1014" s="939"/>
      <c r="L1014" s="2"/>
    </row>
    <row r="1015" spans="2:12" ht="14.25" thickTop="1" thickBot="1" x14ac:dyDescent="0.25">
      <c r="B1015" s="436"/>
      <c r="C1015" s="15"/>
      <c r="D1015" s="15"/>
      <c r="E1015" s="86"/>
      <c r="F1015" s="16"/>
      <c r="G1015" s="646"/>
      <c r="H1015" s="456"/>
      <c r="I1015" s="649"/>
      <c r="J1015" s="649"/>
      <c r="K1015" s="650"/>
      <c r="L1015" s="2"/>
    </row>
    <row r="1016" spans="2:12" ht="13.5" thickTop="1" x14ac:dyDescent="0.2">
      <c r="B1016" s="436" t="s">
        <v>1478</v>
      </c>
      <c r="C1016" s="469">
        <f>J1016</f>
        <v>1360</v>
      </c>
      <c r="D1016" s="15">
        <f>C1016*F1014</f>
        <v>816</v>
      </c>
      <c r="E1016" s="86"/>
      <c r="F1016" s="16">
        <f>C1016+D1016+E1016</f>
        <v>2176</v>
      </c>
      <c r="G1016" s="646"/>
      <c r="H1016" s="460"/>
      <c r="I1016" s="651"/>
      <c r="J1016" s="154">
        <f>J1014*K1016</f>
        <v>1360</v>
      </c>
      <c r="K1016" s="652">
        <v>960</v>
      </c>
      <c r="L1016" s="2"/>
    </row>
    <row r="1017" spans="2:12" x14ac:dyDescent="0.2">
      <c r="B1017" s="436" t="s">
        <v>1479</v>
      </c>
      <c r="C1017" s="469">
        <f>J1017</f>
        <v>1360</v>
      </c>
      <c r="D1017" s="15">
        <f>C1017*F1014</f>
        <v>816</v>
      </c>
      <c r="E1017" s="86"/>
      <c r="F1017" s="16">
        <f t="shared" ref="F1017:F1136" si="127">C1017+D1017+E1017</f>
        <v>2176</v>
      </c>
      <c r="G1017" s="646"/>
      <c r="H1017" s="436"/>
      <c r="I1017" s="104"/>
      <c r="J1017" s="15">
        <f>J1014*K1017</f>
        <v>1360</v>
      </c>
      <c r="K1017" s="653">
        <v>960</v>
      </c>
      <c r="L1017" s="2"/>
    </row>
    <row r="1018" spans="2:12" x14ac:dyDescent="0.2">
      <c r="B1018" s="436" t="s">
        <v>1480</v>
      </c>
      <c r="C1018" s="469">
        <f>J1018</f>
        <v>170</v>
      </c>
      <c r="D1018" s="15">
        <f>C1018*F1014</f>
        <v>102</v>
      </c>
      <c r="E1018" s="86"/>
      <c r="F1018" s="16">
        <f t="shared" si="127"/>
        <v>272</v>
      </c>
      <c r="G1018" s="646"/>
      <c r="H1018" s="436"/>
      <c r="I1018" s="104"/>
      <c r="J1018" s="15">
        <f>K1018*J1014</f>
        <v>170</v>
      </c>
      <c r="K1018" s="653">
        <v>120</v>
      </c>
      <c r="L1018" s="2"/>
    </row>
    <row r="1019" spans="2:12" x14ac:dyDescent="0.2">
      <c r="B1019" s="106" t="s">
        <v>1481</v>
      </c>
      <c r="C1019" s="469">
        <f>J1019</f>
        <v>680</v>
      </c>
      <c r="D1019" s="15">
        <f>C1019*F1014</f>
        <v>408</v>
      </c>
      <c r="E1019" s="86"/>
      <c r="F1019" s="16">
        <f>C1019+D1019+E1019</f>
        <v>1088</v>
      </c>
      <c r="G1019" s="646"/>
      <c r="H1019" s="436"/>
      <c r="I1019" s="104"/>
      <c r="J1019" s="15">
        <f>J1014*K1019</f>
        <v>680</v>
      </c>
      <c r="K1019" s="653">
        <v>480</v>
      </c>
      <c r="L1019" s="2"/>
    </row>
    <row r="1020" spans="2:12" x14ac:dyDescent="0.2">
      <c r="B1020" s="106" t="s">
        <v>1482</v>
      </c>
      <c r="C1020" s="469">
        <f>J1020</f>
        <v>170</v>
      </c>
      <c r="D1020" s="15">
        <f>C1020*F1014</f>
        <v>102</v>
      </c>
      <c r="E1020" s="86"/>
      <c r="F1020" s="16">
        <f>C1020+D1020</f>
        <v>272</v>
      </c>
      <c r="G1020" s="646"/>
      <c r="H1020" s="436"/>
      <c r="I1020" s="104"/>
      <c r="J1020" s="15">
        <f>J1014*K1020</f>
        <v>170</v>
      </c>
      <c r="K1020" s="653">
        <v>120</v>
      </c>
      <c r="L1020" s="2"/>
    </row>
    <row r="1021" spans="2:12" x14ac:dyDescent="0.2">
      <c r="B1021" s="654" t="s">
        <v>1483</v>
      </c>
      <c r="C1021" s="15"/>
      <c r="D1021" s="15"/>
      <c r="E1021" s="86"/>
      <c r="F1021" s="16"/>
      <c r="G1021" s="646"/>
      <c r="H1021" s="436"/>
      <c r="I1021" s="104"/>
      <c r="J1021" s="15"/>
      <c r="K1021" s="653"/>
      <c r="L1021" s="2"/>
    </row>
    <row r="1022" spans="2:12" x14ac:dyDescent="0.2">
      <c r="B1022" s="11" t="s">
        <v>1484</v>
      </c>
      <c r="C1022" s="469">
        <f t="shared" ref="C1022:C1036" si="128">J1022</f>
        <v>7.0833333333333339</v>
      </c>
      <c r="D1022" s="15">
        <f>C1022*F1014</f>
        <v>4.25</v>
      </c>
      <c r="E1022" s="86"/>
      <c r="F1022" s="16">
        <f t="shared" si="127"/>
        <v>11.333333333333334</v>
      </c>
      <c r="G1022" s="655"/>
      <c r="H1022" s="436"/>
      <c r="I1022" s="104"/>
      <c r="J1022" s="15">
        <f>K1022*J1014</f>
        <v>7.0833333333333339</v>
      </c>
      <c r="K1022" s="653">
        <v>5</v>
      </c>
      <c r="L1022" s="2"/>
    </row>
    <row r="1023" spans="2:12" x14ac:dyDescent="0.2">
      <c r="B1023" s="606" t="s">
        <v>1485</v>
      </c>
      <c r="C1023" s="469">
        <f t="shared" si="128"/>
        <v>21.25</v>
      </c>
      <c r="D1023" s="15">
        <f>C1023*F1014</f>
        <v>12.75</v>
      </c>
      <c r="E1023" s="86"/>
      <c r="F1023" s="16">
        <f t="shared" si="127"/>
        <v>34</v>
      </c>
      <c r="G1023" s="655"/>
      <c r="H1023" s="436"/>
      <c r="I1023" s="656"/>
      <c r="J1023" s="248">
        <f>K1023*J1014</f>
        <v>21.25</v>
      </c>
      <c r="K1023" s="657">
        <v>15</v>
      </c>
      <c r="L1023" s="2"/>
    </row>
    <row r="1024" spans="2:12" x14ac:dyDescent="0.2">
      <c r="B1024" s="436" t="s">
        <v>1486</v>
      </c>
      <c r="C1024" s="469">
        <f>J1024</f>
        <v>32.583333333333336</v>
      </c>
      <c r="D1024" s="15">
        <f>C1024*F1014</f>
        <v>19.55</v>
      </c>
      <c r="E1024" s="86"/>
      <c r="F1024" s="16">
        <f>C1024+D1024+E1024</f>
        <v>52.13333333333334</v>
      </c>
      <c r="G1024" s="655"/>
      <c r="H1024" s="436"/>
      <c r="I1024" s="656"/>
      <c r="J1024" s="248">
        <f>K1024*J1014</f>
        <v>32.583333333333336</v>
      </c>
      <c r="K1024" s="657">
        <v>23</v>
      </c>
      <c r="L1024" s="2"/>
    </row>
    <row r="1025" spans="2:12" x14ac:dyDescent="0.2">
      <c r="B1025" s="39" t="s">
        <v>105</v>
      </c>
      <c r="C1025" s="469">
        <f>J1025</f>
        <v>32.583333333333336</v>
      </c>
      <c r="D1025" s="15">
        <f>C1025*$F$1014</f>
        <v>19.55</v>
      </c>
      <c r="E1025" s="86"/>
      <c r="F1025" s="16">
        <f t="shared" si="127"/>
        <v>52.13333333333334</v>
      </c>
      <c r="G1025" s="646"/>
      <c r="H1025" s="436"/>
      <c r="I1025" s="656"/>
      <c r="J1025" s="248">
        <f>J1014*K1025</f>
        <v>32.583333333333336</v>
      </c>
      <c r="K1025" s="657">
        <v>23</v>
      </c>
      <c r="L1025" s="2"/>
    </row>
    <row r="1026" spans="2:12" x14ac:dyDescent="0.2">
      <c r="B1026" s="39" t="s">
        <v>1487</v>
      </c>
      <c r="C1026" s="469">
        <f>J1026</f>
        <v>32.583333333333336</v>
      </c>
      <c r="D1026" s="15">
        <f>C1026*$F$1014</f>
        <v>19.55</v>
      </c>
      <c r="E1026" s="86"/>
      <c r="F1026" s="16">
        <f t="shared" si="127"/>
        <v>52.13333333333334</v>
      </c>
      <c r="G1026" s="646"/>
      <c r="H1026" s="436"/>
      <c r="I1026" s="656"/>
      <c r="J1026" s="248">
        <f>$J$1014*K1026</f>
        <v>32.583333333333336</v>
      </c>
      <c r="K1026" s="657">
        <v>23</v>
      </c>
      <c r="L1026" s="2"/>
    </row>
    <row r="1027" spans="2:12" x14ac:dyDescent="0.2">
      <c r="B1027" s="39" t="s">
        <v>1488</v>
      </c>
      <c r="C1027" s="469">
        <f>J1027</f>
        <v>21.25</v>
      </c>
      <c r="D1027" s="15">
        <f>C1027*$F$1014</f>
        <v>12.75</v>
      </c>
      <c r="E1027" s="86"/>
      <c r="F1027" s="16">
        <f t="shared" si="127"/>
        <v>34</v>
      </c>
      <c r="G1027" s="646"/>
      <c r="H1027" s="436"/>
      <c r="I1027" s="656"/>
      <c r="J1027" s="248">
        <f>$J$1014*K1027</f>
        <v>21.25</v>
      </c>
      <c r="K1027" s="657">
        <v>15</v>
      </c>
      <c r="L1027" s="2"/>
    </row>
    <row r="1028" spans="2:12" x14ac:dyDescent="0.2">
      <c r="B1028" s="39" t="s">
        <v>102</v>
      </c>
      <c r="C1028" s="469">
        <f>J1028</f>
        <v>21.25</v>
      </c>
      <c r="D1028" s="15">
        <f>C1028*$F$1014</f>
        <v>12.75</v>
      </c>
      <c r="E1028" s="86"/>
      <c r="F1028" s="16">
        <f t="shared" si="127"/>
        <v>34</v>
      </c>
      <c r="G1028" s="646"/>
      <c r="H1028" s="436"/>
      <c r="I1028" s="656"/>
      <c r="J1028" s="248">
        <f>$J$1014*K1028</f>
        <v>21.25</v>
      </c>
      <c r="K1028" s="657">
        <v>15</v>
      </c>
      <c r="L1028" s="2"/>
    </row>
    <row r="1029" spans="2:12" x14ac:dyDescent="0.2">
      <c r="B1029" s="59"/>
      <c r="C1029" s="15">
        <f t="shared" ref="C1029:C1030" si="129">J1029</f>
        <v>0</v>
      </c>
      <c r="D1029" s="15">
        <f t="shared" ref="D1029:D1030" si="130">C1029*$F$1014</f>
        <v>0</v>
      </c>
      <c r="E1029" s="86"/>
      <c r="F1029" s="16">
        <f t="shared" si="127"/>
        <v>0</v>
      </c>
      <c r="G1029" s="646"/>
      <c r="H1029" s="436"/>
      <c r="I1029" s="656"/>
      <c r="J1029" s="248">
        <f t="shared" ref="J1029:J1030" si="131">$J$1014*K1029</f>
        <v>0</v>
      </c>
      <c r="K1029" s="657"/>
      <c r="L1029" s="2"/>
    </row>
    <row r="1030" spans="2:12" x14ac:dyDescent="0.2">
      <c r="B1030" s="59" t="s">
        <v>1489</v>
      </c>
      <c r="C1030" s="469">
        <f t="shared" si="129"/>
        <v>21.25</v>
      </c>
      <c r="D1030" s="15">
        <f t="shared" si="130"/>
        <v>12.75</v>
      </c>
      <c r="E1030" s="86"/>
      <c r="F1030" s="16">
        <f t="shared" si="127"/>
        <v>34</v>
      </c>
      <c r="G1030" s="646"/>
      <c r="H1030" s="436"/>
      <c r="I1030" s="656"/>
      <c r="J1030" s="248">
        <f t="shared" si="131"/>
        <v>21.25</v>
      </c>
      <c r="K1030" s="657">
        <v>15</v>
      </c>
      <c r="L1030" s="2"/>
    </row>
    <row r="1031" spans="2:12" x14ac:dyDescent="0.2">
      <c r="B1031" s="436" t="s">
        <v>1490</v>
      </c>
      <c r="C1031" s="469">
        <f t="shared" si="128"/>
        <v>14.166666666666668</v>
      </c>
      <c r="D1031" s="15">
        <f>C1031*F1014</f>
        <v>8.5</v>
      </c>
      <c r="E1031" s="86"/>
      <c r="F1031" s="16">
        <f t="shared" si="127"/>
        <v>22.666666666666668</v>
      </c>
      <c r="G1031" s="646"/>
      <c r="H1031" s="436"/>
      <c r="I1031" s="656"/>
      <c r="J1031" s="248">
        <f>J1014*K1031</f>
        <v>14.166666666666668</v>
      </c>
      <c r="K1031" s="657">
        <v>10</v>
      </c>
      <c r="L1031" s="2"/>
    </row>
    <row r="1032" spans="2:12" x14ac:dyDescent="0.2">
      <c r="B1032" s="436" t="s">
        <v>1491</v>
      </c>
      <c r="C1032" s="469">
        <f t="shared" si="128"/>
        <v>7.0833333333333339</v>
      </c>
      <c r="D1032" s="15">
        <f>C1032*F1014</f>
        <v>4.25</v>
      </c>
      <c r="E1032" s="86"/>
      <c r="F1032" s="16">
        <f t="shared" si="127"/>
        <v>11.333333333333334</v>
      </c>
      <c r="G1032" s="646"/>
      <c r="H1032" s="436"/>
      <c r="I1032" s="656"/>
      <c r="J1032" s="248">
        <f>K1032*J1014</f>
        <v>7.0833333333333339</v>
      </c>
      <c r="K1032" s="657">
        <v>5</v>
      </c>
      <c r="L1032" s="2"/>
    </row>
    <row r="1033" spans="2:12" x14ac:dyDescent="0.2">
      <c r="B1033" s="436" t="s">
        <v>1492</v>
      </c>
      <c r="C1033" s="469">
        <f t="shared" si="128"/>
        <v>21.25</v>
      </c>
      <c r="D1033" s="15">
        <f>C1033*F1014</f>
        <v>12.75</v>
      </c>
      <c r="E1033" s="86"/>
      <c r="F1033" s="16">
        <f t="shared" si="127"/>
        <v>34</v>
      </c>
      <c r="G1033" s="646"/>
      <c r="H1033" s="436"/>
      <c r="I1033" s="656"/>
      <c r="J1033" s="248">
        <f>K1033*J1014</f>
        <v>21.25</v>
      </c>
      <c r="K1033" s="657">
        <v>15</v>
      </c>
      <c r="L1033" s="2"/>
    </row>
    <row r="1034" spans="2:12" x14ac:dyDescent="0.2">
      <c r="B1034" s="436" t="s">
        <v>1493</v>
      </c>
      <c r="C1034" s="469">
        <f t="shared" si="128"/>
        <v>28.333333333333336</v>
      </c>
      <c r="D1034" s="15">
        <f>C1034*F1014</f>
        <v>17</v>
      </c>
      <c r="E1034" s="86"/>
      <c r="F1034" s="16">
        <f t="shared" si="127"/>
        <v>45.333333333333336</v>
      </c>
      <c r="G1034" s="646"/>
      <c r="H1034" s="436"/>
      <c r="I1034" s="656"/>
      <c r="J1034" s="248">
        <f>K1034*J1014</f>
        <v>28.333333333333336</v>
      </c>
      <c r="K1034" s="657">
        <v>20</v>
      </c>
      <c r="L1034" s="2"/>
    </row>
    <row r="1035" spans="2:12" x14ac:dyDescent="0.2">
      <c r="B1035" s="436" t="s">
        <v>1494</v>
      </c>
      <c r="C1035" s="145">
        <f t="shared" si="128"/>
        <v>56.666666666666671</v>
      </c>
      <c r="D1035" s="15">
        <f>C1035*F1014</f>
        <v>34</v>
      </c>
      <c r="E1035" s="86"/>
      <c r="F1035" s="16">
        <f t="shared" si="127"/>
        <v>90.666666666666671</v>
      </c>
      <c r="G1035" s="646"/>
      <c r="H1035" s="436"/>
      <c r="I1035" s="656"/>
      <c r="J1035" s="248">
        <f>K1035*J1014</f>
        <v>56.666666666666671</v>
      </c>
      <c r="K1035" s="657">
        <v>40</v>
      </c>
      <c r="L1035" s="2"/>
    </row>
    <row r="1036" spans="2:12" x14ac:dyDescent="0.2">
      <c r="B1036" s="436" t="s">
        <v>247</v>
      </c>
      <c r="C1036" s="145">
        <f t="shared" si="128"/>
        <v>42.5</v>
      </c>
      <c r="D1036" s="15">
        <f>C1036*F1014</f>
        <v>25.5</v>
      </c>
      <c r="E1036" s="86"/>
      <c r="F1036" s="16">
        <f t="shared" si="127"/>
        <v>68</v>
      </c>
      <c r="G1036" s="646"/>
      <c r="H1036" s="436"/>
      <c r="I1036" s="656"/>
      <c r="J1036" s="248">
        <f>K1036*J1014</f>
        <v>42.5</v>
      </c>
      <c r="K1036" s="657">
        <v>30</v>
      </c>
      <c r="L1036" s="2"/>
    </row>
    <row r="1037" spans="2:12" x14ac:dyDescent="0.2">
      <c r="B1037" s="436" t="s">
        <v>1495</v>
      </c>
      <c r="C1037" s="469">
        <f>J1037</f>
        <v>155.83333333333334</v>
      </c>
      <c r="D1037" s="15">
        <f>C1037*F1014</f>
        <v>93.5</v>
      </c>
      <c r="E1037" s="86"/>
      <c r="F1037" s="16">
        <f>C1037+D1037+E1037</f>
        <v>249.33333333333334</v>
      </c>
      <c r="G1037" s="646"/>
      <c r="H1037" s="436"/>
      <c r="I1037" s="656"/>
      <c r="J1037" s="248">
        <f>J1014*K1037</f>
        <v>155.83333333333334</v>
      </c>
      <c r="K1037" s="657">
        <v>110</v>
      </c>
      <c r="L1037" s="2"/>
    </row>
    <row r="1038" spans="2:12" x14ac:dyDescent="0.2">
      <c r="B1038" s="436" t="s">
        <v>1496</v>
      </c>
      <c r="C1038" s="469">
        <f>J1038</f>
        <v>155.83333333333334</v>
      </c>
      <c r="D1038" s="15">
        <f>C1038*F1014</f>
        <v>93.5</v>
      </c>
      <c r="E1038" s="86"/>
      <c r="F1038" s="16">
        <f>C1038+D1038+E1038</f>
        <v>249.33333333333334</v>
      </c>
      <c r="G1038" s="646"/>
      <c r="H1038" s="436"/>
      <c r="I1038" s="656"/>
      <c r="J1038" s="248">
        <f>K1038*J1014</f>
        <v>155.83333333333334</v>
      </c>
      <c r="K1038" s="657">
        <v>110</v>
      </c>
      <c r="L1038" s="2"/>
    </row>
    <row r="1039" spans="2:12" x14ac:dyDescent="0.2">
      <c r="B1039" s="436"/>
      <c r="C1039" s="15"/>
      <c r="D1039" s="15"/>
      <c r="E1039" s="86"/>
      <c r="F1039" s="16"/>
      <c r="G1039" s="646"/>
      <c r="H1039" s="436"/>
      <c r="I1039" s="656"/>
      <c r="J1039" s="248"/>
      <c r="K1039" s="657"/>
      <c r="L1039" s="2"/>
    </row>
    <row r="1040" spans="2:12" x14ac:dyDescent="0.2">
      <c r="B1040" s="7" t="s">
        <v>1497</v>
      </c>
      <c r="C1040" s="15"/>
      <c r="D1040" s="15"/>
      <c r="E1040" s="86"/>
      <c r="F1040" s="16">
        <f t="shared" si="127"/>
        <v>0</v>
      </c>
      <c r="G1040" s="646"/>
      <c r="H1040" s="436"/>
      <c r="I1040" s="656"/>
      <c r="J1040" s="248"/>
      <c r="K1040" s="657"/>
      <c r="L1040" s="2"/>
    </row>
    <row r="1041" spans="2:12" x14ac:dyDescent="0.2">
      <c r="B1041" s="39" t="s">
        <v>1498</v>
      </c>
      <c r="C1041" s="469">
        <f t="shared" ref="C1041:C1046" si="132">J1041</f>
        <v>85</v>
      </c>
      <c r="D1041" s="15">
        <f>C1041*F1014</f>
        <v>51</v>
      </c>
      <c r="E1041" s="86"/>
      <c r="F1041" s="16">
        <f t="shared" si="127"/>
        <v>136</v>
      </c>
      <c r="G1041" s="646"/>
      <c r="H1041" s="436"/>
      <c r="I1041" s="656"/>
      <c r="J1041" s="248">
        <f>K1041*J1014</f>
        <v>85</v>
      </c>
      <c r="K1041" s="657">
        <v>60</v>
      </c>
      <c r="L1041" s="2"/>
    </row>
    <row r="1042" spans="2:12" x14ac:dyDescent="0.2">
      <c r="B1042" s="39" t="s">
        <v>1499</v>
      </c>
      <c r="C1042" s="469">
        <f t="shared" si="132"/>
        <v>85</v>
      </c>
      <c r="D1042" s="15">
        <f>C1042*F1014</f>
        <v>51</v>
      </c>
      <c r="E1042" s="86"/>
      <c r="F1042" s="16">
        <f t="shared" si="127"/>
        <v>136</v>
      </c>
      <c r="G1042" s="646"/>
      <c r="H1042" s="436"/>
      <c r="I1042" s="656"/>
      <c r="J1042" s="248">
        <f>K1042*J1014</f>
        <v>85</v>
      </c>
      <c r="K1042" s="657">
        <v>60</v>
      </c>
      <c r="L1042" s="2"/>
    </row>
    <row r="1043" spans="2:12" x14ac:dyDescent="0.2">
      <c r="B1043" s="39" t="s">
        <v>1500</v>
      </c>
      <c r="C1043" s="469">
        <f t="shared" si="132"/>
        <v>85</v>
      </c>
      <c r="D1043" s="15">
        <f>C1043*F1014</f>
        <v>51</v>
      </c>
      <c r="E1043" s="86"/>
      <c r="F1043" s="16">
        <f t="shared" si="127"/>
        <v>136</v>
      </c>
      <c r="G1043" s="646"/>
      <c r="H1043" s="436"/>
      <c r="I1043" s="656"/>
      <c r="J1043" s="248">
        <f>K1043*J1014</f>
        <v>85</v>
      </c>
      <c r="K1043" s="657">
        <v>60</v>
      </c>
      <c r="L1043" s="2"/>
    </row>
    <row r="1044" spans="2:12" x14ac:dyDescent="0.2">
      <c r="B1044" s="39" t="s">
        <v>1501</v>
      </c>
      <c r="C1044" s="469">
        <f t="shared" si="132"/>
        <v>85</v>
      </c>
      <c r="D1044" s="15">
        <f>C1044*F1014</f>
        <v>51</v>
      </c>
      <c r="E1044" s="86"/>
      <c r="F1044" s="16">
        <f t="shared" si="127"/>
        <v>136</v>
      </c>
      <c r="G1044" s="646"/>
      <c r="H1044" s="436"/>
      <c r="I1044" s="656"/>
      <c r="J1044" s="248">
        <f>K1044*J1014</f>
        <v>85</v>
      </c>
      <c r="K1044" s="657">
        <v>60</v>
      </c>
      <c r="L1044" s="2"/>
    </row>
    <row r="1045" spans="2:12" x14ac:dyDescent="0.2">
      <c r="B1045" s="39" t="s">
        <v>1502</v>
      </c>
      <c r="C1045" s="469">
        <f t="shared" si="132"/>
        <v>85</v>
      </c>
      <c r="D1045" s="15">
        <f>C1045*F1014</f>
        <v>51</v>
      </c>
      <c r="E1045" s="86"/>
      <c r="F1045" s="16">
        <f t="shared" si="127"/>
        <v>136</v>
      </c>
      <c r="G1045" s="646"/>
      <c r="H1045" s="436"/>
      <c r="I1045" s="656"/>
      <c r="J1045" s="248">
        <f>K1045*J1014</f>
        <v>85</v>
      </c>
      <c r="K1045" s="657">
        <v>60</v>
      </c>
      <c r="L1045" s="2"/>
    </row>
    <row r="1046" spans="2:12" x14ac:dyDescent="0.2">
      <c r="B1046" s="39" t="s">
        <v>1503</v>
      </c>
      <c r="C1046" s="469">
        <f t="shared" si="132"/>
        <v>85</v>
      </c>
      <c r="D1046" s="15">
        <f>C1046*F1014</f>
        <v>51</v>
      </c>
      <c r="E1046" s="86"/>
      <c r="F1046" s="16">
        <f t="shared" si="127"/>
        <v>136</v>
      </c>
      <c r="G1046" s="646"/>
      <c r="H1046" s="436"/>
      <c r="I1046" s="656"/>
      <c r="J1046" s="248">
        <f>K1046*J1014</f>
        <v>85</v>
      </c>
      <c r="K1046" s="657">
        <v>60</v>
      </c>
      <c r="L1046" s="2"/>
    </row>
    <row r="1048" spans="2:12" x14ac:dyDescent="0.2">
      <c r="B1048" s="7" t="s">
        <v>1504</v>
      </c>
      <c r="C1048" s="15"/>
      <c r="D1048" s="15"/>
      <c r="E1048" s="86"/>
      <c r="F1048" s="16"/>
      <c r="G1048" s="646"/>
      <c r="H1048" s="436"/>
      <c r="I1048" s="656"/>
      <c r="J1048" s="248"/>
      <c r="K1048" s="657"/>
      <c r="L1048" s="2"/>
    </row>
    <row r="1049" spans="2:12" x14ac:dyDescent="0.2">
      <c r="B1049" s="39" t="s">
        <v>1505</v>
      </c>
      <c r="C1049" s="658">
        <f>J1049</f>
        <v>85</v>
      </c>
      <c r="D1049" s="15">
        <f>C1049*F1014</f>
        <v>51</v>
      </c>
      <c r="E1049" s="165"/>
      <c r="F1049" s="16">
        <f t="shared" si="127"/>
        <v>136</v>
      </c>
      <c r="G1049" s="659"/>
      <c r="J1049" s="435">
        <f>K1049*J1014</f>
        <v>85</v>
      </c>
      <c r="K1049" s="660">
        <v>60</v>
      </c>
      <c r="L1049" s="2"/>
    </row>
    <row r="1050" spans="2:12" x14ac:dyDescent="0.2">
      <c r="B1050" s="39" t="s">
        <v>1506</v>
      </c>
      <c r="C1050" s="469">
        <f>J1050</f>
        <v>85</v>
      </c>
      <c r="D1050" s="15">
        <f>C1050*F1014</f>
        <v>51</v>
      </c>
      <c r="E1050" s="86"/>
      <c r="F1050" s="16">
        <f t="shared" si="127"/>
        <v>136</v>
      </c>
      <c r="G1050" s="646"/>
      <c r="H1050" s="436"/>
      <c r="I1050" s="656"/>
      <c r="J1050" s="248">
        <f>K1050*J1014</f>
        <v>85</v>
      </c>
      <c r="K1050" s="657">
        <v>60</v>
      </c>
      <c r="L1050" s="2"/>
    </row>
    <row r="1051" spans="2:12" x14ac:dyDescent="0.2">
      <c r="B1051" s="7" t="s">
        <v>1507</v>
      </c>
      <c r="C1051" s="15"/>
      <c r="D1051" s="15"/>
      <c r="E1051" s="86"/>
      <c r="F1051" s="16"/>
      <c r="G1051" s="646"/>
      <c r="H1051" s="436"/>
      <c r="I1051" s="656"/>
      <c r="J1051" s="248"/>
      <c r="K1051" s="657"/>
      <c r="L1051" s="2"/>
    </row>
    <row r="1052" spans="2:12" x14ac:dyDescent="0.2">
      <c r="B1052" s="436" t="s">
        <v>1508</v>
      </c>
      <c r="C1052" s="145">
        <f t="shared" ref="C1052:C1063" si="133">J1052</f>
        <v>56.666666666666671</v>
      </c>
      <c r="D1052" s="15">
        <f>C1052*F1014</f>
        <v>34</v>
      </c>
      <c r="E1052" s="86"/>
      <c r="F1052" s="16">
        <f t="shared" si="127"/>
        <v>90.666666666666671</v>
      </c>
      <c r="G1052" s="646"/>
      <c r="H1052" s="436"/>
      <c r="I1052" s="656"/>
      <c r="J1052" s="248">
        <f>K1052*J1014</f>
        <v>56.666666666666671</v>
      </c>
      <c r="K1052" s="657">
        <v>40</v>
      </c>
      <c r="L1052" s="2"/>
    </row>
    <row r="1053" spans="2:12" x14ac:dyDescent="0.2">
      <c r="B1053" s="436" t="s">
        <v>1509</v>
      </c>
      <c r="C1053" s="469">
        <f t="shared" si="133"/>
        <v>42.5</v>
      </c>
      <c r="D1053" s="15">
        <f>C1053*F1014</f>
        <v>25.5</v>
      </c>
      <c r="E1053" s="86"/>
      <c r="F1053" s="16">
        <f t="shared" si="127"/>
        <v>68</v>
      </c>
      <c r="G1053" s="646"/>
      <c r="H1053" s="436"/>
      <c r="I1053" s="656"/>
      <c r="J1053" s="248">
        <f>K1053*J1014</f>
        <v>42.5</v>
      </c>
      <c r="K1053" s="657">
        <v>30</v>
      </c>
      <c r="L1053" s="2"/>
    </row>
    <row r="1054" spans="2:12" x14ac:dyDescent="0.2">
      <c r="B1054" s="11" t="s">
        <v>1510</v>
      </c>
      <c r="C1054" s="469">
        <f t="shared" si="133"/>
        <v>11.333333333333334</v>
      </c>
      <c r="D1054" s="15">
        <f>C1054*F1014</f>
        <v>6.8</v>
      </c>
      <c r="E1054" s="86"/>
      <c r="F1054" s="16">
        <f t="shared" ref="F1054:F1059" si="134">C1054+D1054</f>
        <v>18.133333333333333</v>
      </c>
      <c r="G1054" s="646"/>
      <c r="H1054" s="436"/>
      <c r="I1054" s="656"/>
      <c r="J1054" s="248">
        <f>J1014*K1054</f>
        <v>11.333333333333334</v>
      </c>
      <c r="K1054" s="657">
        <v>8</v>
      </c>
      <c r="L1054" s="2"/>
    </row>
    <row r="1055" spans="2:12" x14ac:dyDescent="0.2">
      <c r="B1055" s="11" t="s">
        <v>1511</v>
      </c>
      <c r="C1055" s="469">
        <f t="shared" si="133"/>
        <v>17</v>
      </c>
      <c r="D1055" s="15">
        <f>C1055*F1014</f>
        <v>10.199999999999999</v>
      </c>
      <c r="E1055" s="86"/>
      <c r="F1055" s="16">
        <f t="shared" si="134"/>
        <v>27.2</v>
      </c>
      <c r="G1055" s="646"/>
      <c r="H1055" s="436"/>
      <c r="I1055" s="656"/>
      <c r="J1055" s="248">
        <f>J1014*K1055</f>
        <v>17</v>
      </c>
      <c r="K1055" s="657">
        <v>12</v>
      </c>
      <c r="L1055" s="2"/>
    </row>
    <row r="1056" spans="2:12" x14ac:dyDescent="0.2">
      <c r="B1056" s="11" t="s">
        <v>1512</v>
      </c>
      <c r="C1056" s="145">
        <f t="shared" si="133"/>
        <v>11.333333333333334</v>
      </c>
      <c r="D1056" s="15">
        <f>C1056*F1014</f>
        <v>6.8</v>
      </c>
      <c r="E1056" s="86"/>
      <c r="F1056" s="16">
        <f t="shared" si="134"/>
        <v>18.133333333333333</v>
      </c>
      <c r="G1056" s="646"/>
      <c r="H1056" s="436"/>
      <c r="I1056" s="656"/>
      <c r="J1056" s="248">
        <f>J1014*K1056</f>
        <v>11.333333333333334</v>
      </c>
      <c r="K1056" s="657">
        <v>8</v>
      </c>
      <c r="L1056" s="2"/>
    </row>
    <row r="1057" spans="2:12" x14ac:dyDescent="0.2">
      <c r="B1057" s="106" t="s">
        <v>1513</v>
      </c>
      <c r="C1057" s="15">
        <f t="shared" si="133"/>
        <v>35.416666666666671</v>
      </c>
      <c r="D1057" s="15">
        <f>C1057*F1014</f>
        <v>21.250000000000004</v>
      </c>
      <c r="E1057" s="86"/>
      <c r="F1057" s="16">
        <f t="shared" si="134"/>
        <v>56.666666666666671</v>
      </c>
      <c r="G1057" s="646"/>
      <c r="H1057" s="436"/>
      <c r="I1057" s="656"/>
      <c r="J1057" s="248">
        <f>J1014*K1057</f>
        <v>35.416666666666671</v>
      </c>
      <c r="K1057" s="657">
        <v>25</v>
      </c>
      <c r="L1057" s="2"/>
    </row>
    <row r="1058" spans="2:12" x14ac:dyDescent="0.2">
      <c r="B1058" s="11" t="s">
        <v>1514</v>
      </c>
      <c r="C1058" s="15">
        <f t="shared" si="133"/>
        <v>8.5</v>
      </c>
      <c r="D1058" s="15">
        <f>C1058*F1014</f>
        <v>5.0999999999999996</v>
      </c>
      <c r="E1058" s="86"/>
      <c r="F1058" s="16">
        <f t="shared" si="134"/>
        <v>13.6</v>
      </c>
      <c r="G1058" s="646"/>
      <c r="H1058" s="436"/>
      <c r="I1058" s="656"/>
      <c r="J1058" s="248">
        <f>K1058*J1014</f>
        <v>8.5</v>
      </c>
      <c r="K1058" s="657">
        <v>6</v>
      </c>
      <c r="L1058" s="2"/>
    </row>
    <row r="1059" spans="2:12" x14ac:dyDescent="0.2">
      <c r="B1059" s="11" t="s">
        <v>284</v>
      </c>
      <c r="C1059" s="469">
        <f t="shared" si="133"/>
        <v>14.166666666666668</v>
      </c>
      <c r="D1059" s="15">
        <f>C1059*F1014</f>
        <v>8.5</v>
      </c>
      <c r="E1059" s="86"/>
      <c r="F1059" s="16">
        <f t="shared" si="134"/>
        <v>22.666666666666668</v>
      </c>
      <c r="G1059" s="646"/>
      <c r="H1059" s="436"/>
      <c r="I1059" s="656"/>
      <c r="J1059" s="248">
        <f>J1014*K1059</f>
        <v>14.166666666666668</v>
      </c>
      <c r="K1059" s="657">
        <v>10</v>
      </c>
      <c r="L1059" s="2"/>
    </row>
    <row r="1060" spans="2:12" x14ac:dyDescent="0.2">
      <c r="B1060" s="436" t="s">
        <v>1515</v>
      </c>
      <c r="C1060" s="145">
        <f t="shared" si="133"/>
        <v>21.25</v>
      </c>
      <c r="D1060" s="15">
        <f>C1060*F1014</f>
        <v>12.75</v>
      </c>
      <c r="E1060" s="86"/>
      <c r="F1060" s="16">
        <f t="shared" si="127"/>
        <v>34</v>
      </c>
      <c r="G1060" s="646"/>
      <c r="H1060" s="436"/>
      <c r="I1060" s="656"/>
      <c r="J1060" s="248">
        <f>K1060*J1014</f>
        <v>21.25</v>
      </c>
      <c r="K1060" s="657">
        <v>15</v>
      </c>
      <c r="L1060" s="2"/>
    </row>
    <row r="1061" spans="2:12" x14ac:dyDescent="0.2">
      <c r="B1061" s="436" t="s">
        <v>1516</v>
      </c>
      <c r="C1061" s="145">
        <f t="shared" si="133"/>
        <v>14.166666666666668</v>
      </c>
      <c r="D1061" s="15">
        <f>C1061*F1014</f>
        <v>8.5</v>
      </c>
      <c r="E1061" s="86"/>
      <c r="F1061" s="16">
        <f t="shared" si="127"/>
        <v>22.666666666666668</v>
      </c>
      <c r="G1061" s="646"/>
      <c r="H1061" s="436"/>
      <c r="I1061" s="656"/>
      <c r="J1061" s="248">
        <f>K1061*J1014</f>
        <v>14.166666666666668</v>
      </c>
      <c r="K1061" s="657">
        <v>10</v>
      </c>
      <c r="L1061" s="2"/>
    </row>
    <row r="1062" spans="2:12" x14ac:dyDescent="0.2">
      <c r="B1062" s="436" t="s">
        <v>1517</v>
      </c>
      <c r="C1062" s="145">
        <f t="shared" si="133"/>
        <v>14.166666666666668</v>
      </c>
      <c r="D1062" s="15">
        <f>C1062*F1014</f>
        <v>8.5</v>
      </c>
      <c r="E1062" s="86"/>
      <c r="F1062" s="16">
        <f t="shared" si="127"/>
        <v>22.666666666666668</v>
      </c>
      <c r="G1062" s="646"/>
      <c r="H1062" s="436"/>
      <c r="I1062" s="656"/>
      <c r="J1062" s="248">
        <f>K1062*J1014</f>
        <v>14.166666666666668</v>
      </c>
      <c r="K1062" s="657">
        <v>10</v>
      </c>
      <c r="L1062" s="2"/>
    </row>
    <row r="1063" spans="2:12" x14ac:dyDescent="0.2">
      <c r="B1063" s="106" t="s">
        <v>1518</v>
      </c>
      <c r="C1063" s="145">
        <f t="shared" si="133"/>
        <v>14.166666666666668</v>
      </c>
      <c r="D1063" s="15">
        <f>C1063*F1014</f>
        <v>8.5</v>
      </c>
      <c r="E1063" s="86"/>
      <c r="F1063" s="16">
        <f t="shared" si="127"/>
        <v>22.666666666666668</v>
      </c>
      <c r="G1063" s="5"/>
      <c r="H1063" s="106"/>
      <c r="I1063" s="656"/>
      <c r="J1063" s="248">
        <f>K1063*J1014</f>
        <v>14.166666666666668</v>
      </c>
      <c r="K1063" s="657">
        <v>10</v>
      </c>
      <c r="L1063" s="2"/>
    </row>
    <row r="1064" spans="2:12" x14ac:dyDescent="0.2">
      <c r="B1064" s="11" t="s">
        <v>1519</v>
      </c>
      <c r="C1064" s="145">
        <f>J1064</f>
        <v>17</v>
      </c>
      <c r="D1064" s="15">
        <f>C1064*$F$1014</f>
        <v>10.199999999999999</v>
      </c>
      <c r="E1064" s="86"/>
      <c r="F1064" s="16">
        <f t="shared" si="127"/>
        <v>27.2</v>
      </c>
      <c r="G1064" s="5"/>
      <c r="H1064" s="106"/>
      <c r="I1064" s="656"/>
      <c r="J1064" s="248">
        <f>K1064*$J$1014</f>
        <v>17</v>
      </c>
      <c r="K1064" s="657">
        <v>12</v>
      </c>
      <c r="L1064" s="2"/>
    </row>
    <row r="1065" spans="2:12" x14ac:dyDescent="0.2">
      <c r="B1065" s="11"/>
      <c r="C1065" s="15"/>
      <c r="D1065" s="15"/>
      <c r="E1065" s="86"/>
      <c r="F1065" s="16"/>
      <c r="G1065" s="5"/>
      <c r="H1065" s="106"/>
      <c r="I1065" s="656"/>
      <c r="J1065" s="248"/>
      <c r="K1065" s="657"/>
      <c r="L1065" s="2"/>
    </row>
    <row r="1066" spans="2:12" x14ac:dyDescent="0.2">
      <c r="B1066" s="661" t="s">
        <v>1166</v>
      </c>
      <c r="C1066" s="15"/>
      <c r="D1066" s="15"/>
      <c r="E1066" s="86"/>
      <c r="F1066" s="16"/>
      <c r="G1066" s="5"/>
      <c r="H1066" s="106"/>
      <c r="I1066" s="656"/>
      <c r="J1066" s="248"/>
      <c r="K1066" s="657"/>
      <c r="L1066" s="2"/>
    </row>
    <row r="1067" spans="2:12" x14ac:dyDescent="0.2">
      <c r="B1067" s="11"/>
      <c r="C1067" s="15"/>
      <c r="D1067" s="15"/>
      <c r="E1067" s="86"/>
      <c r="F1067" s="16"/>
      <c r="G1067" s="5"/>
      <c r="H1067" s="106"/>
      <c r="I1067" s="656"/>
      <c r="J1067" s="248"/>
      <c r="K1067" s="657"/>
      <c r="L1067" s="2"/>
    </row>
    <row r="1068" spans="2:12" x14ac:dyDescent="0.2">
      <c r="B1068" s="39" t="s">
        <v>1520</v>
      </c>
      <c r="C1068" s="469">
        <f t="shared" ref="C1068:C1071" si="135">J1068</f>
        <v>42.5</v>
      </c>
      <c r="D1068" s="15">
        <f>C1068*$F$1014</f>
        <v>25.5</v>
      </c>
      <c r="E1068" s="86"/>
      <c r="F1068" s="16">
        <f t="shared" ref="F1068:F1071" si="136">C1068+D1068+E1068</f>
        <v>68</v>
      </c>
      <c r="G1068" s="5"/>
      <c r="H1068" s="106"/>
      <c r="I1068" s="656"/>
      <c r="J1068" s="248">
        <f>K1068*$J$1014</f>
        <v>42.5</v>
      </c>
      <c r="K1068" s="657">
        <v>30</v>
      </c>
      <c r="L1068" s="2"/>
    </row>
    <row r="1069" spans="2:12" x14ac:dyDescent="0.2">
      <c r="B1069" s="39" t="s">
        <v>294</v>
      </c>
      <c r="C1069" s="469">
        <f t="shared" si="135"/>
        <v>42.5</v>
      </c>
      <c r="D1069" s="15">
        <f>C1069*$F$1014</f>
        <v>25.5</v>
      </c>
      <c r="E1069" s="86"/>
      <c r="F1069" s="16">
        <f t="shared" si="136"/>
        <v>68</v>
      </c>
      <c r="G1069" s="5"/>
      <c r="H1069" s="106"/>
      <c r="I1069" s="656"/>
      <c r="J1069" s="248">
        <f>K1069*$J$1014</f>
        <v>42.5</v>
      </c>
      <c r="K1069" s="657">
        <v>30</v>
      </c>
      <c r="L1069" s="2"/>
    </row>
    <row r="1070" spans="2:12" x14ac:dyDescent="0.2">
      <c r="B1070" s="39" t="s">
        <v>1521</v>
      </c>
      <c r="C1070" s="469">
        <f t="shared" si="135"/>
        <v>28.333333333333336</v>
      </c>
      <c r="D1070" s="15">
        <f>C1070*$F$1014</f>
        <v>17</v>
      </c>
      <c r="E1070" s="86"/>
      <c r="F1070" s="16">
        <f t="shared" si="136"/>
        <v>45.333333333333336</v>
      </c>
      <c r="G1070" s="5"/>
      <c r="H1070" s="106"/>
      <c r="I1070" s="656"/>
      <c r="J1070" s="248">
        <f>K1070*$J$1014</f>
        <v>28.333333333333336</v>
      </c>
      <c r="K1070" s="657">
        <v>20</v>
      </c>
      <c r="L1070" s="2"/>
    </row>
    <row r="1071" spans="2:12" x14ac:dyDescent="0.2">
      <c r="B1071" s="11"/>
      <c r="C1071" s="15">
        <f t="shared" si="135"/>
        <v>0</v>
      </c>
      <c r="D1071" s="15">
        <f>C1071*$F$1014</f>
        <v>0</v>
      </c>
      <c r="E1071" s="86"/>
      <c r="F1071" s="16">
        <f t="shared" si="136"/>
        <v>0</v>
      </c>
      <c r="G1071" s="5"/>
      <c r="H1071" s="106"/>
      <c r="I1071" s="656"/>
      <c r="J1071" s="248">
        <f>K1071*$J$1014</f>
        <v>0</v>
      </c>
      <c r="K1071" s="657"/>
      <c r="L1071" s="2"/>
    </row>
    <row r="1072" spans="2:12" x14ac:dyDescent="0.2">
      <c r="B1072" s="11"/>
      <c r="C1072" s="15"/>
      <c r="D1072" s="15"/>
      <c r="E1072" s="86"/>
      <c r="F1072" s="16"/>
      <c r="G1072" s="5"/>
      <c r="H1072" s="106"/>
      <c r="I1072" s="656"/>
      <c r="J1072" s="248"/>
      <c r="K1072" s="657"/>
      <c r="L1072" s="2"/>
    </row>
    <row r="1073" spans="2:12" x14ac:dyDescent="0.2">
      <c r="B1073" s="11"/>
      <c r="C1073" s="15"/>
      <c r="D1073" s="15"/>
      <c r="E1073" s="86"/>
      <c r="F1073" s="16"/>
      <c r="G1073" s="5"/>
      <c r="H1073" s="106"/>
      <c r="I1073" s="656"/>
      <c r="J1073" s="248"/>
      <c r="K1073" s="657"/>
      <c r="L1073" s="2"/>
    </row>
    <row r="1074" spans="2:12" x14ac:dyDescent="0.2">
      <c r="B1074" s="11"/>
      <c r="C1074" s="15"/>
      <c r="D1074" s="15"/>
      <c r="E1074" s="86"/>
      <c r="F1074" s="16"/>
      <c r="G1074" s="5"/>
      <c r="H1074" s="106"/>
      <c r="I1074" s="656"/>
      <c r="J1074" s="248"/>
      <c r="K1074" s="657"/>
      <c r="L1074" s="2"/>
    </row>
    <row r="1075" spans="2:12" x14ac:dyDescent="0.2">
      <c r="B1075" s="11"/>
      <c r="C1075" s="15"/>
      <c r="D1075" s="15"/>
      <c r="E1075" s="86"/>
      <c r="F1075" s="16"/>
      <c r="G1075" s="5"/>
      <c r="H1075" s="106"/>
      <c r="I1075" s="656"/>
      <c r="J1075" s="248"/>
      <c r="K1075" s="657"/>
      <c r="L1075" s="2"/>
    </row>
    <row r="1076" spans="2:12" x14ac:dyDescent="0.2">
      <c r="B1076" s="11"/>
      <c r="C1076" s="15"/>
      <c r="D1076" s="15"/>
      <c r="E1076" s="86"/>
      <c r="F1076" s="16"/>
      <c r="G1076" s="5"/>
      <c r="H1076" s="106"/>
      <c r="I1076" s="656"/>
      <c r="J1076" s="248"/>
      <c r="K1076" s="657"/>
      <c r="L1076" s="2"/>
    </row>
    <row r="1077" spans="2:12" x14ac:dyDescent="0.2">
      <c r="B1077" s="11"/>
      <c r="C1077" s="15"/>
      <c r="D1077" s="15"/>
      <c r="E1077" s="86"/>
      <c r="F1077" s="16"/>
      <c r="G1077" s="5"/>
      <c r="H1077" s="106"/>
      <c r="I1077" s="656"/>
      <c r="J1077" s="248"/>
      <c r="K1077" s="657"/>
      <c r="L1077" s="2"/>
    </row>
    <row r="1078" spans="2:12" x14ac:dyDescent="0.2">
      <c r="B1078" s="305" t="s">
        <v>1522</v>
      </c>
      <c r="C1078" s="432"/>
      <c r="D1078" s="432"/>
      <c r="E1078" s="662"/>
      <c r="F1078" s="16">
        <f t="shared" si="127"/>
        <v>0</v>
      </c>
      <c r="G1078" s="659"/>
      <c r="H1078" s="663"/>
      <c r="I1078" s="432"/>
      <c r="J1078" s="432"/>
      <c r="K1078" s="434"/>
      <c r="L1078" s="2"/>
    </row>
    <row r="1079" spans="2:12" x14ac:dyDescent="0.2">
      <c r="B1079" s="436" t="s">
        <v>1523</v>
      </c>
      <c r="C1079" s="15">
        <f>J1079</f>
        <v>0</v>
      </c>
      <c r="D1079" s="15">
        <f>C1079*F1014</f>
        <v>0</v>
      </c>
      <c r="E1079" s="86"/>
      <c r="F1079" s="16">
        <f t="shared" si="127"/>
        <v>0</v>
      </c>
      <c r="G1079" s="5"/>
      <c r="H1079" s="106"/>
      <c r="I1079" s="656"/>
      <c r="J1079" s="248">
        <f>K1079*J1014</f>
        <v>0</v>
      </c>
      <c r="K1079" s="657"/>
      <c r="L1079" s="2">
        <v>8</v>
      </c>
    </row>
    <row r="1080" spans="2:12" x14ac:dyDescent="0.2">
      <c r="B1080" s="436" t="s">
        <v>1524</v>
      </c>
      <c r="C1080" s="469">
        <f>J1080</f>
        <v>85</v>
      </c>
      <c r="D1080" s="15">
        <f>C1080*F1014</f>
        <v>51</v>
      </c>
      <c r="E1080" s="86"/>
      <c r="F1080" s="16">
        <f t="shared" si="127"/>
        <v>136</v>
      </c>
      <c r="G1080" s="5"/>
      <c r="H1080" s="106"/>
      <c r="I1080" s="656"/>
      <c r="J1080" s="248">
        <f>K1080*J1014</f>
        <v>85</v>
      </c>
      <c r="K1080" s="657">
        <v>60</v>
      </c>
      <c r="L1080" s="2"/>
    </row>
    <row r="1081" spans="2:12" x14ac:dyDescent="0.2">
      <c r="B1081" s="189" t="s">
        <v>1525</v>
      </c>
      <c r="C1081" s="664">
        <f>J1081</f>
        <v>21.25</v>
      </c>
      <c r="D1081" s="15">
        <f>C1081*F1014</f>
        <v>12.75</v>
      </c>
      <c r="E1081" s="86"/>
      <c r="F1081" s="16">
        <f t="shared" si="127"/>
        <v>34</v>
      </c>
      <c r="G1081" s="5"/>
      <c r="H1081" s="106"/>
      <c r="I1081" s="656"/>
      <c r="J1081" s="248">
        <f>K1081*J1014</f>
        <v>21.25</v>
      </c>
      <c r="K1081" s="657">
        <v>15</v>
      </c>
      <c r="L1081" s="2"/>
    </row>
    <row r="1082" spans="2:12" x14ac:dyDescent="0.2">
      <c r="B1082" s="189" t="s">
        <v>1526</v>
      </c>
      <c r="C1082" s="664">
        <f>J1082</f>
        <v>14.166666666666668</v>
      </c>
      <c r="D1082" s="15">
        <f>C1082*F1014</f>
        <v>8.5</v>
      </c>
      <c r="E1082" s="86"/>
      <c r="F1082" s="16">
        <f t="shared" si="127"/>
        <v>22.666666666666668</v>
      </c>
      <c r="G1082" s="5"/>
      <c r="H1082" s="106"/>
      <c r="I1082" s="656"/>
      <c r="J1082" s="248">
        <f>K1082*J1014</f>
        <v>14.166666666666668</v>
      </c>
      <c r="K1082" s="657">
        <v>10</v>
      </c>
      <c r="L1082" s="2"/>
    </row>
    <row r="1083" spans="2:12" x14ac:dyDescent="0.2">
      <c r="B1083" s="462" t="s">
        <v>1527</v>
      </c>
      <c r="C1083" s="14"/>
      <c r="D1083" s="432"/>
      <c r="E1083" s="662"/>
      <c r="F1083" s="16">
        <f t="shared" si="127"/>
        <v>0</v>
      </c>
      <c r="G1083" s="659"/>
      <c r="H1083" s="663"/>
      <c r="I1083" s="432"/>
      <c r="J1083" s="432"/>
      <c r="K1083" s="434"/>
      <c r="L1083" s="2"/>
    </row>
    <row r="1084" spans="2:12" x14ac:dyDescent="0.2">
      <c r="B1084" s="436" t="s">
        <v>1528</v>
      </c>
      <c r="C1084" s="469">
        <f>J1084</f>
        <v>85</v>
      </c>
      <c r="D1084" s="15">
        <f>C1084*F1014</f>
        <v>51</v>
      </c>
      <c r="E1084" s="86"/>
      <c r="F1084" s="16">
        <f t="shared" si="127"/>
        <v>136</v>
      </c>
      <c r="G1084" s="5"/>
      <c r="H1084" s="106"/>
      <c r="I1084" s="106"/>
      <c r="J1084" s="15">
        <f>K1084*J1014</f>
        <v>85</v>
      </c>
      <c r="K1084" s="657">
        <v>60</v>
      </c>
      <c r="L1084" s="2"/>
    </row>
    <row r="1085" spans="2:12" x14ac:dyDescent="0.2">
      <c r="B1085" s="436" t="s">
        <v>1529</v>
      </c>
      <c r="C1085" s="469">
        <f>J1085</f>
        <v>53.125</v>
      </c>
      <c r="D1085" s="15">
        <f>C1085*F1014</f>
        <v>31.875</v>
      </c>
      <c r="E1085" s="86"/>
      <c r="F1085" s="16">
        <f t="shared" si="127"/>
        <v>85</v>
      </c>
      <c r="G1085" s="5"/>
      <c r="H1085" s="106"/>
      <c r="I1085" s="106"/>
      <c r="J1085" s="15">
        <f>K1085*J1014</f>
        <v>53.125</v>
      </c>
      <c r="K1085" s="657">
        <v>37.5</v>
      </c>
      <c r="L1085" s="2"/>
    </row>
    <row r="1086" spans="2:12" x14ac:dyDescent="0.2">
      <c r="B1086" s="106" t="s">
        <v>1530</v>
      </c>
      <c r="C1086" s="145">
        <f>J1086</f>
        <v>170</v>
      </c>
      <c r="D1086" s="15">
        <f>C1086*F1014</f>
        <v>102</v>
      </c>
      <c r="E1086" s="86"/>
      <c r="F1086" s="16">
        <f>C1086+D1086</f>
        <v>272</v>
      </c>
      <c r="G1086" s="5"/>
      <c r="H1086" s="106"/>
      <c r="I1086" s="106"/>
      <c r="J1086" s="15">
        <f>K1086*J1014</f>
        <v>170</v>
      </c>
      <c r="K1086" s="665">
        <v>120</v>
      </c>
      <c r="L1086" s="2"/>
    </row>
    <row r="1087" spans="2:12" x14ac:dyDescent="0.2">
      <c r="B1087" s="39" t="s">
        <v>1531</v>
      </c>
      <c r="C1087" s="469">
        <f>J1087</f>
        <v>35.416666666666671</v>
      </c>
      <c r="D1087" s="15">
        <f>C1087*F1014</f>
        <v>21.250000000000004</v>
      </c>
      <c r="E1087" s="86"/>
      <c r="F1087" s="16">
        <f t="shared" si="127"/>
        <v>56.666666666666671</v>
      </c>
      <c r="G1087" s="5"/>
      <c r="H1087" s="106"/>
      <c r="I1087" s="106"/>
      <c r="J1087" s="15">
        <f>K1087*J1014</f>
        <v>35.416666666666671</v>
      </c>
      <c r="K1087" s="665">
        <v>25</v>
      </c>
      <c r="L1087" s="2"/>
    </row>
    <row r="1088" spans="2:12" x14ac:dyDescent="0.2">
      <c r="B1088" s="189" t="s">
        <v>1532</v>
      </c>
      <c r="C1088" s="145">
        <f>J1088</f>
        <v>340</v>
      </c>
      <c r="D1088" s="15">
        <f>C1088*F1014</f>
        <v>204</v>
      </c>
      <c r="E1088" s="86"/>
      <c r="F1088" s="16">
        <f t="shared" si="127"/>
        <v>544</v>
      </c>
      <c r="G1088" s="5"/>
      <c r="H1088" s="106"/>
      <c r="I1088" s="106"/>
      <c r="J1088" s="15">
        <f>J1014*K1088</f>
        <v>340</v>
      </c>
      <c r="K1088" s="665">
        <v>240</v>
      </c>
      <c r="L1088" s="2"/>
    </row>
    <row r="1089" spans="2:12" x14ac:dyDescent="0.2">
      <c r="B1089" s="189"/>
      <c r="C1089" s="15"/>
      <c r="D1089" s="15"/>
      <c r="E1089" s="86"/>
      <c r="F1089" s="16"/>
      <c r="G1089" s="5"/>
      <c r="H1089" s="106"/>
      <c r="I1089" s="106"/>
      <c r="J1089" s="15"/>
      <c r="K1089" s="665"/>
      <c r="L1089" s="2"/>
    </row>
    <row r="1090" spans="2:12" x14ac:dyDescent="0.2">
      <c r="B1090" s="462" t="s">
        <v>1533</v>
      </c>
      <c r="C1090" s="432"/>
      <c r="D1090" s="432"/>
      <c r="E1090" s="662"/>
      <c r="F1090" s="16"/>
      <c r="G1090" s="659"/>
      <c r="H1090" s="663"/>
      <c r="I1090" s="432"/>
      <c r="J1090" s="432"/>
      <c r="K1090" s="432"/>
      <c r="L1090" s="2"/>
    </row>
    <row r="1091" spans="2:12" x14ac:dyDescent="0.2">
      <c r="B1091" s="143" t="s">
        <v>1534</v>
      </c>
      <c r="C1091" s="666">
        <f>J1091</f>
        <v>35.416666666666671</v>
      </c>
      <c r="D1091" s="71">
        <f>C1091*F1014</f>
        <v>21.250000000000004</v>
      </c>
      <c r="E1091" s="667"/>
      <c r="F1091" s="16">
        <f t="shared" si="127"/>
        <v>56.666666666666671</v>
      </c>
      <c r="G1091" s="659"/>
      <c r="H1091" s="663"/>
      <c r="I1091" s="432"/>
      <c r="J1091" s="71">
        <f>K1091*J1014</f>
        <v>35.416666666666671</v>
      </c>
      <c r="K1091" s="668">
        <v>25</v>
      </c>
      <c r="L1091" s="2"/>
    </row>
    <row r="1092" spans="2:12" x14ac:dyDescent="0.2">
      <c r="B1092" s="39" t="s">
        <v>1535</v>
      </c>
      <c r="C1092" s="469">
        <f t="shared" ref="C1092:C1135" si="137">J1092</f>
        <v>35.416666666666671</v>
      </c>
      <c r="D1092" s="15">
        <f>C1092*F1014</f>
        <v>21.250000000000004</v>
      </c>
      <c r="E1092" s="86"/>
      <c r="F1092" s="16">
        <f t="shared" si="127"/>
        <v>56.666666666666671</v>
      </c>
      <c r="G1092" s="5"/>
      <c r="H1092" s="106"/>
      <c r="I1092" s="656"/>
      <c r="J1092" s="248">
        <f>K1092*J1014</f>
        <v>35.416666666666671</v>
      </c>
      <c r="K1092" s="657">
        <v>25</v>
      </c>
      <c r="L1092" s="2"/>
    </row>
    <row r="1093" spans="2:12" x14ac:dyDescent="0.2">
      <c r="B1093" s="39" t="s">
        <v>341</v>
      </c>
      <c r="C1093" s="469">
        <f t="shared" si="137"/>
        <v>42.5</v>
      </c>
      <c r="D1093" s="15">
        <f>C1093*F1014</f>
        <v>25.5</v>
      </c>
      <c r="E1093" s="86"/>
      <c r="F1093" s="16">
        <f t="shared" si="127"/>
        <v>68</v>
      </c>
      <c r="G1093" s="5"/>
      <c r="H1093" s="106"/>
      <c r="I1093" s="656"/>
      <c r="J1093" s="248">
        <f>K1093*J1014</f>
        <v>42.5</v>
      </c>
      <c r="K1093" s="657">
        <v>30</v>
      </c>
      <c r="L1093" s="2"/>
    </row>
    <row r="1094" spans="2:12" x14ac:dyDescent="0.2">
      <c r="B1094" s="39" t="s">
        <v>342</v>
      </c>
      <c r="C1094" s="469">
        <f t="shared" si="137"/>
        <v>53.125</v>
      </c>
      <c r="D1094" s="15">
        <f>C1094*F1014</f>
        <v>31.875</v>
      </c>
      <c r="E1094" s="86"/>
      <c r="F1094" s="16">
        <f t="shared" si="127"/>
        <v>85</v>
      </c>
      <c r="G1094" s="5"/>
      <c r="H1094" s="106"/>
      <c r="I1094" s="656"/>
      <c r="J1094" s="248">
        <f>K1094*J1014</f>
        <v>53.125</v>
      </c>
      <c r="K1094" s="657">
        <v>37.5</v>
      </c>
      <c r="L1094" s="2"/>
    </row>
    <row r="1095" spans="2:12" x14ac:dyDescent="0.2">
      <c r="B1095" s="59" t="s">
        <v>1536</v>
      </c>
      <c r="C1095" s="469">
        <f>J1095</f>
        <v>85</v>
      </c>
      <c r="D1095" s="15">
        <f>C1095*F1014</f>
        <v>51</v>
      </c>
      <c r="E1095" s="86"/>
      <c r="F1095" s="16">
        <f t="shared" si="127"/>
        <v>136</v>
      </c>
      <c r="G1095" s="5"/>
      <c r="H1095" s="106"/>
      <c r="I1095" s="656"/>
      <c r="J1095" s="248">
        <f>K1095*J1014</f>
        <v>85</v>
      </c>
      <c r="K1095" s="657">
        <v>60</v>
      </c>
      <c r="L1095" s="2"/>
    </row>
    <row r="1096" spans="2:12" x14ac:dyDescent="0.2">
      <c r="B1096" s="59" t="s">
        <v>1537</v>
      </c>
      <c r="C1096" s="469">
        <f t="shared" si="137"/>
        <v>42.5</v>
      </c>
      <c r="D1096" s="15">
        <f>C1096*F1014</f>
        <v>25.5</v>
      </c>
      <c r="E1096" s="86"/>
      <c r="F1096" s="16">
        <f t="shared" si="127"/>
        <v>68</v>
      </c>
      <c r="G1096" s="5"/>
      <c r="H1096" s="106"/>
      <c r="I1096" s="656"/>
      <c r="J1096" s="248">
        <f>K1096*J1014</f>
        <v>42.5</v>
      </c>
      <c r="K1096" s="657">
        <v>30</v>
      </c>
      <c r="L1096" s="2"/>
    </row>
    <row r="1097" spans="2:12" x14ac:dyDescent="0.2">
      <c r="B1097" s="59" t="s">
        <v>1538</v>
      </c>
      <c r="C1097" s="145">
        <f>J1097</f>
        <v>1.7708333333333335</v>
      </c>
      <c r="D1097" s="15">
        <f>C1097*F1014</f>
        <v>1.0625</v>
      </c>
      <c r="E1097" s="86"/>
      <c r="F1097" s="16">
        <f>E1097+D1097+C1097</f>
        <v>2.8333333333333335</v>
      </c>
      <c r="G1097" s="646"/>
      <c r="H1097" s="106"/>
      <c r="I1097" s="656"/>
      <c r="J1097" s="248">
        <f>J1014*K1097</f>
        <v>1.7708333333333335</v>
      </c>
      <c r="K1097" s="657">
        <v>1.25</v>
      </c>
      <c r="L1097" s="2"/>
    </row>
    <row r="1098" spans="2:12" x14ac:dyDescent="0.2">
      <c r="B1098" s="436" t="s">
        <v>1539</v>
      </c>
      <c r="C1098" s="145">
        <f t="shared" si="137"/>
        <v>9.9166666666666679</v>
      </c>
      <c r="D1098" s="15">
        <f>C1098*F1014</f>
        <v>5.95</v>
      </c>
      <c r="E1098" s="86"/>
      <c r="F1098" s="16">
        <f t="shared" si="127"/>
        <v>15.866666666666667</v>
      </c>
      <c r="G1098" s="646"/>
      <c r="H1098" s="436"/>
      <c r="I1098" s="656"/>
      <c r="J1098" s="248">
        <f>K1098*J1014</f>
        <v>9.9166666666666679</v>
      </c>
      <c r="K1098" s="657">
        <v>7</v>
      </c>
      <c r="L1098" s="2"/>
    </row>
    <row r="1099" spans="2:12" x14ac:dyDescent="0.2">
      <c r="B1099" s="106" t="s">
        <v>1540</v>
      </c>
      <c r="C1099" s="469">
        <f>J1099</f>
        <v>14.166666666666668</v>
      </c>
      <c r="D1099" s="15">
        <f>C1099*F1014</f>
        <v>8.5</v>
      </c>
      <c r="E1099" s="86"/>
      <c r="F1099" s="16">
        <f t="shared" si="127"/>
        <v>22.666666666666668</v>
      </c>
      <c r="G1099" s="5"/>
      <c r="H1099" s="106"/>
      <c r="I1099" s="656"/>
      <c r="J1099" s="248">
        <f>K1099*J1014</f>
        <v>14.166666666666668</v>
      </c>
      <c r="K1099" s="657">
        <v>10</v>
      </c>
      <c r="L1099" s="2"/>
    </row>
    <row r="1100" spans="2:12" x14ac:dyDescent="0.2">
      <c r="B1100" s="106" t="s">
        <v>1541</v>
      </c>
      <c r="C1100" s="469">
        <f>J1100</f>
        <v>28.333333333333336</v>
      </c>
      <c r="D1100" s="15">
        <f>C1100*F1014</f>
        <v>17</v>
      </c>
      <c r="E1100" s="86"/>
      <c r="F1100" s="16">
        <f t="shared" si="127"/>
        <v>45.333333333333336</v>
      </c>
      <c r="G1100" s="5"/>
      <c r="H1100" s="106"/>
      <c r="I1100" s="656"/>
      <c r="J1100" s="248">
        <f>K1100*J1014</f>
        <v>28.333333333333336</v>
      </c>
      <c r="K1100" s="657">
        <v>20</v>
      </c>
      <c r="L1100" s="2"/>
    </row>
    <row r="1101" spans="2:12" x14ac:dyDescent="0.2">
      <c r="B1101" s="11" t="s">
        <v>1542</v>
      </c>
      <c r="C1101" s="469">
        <f t="shared" si="137"/>
        <v>1.4166666666666667</v>
      </c>
      <c r="D1101" s="15">
        <f>C1101*F1014</f>
        <v>0.85</v>
      </c>
      <c r="E1101" s="86"/>
      <c r="F1101" s="16">
        <f t="shared" si="127"/>
        <v>2.2666666666666666</v>
      </c>
      <c r="G1101" s="5"/>
      <c r="H1101" s="106"/>
      <c r="I1101" s="248"/>
      <c r="J1101" s="15">
        <f>K1101*J1014</f>
        <v>1.4166666666666667</v>
      </c>
      <c r="K1101" s="657">
        <v>1</v>
      </c>
      <c r="L1101" s="2"/>
    </row>
    <row r="1102" spans="2:12" x14ac:dyDescent="0.2">
      <c r="B1102" s="436" t="s">
        <v>1543</v>
      </c>
      <c r="C1102" s="145">
        <f t="shared" si="137"/>
        <v>18.888841666666668</v>
      </c>
      <c r="D1102" s="15">
        <f>C1102*$F$1014</f>
        <v>11.333305000000001</v>
      </c>
      <c r="E1102" s="86"/>
      <c r="F1102" s="16">
        <f t="shared" si="127"/>
        <v>30.222146666666667</v>
      </c>
      <c r="G1102" s="646"/>
      <c r="H1102" s="436"/>
      <c r="I1102" s="106"/>
      <c r="J1102" s="15">
        <f>K1102*$J$1014</f>
        <v>18.888841666666668</v>
      </c>
      <c r="K1102" s="657">
        <v>13.333299999999999</v>
      </c>
      <c r="L1102" s="2"/>
    </row>
    <row r="1103" spans="2:12" ht="13.5" thickBot="1" x14ac:dyDescent="0.25">
      <c r="B1103" s="450" t="s">
        <v>1544</v>
      </c>
      <c r="C1103" s="469">
        <f t="shared" si="137"/>
        <v>2.8333333333333335</v>
      </c>
      <c r="D1103" s="15">
        <f>C1103*$F$1014</f>
        <v>1.7</v>
      </c>
      <c r="E1103" s="86"/>
      <c r="F1103" s="16">
        <f t="shared" si="127"/>
        <v>4.5333333333333332</v>
      </c>
      <c r="G1103" s="646"/>
      <c r="H1103" s="436"/>
      <c r="I1103" s="106"/>
      <c r="J1103" s="15">
        <f>K1103*$J$1014</f>
        <v>2.8333333333333335</v>
      </c>
      <c r="K1103" s="657">
        <v>2</v>
      </c>
      <c r="L1103" s="2"/>
    </row>
    <row r="1104" spans="2:12" ht="13.5" thickTop="1" x14ac:dyDescent="0.2">
      <c r="B1104" s="492" t="s">
        <v>1545</v>
      </c>
      <c r="C1104" s="453"/>
      <c r="D1104" s="453"/>
      <c r="E1104" s="453"/>
      <c r="F1104" s="454"/>
      <c r="G1104" s="669"/>
      <c r="H1104" s="670"/>
      <c r="I1104" s="442"/>
      <c r="J1104" s="453"/>
      <c r="K1104" s="671"/>
      <c r="L1104" s="2"/>
    </row>
    <row r="1105" spans="2:12" x14ac:dyDescent="0.2">
      <c r="B1105" s="436" t="s">
        <v>1546</v>
      </c>
      <c r="C1105" s="15">
        <f>J1105</f>
        <v>425</v>
      </c>
      <c r="D1105" s="154">
        <f t="shared" ref="D1105:D1111" si="138">C1105*$F$1014</f>
        <v>255</v>
      </c>
      <c r="E1105" s="15"/>
      <c r="F1105" s="86">
        <f>C1105+D1105+E1105</f>
        <v>680</v>
      </c>
      <c r="G1105" s="5"/>
      <c r="H1105" s="106"/>
      <c r="I1105" s="11"/>
      <c r="J1105" s="15">
        <f t="shared" ref="J1105:J1109" si="139">K1105*$J$1014</f>
        <v>425</v>
      </c>
      <c r="K1105" s="657">
        <v>300</v>
      </c>
      <c r="L1105" s="2"/>
    </row>
    <row r="1106" spans="2:12" x14ac:dyDescent="0.2">
      <c r="B1106" s="436" t="s">
        <v>545</v>
      </c>
      <c r="C1106" s="15">
        <f t="shared" ref="C1106:C1110" si="140">J1106</f>
        <v>0</v>
      </c>
      <c r="D1106" s="154">
        <f t="shared" si="138"/>
        <v>0</v>
      </c>
      <c r="E1106" s="15"/>
      <c r="F1106" s="86">
        <f t="shared" ref="F1106:F1111" si="141">C1106+D1106+E1106</f>
        <v>0</v>
      </c>
      <c r="G1106" s="5"/>
      <c r="H1106" s="106"/>
      <c r="I1106" s="11"/>
      <c r="J1106" s="15">
        <f t="shared" si="139"/>
        <v>0</v>
      </c>
      <c r="K1106" s="657"/>
      <c r="L1106" s="2"/>
    </row>
    <row r="1107" spans="2:12" x14ac:dyDescent="0.2">
      <c r="B1107" s="436" t="s">
        <v>545</v>
      </c>
      <c r="C1107" s="15">
        <f t="shared" si="140"/>
        <v>0</v>
      </c>
      <c r="D1107" s="154">
        <f t="shared" si="138"/>
        <v>0</v>
      </c>
      <c r="E1107" s="15"/>
      <c r="F1107" s="86">
        <f t="shared" si="141"/>
        <v>0</v>
      </c>
      <c r="G1107" s="5"/>
      <c r="H1107" s="106"/>
      <c r="I1107" s="11"/>
      <c r="J1107" s="15">
        <f t="shared" si="139"/>
        <v>0</v>
      </c>
      <c r="K1107" s="657"/>
      <c r="L1107" s="2"/>
    </row>
    <row r="1108" spans="2:12" x14ac:dyDescent="0.2">
      <c r="B1108" s="436" t="s">
        <v>545</v>
      </c>
      <c r="C1108" s="15">
        <f t="shared" si="140"/>
        <v>0</v>
      </c>
      <c r="D1108" s="154">
        <f t="shared" si="138"/>
        <v>0</v>
      </c>
      <c r="E1108" s="15"/>
      <c r="F1108" s="86">
        <f t="shared" si="141"/>
        <v>0</v>
      </c>
      <c r="G1108" s="5"/>
      <c r="H1108" s="106"/>
      <c r="I1108" s="11"/>
      <c r="J1108" s="15">
        <f t="shared" si="139"/>
        <v>0</v>
      </c>
      <c r="K1108" s="657"/>
      <c r="L1108" s="2"/>
    </row>
    <row r="1109" spans="2:12" ht="13.5" thickBot="1" x14ac:dyDescent="0.25">
      <c r="B1109" s="456"/>
      <c r="C1109" s="15">
        <f t="shared" si="140"/>
        <v>0</v>
      </c>
      <c r="D1109" s="154">
        <f t="shared" si="138"/>
        <v>0</v>
      </c>
      <c r="E1109" s="15"/>
      <c r="F1109" s="86">
        <f t="shared" si="141"/>
        <v>0</v>
      </c>
      <c r="G1109" s="672"/>
      <c r="H1109" s="673"/>
      <c r="I1109" s="599"/>
      <c r="J1109" s="457">
        <f t="shared" si="139"/>
        <v>0</v>
      </c>
      <c r="K1109" s="674"/>
      <c r="L1109" s="2"/>
    </row>
    <row r="1110" spans="2:12" ht="13.5" thickTop="1" x14ac:dyDescent="0.2">
      <c r="B1110" s="675" t="s">
        <v>1547</v>
      </c>
      <c r="C1110" s="15">
        <f t="shared" si="140"/>
        <v>0</v>
      </c>
      <c r="D1110" s="154">
        <f t="shared" si="138"/>
        <v>0</v>
      </c>
      <c r="E1110" s="15"/>
      <c r="F1110" s="86">
        <f t="shared" si="141"/>
        <v>0</v>
      </c>
      <c r="G1110" s="676"/>
      <c r="H1110" s="460"/>
      <c r="I1110" s="677"/>
      <c r="J1110" s="154"/>
      <c r="K1110" s="678"/>
      <c r="L1110" s="2"/>
    </row>
    <row r="1111" spans="2:12" x14ac:dyDescent="0.2">
      <c r="B1111" s="436" t="s">
        <v>1548</v>
      </c>
      <c r="C1111" s="15">
        <v>400</v>
      </c>
      <c r="D1111" s="15">
        <f t="shared" si="138"/>
        <v>240</v>
      </c>
      <c r="E1111" s="86"/>
      <c r="F1111" s="16">
        <f t="shared" si="141"/>
        <v>640</v>
      </c>
      <c r="G1111" s="646"/>
      <c r="H1111" s="436"/>
      <c r="I1111" s="106"/>
      <c r="J1111" s="15"/>
      <c r="K1111" s="657"/>
      <c r="L1111" s="2"/>
    </row>
    <row r="1112" spans="2:12" x14ac:dyDescent="0.2">
      <c r="B1112" s="436"/>
      <c r="C1112" s="15"/>
      <c r="D1112" s="15"/>
      <c r="E1112" s="86"/>
      <c r="F1112" s="16"/>
      <c r="G1112" s="646"/>
      <c r="H1112" s="436"/>
      <c r="I1112" s="106"/>
      <c r="J1112" s="15"/>
      <c r="K1112" s="657"/>
      <c r="L1112" s="2"/>
    </row>
    <row r="1113" spans="2:12" x14ac:dyDescent="0.2">
      <c r="B1113" s="449" t="s">
        <v>1549</v>
      </c>
      <c r="C1113" s="15"/>
      <c r="D1113" s="15">
        <f t="shared" ref="D1113:D1118" si="142">C1113*$F$1014</f>
        <v>0</v>
      </c>
      <c r="E1113" s="86"/>
      <c r="F1113" s="16">
        <f t="shared" ref="F1113:F1118" si="143">C1113+D1113+E1113</f>
        <v>0</v>
      </c>
      <c r="G1113" s="646"/>
      <c r="H1113" s="436"/>
      <c r="I1113" s="106"/>
      <c r="J1113" s="15"/>
      <c r="K1113" s="657"/>
      <c r="L1113" s="2"/>
    </row>
    <row r="1114" spans="2:12" x14ac:dyDescent="0.2">
      <c r="B1114" s="436" t="s">
        <v>1550</v>
      </c>
      <c r="C1114" s="15">
        <v>100</v>
      </c>
      <c r="D1114" s="15">
        <f t="shared" si="142"/>
        <v>60</v>
      </c>
      <c r="E1114" s="86"/>
      <c r="F1114" s="16">
        <f t="shared" si="143"/>
        <v>160</v>
      </c>
      <c r="G1114" s="646"/>
      <c r="H1114" s="436"/>
      <c r="I1114" s="106"/>
      <c r="J1114" s="15"/>
      <c r="K1114" s="657"/>
      <c r="L1114" s="2"/>
    </row>
    <row r="1115" spans="2:12" x14ac:dyDescent="0.2">
      <c r="B1115" s="436" t="s">
        <v>1551</v>
      </c>
      <c r="C1115" s="15">
        <v>65</v>
      </c>
      <c r="D1115" s="15">
        <f t="shared" si="142"/>
        <v>39</v>
      </c>
      <c r="E1115" s="86"/>
      <c r="F1115" s="16">
        <f t="shared" si="143"/>
        <v>104</v>
      </c>
      <c r="G1115" s="646"/>
      <c r="H1115" s="436"/>
      <c r="I1115" s="106"/>
      <c r="J1115" s="15"/>
      <c r="K1115" s="657"/>
      <c r="L1115" s="2"/>
    </row>
    <row r="1116" spans="2:12" x14ac:dyDescent="0.2">
      <c r="B1116" s="436" t="s">
        <v>1552</v>
      </c>
      <c r="C1116" s="15">
        <v>50</v>
      </c>
      <c r="D1116" s="15">
        <f t="shared" si="142"/>
        <v>30</v>
      </c>
      <c r="E1116" s="86"/>
      <c r="F1116" s="16">
        <f t="shared" si="143"/>
        <v>80</v>
      </c>
      <c r="G1116" s="646"/>
      <c r="H1116" s="436"/>
      <c r="I1116" s="106"/>
      <c r="J1116" s="15"/>
      <c r="K1116" s="657"/>
      <c r="L1116" s="2"/>
    </row>
    <row r="1117" spans="2:12" x14ac:dyDescent="0.2">
      <c r="B1117" s="436" t="s">
        <v>1553</v>
      </c>
      <c r="C1117" s="15">
        <v>30</v>
      </c>
      <c r="D1117" s="15">
        <f t="shared" si="142"/>
        <v>18</v>
      </c>
      <c r="E1117" s="86"/>
      <c r="F1117" s="16">
        <f t="shared" si="143"/>
        <v>48</v>
      </c>
      <c r="G1117" s="646"/>
      <c r="H1117" s="436"/>
      <c r="I1117" s="106"/>
      <c r="J1117" s="15"/>
      <c r="K1117" s="657"/>
      <c r="L1117" s="2"/>
    </row>
    <row r="1118" spans="2:12" x14ac:dyDescent="0.2">
      <c r="B1118" s="436" t="s">
        <v>1554</v>
      </c>
      <c r="C1118" s="15">
        <v>350</v>
      </c>
      <c r="D1118" s="15">
        <f t="shared" si="142"/>
        <v>210</v>
      </c>
      <c r="E1118" s="86"/>
      <c r="F1118" s="16">
        <f t="shared" si="143"/>
        <v>560</v>
      </c>
      <c r="G1118" s="646"/>
      <c r="H1118" s="436"/>
      <c r="I1118" s="106"/>
      <c r="J1118" s="15"/>
      <c r="K1118" s="657"/>
      <c r="L1118" s="2"/>
    </row>
    <row r="1119" spans="2:12" x14ac:dyDescent="0.2">
      <c r="B1119" s="436"/>
      <c r="C1119" s="15"/>
      <c r="D1119" s="15"/>
      <c r="E1119" s="86"/>
      <c r="F1119" s="16"/>
      <c r="G1119" s="646"/>
      <c r="H1119" s="436"/>
      <c r="I1119" s="106"/>
      <c r="J1119" s="15"/>
      <c r="K1119" s="657"/>
      <c r="L1119" s="2"/>
    </row>
    <row r="1120" spans="2:12" x14ac:dyDescent="0.2">
      <c r="B1120" s="449" t="s">
        <v>1555</v>
      </c>
      <c r="C1120" s="15"/>
      <c r="D1120" s="15">
        <f t="shared" ref="D1120:D1122" si="144">C1120*$F$1014</f>
        <v>0</v>
      </c>
      <c r="E1120" s="86"/>
      <c r="F1120" s="16">
        <f t="shared" ref="F1120:F1122" si="145">C1120+D1120+E1120</f>
        <v>0</v>
      </c>
      <c r="G1120" s="646"/>
      <c r="H1120" s="436"/>
      <c r="I1120" s="106"/>
      <c r="J1120" s="15"/>
      <c r="K1120" s="657"/>
      <c r="L1120" s="2"/>
    </row>
    <row r="1121" spans="2:12" x14ac:dyDescent="0.2">
      <c r="B1121" s="436" t="s">
        <v>1556</v>
      </c>
      <c r="C1121" s="15">
        <v>120</v>
      </c>
      <c r="D1121" s="15">
        <f t="shared" si="144"/>
        <v>72</v>
      </c>
      <c r="E1121" s="86"/>
      <c r="F1121" s="16">
        <f t="shared" si="145"/>
        <v>192</v>
      </c>
      <c r="G1121" s="646"/>
      <c r="H1121" s="436"/>
      <c r="I1121" s="106"/>
      <c r="J1121" s="15"/>
      <c r="K1121" s="657"/>
      <c r="L1121" s="2"/>
    </row>
    <row r="1122" spans="2:12" x14ac:dyDescent="0.2">
      <c r="B1122" s="436"/>
      <c r="C1122" s="15">
        <v>360</v>
      </c>
      <c r="D1122" s="15">
        <f t="shared" si="144"/>
        <v>216</v>
      </c>
      <c r="E1122" s="86"/>
      <c r="F1122" s="16">
        <f t="shared" si="145"/>
        <v>576</v>
      </c>
      <c r="G1122" s="646"/>
      <c r="H1122" s="436"/>
      <c r="I1122" s="106"/>
      <c r="J1122" s="15"/>
      <c r="K1122" s="657"/>
      <c r="L1122" s="2"/>
    </row>
    <row r="1123" spans="2:12" x14ac:dyDescent="0.2">
      <c r="B1123" s="436" t="s">
        <v>1557</v>
      </c>
      <c r="C1123" s="15">
        <v>35</v>
      </c>
      <c r="D1123" s="154">
        <f>C1123*$F$1014</f>
        <v>21</v>
      </c>
      <c r="E1123" s="15"/>
      <c r="F1123" s="86">
        <f>C1123+D1123+E1123</f>
        <v>56</v>
      </c>
      <c r="G1123" s="646"/>
      <c r="H1123" s="436"/>
      <c r="I1123" s="106"/>
      <c r="J1123" s="15"/>
      <c r="K1123" s="657"/>
      <c r="L1123" s="2"/>
    </row>
    <row r="1124" spans="2:12" x14ac:dyDescent="0.2">
      <c r="B1124" s="436"/>
      <c r="C1124" s="15"/>
      <c r="D1124" s="15"/>
      <c r="E1124" s="86"/>
      <c r="F1124" s="16"/>
      <c r="G1124" s="646"/>
      <c r="H1124" s="436"/>
      <c r="I1124" s="106"/>
      <c r="J1124" s="15"/>
      <c r="K1124" s="657"/>
      <c r="L1124" s="2"/>
    </row>
    <row r="1125" spans="2:12" x14ac:dyDescent="0.2">
      <c r="B1125" s="436"/>
      <c r="C1125" s="15"/>
      <c r="D1125" s="15"/>
      <c r="E1125" s="86"/>
      <c r="F1125" s="16"/>
      <c r="G1125" s="646"/>
      <c r="H1125" s="436"/>
      <c r="I1125" s="106"/>
      <c r="J1125" s="15"/>
      <c r="K1125" s="657"/>
      <c r="L1125" s="2"/>
    </row>
    <row r="1126" spans="2:12" x14ac:dyDescent="0.2">
      <c r="B1126" s="449" t="s">
        <v>1558</v>
      </c>
      <c r="C1126" s="15"/>
      <c r="D1126" s="15">
        <f t="shared" ref="D1126:D1131" si="146">C1126*$F$1014</f>
        <v>0</v>
      </c>
      <c r="E1126" s="86"/>
      <c r="F1126" s="16">
        <f t="shared" ref="F1126:F1131" si="147">C1126+D1126+E1126</f>
        <v>0</v>
      </c>
      <c r="G1126" s="646"/>
      <c r="H1126" s="436"/>
      <c r="I1126" s="106"/>
      <c r="J1126" s="15"/>
      <c r="K1126" s="657"/>
      <c r="L1126" s="2"/>
    </row>
    <row r="1127" spans="2:12" x14ac:dyDescent="0.2">
      <c r="B1127" s="449"/>
      <c r="C1127" s="15"/>
      <c r="D1127" s="15"/>
      <c r="E1127" s="86"/>
      <c r="F1127" s="16"/>
      <c r="G1127" s="646"/>
      <c r="H1127" s="436"/>
      <c r="I1127" s="106"/>
      <c r="J1127" s="15"/>
      <c r="K1127" s="657"/>
      <c r="L1127" s="2"/>
    </row>
    <row r="1128" spans="2:12" x14ac:dyDescent="0.2">
      <c r="B1128" s="436" t="s">
        <v>1559</v>
      </c>
      <c r="C1128" s="15">
        <v>120</v>
      </c>
      <c r="D1128" s="15">
        <f t="shared" si="146"/>
        <v>72</v>
      </c>
      <c r="E1128" s="86"/>
      <c r="F1128" s="16">
        <f t="shared" si="147"/>
        <v>192</v>
      </c>
      <c r="G1128" s="646"/>
      <c r="H1128" s="436"/>
      <c r="I1128" s="106"/>
      <c r="J1128" s="15"/>
      <c r="K1128" s="657"/>
      <c r="L1128" s="2"/>
    </row>
    <row r="1129" spans="2:12" x14ac:dyDescent="0.2">
      <c r="B1129" s="436" t="s">
        <v>1560</v>
      </c>
      <c r="C1129" s="15">
        <v>360</v>
      </c>
      <c r="D1129" s="15">
        <f t="shared" si="146"/>
        <v>216</v>
      </c>
      <c r="E1129" s="86"/>
      <c r="F1129" s="16">
        <f t="shared" si="147"/>
        <v>576</v>
      </c>
      <c r="G1129" s="646"/>
      <c r="H1129" s="436"/>
      <c r="I1129" s="106"/>
      <c r="J1129" s="15"/>
      <c r="K1129" s="657"/>
      <c r="L1129" s="2"/>
    </row>
    <row r="1130" spans="2:12" x14ac:dyDescent="0.2">
      <c r="B1130" s="436" t="s">
        <v>1561</v>
      </c>
      <c r="C1130" s="15">
        <v>300</v>
      </c>
      <c r="D1130" s="15">
        <f t="shared" si="146"/>
        <v>180</v>
      </c>
      <c r="E1130" s="86"/>
      <c r="F1130" s="16">
        <f t="shared" si="147"/>
        <v>480</v>
      </c>
      <c r="G1130" s="646"/>
      <c r="H1130" s="436"/>
      <c r="I1130" s="106"/>
      <c r="J1130" s="15"/>
      <c r="K1130" s="657"/>
      <c r="L1130" s="2"/>
    </row>
    <row r="1131" spans="2:12" x14ac:dyDescent="0.2">
      <c r="B1131" s="436" t="s">
        <v>1562</v>
      </c>
      <c r="C1131" s="15">
        <v>240</v>
      </c>
      <c r="D1131" s="15">
        <f t="shared" si="146"/>
        <v>144</v>
      </c>
      <c r="E1131" s="86"/>
      <c r="F1131" s="16">
        <f t="shared" si="147"/>
        <v>384</v>
      </c>
      <c r="G1131" s="646"/>
      <c r="H1131" s="436"/>
      <c r="I1131" s="106"/>
      <c r="J1131" s="15"/>
      <c r="K1131" s="657"/>
      <c r="L1131" s="2"/>
    </row>
    <row r="1132" spans="2:12" x14ac:dyDescent="0.2">
      <c r="B1132" s="436"/>
      <c r="C1132" s="15"/>
      <c r="D1132" s="15"/>
      <c r="E1132" s="86"/>
      <c r="F1132" s="16"/>
      <c r="G1132" s="646"/>
      <c r="H1132" s="436"/>
      <c r="I1132" s="106"/>
      <c r="J1132" s="15"/>
      <c r="K1132" s="657"/>
      <c r="L1132" s="2"/>
    </row>
    <row r="1133" spans="2:12" x14ac:dyDescent="0.2">
      <c r="B1133" s="436"/>
      <c r="C1133" s="15"/>
      <c r="D1133" s="15"/>
      <c r="E1133" s="86"/>
      <c r="F1133" s="16"/>
      <c r="G1133" s="646"/>
      <c r="H1133" s="436"/>
      <c r="I1133" s="106"/>
      <c r="J1133" s="15"/>
      <c r="K1133" s="657"/>
      <c r="L1133" s="2"/>
    </row>
    <row r="1134" spans="2:12" x14ac:dyDescent="0.2">
      <c r="B1134" s="436"/>
      <c r="C1134" s="15"/>
      <c r="D1134" s="15"/>
      <c r="E1134" s="86"/>
      <c r="F1134" s="16"/>
      <c r="G1134" s="646"/>
      <c r="H1134" s="436"/>
      <c r="I1134" s="106"/>
      <c r="J1134" s="15"/>
      <c r="K1134" s="657"/>
      <c r="L1134" s="2"/>
    </row>
    <row r="1135" spans="2:12" x14ac:dyDescent="0.2">
      <c r="B1135" s="436" t="s">
        <v>1563</v>
      </c>
      <c r="C1135" s="15">
        <f t="shared" si="137"/>
        <v>85</v>
      </c>
      <c r="D1135" s="15">
        <f>C1135*F1014</f>
        <v>51</v>
      </c>
      <c r="E1135" s="86"/>
      <c r="F1135" s="16">
        <f t="shared" si="127"/>
        <v>136</v>
      </c>
      <c r="G1135" s="646"/>
      <c r="H1135" s="436"/>
      <c r="I1135" s="106"/>
      <c r="J1135" s="15">
        <f>K1135*J1014</f>
        <v>85</v>
      </c>
      <c r="K1135" s="657">
        <v>60</v>
      </c>
      <c r="L1135" s="2"/>
    </row>
    <row r="1136" spans="2:12" ht="13.5" thickBot="1" x14ac:dyDescent="0.25">
      <c r="B1136" s="456" t="s">
        <v>1564</v>
      </c>
      <c r="C1136" s="457">
        <v>40</v>
      </c>
      <c r="D1136" s="457">
        <f>C1136*F1014</f>
        <v>24</v>
      </c>
      <c r="E1136" s="458"/>
      <c r="F1136" s="16">
        <f t="shared" si="127"/>
        <v>64</v>
      </c>
      <c r="G1136" s="679"/>
      <c r="H1136" s="456"/>
      <c r="I1136" s="673"/>
      <c r="J1136" s="457"/>
      <c r="K1136" s="674"/>
      <c r="L1136" s="2"/>
    </row>
    <row r="1137" spans="2:12" ht="14.25" thickTop="1" thickBot="1" x14ac:dyDescent="0.25">
      <c r="B1137" s="189" t="s">
        <v>1565</v>
      </c>
      <c r="C1137" s="457">
        <v>200</v>
      </c>
      <c r="D1137" s="457">
        <f>C1137*F1014</f>
        <v>120</v>
      </c>
      <c r="E1137" s="458"/>
      <c r="F1137" s="16">
        <f>C1137+D1137+E1137</f>
        <v>320</v>
      </c>
      <c r="G1137" s="680"/>
      <c r="H1137" s="189"/>
      <c r="I1137" s="189"/>
      <c r="J1137" s="165"/>
      <c r="K1137" s="681"/>
      <c r="L1137" s="2"/>
    </row>
    <row r="1138" spans="2:12" ht="13.5" thickTop="1" x14ac:dyDescent="0.2">
      <c r="L1138" s="2"/>
    </row>
    <row r="1139" spans="2:12" ht="13.5" thickBot="1" x14ac:dyDescent="0.25">
      <c r="B1139" s="189"/>
      <c r="C1139" s="165"/>
      <c r="D1139" s="165"/>
      <c r="E1139" s="165"/>
      <c r="F1139" s="165"/>
      <c r="G1139" s="2"/>
      <c r="H1139" s="189"/>
      <c r="I1139" s="471"/>
      <c r="J1139" s="165"/>
      <c r="K1139" s="682"/>
      <c r="L1139" s="2"/>
    </row>
    <row r="1140" spans="2:12" ht="14.25" thickTop="1" thickBot="1" x14ac:dyDescent="0.25">
      <c r="B1140" s="683"/>
      <c r="C1140" s="926" t="s">
        <v>1566</v>
      </c>
      <c r="D1140" s="926"/>
      <c r="E1140" s="684"/>
      <c r="F1140" s="685">
        <f>0.6*1</f>
        <v>0.6</v>
      </c>
      <c r="G1140" s="686"/>
      <c r="H1140" s="687"/>
      <c r="I1140" s="622" t="s">
        <v>1411</v>
      </c>
      <c r="J1140" s="622" t="s">
        <v>1412</v>
      </c>
      <c r="K1140" s="927" t="s">
        <v>1413</v>
      </c>
      <c r="L1140" s="2"/>
    </row>
    <row r="1141" spans="2:12" ht="14.25" thickTop="1" thickBot="1" x14ac:dyDescent="0.25">
      <c r="B1141" s="6" t="s">
        <v>1567</v>
      </c>
      <c r="C1141" s="154"/>
      <c r="D1141" s="688">
        <v>0</v>
      </c>
      <c r="E1141" s="689"/>
      <c r="F1141" s="155"/>
      <c r="G1141" s="2"/>
      <c r="H1141" s="690"/>
      <c r="I1141" s="648">
        <v>80</v>
      </c>
      <c r="J1141" s="648">
        <f>I1141/60</f>
        <v>1.3333333333333333</v>
      </c>
      <c r="K1141" s="928"/>
      <c r="L1141" s="2"/>
    </row>
    <row r="1142" spans="2:12" ht="14.25" thickTop="1" thickBot="1" x14ac:dyDescent="0.25">
      <c r="B1142" s="6"/>
      <c r="C1142" s="15"/>
      <c r="D1142" s="473"/>
      <c r="E1142" s="691"/>
      <c r="F1142" s="16"/>
      <c r="G1142" s="2"/>
      <c r="H1142" s="690"/>
      <c r="I1142" s="640"/>
      <c r="J1142" s="640"/>
      <c r="K1142" s="692"/>
      <c r="L1142" s="2"/>
    </row>
    <row r="1143" spans="2:12" ht="13.5" thickTop="1" x14ac:dyDescent="0.2">
      <c r="B1143" s="436" t="s">
        <v>1568</v>
      </c>
      <c r="C1143" s="15">
        <f t="shared" ref="C1143:C1153" si="148">J1143</f>
        <v>1280</v>
      </c>
      <c r="D1143" s="573">
        <f>C1143*F1140</f>
        <v>768</v>
      </c>
      <c r="E1143" s="86"/>
      <c r="F1143" s="16">
        <f>C1143+D1143+E1143</f>
        <v>2048</v>
      </c>
      <c r="G1143" s="680"/>
      <c r="H1143" s="503"/>
      <c r="I1143" s="693"/>
      <c r="J1143" s="694">
        <f>K1143*J1141</f>
        <v>1280</v>
      </c>
      <c r="K1143" s="695">
        <v>960</v>
      </c>
      <c r="L1143" s="2"/>
    </row>
    <row r="1144" spans="2:12" x14ac:dyDescent="0.2">
      <c r="B1144" s="436" t="s">
        <v>1569</v>
      </c>
      <c r="C1144" s="15">
        <f t="shared" si="148"/>
        <v>1280</v>
      </c>
      <c r="D1144" s="573">
        <f>C1144*F1140</f>
        <v>768</v>
      </c>
      <c r="E1144" s="86"/>
      <c r="F1144" s="16">
        <f t="shared" ref="F1144:F1230" si="149">C1144+D1144+E1144</f>
        <v>2048</v>
      </c>
      <c r="G1144" s="680"/>
      <c r="H1144" s="460"/>
      <c r="I1144" s="696"/>
      <c r="J1144" s="697">
        <f>J1141*K1144</f>
        <v>1280</v>
      </c>
      <c r="K1144" s="698">
        <v>960</v>
      </c>
      <c r="L1144" s="2"/>
    </row>
    <row r="1145" spans="2:12" x14ac:dyDescent="0.2">
      <c r="B1145" s="436" t="s">
        <v>1570</v>
      </c>
      <c r="C1145" s="15">
        <f>J1145</f>
        <v>720</v>
      </c>
      <c r="D1145" s="573">
        <f>C1145*F1140</f>
        <v>432</v>
      </c>
      <c r="E1145" s="86"/>
      <c r="F1145" s="16">
        <f>C1145+D1145</f>
        <v>1152</v>
      </c>
      <c r="G1145" s="680"/>
      <c r="H1145" s="460"/>
      <c r="I1145" s="696"/>
      <c r="J1145" s="697">
        <f>J1141*K1145</f>
        <v>720</v>
      </c>
      <c r="K1145" s="698">
        <v>540</v>
      </c>
      <c r="L1145" s="2"/>
    </row>
    <row r="1146" spans="2:12" x14ac:dyDescent="0.2">
      <c r="B1146" s="436" t="s">
        <v>1571</v>
      </c>
      <c r="C1146" s="15">
        <f t="shared" si="148"/>
        <v>160</v>
      </c>
      <c r="D1146" s="573">
        <f>C1146*F1140</f>
        <v>96</v>
      </c>
      <c r="E1146" s="86"/>
      <c r="F1146" s="16">
        <f t="shared" si="149"/>
        <v>256</v>
      </c>
      <c r="G1146" s="680"/>
      <c r="H1146" s="460"/>
      <c r="I1146" s="696"/>
      <c r="J1146" s="697">
        <f>J1141*K1146</f>
        <v>160</v>
      </c>
      <c r="K1146" s="698">
        <v>120</v>
      </c>
      <c r="L1146" s="2"/>
    </row>
    <row r="1147" spans="2:12" x14ac:dyDescent="0.2">
      <c r="B1147" s="436" t="s">
        <v>1572</v>
      </c>
      <c r="C1147" s="15">
        <f t="shared" si="148"/>
        <v>80</v>
      </c>
      <c r="D1147" s="573">
        <f>C1147*F1140</f>
        <v>48</v>
      </c>
      <c r="E1147" s="86"/>
      <c r="F1147" s="16">
        <f t="shared" si="149"/>
        <v>128</v>
      </c>
      <c r="G1147" s="680"/>
      <c r="H1147" s="460"/>
      <c r="I1147" s="696"/>
      <c r="J1147" s="697">
        <f>J1141*K1147</f>
        <v>80</v>
      </c>
      <c r="K1147" s="698">
        <v>60</v>
      </c>
      <c r="L1147" s="2"/>
    </row>
    <row r="1148" spans="2:12" x14ac:dyDescent="0.2">
      <c r="B1148" s="106" t="s">
        <v>1573</v>
      </c>
      <c r="C1148" s="15">
        <f>J1148</f>
        <v>240</v>
      </c>
      <c r="D1148" s="573">
        <f>C1148*F1140</f>
        <v>144</v>
      </c>
      <c r="E1148" s="86"/>
      <c r="F1148" s="16">
        <f>C1148+D1148</f>
        <v>384</v>
      </c>
      <c r="G1148" s="680"/>
      <c r="H1148" s="460"/>
      <c r="I1148" s="696"/>
      <c r="J1148" s="697">
        <f>K1148*J1141</f>
        <v>240</v>
      </c>
      <c r="K1148" s="698">
        <v>180</v>
      </c>
      <c r="L1148" s="2"/>
    </row>
    <row r="1149" spans="2:12" x14ac:dyDescent="0.2">
      <c r="B1149" s="106" t="s">
        <v>1574</v>
      </c>
      <c r="C1149" s="15">
        <v>260</v>
      </c>
      <c r="D1149" s="573">
        <f>C1149*F1140</f>
        <v>156</v>
      </c>
      <c r="E1149" s="86"/>
      <c r="F1149" s="16">
        <f>C1149+D1149</f>
        <v>416</v>
      </c>
      <c r="G1149" s="680"/>
      <c r="H1149" s="460"/>
      <c r="I1149" s="696"/>
      <c r="J1149" s="697">
        <f>K1149*J1141</f>
        <v>240</v>
      </c>
      <c r="K1149" s="698">
        <v>180</v>
      </c>
      <c r="L1149" s="2"/>
    </row>
    <row r="1150" spans="2:12" x14ac:dyDescent="0.2">
      <c r="B1150" s="11" t="s">
        <v>1575</v>
      </c>
      <c r="C1150" s="15">
        <f t="shared" si="148"/>
        <v>18.666666666666664</v>
      </c>
      <c r="D1150" s="573">
        <f>C1150*F1140</f>
        <v>11.199999999999998</v>
      </c>
      <c r="E1150" s="86"/>
      <c r="F1150" s="16">
        <f t="shared" si="149"/>
        <v>29.86666666666666</v>
      </c>
      <c r="G1150" s="680"/>
      <c r="H1150" s="460"/>
      <c r="I1150" s="696"/>
      <c r="J1150" s="697">
        <f>J1141*K1150</f>
        <v>18.666666666666664</v>
      </c>
      <c r="K1150" s="698">
        <v>14</v>
      </c>
      <c r="L1150" s="2"/>
    </row>
    <row r="1151" spans="2:12" x14ac:dyDescent="0.2">
      <c r="B1151" s="677" t="s">
        <v>1576</v>
      </c>
      <c r="C1151" s="15">
        <f t="shared" si="148"/>
        <v>33.333333333333329</v>
      </c>
      <c r="D1151" s="573">
        <f>C1151*F1140</f>
        <v>19.999999999999996</v>
      </c>
      <c r="E1151" s="86"/>
      <c r="F1151" s="16">
        <f t="shared" si="149"/>
        <v>53.333333333333329</v>
      </c>
      <c r="G1151" s="680"/>
      <c r="H1151" s="460"/>
      <c r="I1151" s="696"/>
      <c r="J1151" s="697">
        <f>J1141*K1151</f>
        <v>33.333333333333329</v>
      </c>
      <c r="K1151" s="698">
        <v>25</v>
      </c>
      <c r="L1151" s="2"/>
    </row>
    <row r="1152" spans="2:12" x14ac:dyDescent="0.2">
      <c r="B1152" s="677" t="s">
        <v>1577</v>
      </c>
      <c r="C1152" s="15">
        <f t="shared" si="148"/>
        <v>40</v>
      </c>
      <c r="D1152" s="573">
        <f>C1152*F1140</f>
        <v>24</v>
      </c>
      <c r="E1152" s="86"/>
      <c r="F1152" s="16">
        <f t="shared" si="149"/>
        <v>64</v>
      </c>
      <c r="G1152" s="680"/>
      <c r="H1152" s="677"/>
      <c r="I1152" s="696"/>
      <c r="J1152" s="697">
        <f>J1141*K1152</f>
        <v>40</v>
      </c>
      <c r="K1152" s="698">
        <v>30</v>
      </c>
      <c r="L1152" s="2"/>
    </row>
    <row r="1153" spans="1:12" x14ac:dyDescent="0.2">
      <c r="B1153" s="677" t="s">
        <v>1578</v>
      </c>
      <c r="C1153" s="15">
        <f t="shared" si="148"/>
        <v>80</v>
      </c>
      <c r="D1153" s="573">
        <f>C1153*F1140</f>
        <v>48</v>
      </c>
      <c r="E1153" s="86"/>
      <c r="F1153" s="16">
        <f t="shared" si="149"/>
        <v>128</v>
      </c>
      <c r="G1153" s="699"/>
      <c r="H1153" s="677"/>
      <c r="I1153" s="696"/>
      <c r="J1153" s="697">
        <f>K1153*J1141</f>
        <v>80</v>
      </c>
      <c r="K1153" s="698">
        <v>60</v>
      </c>
      <c r="L1153" s="2"/>
    </row>
    <row r="1154" spans="1:12" x14ac:dyDescent="0.2">
      <c r="B1154" s="677" t="s">
        <v>557</v>
      </c>
      <c r="C1154" s="154">
        <f>J1154</f>
        <v>80</v>
      </c>
      <c r="D1154" s="700">
        <f>C1154*F1140</f>
        <v>48</v>
      </c>
      <c r="E1154" s="461"/>
      <c r="F1154" s="16">
        <f>C1154+D1154</f>
        <v>128</v>
      </c>
      <c r="G1154" s="680"/>
      <c r="H1154" s="677"/>
      <c r="I1154" s="696"/>
      <c r="J1154" s="697">
        <f>J1141*K1154</f>
        <v>80</v>
      </c>
      <c r="K1154" s="698">
        <v>60</v>
      </c>
      <c r="L1154" s="2"/>
    </row>
    <row r="1155" spans="1:12" x14ac:dyDescent="0.2">
      <c r="B1155" s="677"/>
      <c r="C1155" s="154"/>
      <c r="D1155" s="154"/>
      <c r="E1155" s="461"/>
      <c r="F1155" s="16">
        <f t="shared" si="149"/>
        <v>0</v>
      </c>
      <c r="G1155" s="2"/>
      <c r="H1155" s="677"/>
      <c r="I1155" s="696"/>
      <c r="J1155" s="697"/>
      <c r="K1155" s="698"/>
      <c r="L1155" s="2"/>
    </row>
    <row r="1156" spans="1:12" x14ac:dyDescent="0.2">
      <c r="B1156" s="701" t="s">
        <v>1579</v>
      </c>
      <c r="C1156" s="15"/>
      <c r="D1156" s="15"/>
      <c r="E1156" s="86"/>
      <c r="F1156" s="16">
        <f t="shared" si="149"/>
        <v>0</v>
      </c>
      <c r="G1156" s="2"/>
      <c r="H1156" s="460"/>
      <c r="I1156" s="696"/>
      <c r="J1156" s="697"/>
      <c r="K1156" s="698"/>
      <c r="L1156" s="2"/>
    </row>
    <row r="1157" spans="1:12" x14ac:dyDescent="0.2">
      <c r="B1157" s="11" t="s">
        <v>1580</v>
      </c>
      <c r="C1157" s="15">
        <f>J1157</f>
        <v>40</v>
      </c>
      <c r="D1157" s="573">
        <f>C1157*$F$1140</f>
        <v>24</v>
      </c>
      <c r="E1157" s="86"/>
      <c r="F1157" s="16">
        <f t="shared" si="149"/>
        <v>64</v>
      </c>
      <c r="G1157" s="680"/>
      <c r="H1157" s="436"/>
      <c r="I1157" s="248"/>
      <c r="J1157" s="15">
        <f>J1141*K1157</f>
        <v>40</v>
      </c>
      <c r="K1157" s="702">
        <v>30</v>
      </c>
      <c r="L1157" s="2"/>
    </row>
    <row r="1158" spans="1:12" x14ac:dyDescent="0.2">
      <c r="B1158" s="11" t="s">
        <v>1580</v>
      </c>
      <c r="C1158" s="15">
        <f>J1158</f>
        <v>80</v>
      </c>
      <c r="D1158" s="573">
        <f>C1158*$F$1140</f>
        <v>48</v>
      </c>
      <c r="E1158" s="86"/>
      <c r="F1158" s="16">
        <f t="shared" si="149"/>
        <v>128</v>
      </c>
      <c r="G1158" s="680"/>
      <c r="H1158" s="436"/>
      <c r="I1158" s="248"/>
      <c r="J1158" s="15">
        <f>J1141*K1158</f>
        <v>80</v>
      </c>
      <c r="K1158" s="703">
        <v>60</v>
      </c>
      <c r="L1158" s="2"/>
    </row>
    <row r="1159" spans="1:12" x14ac:dyDescent="0.2">
      <c r="B1159" s="11" t="s">
        <v>1581</v>
      </c>
      <c r="C1159" s="15">
        <f>J1159</f>
        <v>13.333333333333332</v>
      </c>
      <c r="D1159" s="573">
        <f t="shared" ref="D1159:D1167" si="150">C1159*$F$1140</f>
        <v>7.9999999999999991</v>
      </c>
      <c r="E1159" s="86"/>
      <c r="F1159" s="16">
        <f>C1159+D1159+E1159</f>
        <v>21.333333333333332</v>
      </c>
      <c r="G1159" s="680"/>
      <c r="H1159" s="460"/>
      <c r="I1159" s="696"/>
      <c r="J1159" s="15">
        <f>J1141*K1159</f>
        <v>13.333333333333332</v>
      </c>
      <c r="K1159" s="703">
        <v>10</v>
      </c>
      <c r="L1159" s="2"/>
    </row>
    <row r="1160" spans="1:12" x14ac:dyDescent="0.2">
      <c r="B1160" s="606" t="s">
        <v>1582</v>
      </c>
      <c r="C1160" s="15">
        <f>J1160</f>
        <v>80</v>
      </c>
      <c r="D1160" s="573">
        <f t="shared" si="150"/>
        <v>48</v>
      </c>
      <c r="E1160" s="86"/>
      <c r="F1160" s="16">
        <f t="shared" si="149"/>
        <v>128</v>
      </c>
      <c r="G1160" s="680"/>
      <c r="H1160" s="460"/>
      <c r="I1160" s="696"/>
      <c r="J1160" s="154">
        <f>K1160*J1141</f>
        <v>80</v>
      </c>
      <c r="K1160" s="704">
        <v>60</v>
      </c>
      <c r="L1160" s="2"/>
    </row>
    <row r="1161" spans="1:12" x14ac:dyDescent="0.2">
      <c r="B1161" s="189" t="s">
        <v>1583</v>
      </c>
      <c r="C1161" s="15">
        <f>J1161</f>
        <v>80</v>
      </c>
      <c r="D1161" s="573">
        <f t="shared" si="150"/>
        <v>48</v>
      </c>
      <c r="E1161" s="86"/>
      <c r="F1161" s="16">
        <f t="shared" si="149"/>
        <v>128</v>
      </c>
      <c r="G1161" s="680"/>
      <c r="H1161" s="460"/>
      <c r="I1161" s="696"/>
      <c r="J1161" s="154">
        <f>K1160*J1141</f>
        <v>80</v>
      </c>
      <c r="K1161" s="704">
        <v>60</v>
      </c>
      <c r="L1161" s="2"/>
    </row>
    <row r="1162" spans="1:12" x14ac:dyDescent="0.2">
      <c r="C1162" s="15"/>
      <c r="D1162" s="573"/>
      <c r="E1162" s="86"/>
      <c r="F1162" s="16"/>
      <c r="G1162" s="680"/>
      <c r="H1162" s="460"/>
      <c r="I1162" s="696"/>
      <c r="J1162" s="154"/>
      <c r="K1162" s="698"/>
      <c r="L1162" s="2"/>
    </row>
    <row r="1163" spans="1:12" x14ac:dyDescent="0.2">
      <c r="A1163" s="705"/>
      <c r="B1163" s="11" t="s">
        <v>28</v>
      </c>
      <c r="C1163" s="15">
        <f>J1163</f>
        <v>13.333333333333332</v>
      </c>
      <c r="D1163" s="573">
        <f t="shared" si="150"/>
        <v>7.9999999999999991</v>
      </c>
      <c r="E1163" s="86"/>
      <c r="F1163" s="16">
        <f t="shared" si="149"/>
        <v>21.333333333333332</v>
      </c>
      <c r="G1163" s="680"/>
      <c r="H1163" s="436"/>
      <c r="I1163" s="248"/>
      <c r="J1163" s="15">
        <f>K1163*$J$1141</f>
        <v>13.333333333333332</v>
      </c>
      <c r="K1163" s="706">
        <v>10</v>
      </c>
      <c r="L1163" s="2"/>
    </row>
    <row r="1164" spans="1:12" x14ac:dyDescent="0.2">
      <c r="A1164" s="705"/>
      <c r="B1164" s="11" t="s">
        <v>29</v>
      </c>
      <c r="C1164" s="15">
        <f t="shared" ref="C1164:C1167" si="151">J1164</f>
        <v>13.333333333333332</v>
      </c>
      <c r="D1164" s="573">
        <f t="shared" si="150"/>
        <v>7.9999999999999991</v>
      </c>
      <c r="E1164" s="86"/>
      <c r="F1164" s="16">
        <f t="shared" si="149"/>
        <v>21.333333333333332</v>
      </c>
      <c r="G1164" s="680"/>
      <c r="H1164" s="436"/>
      <c r="I1164" s="248"/>
      <c r="J1164" s="15">
        <f t="shared" ref="J1164:J1167" si="152">K1164*$J$1141</f>
        <v>13.333333333333332</v>
      </c>
      <c r="K1164" s="706">
        <v>10</v>
      </c>
      <c r="L1164" s="2"/>
    </row>
    <row r="1165" spans="1:12" x14ac:dyDescent="0.2">
      <c r="A1165" s="705"/>
      <c r="B1165" s="11" t="s">
        <v>30</v>
      </c>
      <c r="C1165" s="15">
        <f t="shared" si="151"/>
        <v>13.333333333333332</v>
      </c>
      <c r="D1165" s="573">
        <f t="shared" si="150"/>
        <v>7.9999999999999991</v>
      </c>
      <c r="E1165" s="86"/>
      <c r="F1165" s="16">
        <f t="shared" si="149"/>
        <v>21.333333333333332</v>
      </c>
      <c r="G1165" s="680"/>
      <c r="H1165" s="436"/>
      <c r="I1165" s="248"/>
      <c r="J1165" s="15">
        <f t="shared" si="152"/>
        <v>13.333333333333332</v>
      </c>
      <c r="K1165" s="706">
        <v>10</v>
      </c>
      <c r="L1165" s="2"/>
    </row>
    <row r="1166" spans="1:12" x14ac:dyDescent="0.2">
      <c r="A1166" s="705"/>
      <c r="B1166" s="11" t="s">
        <v>31</v>
      </c>
      <c r="C1166" s="15">
        <f t="shared" si="151"/>
        <v>13.333333333333332</v>
      </c>
      <c r="D1166" s="573">
        <f t="shared" si="150"/>
        <v>7.9999999999999991</v>
      </c>
      <c r="E1166" s="86"/>
      <c r="F1166" s="16">
        <f t="shared" si="149"/>
        <v>21.333333333333332</v>
      </c>
      <c r="G1166" s="680"/>
      <c r="H1166" s="436"/>
      <c r="I1166" s="248"/>
      <c r="J1166" s="15">
        <f t="shared" si="152"/>
        <v>13.333333333333332</v>
      </c>
      <c r="K1166" s="706">
        <v>10</v>
      </c>
      <c r="L1166" s="2"/>
    </row>
    <row r="1167" spans="1:12" x14ac:dyDescent="0.2">
      <c r="A1167" s="705"/>
      <c r="B1167" s="11" t="s">
        <v>32</v>
      </c>
      <c r="C1167" s="15">
        <f t="shared" si="151"/>
        <v>80</v>
      </c>
      <c r="D1167" s="573">
        <f t="shared" si="150"/>
        <v>48</v>
      </c>
      <c r="E1167" s="86"/>
      <c r="F1167" s="16">
        <f t="shared" si="149"/>
        <v>128</v>
      </c>
      <c r="G1167" s="680"/>
      <c r="H1167" s="436"/>
      <c r="I1167" s="248"/>
      <c r="J1167" s="15">
        <f t="shared" si="152"/>
        <v>80</v>
      </c>
      <c r="K1167" s="706">
        <v>60</v>
      </c>
      <c r="L1167" s="2"/>
    </row>
    <row r="1168" spans="1:12" x14ac:dyDescent="0.2">
      <c r="B1168" s="106"/>
      <c r="C1168" s="15"/>
      <c r="D1168" s="573"/>
      <c r="E1168" s="86"/>
      <c r="F1168" s="16"/>
      <c r="G1168" s="680"/>
      <c r="H1168" s="436"/>
      <c r="I1168" s="248"/>
      <c r="J1168" s="15"/>
      <c r="K1168" s="706"/>
      <c r="L1168" s="2"/>
    </row>
    <row r="1169" spans="2:12" x14ac:dyDescent="0.2">
      <c r="B1169" s="106"/>
      <c r="C1169" s="15"/>
      <c r="D1169" s="573"/>
      <c r="E1169" s="86"/>
      <c r="F1169" s="16"/>
      <c r="G1169" s="680"/>
      <c r="H1169" s="436"/>
      <c r="I1169" s="248"/>
      <c r="J1169" s="15"/>
      <c r="K1169" s="706"/>
      <c r="L1169" s="2"/>
    </row>
    <row r="1170" spans="2:12" x14ac:dyDescent="0.2">
      <c r="B1170" s="106"/>
      <c r="C1170" s="15"/>
      <c r="D1170" s="573"/>
      <c r="E1170" s="86"/>
      <c r="F1170" s="16"/>
      <c r="G1170" s="680"/>
      <c r="H1170" s="436"/>
      <c r="I1170" s="248"/>
      <c r="J1170" s="15"/>
      <c r="K1170" s="706"/>
      <c r="L1170" s="2"/>
    </row>
    <row r="1171" spans="2:12" x14ac:dyDescent="0.2">
      <c r="B1171" s="106"/>
      <c r="C1171" s="15"/>
      <c r="D1171" s="573"/>
      <c r="E1171" s="86"/>
      <c r="F1171" s="16"/>
      <c r="G1171" s="680"/>
      <c r="H1171" s="436"/>
      <c r="I1171" s="248"/>
      <c r="J1171" s="15"/>
      <c r="K1171" s="706"/>
      <c r="L1171" s="2"/>
    </row>
    <row r="1172" spans="2:12" x14ac:dyDescent="0.2">
      <c r="B1172" s="106"/>
      <c r="C1172" s="15"/>
      <c r="D1172" s="15"/>
      <c r="E1172" s="86"/>
      <c r="F1172" s="16">
        <f t="shared" si="149"/>
        <v>0</v>
      </c>
      <c r="G1172" s="2"/>
      <c r="H1172" s="436"/>
      <c r="I1172" s="248"/>
      <c r="J1172" s="15"/>
      <c r="K1172" s="706"/>
      <c r="L1172" s="2"/>
    </row>
    <row r="1173" spans="2:12" x14ac:dyDescent="0.2">
      <c r="B1173" s="701" t="s">
        <v>1584</v>
      </c>
      <c r="C1173" s="15"/>
      <c r="D1173" s="15"/>
      <c r="E1173" s="86"/>
      <c r="F1173" s="16">
        <f t="shared" si="149"/>
        <v>0</v>
      </c>
      <c r="G1173" s="2"/>
      <c r="H1173" s="436"/>
      <c r="I1173" s="248"/>
      <c r="J1173" s="15"/>
      <c r="K1173" s="706"/>
      <c r="L1173" s="2"/>
    </row>
    <row r="1174" spans="2:12" x14ac:dyDescent="0.2">
      <c r="B1174" s="11" t="s">
        <v>36</v>
      </c>
      <c r="C1174" s="15">
        <f>J1174</f>
        <v>60</v>
      </c>
      <c r="D1174" s="573">
        <f>C1174*$F$1140</f>
        <v>36</v>
      </c>
      <c r="E1174" s="86"/>
      <c r="F1174" s="16">
        <f t="shared" si="149"/>
        <v>96</v>
      </c>
      <c r="G1174" s="680"/>
      <c r="H1174" s="436"/>
      <c r="I1174" s="248"/>
      <c r="J1174" s="15">
        <f>K1174*J1141</f>
        <v>60</v>
      </c>
      <c r="K1174" s="706">
        <v>45</v>
      </c>
      <c r="L1174" s="2"/>
    </row>
    <row r="1175" spans="2:12" x14ac:dyDescent="0.2">
      <c r="B1175" s="436" t="s">
        <v>1585</v>
      </c>
      <c r="C1175" s="15">
        <f>J1175</f>
        <v>26.666666666666664</v>
      </c>
      <c r="D1175" s="573">
        <f t="shared" ref="D1175:D1242" si="153">C1175*$F$1140</f>
        <v>15.999999999999998</v>
      </c>
      <c r="E1175" s="86"/>
      <c r="F1175" s="16">
        <f t="shared" si="149"/>
        <v>42.666666666666664</v>
      </c>
      <c r="G1175" s="680"/>
      <c r="H1175" s="436"/>
      <c r="I1175" s="248"/>
      <c r="J1175" s="15">
        <f>J1141*K1175</f>
        <v>26.666666666666664</v>
      </c>
      <c r="K1175" s="707">
        <v>20</v>
      </c>
      <c r="L1175" s="2"/>
    </row>
    <row r="1176" spans="2:12" x14ac:dyDescent="0.2">
      <c r="B1176" s="436" t="s">
        <v>1586</v>
      </c>
      <c r="C1176" s="15">
        <f>J1176</f>
        <v>80</v>
      </c>
      <c r="D1176" s="573">
        <f t="shared" si="153"/>
        <v>48</v>
      </c>
      <c r="E1176" s="86"/>
      <c r="F1176" s="16">
        <f>C1176+D1176+E1176</f>
        <v>128</v>
      </c>
      <c r="G1176" s="680"/>
      <c r="H1176" s="460"/>
      <c r="I1176" s="696"/>
      <c r="J1176" s="154">
        <f>K1176*J1141</f>
        <v>80</v>
      </c>
      <c r="K1176" s="708">
        <v>60</v>
      </c>
      <c r="L1176" s="2"/>
    </row>
    <row r="1177" spans="2:12" x14ac:dyDescent="0.2">
      <c r="B1177" s="436" t="s">
        <v>1587</v>
      </c>
      <c r="C1177" s="15">
        <f>J1177</f>
        <v>160</v>
      </c>
      <c r="D1177" s="573">
        <f t="shared" si="153"/>
        <v>96</v>
      </c>
      <c r="E1177" s="86"/>
      <c r="F1177" s="16">
        <f>C1177+D1177+E1177</f>
        <v>256</v>
      </c>
      <c r="G1177" s="680"/>
      <c r="H1177" s="460"/>
      <c r="I1177" s="696"/>
      <c r="J1177" s="154">
        <f>K1177*J1141</f>
        <v>160</v>
      </c>
      <c r="K1177" s="708">
        <v>120</v>
      </c>
      <c r="L1177" s="2"/>
    </row>
    <row r="1178" spans="2:12" x14ac:dyDescent="0.2">
      <c r="B1178" s="436" t="s">
        <v>1588</v>
      </c>
      <c r="C1178" s="15">
        <f t="shared" ref="C1178:C1184" si="154">J1178</f>
        <v>16</v>
      </c>
      <c r="D1178" s="573">
        <f t="shared" si="153"/>
        <v>9.6</v>
      </c>
      <c r="E1178" s="86"/>
      <c r="F1178" s="16">
        <f t="shared" si="149"/>
        <v>25.6</v>
      </c>
      <c r="G1178" s="680"/>
      <c r="H1178" s="460"/>
      <c r="I1178" s="696"/>
      <c r="J1178" s="154">
        <f>K1178*J1141</f>
        <v>16</v>
      </c>
      <c r="K1178" s="709">
        <v>12</v>
      </c>
      <c r="L1178" s="2"/>
    </row>
    <row r="1179" spans="2:12" x14ac:dyDescent="0.2">
      <c r="B1179" s="436" t="s">
        <v>1589</v>
      </c>
      <c r="C1179" s="15">
        <f>J1179</f>
        <v>120</v>
      </c>
      <c r="D1179" s="573">
        <f t="shared" si="153"/>
        <v>72</v>
      </c>
      <c r="E1179" s="86"/>
      <c r="F1179" s="16">
        <f>C1179+D1179+E1179</f>
        <v>192</v>
      </c>
      <c r="G1179" s="680"/>
      <c r="H1179" s="436"/>
      <c r="I1179" s="248"/>
      <c r="J1179" s="15">
        <f>K1179*J1141</f>
        <v>120</v>
      </c>
      <c r="K1179" s="706">
        <v>90</v>
      </c>
      <c r="L1179" s="2"/>
    </row>
    <row r="1180" spans="2:12" x14ac:dyDescent="0.2">
      <c r="B1180" s="436" t="s">
        <v>1590</v>
      </c>
      <c r="C1180" s="15">
        <f>J1180</f>
        <v>40</v>
      </c>
      <c r="D1180" s="573">
        <f t="shared" si="153"/>
        <v>24</v>
      </c>
      <c r="E1180" s="86"/>
      <c r="F1180" s="16">
        <f>C1180+D1180+E1180</f>
        <v>64</v>
      </c>
      <c r="G1180" s="680"/>
      <c r="H1180" s="436"/>
      <c r="I1180" s="248"/>
      <c r="J1180" s="15">
        <f>K1180*J1141</f>
        <v>40</v>
      </c>
      <c r="K1180" s="706">
        <v>30</v>
      </c>
      <c r="L1180" s="2"/>
    </row>
    <row r="1181" spans="2:12" x14ac:dyDescent="0.2">
      <c r="B1181" s="436" t="s">
        <v>1591</v>
      </c>
      <c r="C1181" s="15">
        <f>J1181</f>
        <v>80</v>
      </c>
      <c r="D1181" s="573">
        <f t="shared" si="153"/>
        <v>48</v>
      </c>
      <c r="E1181" s="86"/>
      <c r="F1181" s="16">
        <f>C1181+D1181+E1181</f>
        <v>128</v>
      </c>
      <c r="G1181" s="680"/>
      <c r="H1181" s="460"/>
      <c r="I1181" s="696"/>
      <c r="J1181" s="154">
        <f>K1181*J1141</f>
        <v>80</v>
      </c>
      <c r="K1181" s="698">
        <v>60</v>
      </c>
      <c r="L1181" s="2"/>
    </row>
    <row r="1182" spans="2:12" x14ac:dyDescent="0.2">
      <c r="B1182" s="436" t="s">
        <v>1592</v>
      </c>
      <c r="C1182" s="15">
        <f t="shared" si="154"/>
        <v>40</v>
      </c>
      <c r="D1182" s="573">
        <f t="shared" si="153"/>
        <v>24</v>
      </c>
      <c r="E1182" s="86"/>
      <c r="F1182" s="16">
        <f t="shared" si="149"/>
        <v>64</v>
      </c>
      <c r="G1182" s="680"/>
      <c r="H1182" s="460"/>
      <c r="I1182" s="696"/>
      <c r="J1182" s="154">
        <f>K1182*J1141</f>
        <v>40</v>
      </c>
      <c r="K1182" s="708">
        <v>30</v>
      </c>
      <c r="L1182" s="2"/>
    </row>
    <row r="1183" spans="2:12" x14ac:dyDescent="0.2">
      <c r="B1183" s="447" t="s">
        <v>545</v>
      </c>
      <c r="C1183" s="15">
        <f t="shared" si="154"/>
        <v>1.3333333333333333</v>
      </c>
      <c r="D1183" s="573">
        <f t="shared" si="153"/>
        <v>0.79999999999999993</v>
      </c>
      <c r="E1183" s="86"/>
      <c r="F1183" s="16">
        <f t="shared" si="149"/>
        <v>2.1333333333333333</v>
      </c>
      <c r="G1183" s="680"/>
      <c r="H1183" s="460"/>
      <c r="I1183" s="696"/>
      <c r="J1183" s="154">
        <f>K1183*J1141</f>
        <v>1.3333333333333333</v>
      </c>
      <c r="K1183" s="708">
        <v>1</v>
      </c>
      <c r="L1183" s="2"/>
    </row>
    <row r="1184" spans="2:12" x14ac:dyDescent="0.2">
      <c r="B1184" s="447" t="s">
        <v>545</v>
      </c>
      <c r="C1184" s="15">
        <f t="shared" si="154"/>
        <v>1.3333333333333333</v>
      </c>
      <c r="D1184" s="573">
        <f t="shared" si="153"/>
        <v>0.79999999999999993</v>
      </c>
      <c r="E1184" s="86"/>
      <c r="F1184" s="16">
        <f t="shared" si="149"/>
        <v>2.1333333333333333</v>
      </c>
      <c r="G1184" s="680"/>
      <c r="H1184" s="460"/>
      <c r="I1184" s="696"/>
      <c r="J1184" s="154">
        <f>K1184*J1141</f>
        <v>1.3333333333333333</v>
      </c>
      <c r="K1184" s="708">
        <v>1</v>
      </c>
      <c r="L1184" s="2"/>
    </row>
    <row r="1185" spans="2:12" x14ac:dyDescent="0.2">
      <c r="B1185" s="447" t="s">
        <v>545</v>
      </c>
      <c r="C1185" s="15">
        <f>J1185</f>
        <v>1.3333333333333333</v>
      </c>
      <c r="D1185" s="573">
        <f t="shared" si="153"/>
        <v>0.79999999999999993</v>
      </c>
      <c r="E1185" s="86"/>
      <c r="F1185" s="16">
        <f t="shared" si="149"/>
        <v>2.1333333333333333</v>
      </c>
      <c r="G1185" s="680"/>
      <c r="H1185" s="460"/>
      <c r="I1185" s="696"/>
      <c r="J1185" s="154">
        <f>J1141*K1185</f>
        <v>1.3333333333333333</v>
      </c>
      <c r="K1185" s="708">
        <v>1</v>
      </c>
      <c r="L1185" s="2"/>
    </row>
    <row r="1186" spans="2:12" x14ac:dyDescent="0.2">
      <c r="C1186" s="15"/>
      <c r="D1186" s="573">
        <f>C1186*$F$1140</f>
        <v>0</v>
      </c>
      <c r="E1186" s="86"/>
      <c r="F1186" s="16"/>
      <c r="G1186" s="680"/>
      <c r="H1186" s="460"/>
      <c r="I1186" s="696"/>
      <c r="J1186" s="154"/>
      <c r="K1186" s="708"/>
      <c r="L1186" s="2"/>
    </row>
    <row r="1187" spans="2:12" x14ac:dyDescent="0.2">
      <c r="B1187" s="6" t="s">
        <v>1593</v>
      </c>
      <c r="C1187" s="15">
        <f t="shared" ref="C1187:C1192" si="155">J1187</f>
        <v>0</v>
      </c>
      <c r="D1187" s="573">
        <f t="shared" si="153"/>
        <v>0</v>
      </c>
      <c r="E1187" s="86"/>
      <c r="F1187" s="16">
        <f t="shared" si="149"/>
        <v>0</v>
      </c>
      <c r="G1187" s="680"/>
      <c r="H1187" s="460"/>
      <c r="I1187" s="696"/>
      <c r="J1187" s="154">
        <f>J1141*K1187</f>
        <v>0</v>
      </c>
      <c r="K1187" s="698"/>
      <c r="L1187" s="2"/>
    </row>
    <row r="1188" spans="2:12" x14ac:dyDescent="0.2">
      <c r="B1188" s="436" t="s">
        <v>1594</v>
      </c>
      <c r="C1188" s="15">
        <f t="shared" si="155"/>
        <v>40</v>
      </c>
      <c r="D1188" s="573">
        <f t="shared" si="153"/>
        <v>24</v>
      </c>
      <c r="E1188" s="86"/>
      <c r="F1188" s="16">
        <f t="shared" si="149"/>
        <v>64</v>
      </c>
      <c r="G1188" s="680"/>
      <c r="H1188" s="460"/>
      <c r="I1188" s="696"/>
      <c r="J1188" s="154">
        <f>J1141*K1188</f>
        <v>40</v>
      </c>
      <c r="K1188" s="698">
        <v>30</v>
      </c>
      <c r="L1188" s="2"/>
    </row>
    <row r="1189" spans="2:12" x14ac:dyDescent="0.2">
      <c r="B1189" s="436" t="s">
        <v>1595</v>
      </c>
      <c r="C1189" s="15">
        <f t="shared" si="155"/>
        <v>20</v>
      </c>
      <c r="D1189" s="573">
        <f t="shared" si="153"/>
        <v>12</v>
      </c>
      <c r="E1189" s="86"/>
      <c r="F1189" s="16">
        <f>C1189+D1189+E1189</f>
        <v>32</v>
      </c>
      <c r="G1189" s="699"/>
      <c r="H1189" s="106"/>
      <c r="I1189" s="248"/>
      <c r="J1189" s="15">
        <f>J1141*K1189</f>
        <v>20</v>
      </c>
      <c r="K1189" s="706">
        <v>15</v>
      </c>
      <c r="L1189" s="2"/>
    </row>
    <row r="1190" spans="2:12" x14ac:dyDescent="0.2">
      <c r="B1190" s="436" t="s">
        <v>1596</v>
      </c>
      <c r="C1190" s="15">
        <f t="shared" si="155"/>
        <v>26.666666666666664</v>
      </c>
      <c r="D1190" s="573">
        <f t="shared" si="153"/>
        <v>15.999999999999998</v>
      </c>
      <c r="E1190" s="86"/>
      <c r="F1190" s="16">
        <f>C1190+D1190+E1190</f>
        <v>42.666666666666664</v>
      </c>
      <c r="G1190" s="699"/>
      <c r="H1190" s="106"/>
      <c r="I1190" s="248"/>
      <c r="J1190" s="15">
        <f>J1141*K1190</f>
        <v>26.666666666666664</v>
      </c>
      <c r="K1190" s="706">
        <v>20</v>
      </c>
      <c r="L1190" s="2"/>
    </row>
    <row r="1191" spans="2:12" x14ac:dyDescent="0.2">
      <c r="B1191" s="11" t="s">
        <v>1597</v>
      </c>
      <c r="C1191" s="15">
        <f t="shared" si="155"/>
        <v>40</v>
      </c>
      <c r="D1191" s="573">
        <f t="shared" si="153"/>
        <v>24</v>
      </c>
      <c r="E1191" s="15"/>
      <c r="F1191" s="16">
        <f>C1191+D1191+E1191</f>
        <v>64</v>
      </c>
      <c r="G1191" s="699"/>
      <c r="H1191" s="106"/>
      <c r="I1191" s="248"/>
      <c r="J1191" s="15">
        <f>J1141*K1191</f>
        <v>40</v>
      </c>
      <c r="K1191" s="706">
        <v>30</v>
      </c>
      <c r="L1191" s="2"/>
    </row>
    <row r="1192" spans="2:12" x14ac:dyDescent="0.2">
      <c r="B1192" s="428" t="s">
        <v>545</v>
      </c>
      <c r="C1192" s="15">
        <f t="shared" si="155"/>
        <v>0</v>
      </c>
      <c r="D1192" s="573">
        <f t="shared" si="153"/>
        <v>0</v>
      </c>
      <c r="E1192" s="15"/>
      <c r="F1192" s="16">
        <f>C1192+D1192+E1192</f>
        <v>0</v>
      </c>
      <c r="G1192" s="699"/>
      <c r="H1192" s="106"/>
      <c r="I1192" s="248"/>
      <c r="J1192" s="15">
        <f>J1141*K1192</f>
        <v>0</v>
      </c>
      <c r="K1192" s="706"/>
      <c r="L1192" s="2"/>
    </row>
    <row r="1193" spans="2:12" x14ac:dyDescent="0.2">
      <c r="B1193" s="11"/>
      <c r="C1193" s="15"/>
      <c r="D1193" s="573">
        <f>C1193*$F$1140</f>
        <v>0</v>
      </c>
      <c r="E1193" s="15"/>
      <c r="F1193" s="16"/>
      <c r="G1193" s="2"/>
      <c r="H1193" s="436"/>
      <c r="I1193" s="248"/>
      <c r="J1193" s="15"/>
      <c r="K1193" s="706"/>
      <c r="L1193" s="2"/>
    </row>
    <row r="1194" spans="2:12" x14ac:dyDescent="0.2">
      <c r="B1194" s="250" t="s">
        <v>1598</v>
      </c>
      <c r="C1194" s="15"/>
      <c r="D1194" s="573">
        <f t="shared" si="153"/>
        <v>0</v>
      </c>
      <c r="E1194" s="15"/>
      <c r="F1194" s="16">
        <f t="shared" si="149"/>
        <v>0</v>
      </c>
      <c r="G1194" s="2"/>
      <c r="H1194" s="436"/>
      <c r="I1194" s="248"/>
      <c r="J1194" s="15"/>
      <c r="K1194" s="706"/>
      <c r="L1194" s="2"/>
    </row>
    <row r="1195" spans="2:12" x14ac:dyDescent="0.2">
      <c r="B1195" s="436" t="s">
        <v>1599</v>
      </c>
      <c r="C1195" s="15">
        <f t="shared" ref="C1195:C1205" si="156">J1195</f>
        <v>6.6666666666666661</v>
      </c>
      <c r="D1195" s="573">
        <f t="shared" si="153"/>
        <v>3.9999999999999996</v>
      </c>
      <c r="E1195" s="86"/>
      <c r="F1195" s="16">
        <f t="shared" si="149"/>
        <v>10.666666666666666</v>
      </c>
      <c r="G1195" s="2"/>
      <c r="H1195" s="436"/>
      <c r="I1195" s="248"/>
      <c r="J1195" s="15">
        <f>J1141*K1195</f>
        <v>6.6666666666666661</v>
      </c>
      <c r="K1195" s="706">
        <v>5</v>
      </c>
      <c r="L1195" s="2"/>
    </row>
    <row r="1196" spans="2:12" x14ac:dyDescent="0.2">
      <c r="B1196" s="436" t="s">
        <v>1600</v>
      </c>
      <c r="C1196" s="15">
        <f t="shared" si="156"/>
        <v>33.333333333333329</v>
      </c>
      <c r="D1196" s="573">
        <f t="shared" si="153"/>
        <v>19.999999999999996</v>
      </c>
      <c r="E1196" s="86"/>
      <c r="F1196" s="16">
        <f t="shared" si="149"/>
        <v>53.333333333333329</v>
      </c>
      <c r="G1196" s="2"/>
      <c r="H1196" s="436"/>
      <c r="I1196" s="248"/>
      <c r="J1196" s="15">
        <f>K1196*J1141</f>
        <v>33.333333333333329</v>
      </c>
      <c r="K1196" s="706">
        <v>25</v>
      </c>
      <c r="L1196" s="2"/>
    </row>
    <row r="1197" spans="2:12" x14ac:dyDescent="0.2">
      <c r="B1197" s="436" t="s">
        <v>1601</v>
      </c>
      <c r="C1197" s="15">
        <f t="shared" si="156"/>
        <v>64</v>
      </c>
      <c r="D1197" s="573">
        <f t="shared" si="153"/>
        <v>38.4</v>
      </c>
      <c r="E1197" s="86"/>
      <c r="F1197" s="16">
        <f t="shared" si="149"/>
        <v>102.4</v>
      </c>
      <c r="G1197" s="2"/>
      <c r="H1197" s="436"/>
      <c r="I1197" s="248"/>
      <c r="J1197" s="15">
        <f>K1197*J1141</f>
        <v>64</v>
      </c>
      <c r="K1197" s="706">
        <v>48</v>
      </c>
      <c r="L1197" s="2"/>
    </row>
    <row r="1198" spans="2:12" x14ac:dyDescent="0.2">
      <c r="B1198" s="436" t="s">
        <v>1602</v>
      </c>
      <c r="C1198" s="15">
        <f t="shared" si="156"/>
        <v>0</v>
      </c>
      <c r="D1198" s="573">
        <f t="shared" si="153"/>
        <v>0</v>
      </c>
      <c r="E1198" s="86"/>
      <c r="F1198" s="16">
        <f t="shared" si="149"/>
        <v>0</v>
      </c>
      <c r="G1198" s="2"/>
      <c r="H1198" s="436"/>
      <c r="I1198" s="248"/>
      <c r="J1198" s="15">
        <f>K1198*J1141</f>
        <v>0</v>
      </c>
      <c r="K1198" s="706"/>
      <c r="L1198" s="2">
        <v>5</v>
      </c>
    </row>
    <row r="1199" spans="2:12" x14ac:dyDescent="0.2">
      <c r="B1199" s="436" t="s">
        <v>1603</v>
      </c>
      <c r="C1199" s="15">
        <f t="shared" si="156"/>
        <v>20</v>
      </c>
      <c r="D1199" s="573">
        <f t="shared" si="153"/>
        <v>12</v>
      </c>
      <c r="E1199" s="86"/>
      <c r="F1199" s="16">
        <f t="shared" si="149"/>
        <v>32</v>
      </c>
      <c r="G1199" s="2"/>
      <c r="H1199" s="436"/>
      <c r="I1199" s="248"/>
      <c r="J1199" s="15">
        <f>K1199*J1141</f>
        <v>20</v>
      </c>
      <c r="K1199" s="706">
        <v>15</v>
      </c>
      <c r="L1199" s="2"/>
    </row>
    <row r="1200" spans="2:12" x14ac:dyDescent="0.2">
      <c r="B1200" s="450" t="s">
        <v>1604</v>
      </c>
      <c r="C1200" s="97">
        <f t="shared" si="156"/>
        <v>80</v>
      </c>
      <c r="D1200" s="573">
        <f t="shared" si="153"/>
        <v>48</v>
      </c>
      <c r="E1200" s="451"/>
      <c r="F1200" s="16">
        <f t="shared" si="149"/>
        <v>128</v>
      </c>
      <c r="G1200" s="2"/>
      <c r="H1200" s="450"/>
      <c r="I1200" s="710"/>
      <c r="J1200" s="97">
        <f>J1141*K1200</f>
        <v>80</v>
      </c>
      <c r="K1200" s="711">
        <v>60</v>
      </c>
      <c r="L1200" s="2"/>
    </row>
    <row r="1201" spans="2:12" x14ac:dyDescent="0.2">
      <c r="B1201" s="436" t="s">
        <v>1605</v>
      </c>
      <c r="C1201" s="15">
        <f t="shared" si="156"/>
        <v>10.666666666666666</v>
      </c>
      <c r="D1201" s="573">
        <f t="shared" si="153"/>
        <v>6.3999999999999995</v>
      </c>
      <c r="E1201" s="86"/>
      <c r="F1201" s="16">
        <f t="shared" si="149"/>
        <v>17.066666666666666</v>
      </c>
      <c r="G1201" s="562"/>
      <c r="H1201" s="106"/>
      <c r="I1201" s="248"/>
      <c r="J1201" s="15">
        <f>K1201*J1141</f>
        <v>10.666666666666666</v>
      </c>
      <c r="K1201" s="706">
        <v>8</v>
      </c>
      <c r="L1201" s="2"/>
    </row>
    <row r="1202" spans="2:12" x14ac:dyDescent="0.2">
      <c r="B1202" s="436" t="s">
        <v>1606</v>
      </c>
      <c r="C1202" s="15">
        <f t="shared" si="156"/>
        <v>2.6666666666666665</v>
      </c>
      <c r="D1202" s="573">
        <f t="shared" si="153"/>
        <v>1.5999999999999999</v>
      </c>
      <c r="E1202" s="86"/>
      <c r="F1202" s="16">
        <f t="shared" si="149"/>
        <v>4.2666666666666666</v>
      </c>
      <c r="G1202" s="562"/>
      <c r="H1202" s="106"/>
      <c r="I1202" s="248"/>
      <c r="J1202" s="15">
        <f>J1141*K1202</f>
        <v>2.6666666666666665</v>
      </c>
      <c r="K1202" s="706">
        <v>2</v>
      </c>
      <c r="L1202" s="2"/>
    </row>
    <row r="1203" spans="2:12" x14ac:dyDescent="0.2">
      <c r="B1203" s="436" t="s">
        <v>1607</v>
      </c>
      <c r="C1203" s="15">
        <f t="shared" si="156"/>
        <v>6.6666666666666661</v>
      </c>
      <c r="D1203" s="573">
        <f t="shared" si="153"/>
        <v>3.9999999999999996</v>
      </c>
      <c r="E1203" s="86"/>
      <c r="F1203" s="16">
        <f t="shared" si="149"/>
        <v>10.666666666666666</v>
      </c>
      <c r="G1203" s="562"/>
      <c r="H1203" s="106"/>
      <c r="I1203" s="248"/>
      <c r="J1203" s="15">
        <f>J1141*K1203</f>
        <v>6.6666666666666661</v>
      </c>
      <c r="K1203" s="706">
        <v>5</v>
      </c>
      <c r="L1203" s="2"/>
    </row>
    <row r="1204" spans="2:12" x14ac:dyDescent="0.2">
      <c r="B1204" s="436" t="s">
        <v>1608</v>
      </c>
      <c r="C1204" s="15">
        <f t="shared" si="156"/>
        <v>32</v>
      </c>
      <c r="D1204" s="573">
        <f>C1204*$F$1140</f>
        <v>19.2</v>
      </c>
      <c r="E1204" s="86"/>
      <c r="F1204" s="16">
        <f t="shared" si="149"/>
        <v>51.2</v>
      </c>
      <c r="G1204" s="562"/>
      <c r="H1204" s="106"/>
      <c r="I1204" s="248"/>
      <c r="J1204" s="15">
        <f>K1204*J1141</f>
        <v>32</v>
      </c>
      <c r="K1204" s="712">
        <v>24</v>
      </c>
      <c r="L1204" s="2"/>
    </row>
    <row r="1205" spans="2:12" x14ac:dyDescent="0.2">
      <c r="B1205" s="106" t="s">
        <v>1609</v>
      </c>
      <c r="C1205" s="15">
        <f t="shared" si="156"/>
        <v>13.333333333333332</v>
      </c>
      <c r="D1205" s="573">
        <f t="shared" si="153"/>
        <v>7.9999999999999991</v>
      </c>
      <c r="E1205" s="86"/>
      <c r="F1205" s="16">
        <f t="shared" si="149"/>
        <v>21.333333333333332</v>
      </c>
      <c r="G1205" s="562"/>
      <c r="H1205" s="106"/>
      <c r="I1205" s="248"/>
      <c r="J1205" s="97">
        <f>K1205*J1141</f>
        <v>13.333333333333332</v>
      </c>
      <c r="K1205" s="713">
        <v>10</v>
      </c>
      <c r="L1205" s="2"/>
    </row>
    <row r="1206" spans="2:12" x14ac:dyDescent="0.2">
      <c r="B1206" s="11" t="s">
        <v>1610</v>
      </c>
      <c r="C1206" s="15">
        <f>J1206</f>
        <v>426.66666666666663</v>
      </c>
      <c r="D1206" s="573">
        <f t="shared" si="153"/>
        <v>255.99999999999997</v>
      </c>
      <c r="E1206" s="86"/>
      <c r="F1206" s="16">
        <f t="shared" si="149"/>
        <v>682.66666666666663</v>
      </c>
      <c r="G1206" s="562"/>
      <c r="H1206" s="106"/>
      <c r="I1206" s="248"/>
      <c r="J1206" s="97">
        <f>K1206*J1141</f>
        <v>426.66666666666663</v>
      </c>
      <c r="K1206" s="713">
        <v>320</v>
      </c>
      <c r="L1206" s="2"/>
    </row>
    <row r="1207" spans="2:12" x14ac:dyDescent="0.2">
      <c r="B1207" s="11" t="s">
        <v>1611</v>
      </c>
      <c r="C1207" s="15">
        <f>J1207</f>
        <v>160</v>
      </c>
      <c r="D1207" s="573">
        <f t="shared" si="153"/>
        <v>96</v>
      </c>
      <c r="E1207" s="86"/>
      <c r="F1207" s="16">
        <f t="shared" si="149"/>
        <v>256</v>
      </c>
      <c r="G1207" s="562"/>
      <c r="H1207" s="106"/>
      <c r="I1207" s="248"/>
      <c r="J1207" s="97">
        <f>K1207*J1141</f>
        <v>160</v>
      </c>
      <c r="K1207" s="713">
        <v>120</v>
      </c>
      <c r="L1207" s="2"/>
    </row>
    <row r="1208" spans="2:12" x14ac:dyDescent="0.2">
      <c r="B1208" s="432"/>
      <c r="C1208" s="432"/>
      <c r="D1208" s="573">
        <f>C1208*$F$1140</f>
        <v>0</v>
      </c>
      <c r="E1208" s="662"/>
      <c r="F1208" s="16">
        <f t="shared" si="149"/>
        <v>0</v>
      </c>
      <c r="G1208" s="562"/>
      <c r="H1208" s="663"/>
      <c r="I1208" s="432"/>
      <c r="J1208" s="97">
        <f>J1143*K1208</f>
        <v>0</v>
      </c>
      <c r="K1208" s="711"/>
      <c r="L1208" s="2"/>
    </row>
    <row r="1209" spans="2:12" x14ac:dyDescent="0.2">
      <c r="B1209" s="250" t="s">
        <v>1612</v>
      </c>
      <c r="C1209" s="432"/>
      <c r="D1209" s="573">
        <f t="shared" si="153"/>
        <v>0</v>
      </c>
      <c r="E1209" s="662"/>
      <c r="F1209" s="16">
        <f t="shared" si="149"/>
        <v>0</v>
      </c>
      <c r="G1209" s="562"/>
      <c r="H1209" s="663"/>
      <c r="I1209" s="432"/>
      <c r="J1209" s="97">
        <f>J1144*K1209</f>
        <v>0</v>
      </c>
      <c r="K1209" s="711"/>
      <c r="L1209" s="2"/>
    </row>
    <row r="1210" spans="2:12" x14ac:dyDescent="0.2">
      <c r="B1210" s="11" t="s">
        <v>1612</v>
      </c>
      <c r="C1210" s="71">
        <f t="shared" ref="C1210:C1215" si="157">J1210</f>
        <v>40</v>
      </c>
      <c r="D1210" s="573">
        <f t="shared" si="153"/>
        <v>24</v>
      </c>
      <c r="E1210" s="714"/>
      <c r="F1210" s="16">
        <f t="shared" si="149"/>
        <v>64</v>
      </c>
      <c r="G1210" s="562"/>
      <c r="H1210" s="663"/>
      <c r="I1210" s="432"/>
      <c r="J1210" s="97">
        <f>K1210*$J$1141</f>
        <v>40</v>
      </c>
      <c r="K1210" s="711">
        <v>30</v>
      </c>
      <c r="L1210" s="2"/>
    </row>
    <row r="1211" spans="2:12" x14ac:dyDescent="0.2">
      <c r="B1211" s="11" t="s">
        <v>1613</v>
      </c>
      <c r="C1211" s="71">
        <f t="shared" si="157"/>
        <v>0</v>
      </c>
      <c r="D1211" s="573">
        <f t="shared" si="153"/>
        <v>0</v>
      </c>
      <c r="E1211" s="714"/>
      <c r="F1211" s="16">
        <f t="shared" si="149"/>
        <v>0</v>
      </c>
      <c r="G1211" s="562"/>
      <c r="H1211" s="663"/>
      <c r="I1211" s="432"/>
      <c r="J1211" s="97">
        <f t="shared" ref="J1211:J1213" si="158">K1211*$J$1141</f>
        <v>0</v>
      </c>
      <c r="K1211" s="711"/>
      <c r="L1211" s="2"/>
    </row>
    <row r="1212" spans="2:12" x14ac:dyDescent="0.2">
      <c r="B1212" s="11" t="s">
        <v>1614</v>
      </c>
      <c r="C1212" s="71">
        <f t="shared" si="157"/>
        <v>0</v>
      </c>
      <c r="D1212" s="573">
        <f t="shared" si="153"/>
        <v>0</v>
      </c>
      <c r="E1212" s="714"/>
      <c r="F1212" s="16">
        <f t="shared" si="149"/>
        <v>0</v>
      </c>
      <c r="G1212" s="562"/>
      <c r="H1212" s="663"/>
      <c r="I1212" s="432"/>
      <c r="J1212" s="97">
        <f t="shared" si="158"/>
        <v>0</v>
      </c>
      <c r="K1212" s="711"/>
      <c r="L1212" s="2"/>
    </row>
    <row r="1213" spans="2:12" x14ac:dyDescent="0.2">
      <c r="B1213" s="439" t="s">
        <v>1615</v>
      </c>
      <c r="C1213" s="71">
        <f t="shared" si="157"/>
        <v>10.666666666666666</v>
      </c>
      <c r="D1213" s="573">
        <f>C1213*$F$1140</f>
        <v>6.3999999999999995</v>
      </c>
      <c r="E1213" s="714"/>
      <c r="F1213" s="16">
        <f t="shared" si="149"/>
        <v>17.066666666666666</v>
      </c>
      <c r="J1213" s="97">
        <f t="shared" si="158"/>
        <v>10.666666666666666</v>
      </c>
      <c r="K1213" s="711">
        <v>8</v>
      </c>
      <c r="L1213" s="2"/>
    </row>
    <row r="1214" spans="2:12" x14ac:dyDescent="0.2">
      <c r="B1214" s="433" t="s">
        <v>1616</v>
      </c>
      <c r="C1214" s="71">
        <f t="shared" si="157"/>
        <v>4</v>
      </c>
      <c r="D1214" s="573">
        <f t="shared" si="153"/>
        <v>2.4</v>
      </c>
      <c r="E1214" s="714"/>
      <c r="F1214" s="16">
        <f t="shared" si="149"/>
        <v>6.4</v>
      </c>
      <c r="G1214" s="562"/>
      <c r="H1214" s="663"/>
      <c r="I1214" s="432"/>
      <c r="J1214" s="97">
        <f>K1214*J1141</f>
        <v>4</v>
      </c>
      <c r="K1214" s="711">
        <v>3</v>
      </c>
      <c r="L1214" s="2"/>
    </row>
    <row r="1215" spans="2:12" x14ac:dyDescent="0.2">
      <c r="B1215" s="433" t="s">
        <v>1617</v>
      </c>
      <c r="C1215" s="71">
        <f t="shared" si="157"/>
        <v>0</v>
      </c>
      <c r="D1215" s="573">
        <f t="shared" si="153"/>
        <v>0</v>
      </c>
      <c r="E1215" s="714"/>
      <c r="F1215" s="16">
        <f t="shared" si="149"/>
        <v>0</v>
      </c>
      <c r="G1215" s="562"/>
      <c r="H1215" s="663"/>
      <c r="I1215" s="432"/>
      <c r="J1215" s="715">
        <f>K1215*J1141</f>
        <v>0</v>
      </c>
      <c r="K1215" s="668">
        <v>0</v>
      </c>
      <c r="L1215" s="2"/>
    </row>
    <row r="1216" spans="2:12" x14ac:dyDescent="0.2">
      <c r="B1216" s="716"/>
      <c r="C1216" s="435"/>
      <c r="D1216" s="573">
        <f t="shared" si="153"/>
        <v>0</v>
      </c>
      <c r="E1216" s="435"/>
      <c r="F1216" s="16">
        <f t="shared" si="149"/>
        <v>0</v>
      </c>
      <c r="G1216" s="562"/>
      <c r="J1216" s="430"/>
      <c r="K1216" s="517"/>
      <c r="L1216" s="2"/>
    </row>
    <row r="1217" spans="2:12" x14ac:dyDescent="0.2">
      <c r="B1217" s="717" t="s">
        <v>1618</v>
      </c>
      <c r="D1217" s="573">
        <f t="shared" si="153"/>
        <v>0</v>
      </c>
      <c r="F1217" s="16">
        <f t="shared" si="149"/>
        <v>0</v>
      </c>
      <c r="G1217" s="718"/>
      <c r="L1217" s="2"/>
    </row>
    <row r="1218" spans="2:12" x14ac:dyDescent="0.2">
      <c r="B1218" s="436" t="s">
        <v>1619</v>
      </c>
      <c r="C1218" s="15">
        <f t="shared" ref="C1218:C1225" si="159">J1218</f>
        <v>20</v>
      </c>
      <c r="D1218" s="573">
        <f t="shared" si="153"/>
        <v>12</v>
      </c>
      <c r="E1218" s="86"/>
      <c r="F1218" s="16">
        <f t="shared" si="149"/>
        <v>32</v>
      </c>
      <c r="G1218" s="562"/>
      <c r="H1218" s="106"/>
      <c r="I1218" s="248"/>
      <c r="J1218" s="15">
        <f>K1218*J1141</f>
        <v>20</v>
      </c>
      <c r="K1218" s="706">
        <v>15</v>
      </c>
      <c r="L1218" s="2"/>
    </row>
    <row r="1219" spans="2:12" x14ac:dyDescent="0.2">
      <c r="B1219" s="436" t="s">
        <v>1620</v>
      </c>
      <c r="C1219" s="15">
        <f t="shared" si="159"/>
        <v>20</v>
      </c>
      <c r="D1219" s="573">
        <f t="shared" si="153"/>
        <v>12</v>
      </c>
      <c r="E1219" s="86"/>
      <c r="F1219" s="16">
        <f t="shared" si="149"/>
        <v>32</v>
      </c>
      <c r="G1219" s="562"/>
      <c r="H1219" s="106"/>
      <c r="I1219" s="248"/>
      <c r="J1219" s="15">
        <f>K1219*J1141</f>
        <v>20</v>
      </c>
      <c r="K1219" s="706">
        <v>15</v>
      </c>
      <c r="L1219" s="2"/>
    </row>
    <row r="1220" spans="2:12" x14ac:dyDescent="0.2">
      <c r="B1220" s="106" t="s">
        <v>1621</v>
      </c>
      <c r="C1220" s="15">
        <f t="shared" si="159"/>
        <v>6.6666666666666661</v>
      </c>
      <c r="D1220" s="573">
        <f t="shared" si="153"/>
        <v>3.9999999999999996</v>
      </c>
      <c r="E1220" s="86"/>
      <c r="F1220" s="16">
        <f t="shared" si="149"/>
        <v>10.666666666666666</v>
      </c>
      <c r="G1220" s="562"/>
      <c r="H1220" s="106"/>
      <c r="I1220" s="248"/>
      <c r="J1220" s="15">
        <f>J1141*K1220</f>
        <v>6.6666666666666661</v>
      </c>
      <c r="K1220" s="706">
        <v>5</v>
      </c>
      <c r="L1220" s="2"/>
    </row>
    <row r="1221" spans="2:12" x14ac:dyDescent="0.2">
      <c r="B1221" s="11" t="s">
        <v>1622</v>
      </c>
      <c r="C1221" s="15">
        <f t="shared" si="159"/>
        <v>40</v>
      </c>
      <c r="D1221" s="573">
        <f t="shared" si="153"/>
        <v>24</v>
      </c>
      <c r="E1221" s="86"/>
      <c r="F1221" s="16">
        <f t="shared" si="149"/>
        <v>64</v>
      </c>
      <c r="G1221" s="562"/>
      <c r="H1221" s="106"/>
      <c r="I1221" s="248"/>
      <c r="J1221" s="15">
        <f>J1141*K1221</f>
        <v>40</v>
      </c>
      <c r="K1221" s="706">
        <v>30</v>
      </c>
      <c r="L1221" s="2"/>
    </row>
    <row r="1222" spans="2:12" x14ac:dyDescent="0.2">
      <c r="B1222" s="436" t="s">
        <v>1623</v>
      </c>
      <c r="C1222" s="15">
        <f t="shared" si="159"/>
        <v>6.6666666666666661</v>
      </c>
      <c r="D1222" s="573">
        <f t="shared" si="153"/>
        <v>3.9999999999999996</v>
      </c>
      <c r="E1222" s="86"/>
      <c r="F1222" s="16">
        <f t="shared" si="149"/>
        <v>10.666666666666666</v>
      </c>
      <c r="G1222" s="562"/>
      <c r="H1222" s="106"/>
      <c r="I1222" s="248"/>
      <c r="J1222" s="15">
        <f>K1222*J1141</f>
        <v>6.6666666666666661</v>
      </c>
      <c r="K1222" s="706">
        <v>5</v>
      </c>
      <c r="L1222" s="2"/>
    </row>
    <row r="1223" spans="2:12" x14ac:dyDescent="0.2">
      <c r="B1223" s="189" t="s">
        <v>1624</v>
      </c>
      <c r="C1223" s="15">
        <f t="shared" si="159"/>
        <v>13.333333333333332</v>
      </c>
      <c r="D1223" s="573">
        <f t="shared" si="153"/>
        <v>7.9999999999999991</v>
      </c>
      <c r="E1223" s="86"/>
      <c r="F1223" s="16">
        <f t="shared" si="149"/>
        <v>21.333333333333332</v>
      </c>
      <c r="G1223" s="562"/>
      <c r="H1223" s="106"/>
      <c r="I1223" s="248"/>
      <c r="J1223" s="15">
        <f>K1223*J1141</f>
        <v>13.333333333333332</v>
      </c>
      <c r="K1223" s="706">
        <v>10</v>
      </c>
      <c r="L1223" s="2"/>
    </row>
    <row r="1224" spans="2:12" x14ac:dyDescent="0.2">
      <c r="B1224" s="189" t="s">
        <v>1625</v>
      </c>
      <c r="C1224" s="15">
        <f t="shared" si="159"/>
        <v>13.333333333333332</v>
      </c>
      <c r="D1224" s="573">
        <f t="shared" si="153"/>
        <v>7.9999999999999991</v>
      </c>
      <c r="E1224" s="86"/>
      <c r="F1224" s="16">
        <f t="shared" si="149"/>
        <v>21.333333333333332</v>
      </c>
      <c r="G1224" s="562"/>
      <c r="H1224" s="106"/>
      <c r="I1224" s="248"/>
      <c r="J1224" s="15">
        <f>K1224*J1141</f>
        <v>13.333333333333332</v>
      </c>
      <c r="K1224" s="706">
        <v>10</v>
      </c>
      <c r="L1224" s="2"/>
    </row>
    <row r="1225" spans="2:12" x14ac:dyDescent="0.2">
      <c r="C1225" s="15">
        <f t="shared" si="159"/>
        <v>0</v>
      </c>
      <c r="D1225" s="573">
        <f t="shared" si="153"/>
        <v>0</v>
      </c>
      <c r="E1225" s="86"/>
      <c r="F1225" s="16">
        <f t="shared" si="149"/>
        <v>0</v>
      </c>
      <c r="G1225" s="562"/>
      <c r="H1225" s="106"/>
      <c r="I1225" s="248"/>
      <c r="J1225" s="15">
        <f>K1225*J1143</f>
        <v>0</v>
      </c>
      <c r="K1225" s="706"/>
      <c r="L1225" s="2"/>
    </row>
    <row r="1226" spans="2:12" x14ac:dyDescent="0.2">
      <c r="B1226" s="6" t="s">
        <v>1626</v>
      </c>
      <c r="C1226" s="15"/>
      <c r="D1226" s="573">
        <f t="shared" si="153"/>
        <v>0</v>
      </c>
      <c r="E1226" s="86"/>
      <c r="F1226" s="16">
        <f t="shared" si="149"/>
        <v>0</v>
      </c>
      <c r="G1226" s="562"/>
      <c r="H1226" s="106"/>
      <c r="I1226" s="248"/>
      <c r="J1226" s="15"/>
      <c r="K1226" s="706"/>
      <c r="L1226" s="2"/>
    </row>
    <row r="1227" spans="2:12" x14ac:dyDescent="0.2">
      <c r="B1227" s="436" t="s">
        <v>1627</v>
      </c>
      <c r="C1227" s="15">
        <f t="shared" ref="C1227:C1256" si="160">J1227</f>
        <v>20</v>
      </c>
      <c r="D1227" s="573">
        <f t="shared" si="153"/>
        <v>12</v>
      </c>
      <c r="E1227" s="86"/>
      <c r="F1227" s="16">
        <f t="shared" si="149"/>
        <v>32</v>
      </c>
      <c r="G1227" s="562"/>
      <c r="H1227" s="106"/>
      <c r="I1227" s="248"/>
      <c r="J1227" s="15">
        <f>K1227*J1141</f>
        <v>20</v>
      </c>
      <c r="K1227" s="706">
        <v>15</v>
      </c>
      <c r="L1227" s="2"/>
    </row>
    <row r="1228" spans="2:12" x14ac:dyDescent="0.2">
      <c r="B1228" s="436" t="s">
        <v>1628</v>
      </c>
      <c r="C1228" s="71">
        <f t="shared" si="160"/>
        <v>40</v>
      </c>
      <c r="D1228" s="573">
        <f t="shared" si="153"/>
        <v>24</v>
      </c>
      <c r="E1228" s="714"/>
      <c r="F1228" s="16">
        <f t="shared" si="149"/>
        <v>64</v>
      </c>
      <c r="G1228" s="718"/>
      <c r="H1228" s="14"/>
      <c r="I1228" s="432"/>
      <c r="J1228" s="71">
        <f>K1228*J1141</f>
        <v>40</v>
      </c>
      <c r="K1228" s="706">
        <v>30</v>
      </c>
      <c r="L1228" s="2"/>
    </row>
    <row r="1229" spans="2:12" x14ac:dyDescent="0.2">
      <c r="B1229" s="436" t="s">
        <v>1629</v>
      </c>
      <c r="C1229" s="71">
        <f>J1229</f>
        <v>26.666666666666664</v>
      </c>
      <c r="D1229" s="573">
        <f t="shared" si="153"/>
        <v>15.999999999999998</v>
      </c>
      <c r="E1229" s="714"/>
      <c r="F1229" s="16">
        <f t="shared" si="149"/>
        <v>42.666666666666664</v>
      </c>
      <c r="G1229" s="718"/>
      <c r="H1229" s="14"/>
      <c r="I1229" s="432"/>
      <c r="J1229" s="71">
        <f>K1229*J1141</f>
        <v>26.666666666666664</v>
      </c>
      <c r="K1229" s="706">
        <v>20</v>
      </c>
      <c r="L1229" s="2"/>
    </row>
    <row r="1230" spans="2:12" x14ac:dyDescent="0.2">
      <c r="B1230" s="436"/>
      <c r="C1230" s="71"/>
      <c r="D1230" s="573">
        <f>C1230*$F$1140</f>
        <v>0</v>
      </c>
      <c r="E1230" s="714"/>
      <c r="F1230" s="16">
        <f t="shared" si="149"/>
        <v>0</v>
      </c>
      <c r="G1230" s="718"/>
      <c r="H1230" s="663"/>
      <c r="I1230" s="432"/>
      <c r="J1230" s="71"/>
      <c r="K1230" s="706"/>
      <c r="L1230" s="2"/>
    </row>
    <row r="1231" spans="2:12" x14ac:dyDescent="0.2">
      <c r="B1231" s="6" t="s">
        <v>1630</v>
      </c>
      <c r="C1231" s="71"/>
      <c r="D1231" s="573">
        <f t="shared" si="153"/>
        <v>0</v>
      </c>
      <c r="E1231" s="714"/>
      <c r="F1231" s="16">
        <f t="shared" ref="F1231:F1400" si="161">C1231+D1231+E1231</f>
        <v>0</v>
      </c>
      <c r="G1231" s="718"/>
      <c r="H1231" s="663"/>
      <c r="I1231" s="432"/>
      <c r="J1231" s="71"/>
      <c r="K1231" s="706"/>
      <c r="L1231" s="2"/>
    </row>
    <row r="1232" spans="2:12" x14ac:dyDescent="0.2">
      <c r="B1232" s="436" t="s">
        <v>1631</v>
      </c>
      <c r="C1232" s="71">
        <f>J1232</f>
        <v>20</v>
      </c>
      <c r="D1232" s="573">
        <f t="shared" si="153"/>
        <v>12</v>
      </c>
      <c r="E1232" s="714"/>
      <c r="F1232" s="16">
        <f t="shared" si="161"/>
        <v>32</v>
      </c>
      <c r="G1232" s="718"/>
      <c r="H1232" s="663"/>
      <c r="I1232" s="432"/>
      <c r="J1232" s="71">
        <f>K1232*J1141</f>
        <v>20</v>
      </c>
      <c r="K1232" s="719">
        <v>15</v>
      </c>
      <c r="L1232" s="2"/>
    </row>
    <row r="1233" spans="2:12" x14ac:dyDescent="0.2">
      <c r="B1233" s="436" t="s">
        <v>1632</v>
      </c>
      <c r="C1233" s="71">
        <f>J1233</f>
        <v>8</v>
      </c>
      <c r="D1233" s="573">
        <f t="shared" si="153"/>
        <v>4.8</v>
      </c>
      <c r="E1233" s="714"/>
      <c r="F1233" s="16">
        <f t="shared" si="161"/>
        <v>12.8</v>
      </c>
      <c r="G1233" s="718"/>
      <c r="H1233" s="663"/>
      <c r="I1233" s="432"/>
      <c r="J1233" s="71">
        <f>K1233*J1141</f>
        <v>8</v>
      </c>
      <c r="K1233" s="706">
        <v>6</v>
      </c>
      <c r="L1233" s="2"/>
    </row>
    <row r="1234" spans="2:12" x14ac:dyDescent="0.2">
      <c r="B1234" s="436" t="s">
        <v>1633</v>
      </c>
      <c r="C1234" s="15">
        <f t="shared" si="160"/>
        <v>13.333333333333332</v>
      </c>
      <c r="D1234" s="573">
        <f t="shared" si="153"/>
        <v>7.9999999999999991</v>
      </c>
      <c r="E1234" s="86"/>
      <c r="F1234" s="16">
        <f t="shared" si="161"/>
        <v>21.333333333333332</v>
      </c>
      <c r="G1234" s="720"/>
      <c r="H1234" s="106"/>
      <c r="I1234" s="248"/>
      <c r="J1234" s="15">
        <f>K1234*J1141</f>
        <v>13.333333333333332</v>
      </c>
      <c r="K1234" s="706">
        <v>10</v>
      </c>
      <c r="L1234" s="2"/>
    </row>
    <row r="1235" spans="2:12" x14ac:dyDescent="0.2">
      <c r="B1235" s="436" t="s">
        <v>1634</v>
      </c>
      <c r="C1235" s="15">
        <f t="shared" si="160"/>
        <v>44</v>
      </c>
      <c r="D1235" s="573">
        <f t="shared" si="153"/>
        <v>26.4</v>
      </c>
      <c r="E1235" s="86"/>
      <c r="F1235" s="16">
        <f t="shared" si="161"/>
        <v>70.400000000000006</v>
      </c>
      <c r="G1235" s="720"/>
      <c r="H1235" s="106"/>
      <c r="I1235" s="248"/>
      <c r="J1235" s="15">
        <f>K1235*$J$1141</f>
        <v>44</v>
      </c>
      <c r="K1235" s="719">
        <v>33</v>
      </c>
      <c r="L1235" s="2"/>
    </row>
    <row r="1236" spans="2:12" x14ac:dyDescent="0.2">
      <c r="B1236" s="436" t="s">
        <v>1635</v>
      </c>
      <c r="C1236" s="15">
        <f t="shared" si="160"/>
        <v>20</v>
      </c>
      <c r="D1236" s="573">
        <f t="shared" si="153"/>
        <v>12</v>
      </c>
      <c r="E1236" s="86"/>
      <c r="F1236" s="16">
        <f t="shared" si="161"/>
        <v>32</v>
      </c>
      <c r="G1236" s="720"/>
      <c r="H1236" s="106"/>
      <c r="I1236" s="248"/>
      <c r="J1236" s="15">
        <f>K1236*$J$1141</f>
        <v>20</v>
      </c>
      <c r="K1236" s="719">
        <v>15</v>
      </c>
      <c r="L1236" s="2"/>
    </row>
    <row r="1237" spans="2:12" x14ac:dyDescent="0.2">
      <c r="B1237" s="436" t="s">
        <v>1636</v>
      </c>
      <c r="C1237" s="15">
        <f t="shared" si="160"/>
        <v>24</v>
      </c>
      <c r="D1237" s="573">
        <f t="shared" si="153"/>
        <v>14.399999999999999</v>
      </c>
      <c r="E1237" s="86"/>
      <c r="F1237" s="16">
        <f t="shared" si="161"/>
        <v>38.4</v>
      </c>
      <c r="G1237" s="720"/>
      <c r="H1237" s="106"/>
      <c r="I1237" s="248"/>
      <c r="J1237" s="15">
        <f>K1237*$J$1141</f>
        <v>24</v>
      </c>
      <c r="K1237" s="719">
        <v>18</v>
      </c>
      <c r="L1237" s="2"/>
    </row>
    <row r="1238" spans="2:12" x14ac:dyDescent="0.2">
      <c r="B1238" s="436" t="s">
        <v>1637</v>
      </c>
      <c r="C1238" s="15">
        <f>J1238</f>
        <v>13.333333333333332</v>
      </c>
      <c r="D1238" s="573">
        <f t="shared" si="153"/>
        <v>7.9999999999999991</v>
      </c>
      <c r="E1238" s="86"/>
      <c r="F1238" s="16">
        <f t="shared" si="161"/>
        <v>21.333333333333332</v>
      </c>
      <c r="G1238" s="720"/>
      <c r="H1238" s="106"/>
      <c r="I1238" s="248"/>
      <c r="J1238" s="15">
        <f>K1238*J1141</f>
        <v>13.333333333333332</v>
      </c>
      <c r="K1238" s="706">
        <v>10</v>
      </c>
      <c r="L1238" s="2"/>
    </row>
    <row r="1239" spans="2:12" x14ac:dyDescent="0.2">
      <c r="B1239" s="436" t="s">
        <v>1638</v>
      </c>
      <c r="C1239" s="15">
        <f>J1239</f>
        <v>33.333333333333329</v>
      </c>
      <c r="D1239" s="573">
        <f t="shared" si="153"/>
        <v>19.999999999999996</v>
      </c>
      <c r="E1239" s="86"/>
      <c r="F1239" s="16">
        <f t="shared" si="161"/>
        <v>53.333333333333329</v>
      </c>
      <c r="G1239" s="720"/>
      <c r="H1239" s="106"/>
      <c r="I1239" s="248"/>
      <c r="J1239" s="15">
        <f>K1239*J1141</f>
        <v>33.333333333333329</v>
      </c>
      <c r="K1239" s="706">
        <v>25</v>
      </c>
      <c r="L1239" s="2"/>
    </row>
    <row r="1240" spans="2:12" x14ac:dyDescent="0.2">
      <c r="B1240" s="436" t="s">
        <v>1639</v>
      </c>
      <c r="C1240" s="15">
        <f t="shared" si="160"/>
        <v>40</v>
      </c>
      <c r="D1240" s="573">
        <f t="shared" si="153"/>
        <v>24</v>
      </c>
      <c r="E1240" s="86"/>
      <c r="F1240" s="16">
        <f t="shared" si="161"/>
        <v>64</v>
      </c>
      <c r="G1240" s="720"/>
      <c r="H1240" s="106"/>
      <c r="I1240" s="248"/>
      <c r="J1240" s="15">
        <f>K1240*J1141</f>
        <v>40</v>
      </c>
      <c r="K1240" s="706">
        <v>30</v>
      </c>
      <c r="L1240" s="2"/>
    </row>
    <row r="1241" spans="2:12" x14ac:dyDescent="0.2">
      <c r="B1241" s="436" t="s">
        <v>1640</v>
      </c>
      <c r="C1241" s="15">
        <f t="shared" si="160"/>
        <v>6.6666666666666661</v>
      </c>
      <c r="D1241" s="573">
        <f t="shared" si="153"/>
        <v>3.9999999999999996</v>
      </c>
      <c r="E1241" s="86"/>
      <c r="F1241" s="16">
        <f t="shared" si="161"/>
        <v>10.666666666666666</v>
      </c>
      <c r="G1241" s="720"/>
      <c r="H1241" s="106"/>
      <c r="I1241" s="248"/>
      <c r="J1241" s="15">
        <f>J1141*K1241</f>
        <v>6.6666666666666661</v>
      </c>
      <c r="K1241" s="706">
        <v>5</v>
      </c>
      <c r="L1241" s="2"/>
    </row>
    <row r="1242" spans="2:12" x14ac:dyDescent="0.2">
      <c r="B1242" s="436" t="s">
        <v>223</v>
      </c>
      <c r="C1242" s="15">
        <f t="shared" si="160"/>
        <v>80</v>
      </c>
      <c r="D1242" s="573">
        <f t="shared" si="153"/>
        <v>48</v>
      </c>
      <c r="E1242" s="86"/>
      <c r="F1242" s="16">
        <f t="shared" si="161"/>
        <v>128</v>
      </c>
      <c r="G1242" s="720"/>
      <c r="H1242" s="106"/>
      <c r="I1242" s="248"/>
      <c r="J1242" s="15">
        <f>K1242*J1141</f>
        <v>80</v>
      </c>
      <c r="K1242" s="706">
        <v>60</v>
      </c>
      <c r="L1242" s="2"/>
    </row>
    <row r="1243" spans="2:12" x14ac:dyDescent="0.2">
      <c r="B1243" s="436" t="s">
        <v>224</v>
      </c>
      <c r="C1243" s="71">
        <f t="shared" si="160"/>
        <v>320</v>
      </c>
      <c r="D1243" s="573">
        <f>C1243*$F$1140</f>
        <v>192</v>
      </c>
      <c r="E1243" s="714"/>
      <c r="F1243" s="16">
        <f t="shared" si="161"/>
        <v>512</v>
      </c>
      <c r="G1243" s="718"/>
      <c r="H1243" s="14"/>
      <c r="I1243" s="432"/>
      <c r="J1243" s="71">
        <f>K1243*J1141</f>
        <v>320</v>
      </c>
      <c r="K1243" s="706">
        <v>240</v>
      </c>
      <c r="L1243" s="2"/>
    </row>
    <row r="1244" spans="2:12" x14ac:dyDescent="0.2">
      <c r="B1244" s="11" t="s">
        <v>1641</v>
      </c>
      <c r="C1244" s="71">
        <f t="shared" si="160"/>
        <v>40</v>
      </c>
      <c r="D1244" s="573">
        <f t="shared" ref="D1244:D1245" si="162">C1244*$F$1140</f>
        <v>24</v>
      </c>
      <c r="E1244" s="714"/>
      <c r="F1244" s="16">
        <f t="shared" si="161"/>
        <v>64</v>
      </c>
      <c r="G1244" s="718"/>
      <c r="H1244" s="14"/>
      <c r="I1244" s="432"/>
      <c r="J1244" s="71">
        <f>K1244*J1141</f>
        <v>40</v>
      </c>
      <c r="K1244" s="706">
        <v>30</v>
      </c>
      <c r="L1244" s="2"/>
    </row>
    <row r="1245" spans="2:12" x14ac:dyDescent="0.2">
      <c r="B1245" s="11" t="s">
        <v>1642</v>
      </c>
      <c r="C1245" s="71">
        <f t="shared" si="160"/>
        <v>320</v>
      </c>
      <c r="D1245" s="573">
        <f t="shared" si="162"/>
        <v>192</v>
      </c>
      <c r="E1245" s="714"/>
      <c r="F1245" s="16">
        <f t="shared" si="161"/>
        <v>512</v>
      </c>
      <c r="G1245" s="718"/>
      <c r="H1245" s="14"/>
      <c r="I1245" s="432"/>
      <c r="J1245" s="71">
        <f>K1245*J1141</f>
        <v>320</v>
      </c>
      <c r="K1245" s="721">
        <v>240</v>
      </c>
      <c r="L1245" s="2"/>
    </row>
    <row r="1246" spans="2:12" x14ac:dyDescent="0.2">
      <c r="B1246" s="11" t="s">
        <v>1643</v>
      </c>
      <c r="C1246" s="71">
        <f t="shared" si="160"/>
        <v>60</v>
      </c>
      <c r="D1246" s="573">
        <f>C1246*$F$1140</f>
        <v>36</v>
      </c>
      <c r="E1246" s="714"/>
      <c r="F1246" s="16">
        <f t="shared" si="161"/>
        <v>96</v>
      </c>
      <c r="G1246" s="718"/>
      <c r="H1246" s="14"/>
      <c r="I1246" s="432"/>
      <c r="J1246" s="71">
        <f>K1246*J1141</f>
        <v>60</v>
      </c>
      <c r="K1246" s="706">
        <v>45</v>
      </c>
      <c r="L1246" s="2"/>
    </row>
    <row r="1247" spans="2:12" x14ac:dyDescent="0.2">
      <c r="B1247" s="11" t="s">
        <v>1644</v>
      </c>
      <c r="C1247" s="71">
        <f t="shared" si="160"/>
        <v>38</v>
      </c>
      <c r="D1247" s="573">
        <f t="shared" ref="D1247:D1268" si="163">C1247*$F$1140</f>
        <v>22.8</v>
      </c>
      <c r="E1247" s="714"/>
      <c r="F1247" s="16">
        <f>C1247+D1247</f>
        <v>60.8</v>
      </c>
      <c r="G1247" s="718"/>
      <c r="H1247" s="14"/>
      <c r="I1247" s="432"/>
      <c r="J1247" s="71">
        <f>J1141*K1247</f>
        <v>38</v>
      </c>
      <c r="K1247" s="706">
        <v>28.5</v>
      </c>
      <c r="L1247" s="2"/>
    </row>
    <row r="1248" spans="2:12" x14ac:dyDescent="0.2">
      <c r="B1248" s="11" t="s">
        <v>1645</v>
      </c>
      <c r="C1248" s="71">
        <f t="shared" si="160"/>
        <v>120</v>
      </c>
      <c r="D1248" s="573">
        <f t="shared" si="163"/>
        <v>72</v>
      </c>
      <c r="E1248" s="714"/>
      <c r="F1248" s="16">
        <f>C1248+D1248</f>
        <v>192</v>
      </c>
      <c r="G1248" s="718"/>
      <c r="H1248" s="14"/>
      <c r="I1248" s="432"/>
      <c r="J1248" s="71">
        <f>K1248*$J$1141</f>
        <v>120</v>
      </c>
      <c r="K1248" s="706">
        <v>90</v>
      </c>
      <c r="L1248" s="2"/>
    </row>
    <row r="1249" spans="1:12" x14ac:dyDescent="0.2">
      <c r="B1249" s="11"/>
      <c r="C1249" s="71"/>
      <c r="D1249" s="573"/>
      <c r="E1249" s="714"/>
      <c r="F1249" s="16"/>
      <c r="G1249" s="718"/>
      <c r="H1249" s="14"/>
      <c r="I1249" s="432"/>
      <c r="J1249" s="71"/>
      <c r="K1249" s="706"/>
      <c r="L1249" s="2"/>
    </row>
    <row r="1250" spans="1:12" x14ac:dyDescent="0.2">
      <c r="A1250" s="722"/>
      <c r="B1250" s="185" t="s">
        <v>1646</v>
      </c>
      <c r="C1250" s="71"/>
      <c r="D1250" s="573"/>
      <c r="E1250" s="714"/>
      <c r="F1250" s="16"/>
      <c r="G1250" s="718"/>
      <c r="H1250" s="14"/>
      <c r="I1250" s="432"/>
      <c r="J1250" s="71"/>
      <c r="K1250" s="706"/>
      <c r="L1250" s="2"/>
    </row>
    <row r="1251" spans="1:12" x14ac:dyDescent="0.2">
      <c r="A1251" s="722"/>
      <c r="B1251" s="11" t="s">
        <v>1647</v>
      </c>
      <c r="C1251" s="71">
        <f t="shared" si="160"/>
        <v>80</v>
      </c>
      <c r="D1251" s="573">
        <f t="shared" si="163"/>
        <v>48</v>
      </c>
      <c r="E1251" s="714"/>
      <c r="F1251" s="16">
        <f>C1251+D1251</f>
        <v>128</v>
      </c>
      <c r="G1251" s="718"/>
      <c r="H1251" s="14"/>
      <c r="I1251" s="432"/>
      <c r="J1251" s="71">
        <f>K1251*$J$1141</f>
        <v>80</v>
      </c>
      <c r="K1251" s="706">
        <v>60</v>
      </c>
      <c r="L1251" s="2"/>
    </row>
    <row r="1252" spans="1:12" x14ac:dyDescent="0.2">
      <c r="A1252" s="722"/>
      <c r="B1252" s="11" t="s">
        <v>1648</v>
      </c>
      <c r="C1252" s="71">
        <f t="shared" si="160"/>
        <v>6.6666666666666661</v>
      </c>
      <c r="D1252" s="573">
        <f t="shared" si="163"/>
        <v>3.9999999999999996</v>
      </c>
      <c r="E1252" s="714"/>
      <c r="F1252" s="16">
        <f t="shared" ref="F1252:F1256" si="164">C1252+D1252</f>
        <v>10.666666666666666</v>
      </c>
      <c r="G1252" s="718"/>
      <c r="H1252" s="14"/>
      <c r="I1252" s="432"/>
      <c r="J1252" s="71">
        <f t="shared" ref="J1252:J1256" si="165">K1252*$J$1141</f>
        <v>6.6666666666666661</v>
      </c>
      <c r="K1252" s="706">
        <v>5</v>
      </c>
      <c r="L1252" s="2"/>
    </row>
    <row r="1253" spans="1:12" x14ac:dyDescent="0.2">
      <c r="A1253" s="722"/>
      <c r="B1253" s="11" t="s">
        <v>1649</v>
      </c>
      <c r="C1253" s="71">
        <f t="shared" si="160"/>
        <v>6.6666666666666661</v>
      </c>
      <c r="D1253" s="573">
        <f t="shared" si="163"/>
        <v>3.9999999999999996</v>
      </c>
      <c r="E1253" s="714"/>
      <c r="F1253" s="16">
        <f t="shared" si="164"/>
        <v>10.666666666666666</v>
      </c>
      <c r="G1253" s="718"/>
      <c r="H1253" s="14"/>
      <c r="I1253" s="432"/>
      <c r="J1253" s="71">
        <f t="shared" si="165"/>
        <v>6.6666666666666661</v>
      </c>
      <c r="K1253" s="706">
        <v>5</v>
      </c>
      <c r="L1253" s="2"/>
    </row>
    <row r="1254" spans="1:12" x14ac:dyDescent="0.2">
      <c r="A1254" s="723"/>
      <c r="B1254" s="11" t="s">
        <v>1650</v>
      </c>
      <c r="C1254" s="71">
        <f t="shared" si="160"/>
        <v>6.6666666666666661</v>
      </c>
      <c r="D1254" s="573">
        <f t="shared" si="163"/>
        <v>3.9999999999999996</v>
      </c>
      <c r="E1254" s="714"/>
      <c r="F1254" s="16">
        <f t="shared" si="164"/>
        <v>10.666666666666666</v>
      </c>
      <c r="G1254" s="718"/>
      <c r="H1254" s="14"/>
      <c r="I1254" s="432"/>
      <c r="J1254" s="71">
        <f t="shared" si="165"/>
        <v>6.6666666666666661</v>
      </c>
      <c r="K1254" s="706">
        <v>5</v>
      </c>
      <c r="L1254" s="2"/>
    </row>
    <row r="1255" spans="1:12" x14ac:dyDescent="0.2">
      <c r="A1255" s="723"/>
      <c r="B1255" s="11" t="s">
        <v>1651</v>
      </c>
      <c r="C1255" s="71">
        <f t="shared" si="160"/>
        <v>6.6666666666666661</v>
      </c>
      <c r="D1255" s="573">
        <f t="shared" si="163"/>
        <v>3.9999999999999996</v>
      </c>
      <c r="E1255" s="714"/>
      <c r="F1255" s="16">
        <f t="shared" si="164"/>
        <v>10.666666666666666</v>
      </c>
      <c r="G1255" s="718"/>
      <c r="H1255" s="14"/>
      <c r="I1255" s="432"/>
      <c r="J1255" s="71">
        <f t="shared" si="165"/>
        <v>6.6666666666666661</v>
      </c>
      <c r="K1255" s="706">
        <v>5</v>
      </c>
      <c r="L1255" s="2"/>
    </row>
    <row r="1256" spans="1:12" x14ac:dyDescent="0.2">
      <c r="B1256" s="190" t="s">
        <v>1652</v>
      </c>
      <c r="C1256" s="71">
        <f t="shared" si="160"/>
        <v>6.6666666666666661</v>
      </c>
      <c r="D1256" s="573">
        <f t="shared" si="163"/>
        <v>3.9999999999999996</v>
      </c>
      <c r="E1256" s="714"/>
      <c r="F1256" s="16">
        <f t="shared" si="164"/>
        <v>10.666666666666666</v>
      </c>
      <c r="G1256" s="718"/>
      <c r="H1256" s="14"/>
      <c r="I1256" s="432"/>
      <c r="J1256" s="71">
        <f t="shared" si="165"/>
        <v>6.6666666666666661</v>
      </c>
      <c r="K1256" s="706">
        <v>5</v>
      </c>
      <c r="L1256" s="2"/>
    </row>
    <row r="1257" spans="1:12" x14ac:dyDescent="0.2">
      <c r="B1257" s="190"/>
      <c r="C1257" s="71"/>
      <c r="D1257" s="573"/>
      <c r="E1257" s="714"/>
      <c r="F1257" s="16"/>
      <c r="G1257" s="718"/>
      <c r="H1257" s="14"/>
      <c r="I1257" s="432"/>
      <c r="J1257" s="71"/>
      <c r="K1257" s="706"/>
      <c r="L1257" s="2"/>
    </row>
    <row r="1258" spans="1:12" x14ac:dyDescent="0.2">
      <c r="B1258" s="11" t="s">
        <v>1653</v>
      </c>
      <c r="C1258" s="71">
        <f t="shared" ref="C1258" si="166">J1258</f>
        <v>0</v>
      </c>
      <c r="D1258" s="573">
        <f t="shared" ref="D1258" si="167">C1258*$F$1140</f>
        <v>0</v>
      </c>
      <c r="E1258" s="714"/>
      <c r="F1258" s="16">
        <f>C1258+D1258</f>
        <v>0</v>
      </c>
      <c r="G1258" s="718"/>
      <c r="H1258" s="14"/>
      <c r="I1258" s="432"/>
      <c r="J1258" s="71">
        <f>K1258*$J$1141</f>
        <v>0</v>
      </c>
      <c r="K1258" s="706"/>
      <c r="L1258" s="2"/>
    </row>
    <row r="1259" spans="1:12" x14ac:dyDescent="0.2">
      <c r="B1259" s="250" t="s">
        <v>1654</v>
      </c>
      <c r="C1259" s="432"/>
      <c r="D1259" s="573">
        <f t="shared" si="163"/>
        <v>0</v>
      </c>
      <c r="E1259" s="662"/>
      <c r="F1259" s="16">
        <f t="shared" si="161"/>
        <v>0</v>
      </c>
      <c r="G1259" s="718"/>
      <c r="H1259" s="14"/>
      <c r="I1259" s="432"/>
      <c r="J1259" s="432"/>
      <c r="K1259" s="432"/>
      <c r="L1259" s="2"/>
    </row>
    <row r="1260" spans="1:12" x14ac:dyDescent="0.2">
      <c r="B1260" s="436" t="s">
        <v>1655</v>
      </c>
      <c r="C1260" s="15">
        <f t="shared" ref="C1260:C1265" si="168">J1260</f>
        <v>33.333333333333329</v>
      </c>
      <c r="D1260" s="573">
        <f t="shared" si="163"/>
        <v>19.999999999999996</v>
      </c>
      <c r="E1260" s="86"/>
      <c r="F1260" s="16">
        <f t="shared" si="161"/>
        <v>53.333333333333329</v>
      </c>
      <c r="G1260" s="562"/>
      <c r="H1260" s="106"/>
      <c r="I1260" s="248"/>
      <c r="J1260" s="15">
        <f>J1141*K1260</f>
        <v>33.333333333333329</v>
      </c>
      <c r="K1260" s="706">
        <v>25</v>
      </c>
      <c r="L1260" s="2"/>
    </row>
    <row r="1261" spans="1:12" x14ac:dyDescent="0.2">
      <c r="B1261" s="436" t="s">
        <v>1656</v>
      </c>
      <c r="C1261" s="15">
        <f t="shared" si="168"/>
        <v>4</v>
      </c>
      <c r="D1261" s="573">
        <f t="shared" si="163"/>
        <v>2.4</v>
      </c>
      <c r="E1261" s="86"/>
      <c r="F1261" s="16">
        <f t="shared" si="161"/>
        <v>6.4</v>
      </c>
      <c r="G1261" s="562"/>
      <c r="H1261" s="106"/>
      <c r="I1261" s="248"/>
      <c r="J1261" s="15">
        <f>K1261*J1141</f>
        <v>4</v>
      </c>
      <c r="K1261" s="706">
        <v>3</v>
      </c>
      <c r="L1261" s="2"/>
    </row>
    <row r="1262" spans="1:12" x14ac:dyDescent="0.2">
      <c r="B1262" s="436" t="s">
        <v>1657</v>
      </c>
      <c r="C1262" s="15">
        <f t="shared" si="168"/>
        <v>13.333333333333332</v>
      </c>
      <c r="D1262" s="573">
        <f t="shared" si="163"/>
        <v>7.9999999999999991</v>
      </c>
      <c r="E1262" s="86"/>
      <c r="F1262" s="16">
        <f t="shared" si="161"/>
        <v>21.333333333333332</v>
      </c>
      <c r="G1262" s="562"/>
      <c r="H1262" s="106"/>
      <c r="I1262" s="248"/>
      <c r="J1262" s="15">
        <f>K1262*J1141</f>
        <v>13.333333333333332</v>
      </c>
      <c r="K1262" s="706">
        <v>10</v>
      </c>
      <c r="L1262" s="2"/>
    </row>
    <row r="1263" spans="1:12" x14ac:dyDescent="0.2">
      <c r="B1263" s="436" t="s">
        <v>1658</v>
      </c>
      <c r="C1263" s="15">
        <f t="shared" si="168"/>
        <v>20</v>
      </c>
      <c r="D1263" s="573">
        <f t="shared" si="163"/>
        <v>12</v>
      </c>
      <c r="E1263" s="86"/>
      <c r="F1263" s="16">
        <f t="shared" si="161"/>
        <v>32</v>
      </c>
      <c r="G1263" s="562"/>
      <c r="H1263" s="106"/>
      <c r="I1263" s="248"/>
      <c r="J1263" s="15">
        <f>K1263*J1141</f>
        <v>20</v>
      </c>
      <c r="K1263" s="706">
        <v>15</v>
      </c>
      <c r="L1263" s="2"/>
    </row>
    <row r="1264" spans="1:12" x14ac:dyDescent="0.2">
      <c r="B1264" s="189" t="s">
        <v>1659</v>
      </c>
      <c r="C1264" s="165">
        <f t="shared" si="168"/>
        <v>6.6666666666666661</v>
      </c>
      <c r="D1264" s="573">
        <f t="shared" si="163"/>
        <v>3.9999999999999996</v>
      </c>
      <c r="E1264" s="165"/>
      <c r="F1264" s="16">
        <f>C1264+D1264+E1264</f>
        <v>10.666666666666666</v>
      </c>
      <c r="G1264" s="562"/>
      <c r="H1264" s="189"/>
      <c r="I1264" s="471"/>
      <c r="J1264" s="165">
        <f>J1141*K1264</f>
        <v>6.6666666666666661</v>
      </c>
      <c r="K1264" s="682">
        <v>5</v>
      </c>
      <c r="L1264" s="2"/>
    </row>
    <row r="1265" spans="2:12" x14ac:dyDescent="0.2">
      <c r="B1265" s="189" t="s">
        <v>1660</v>
      </c>
      <c r="C1265" s="165">
        <f t="shared" si="168"/>
        <v>48</v>
      </c>
      <c r="D1265" s="573">
        <f t="shared" si="163"/>
        <v>28.799999999999997</v>
      </c>
      <c r="E1265" s="165"/>
      <c r="F1265" s="16">
        <f>C1265+D1265+E1265</f>
        <v>76.8</v>
      </c>
      <c r="G1265" s="562"/>
      <c r="H1265" s="189"/>
      <c r="I1265" s="471"/>
      <c r="J1265" s="165">
        <f>K1265*J1141</f>
        <v>48</v>
      </c>
      <c r="K1265" s="682">
        <v>36</v>
      </c>
      <c r="L1265" s="2"/>
    </row>
    <row r="1266" spans="2:12" x14ac:dyDescent="0.2">
      <c r="B1266" s="424" t="s">
        <v>1661</v>
      </c>
      <c r="D1266" s="573">
        <f t="shared" si="163"/>
        <v>0</v>
      </c>
      <c r="F1266" s="16">
        <f t="shared" si="161"/>
        <v>0</v>
      </c>
      <c r="G1266" s="718"/>
      <c r="L1266" s="724"/>
    </row>
    <row r="1267" spans="2:12" x14ac:dyDescent="0.2">
      <c r="B1267" s="436" t="s">
        <v>1662</v>
      </c>
      <c r="C1267" s="15">
        <f t="shared" ref="C1267:C1345" si="169">J1267</f>
        <v>40</v>
      </c>
      <c r="D1267" s="573">
        <f>C1267*$F$1140</f>
        <v>24</v>
      </c>
      <c r="E1267" s="86"/>
      <c r="F1267" s="16">
        <f t="shared" si="161"/>
        <v>64</v>
      </c>
      <c r="G1267" s="562"/>
      <c r="H1267" s="106"/>
      <c r="I1267" s="248"/>
      <c r="J1267" s="15">
        <f>K1267*J1141</f>
        <v>40</v>
      </c>
      <c r="K1267" s="706">
        <v>30</v>
      </c>
      <c r="L1267" s="725">
        <f>R1267</f>
        <v>0</v>
      </c>
    </row>
    <row r="1268" spans="2:12" x14ac:dyDescent="0.2">
      <c r="B1268" s="436" t="s">
        <v>1663</v>
      </c>
      <c r="C1268" s="15">
        <f t="shared" si="169"/>
        <v>80</v>
      </c>
      <c r="D1268" s="573">
        <f t="shared" si="163"/>
        <v>48</v>
      </c>
      <c r="E1268" s="86"/>
      <c r="F1268" s="16">
        <f t="shared" si="161"/>
        <v>128</v>
      </c>
      <c r="G1268" s="562"/>
      <c r="H1268" s="106"/>
      <c r="I1268" s="248"/>
      <c r="J1268" s="15">
        <f>K1268*J1141</f>
        <v>80</v>
      </c>
      <c r="K1268" s="706">
        <v>60</v>
      </c>
      <c r="L1268" s="725"/>
    </row>
    <row r="1269" spans="2:12" x14ac:dyDescent="0.2">
      <c r="B1269" s="436" t="s">
        <v>1664</v>
      </c>
      <c r="C1269" s="15">
        <f t="shared" si="169"/>
        <v>33.333333333333329</v>
      </c>
      <c r="D1269" s="15">
        <f>C1268*F1140</f>
        <v>48</v>
      </c>
      <c r="E1269" s="86"/>
      <c r="F1269" s="16">
        <f t="shared" si="161"/>
        <v>81.333333333333329</v>
      </c>
      <c r="G1269" s="562"/>
      <c r="H1269" s="106"/>
      <c r="I1269" s="248"/>
      <c r="J1269" s="15">
        <f>J1141*K1269</f>
        <v>33.333333333333329</v>
      </c>
      <c r="K1269" s="706">
        <v>25</v>
      </c>
      <c r="L1269" s="725"/>
    </row>
    <row r="1270" spans="2:12" x14ac:dyDescent="0.2">
      <c r="B1270" s="436" t="s">
        <v>1665</v>
      </c>
      <c r="C1270" s="15">
        <f t="shared" si="169"/>
        <v>20</v>
      </c>
      <c r="D1270" s="15">
        <f>C1270*$F$1140</f>
        <v>12</v>
      </c>
      <c r="E1270" s="86"/>
      <c r="F1270" s="16">
        <f t="shared" si="161"/>
        <v>32</v>
      </c>
      <c r="G1270" s="562"/>
      <c r="H1270" s="106"/>
      <c r="I1270" s="248"/>
      <c r="J1270" s="15">
        <f>K1270*$J$1141</f>
        <v>20</v>
      </c>
      <c r="K1270" s="706">
        <v>15</v>
      </c>
      <c r="L1270" s="725"/>
    </row>
    <row r="1271" spans="2:12" x14ac:dyDescent="0.2">
      <c r="B1271" s="450"/>
      <c r="C1271" s="15"/>
      <c r="D1271" s="15"/>
      <c r="E1271" s="86"/>
      <c r="F1271" s="16"/>
      <c r="G1271" s="562"/>
      <c r="H1271" s="106"/>
      <c r="I1271" s="248"/>
      <c r="J1271" s="15"/>
      <c r="K1271" s="706"/>
      <c r="L1271" s="725"/>
    </row>
    <row r="1272" spans="2:12" ht="13.5" thickBot="1" x14ac:dyDescent="0.25">
      <c r="B1272" s="726" t="s">
        <v>1666</v>
      </c>
      <c r="C1272" s="97"/>
      <c r="D1272" s="97"/>
      <c r="E1272" s="451"/>
      <c r="F1272" s="87"/>
      <c r="G1272" s="562"/>
      <c r="H1272" s="530"/>
      <c r="I1272" s="710"/>
      <c r="J1272" s="97"/>
      <c r="K1272" s="711"/>
      <c r="L1272" s="725"/>
    </row>
    <row r="1273" spans="2:12" ht="13.5" thickTop="1" x14ac:dyDescent="0.2">
      <c r="B1273" s="727" t="s">
        <v>706</v>
      </c>
      <c r="C1273" s="728"/>
      <c r="D1273" s="728"/>
      <c r="E1273" s="729"/>
      <c r="F1273" s="730"/>
      <c r="G1273" s="731"/>
      <c r="H1273" s="732"/>
      <c r="I1273" s="733"/>
      <c r="J1273" s="728"/>
      <c r="K1273" s="734"/>
      <c r="L1273" s="725"/>
    </row>
    <row r="1274" spans="2:12" x14ac:dyDescent="0.2">
      <c r="B1274" s="633" t="s">
        <v>1667</v>
      </c>
      <c r="C1274" s="469">
        <f t="shared" ref="C1274:C1275" si="170">J1274</f>
        <v>80</v>
      </c>
      <c r="D1274" s="469">
        <f t="shared" ref="D1274:D1289" si="171">C1274*$F$1140</f>
        <v>48</v>
      </c>
      <c r="E1274" s="735"/>
      <c r="F1274" s="736">
        <f t="shared" ref="F1274:F1275" si="172">C1274+D1274+E1274</f>
        <v>128</v>
      </c>
      <c r="G1274" s="737"/>
      <c r="H1274" s="738"/>
      <c r="I1274" s="739"/>
      <c r="J1274" s="469">
        <f t="shared" ref="J1274:J1289" si="173">K1274*$J$1141</f>
        <v>80</v>
      </c>
      <c r="K1274" s="702">
        <v>60</v>
      </c>
      <c r="L1274" s="725"/>
    </row>
    <row r="1275" spans="2:12" x14ac:dyDescent="0.2">
      <c r="B1275" s="633" t="s">
        <v>1668</v>
      </c>
      <c r="C1275" s="469">
        <f t="shared" si="170"/>
        <v>80</v>
      </c>
      <c r="D1275" s="469">
        <f t="shared" si="171"/>
        <v>48</v>
      </c>
      <c r="E1275" s="735"/>
      <c r="F1275" s="736">
        <f t="shared" si="172"/>
        <v>128</v>
      </c>
      <c r="G1275" s="737"/>
      <c r="H1275" s="738"/>
      <c r="I1275" s="739"/>
      <c r="J1275" s="469">
        <f t="shared" si="173"/>
        <v>80</v>
      </c>
      <c r="K1275" s="702">
        <v>60</v>
      </c>
      <c r="L1275" s="725"/>
    </row>
    <row r="1276" spans="2:12" x14ac:dyDescent="0.2">
      <c r="B1276" s="633"/>
      <c r="C1276" s="469"/>
      <c r="D1276" s="469"/>
      <c r="E1276" s="735"/>
      <c r="F1276" s="736"/>
      <c r="G1276" s="737"/>
      <c r="H1276" s="738"/>
      <c r="I1276" s="739"/>
      <c r="J1276" s="469"/>
      <c r="K1276" s="702"/>
      <c r="L1276" s="725"/>
    </row>
    <row r="1277" spans="2:12" x14ac:dyDescent="0.2">
      <c r="B1277" s="740" t="s">
        <v>1669</v>
      </c>
      <c r="C1277" s="469"/>
      <c r="D1277" s="469"/>
      <c r="E1277" s="735"/>
      <c r="F1277" s="736"/>
      <c r="G1277" s="737"/>
      <c r="H1277" s="738"/>
      <c r="I1277" s="739"/>
      <c r="J1277" s="469"/>
      <c r="K1277" s="702"/>
      <c r="L1277" s="725"/>
    </row>
    <row r="1278" spans="2:12" x14ac:dyDescent="0.2">
      <c r="B1278" s="633" t="s">
        <v>1670</v>
      </c>
      <c r="C1278" s="469">
        <f t="shared" ref="C1278:C1282" si="174">J1278</f>
        <v>160</v>
      </c>
      <c r="D1278" s="469">
        <f t="shared" si="171"/>
        <v>96</v>
      </c>
      <c r="E1278" s="735"/>
      <c r="F1278" s="736">
        <f t="shared" ref="F1278:F1282" si="175">C1278+D1278+E1278</f>
        <v>256</v>
      </c>
      <c r="G1278" s="737"/>
      <c r="H1278" s="738"/>
      <c r="I1278" s="739"/>
      <c r="J1278" s="469">
        <f t="shared" si="173"/>
        <v>160</v>
      </c>
      <c r="K1278" s="702">
        <v>120</v>
      </c>
      <c r="L1278" s="725"/>
    </row>
    <row r="1279" spans="2:12" x14ac:dyDescent="0.2">
      <c r="B1279" s="633" t="s">
        <v>1671</v>
      </c>
      <c r="C1279" s="469">
        <f t="shared" si="174"/>
        <v>160</v>
      </c>
      <c r="D1279" s="469">
        <f t="shared" si="171"/>
        <v>96</v>
      </c>
      <c r="E1279" s="735"/>
      <c r="F1279" s="736">
        <f t="shared" si="175"/>
        <v>256</v>
      </c>
      <c r="G1279" s="737"/>
      <c r="H1279" s="738"/>
      <c r="I1279" s="739"/>
      <c r="J1279" s="469">
        <f t="shared" si="173"/>
        <v>160</v>
      </c>
      <c r="K1279" s="741">
        <v>120</v>
      </c>
      <c r="L1279" s="725"/>
    </row>
    <row r="1280" spans="2:12" x14ac:dyDescent="0.2">
      <c r="B1280" s="633" t="s">
        <v>1672</v>
      </c>
      <c r="C1280" s="469">
        <f t="shared" si="174"/>
        <v>60</v>
      </c>
      <c r="D1280" s="469">
        <f t="shared" si="171"/>
        <v>36</v>
      </c>
      <c r="E1280" s="735"/>
      <c r="F1280" s="736">
        <f t="shared" si="175"/>
        <v>96</v>
      </c>
      <c r="G1280" s="737"/>
      <c r="H1280" s="738"/>
      <c r="I1280" s="739"/>
      <c r="J1280" s="469">
        <f t="shared" si="173"/>
        <v>60</v>
      </c>
      <c r="K1280" s="741">
        <v>45</v>
      </c>
      <c r="L1280" s="725"/>
    </row>
    <row r="1281" spans="2:12" x14ac:dyDescent="0.2">
      <c r="B1281" s="633" t="s">
        <v>1673</v>
      </c>
      <c r="C1281" s="469">
        <f t="shared" si="174"/>
        <v>160</v>
      </c>
      <c r="D1281" s="469">
        <f t="shared" si="171"/>
        <v>96</v>
      </c>
      <c r="E1281" s="735"/>
      <c r="F1281" s="736">
        <f t="shared" si="175"/>
        <v>256</v>
      </c>
      <c r="G1281" s="737"/>
      <c r="H1281" s="738"/>
      <c r="I1281" s="739"/>
      <c r="J1281" s="469">
        <f t="shared" si="173"/>
        <v>160</v>
      </c>
      <c r="K1281" s="741">
        <v>120</v>
      </c>
      <c r="L1281" s="725"/>
    </row>
    <row r="1282" spans="2:12" x14ac:dyDescent="0.2">
      <c r="B1282" s="633" t="s">
        <v>1674</v>
      </c>
      <c r="C1282" s="469">
        <f t="shared" si="174"/>
        <v>40</v>
      </c>
      <c r="D1282" s="469">
        <f t="shared" si="171"/>
        <v>24</v>
      </c>
      <c r="E1282" s="735"/>
      <c r="F1282" s="736">
        <f t="shared" si="175"/>
        <v>64</v>
      </c>
      <c r="G1282" s="737"/>
      <c r="H1282" s="738"/>
      <c r="I1282" s="739"/>
      <c r="J1282" s="469">
        <f t="shared" si="173"/>
        <v>40</v>
      </c>
      <c r="K1282" s="741">
        <v>30</v>
      </c>
      <c r="L1282" s="725"/>
    </row>
    <row r="1283" spans="2:12" x14ac:dyDescent="0.2">
      <c r="B1283" s="633"/>
      <c r="C1283" s="469"/>
      <c r="D1283" s="469"/>
      <c r="E1283" s="735"/>
      <c r="F1283" s="736"/>
      <c r="G1283" s="737"/>
      <c r="H1283" s="738"/>
      <c r="I1283" s="739"/>
      <c r="J1283" s="469"/>
      <c r="K1283" s="741"/>
      <c r="L1283" s="725"/>
    </row>
    <row r="1284" spans="2:12" x14ac:dyDescent="0.2">
      <c r="B1284" s="740" t="s">
        <v>1675</v>
      </c>
      <c r="C1284" s="469"/>
      <c r="D1284" s="469"/>
      <c r="E1284" s="735"/>
      <c r="F1284" s="736"/>
      <c r="G1284" s="737"/>
      <c r="H1284" s="738"/>
      <c r="I1284" s="739"/>
      <c r="J1284" s="469"/>
      <c r="K1284" s="741"/>
      <c r="L1284" s="725"/>
    </row>
    <row r="1285" spans="2:12" x14ac:dyDescent="0.2">
      <c r="B1285" s="633" t="s">
        <v>1676</v>
      </c>
      <c r="C1285" s="469">
        <f t="shared" ref="C1285:C1289" si="176">J1285</f>
        <v>160</v>
      </c>
      <c r="D1285" s="469">
        <f t="shared" si="171"/>
        <v>96</v>
      </c>
      <c r="E1285" s="735"/>
      <c r="F1285" s="736">
        <f t="shared" ref="F1285:F1289" si="177">C1285+D1285+E1285</f>
        <v>256</v>
      </c>
      <c r="G1285" s="737"/>
      <c r="H1285" s="738"/>
      <c r="I1285" s="739"/>
      <c r="J1285" s="469">
        <f t="shared" si="173"/>
        <v>160</v>
      </c>
      <c r="K1285" s="741">
        <v>120</v>
      </c>
      <c r="L1285" s="725"/>
    </row>
    <row r="1286" spans="2:12" x14ac:dyDescent="0.2">
      <c r="B1286" s="633" t="s">
        <v>1677</v>
      </c>
      <c r="C1286" s="469">
        <f t="shared" si="176"/>
        <v>160</v>
      </c>
      <c r="D1286" s="469">
        <f t="shared" si="171"/>
        <v>96</v>
      </c>
      <c r="E1286" s="735"/>
      <c r="F1286" s="736">
        <f t="shared" si="177"/>
        <v>256</v>
      </c>
      <c r="G1286" s="737"/>
      <c r="H1286" s="738"/>
      <c r="I1286" s="739"/>
      <c r="J1286" s="469">
        <f t="shared" si="173"/>
        <v>160</v>
      </c>
      <c r="K1286" s="741">
        <v>120</v>
      </c>
      <c r="L1286" s="725"/>
    </row>
    <row r="1287" spans="2:12" x14ac:dyDescent="0.2">
      <c r="B1287" s="436"/>
      <c r="C1287" s="15">
        <f t="shared" si="176"/>
        <v>0</v>
      </c>
      <c r="D1287" s="15">
        <f t="shared" si="171"/>
        <v>0</v>
      </c>
      <c r="E1287" s="86"/>
      <c r="F1287" s="16">
        <f t="shared" si="177"/>
        <v>0</v>
      </c>
      <c r="G1287" s="562"/>
      <c r="H1287" s="106"/>
      <c r="I1287" s="248"/>
      <c r="J1287" s="15">
        <f t="shared" si="173"/>
        <v>0</v>
      </c>
      <c r="K1287" s="711"/>
      <c r="L1287" s="725"/>
    </row>
    <row r="1288" spans="2:12" x14ac:dyDescent="0.2">
      <c r="B1288" s="449" t="s">
        <v>1678</v>
      </c>
      <c r="C1288" s="15">
        <f t="shared" si="176"/>
        <v>0</v>
      </c>
      <c r="D1288" s="15">
        <f t="shared" si="171"/>
        <v>0</v>
      </c>
      <c r="E1288" s="86"/>
      <c r="F1288" s="16">
        <f t="shared" si="177"/>
        <v>0</v>
      </c>
      <c r="G1288" s="562"/>
      <c r="H1288" s="106"/>
      <c r="I1288" s="248"/>
      <c r="J1288" s="15">
        <f t="shared" si="173"/>
        <v>0</v>
      </c>
      <c r="K1288" s="711"/>
      <c r="L1288" s="725"/>
    </row>
    <row r="1289" spans="2:12" x14ac:dyDescent="0.2">
      <c r="B1289" s="633" t="s">
        <v>1679</v>
      </c>
      <c r="C1289" s="469">
        <f t="shared" si="176"/>
        <v>1280</v>
      </c>
      <c r="D1289" s="469">
        <f t="shared" si="171"/>
        <v>768</v>
      </c>
      <c r="E1289" s="735"/>
      <c r="F1289" s="736">
        <f t="shared" si="177"/>
        <v>2048</v>
      </c>
      <c r="G1289" s="737"/>
      <c r="H1289" s="738"/>
      <c r="I1289" s="739"/>
      <c r="J1289" s="469">
        <f t="shared" si="173"/>
        <v>1280</v>
      </c>
      <c r="K1289" s="741">
        <f>120*8</f>
        <v>960</v>
      </c>
      <c r="L1289" s="725"/>
    </row>
    <row r="1290" spans="2:12" x14ac:dyDescent="0.2">
      <c r="B1290" s="633"/>
      <c r="C1290" s="469"/>
      <c r="D1290" s="469"/>
      <c r="E1290" s="735"/>
      <c r="F1290" s="736"/>
      <c r="G1290" s="737"/>
      <c r="H1290" s="738"/>
      <c r="I1290" s="739"/>
      <c r="J1290" s="469"/>
      <c r="K1290" s="741"/>
      <c r="L1290" s="725"/>
    </row>
    <row r="1291" spans="2:12" x14ac:dyDescent="0.2">
      <c r="B1291" s="436"/>
      <c r="C1291" s="15"/>
      <c r="D1291" s="15"/>
      <c r="E1291" s="86"/>
      <c r="F1291" s="16"/>
      <c r="G1291" s="562"/>
      <c r="H1291" s="106"/>
      <c r="I1291" s="248"/>
      <c r="J1291" s="15"/>
      <c r="K1291" s="711"/>
      <c r="L1291" s="725"/>
    </row>
    <row r="1292" spans="2:12" x14ac:dyDescent="0.2">
      <c r="B1292" s="449" t="s">
        <v>1680</v>
      </c>
      <c r="C1292" s="15"/>
      <c r="D1292" s="15"/>
      <c r="E1292" s="86"/>
      <c r="F1292" s="16"/>
      <c r="G1292" s="562"/>
      <c r="H1292" s="106"/>
      <c r="I1292" s="248"/>
      <c r="J1292" s="15"/>
      <c r="K1292" s="711"/>
      <c r="L1292" s="725"/>
    </row>
    <row r="1293" spans="2:12" x14ac:dyDescent="0.2">
      <c r="B1293" s="633" t="s">
        <v>1681</v>
      </c>
      <c r="C1293" s="469">
        <f t="shared" ref="C1293:C1296" si="178">J1293</f>
        <v>53.333333333333329</v>
      </c>
      <c r="D1293" s="469">
        <f t="shared" ref="D1293:D1296" si="179">C1293*$F$1140</f>
        <v>31.999999999999996</v>
      </c>
      <c r="E1293" s="735"/>
      <c r="F1293" s="736">
        <f t="shared" ref="F1293:F1296" si="180">C1293+D1293+E1293</f>
        <v>85.333333333333329</v>
      </c>
      <c r="G1293" s="737"/>
      <c r="H1293" s="738"/>
      <c r="I1293" s="739"/>
      <c r="J1293" s="469">
        <f t="shared" ref="J1293:J1296" si="181">K1293*$J$1141</f>
        <v>53.333333333333329</v>
      </c>
      <c r="K1293" s="741">
        <v>40</v>
      </c>
      <c r="L1293" s="725"/>
    </row>
    <row r="1294" spans="2:12" x14ac:dyDescent="0.2">
      <c r="B1294" s="633" t="s">
        <v>1682</v>
      </c>
      <c r="C1294" s="469">
        <f t="shared" si="178"/>
        <v>120</v>
      </c>
      <c r="D1294" s="469">
        <f t="shared" si="179"/>
        <v>72</v>
      </c>
      <c r="E1294" s="735"/>
      <c r="F1294" s="736">
        <f t="shared" si="180"/>
        <v>192</v>
      </c>
      <c r="G1294" s="737"/>
      <c r="H1294" s="738"/>
      <c r="I1294" s="739"/>
      <c r="J1294" s="469">
        <f t="shared" si="181"/>
        <v>120</v>
      </c>
      <c r="K1294" s="741">
        <v>90</v>
      </c>
      <c r="L1294" s="725"/>
    </row>
    <row r="1295" spans="2:12" x14ac:dyDescent="0.2">
      <c r="B1295" s="633" t="s">
        <v>1683</v>
      </c>
      <c r="C1295" s="469">
        <f t="shared" si="178"/>
        <v>80</v>
      </c>
      <c r="D1295" s="469">
        <f t="shared" si="179"/>
        <v>48</v>
      </c>
      <c r="E1295" s="735"/>
      <c r="F1295" s="736">
        <f t="shared" si="180"/>
        <v>128</v>
      </c>
      <c r="G1295" s="737"/>
      <c r="H1295" s="738"/>
      <c r="I1295" s="739"/>
      <c r="J1295" s="469">
        <f t="shared" si="181"/>
        <v>80</v>
      </c>
      <c r="K1295" s="741">
        <v>60</v>
      </c>
      <c r="L1295" s="725"/>
    </row>
    <row r="1296" spans="2:12" x14ac:dyDescent="0.2">
      <c r="B1296" s="633" t="s">
        <v>1684</v>
      </c>
      <c r="C1296" s="469">
        <f t="shared" si="178"/>
        <v>120</v>
      </c>
      <c r="D1296" s="469">
        <f t="shared" si="179"/>
        <v>72</v>
      </c>
      <c r="E1296" s="735"/>
      <c r="F1296" s="736">
        <f t="shared" si="180"/>
        <v>192</v>
      </c>
      <c r="G1296" s="737"/>
      <c r="H1296" s="738"/>
      <c r="I1296" s="739"/>
      <c r="J1296" s="469">
        <f t="shared" si="181"/>
        <v>120</v>
      </c>
      <c r="K1296" s="741">
        <v>90</v>
      </c>
      <c r="L1296" s="725"/>
    </row>
    <row r="1297" spans="2:12" x14ac:dyDescent="0.2">
      <c r="B1297" s="436"/>
      <c r="C1297" s="15"/>
      <c r="D1297" s="15"/>
      <c r="E1297" s="86"/>
      <c r="F1297" s="16"/>
      <c r="G1297" s="562"/>
      <c r="H1297" s="106"/>
      <c r="I1297" s="248"/>
      <c r="J1297" s="15"/>
      <c r="K1297" s="711"/>
      <c r="L1297" s="725"/>
    </row>
    <row r="1298" spans="2:12" x14ac:dyDescent="0.2">
      <c r="B1298" s="449"/>
      <c r="C1298" s="15"/>
      <c r="D1298" s="15"/>
      <c r="E1298" s="86"/>
      <c r="F1298" s="16"/>
      <c r="G1298" s="562"/>
      <c r="H1298" s="106"/>
      <c r="I1298" s="248"/>
      <c r="J1298" s="15"/>
      <c r="K1298" s="711"/>
      <c r="L1298" s="725"/>
    </row>
    <row r="1299" spans="2:12" x14ac:dyDescent="0.2">
      <c r="B1299" s="740" t="s">
        <v>1685</v>
      </c>
      <c r="C1299" s="469"/>
      <c r="D1299" s="469"/>
      <c r="E1299" s="735"/>
      <c r="F1299" s="736"/>
      <c r="G1299" s="737"/>
      <c r="H1299" s="738"/>
      <c r="I1299" s="739"/>
      <c r="J1299" s="469"/>
      <c r="K1299" s="741"/>
      <c r="L1299" s="725"/>
    </row>
    <row r="1300" spans="2:12" x14ac:dyDescent="0.2">
      <c r="B1300" s="633" t="s">
        <v>1686</v>
      </c>
      <c r="C1300" s="469">
        <f t="shared" ref="C1300:C1301" si="182">J1300</f>
        <v>40</v>
      </c>
      <c r="D1300" s="469">
        <f>C1300*$F$1140</f>
        <v>24</v>
      </c>
      <c r="E1300" s="735"/>
      <c r="F1300" s="736">
        <f t="shared" ref="F1300:F1316" si="183">C1300+D1300+E1300</f>
        <v>64</v>
      </c>
      <c r="G1300" s="737"/>
      <c r="H1300" s="738"/>
      <c r="I1300" s="739"/>
      <c r="J1300" s="469">
        <f>K1300*$J$1141</f>
        <v>40</v>
      </c>
      <c r="K1300" s="741">
        <v>30</v>
      </c>
      <c r="L1300" s="725"/>
    </row>
    <row r="1301" spans="2:12" x14ac:dyDescent="0.2">
      <c r="B1301" s="633" t="s">
        <v>1687</v>
      </c>
      <c r="C1301" s="469">
        <f t="shared" si="182"/>
        <v>53.333333333333329</v>
      </c>
      <c r="D1301" s="469">
        <f>C1301*$F$1140</f>
        <v>31.999999999999996</v>
      </c>
      <c r="E1301" s="735"/>
      <c r="F1301" s="736">
        <f t="shared" si="183"/>
        <v>85.333333333333329</v>
      </c>
      <c r="G1301" s="737"/>
      <c r="H1301" s="738"/>
      <c r="I1301" s="739"/>
      <c r="J1301" s="469">
        <f>K1301*$J$1141</f>
        <v>53.333333333333329</v>
      </c>
      <c r="K1301" s="741">
        <v>40</v>
      </c>
      <c r="L1301" s="725"/>
    </row>
    <row r="1302" spans="2:12" x14ac:dyDescent="0.2">
      <c r="B1302" s="436"/>
      <c r="C1302" s="97"/>
      <c r="D1302" s="15">
        <f t="shared" ref="D1302:D1316" si="184">C1302*$F$1140</f>
        <v>0</v>
      </c>
      <c r="E1302" s="86"/>
      <c r="F1302" s="16">
        <f t="shared" si="183"/>
        <v>0</v>
      </c>
      <c r="G1302" s="562"/>
      <c r="H1302" s="530"/>
      <c r="I1302" s="710"/>
      <c r="J1302" s="97"/>
      <c r="K1302" s="711"/>
      <c r="L1302" s="725"/>
    </row>
    <row r="1303" spans="2:12" x14ac:dyDescent="0.2">
      <c r="B1303" s="436" t="s">
        <v>1050</v>
      </c>
      <c r="C1303" s="97"/>
      <c r="D1303" s="15">
        <f t="shared" si="184"/>
        <v>0</v>
      </c>
      <c r="E1303" s="86"/>
      <c r="F1303" s="16">
        <f t="shared" si="183"/>
        <v>0</v>
      </c>
      <c r="G1303" s="562"/>
      <c r="H1303" s="530"/>
      <c r="I1303" s="710"/>
      <c r="J1303" s="97"/>
      <c r="K1303" s="711"/>
      <c r="L1303" s="725"/>
    </row>
    <row r="1304" spans="2:12" x14ac:dyDescent="0.2">
      <c r="B1304" s="436"/>
      <c r="C1304" s="97"/>
      <c r="D1304" s="15">
        <f t="shared" si="184"/>
        <v>0</v>
      </c>
      <c r="E1304" s="86"/>
      <c r="F1304" s="16">
        <f t="shared" si="183"/>
        <v>0</v>
      </c>
      <c r="G1304" s="562"/>
      <c r="H1304" s="530"/>
      <c r="I1304" s="710"/>
      <c r="J1304" s="97"/>
      <c r="K1304" s="711"/>
      <c r="L1304" s="725"/>
    </row>
    <row r="1305" spans="2:12" x14ac:dyDescent="0.2">
      <c r="B1305" s="436"/>
      <c r="C1305" s="97"/>
      <c r="D1305" s="15">
        <f t="shared" si="184"/>
        <v>0</v>
      </c>
      <c r="E1305" s="86"/>
      <c r="F1305" s="16">
        <f t="shared" si="183"/>
        <v>0</v>
      </c>
      <c r="G1305" s="562"/>
      <c r="H1305" s="530"/>
      <c r="I1305" s="710"/>
      <c r="J1305" s="97"/>
      <c r="K1305" s="711"/>
      <c r="L1305" s="725"/>
    </row>
    <row r="1306" spans="2:12" x14ac:dyDescent="0.2">
      <c r="B1306" s="436"/>
      <c r="C1306" s="97"/>
      <c r="D1306" s="15">
        <f t="shared" si="184"/>
        <v>0</v>
      </c>
      <c r="E1306" s="86"/>
      <c r="F1306" s="16">
        <f t="shared" si="183"/>
        <v>0</v>
      </c>
      <c r="G1306" s="562"/>
      <c r="H1306" s="530"/>
      <c r="I1306" s="710"/>
      <c r="J1306" s="97"/>
      <c r="K1306" s="711"/>
      <c r="L1306" s="725"/>
    </row>
    <row r="1307" spans="2:12" x14ac:dyDescent="0.2">
      <c r="B1307" s="436"/>
      <c r="C1307" s="97"/>
      <c r="D1307" s="15">
        <f t="shared" si="184"/>
        <v>0</v>
      </c>
      <c r="E1307" s="86"/>
      <c r="F1307" s="16">
        <f t="shared" si="183"/>
        <v>0</v>
      </c>
      <c r="G1307" s="562"/>
      <c r="H1307" s="530"/>
      <c r="I1307" s="710"/>
      <c r="J1307" s="97"/>
      <c r="K1307" s="711"/>
      <c r="L1307" s="725"/>
    </row>
    <row r="1308" spans="2:12" x14ac:dyDescent="0.2">
      <c r="B1308" s="436"/>
      <c r="C1308" s="97"/>
      <c r="D1308" s="15">
        <f t="shared" si="184"/>
        <v>0</v>
      </c>
      <c r="E1308" s="86"/>
      <c r="F1308" s="16">
        <f t="shared" si="183"/>
        <v>0</v>
      </c>
      <c r="G1308" s="562"/>
      <c r="H1308" s="530"/>
      <c r="I1308" s="710"/>
      <c r="J1308" s="97"/>
      <c r="K1308" s="711"/>
      <c r="L1308" s="725"/>
    </row>
    <row r="1309" spans="2:12" x14ac:dyDescent="0.2">
      <c r="B1309" s="436"/>
      <c r="C1309" s="97"/>
      <c r="D1309" s="15">
        <f t="shared" si="184"/>
        <v>0</v>
      </c>
      <c r="E1309" s="86"/>
      <c r="F1309" s="16">
        <f t="shared" si="183"/>
        <v>0</v>
      </c>
      <c r="G1309" s="562"/>
      <c r="H1309" s="530"/>
      <c r="I1309" s="710"/>
      <c r="J1309" s="97"/>
      <c r="K1309" s="711"/>
      <c r="L1309" s="725"/>
    </row>
    <row r="1310" spans="2:12" x14ac:dyDescent="0.2">
      <c r="B1310" s="436"/>
      <c r="C1310" s="97"/>
      <c r="D1310" s="15">
        <f t="shared" si="184"/>
        <v>0</v>
      </c>
      <c r="E1310" s="86"/>
      <c r="F1310" s="16">
        <f t="shared" si="183"/>
        <v>0</v>
      </c>
      <c r="G1310" s="562"/>
      <c r="H1310" s="530"/>
      <c r="I1310" s="710"/>
      <c r="J1310" s="97"/>
      <c r="K1310" s="711"/>
      <c r="L1310" s="725"/>
    </row>
    <row r="1311" spans="2:12" x14ac:dyDescent="0.2">
      <c r="B1311" s="450"/>
      <c r="C1311" s="97"/>
      <c r="D1311" s="15">
        <f t="shared" si="184"/>
        <v>0</v>
      </c>
      <c r="E1311" s="86"/>
      <c r="F1311" s="16">
        <f t="shared" si="183"/>
        <v>0</v>
      </c>
      <c r="G1311" s="562"/>
      <c r="H1311" s="530"/>
      <c r="I1311" s="710"/>
      <c r="J1311" s="97"/>
      <c r="K1311" s="711"/>
      <c r="L1311" s="725"/>
    </row>
    <row r="1312" spans="2:12" x14ac:dyDescent="0.2">
      <c r="B1312" s="450"/>
      <c r="C1312" s="97"/>
      <c r="D1312" s="15">
        <f t="shared" si="184"/>
        <v>0</v>
      </c>
      <c r="E1312" s="86"/>
      <c r="F1312" s="16">
        <f t="shared" si="183"/>
        <v>0</v>
      </c>
      <c r="G1312" s="562"/>
      <c r="H1312" s="530"/>
      <c r="I1312" s="710"/>
      <c r="J1312" s="97"/>
      <c r="K1312" s="711"/>
      <c r="L1312" s="725"/>
    </row>
    <row r="1313" spans="2:12" x14ac:dyDescent="0.2">
      <c r="B1313" s="450"/>
      <c r="C1313" s="97"/>
      <c r="D1313" s="15">
        <f t="shared" si="184"/>
        <v>0</v>
      </c>
      <c r="E1313" s="86"/>
      <c r="F1313" s="16">
        <f t="shared" si="183"/>
        <v>0</v>
      </c>
      <c r="G1313" s="562"/>
      <c r="H1313" s="530"/>
      <c r="I1313" s="710"/>
      <c r="J1313" s="97"/>
      <c r="K1313" s="711"/>
      <c r="L1313" s="725"/>
    </row>
    <row r="1314" spans="2:12" x14ac:dyDescent="0.2">
      <c r="B1314" s="450"/>
      <c r="C1314" s="97"/>
      <c r="D1314" s="15">
        <f t="shared" si="184"/>
        <v>0</v>
      </c>
      <c r="E1314" s="86"/>
      <c r="F1314" s="16">
        <f t="shared" si="183"/>
        <v>0</v>
      </c>
      <c r="G1314" s="562"/>
      <c r="H1314" s="530"/>
      <c r="I1314" s="710"/>
      <c r="J1314" s="97"/>
      <c r="K1314" s="711"/>
      <c r="L1314" s="725"/>
    </row>
    <row r="1315" spans="2:12" x14ac:dyDescent="0.2">
      <c r="B1315" s="450"/>
      <c r="C1315" s="97"/>
      <c r="D1315" s="15">
        <f t="shared" si="184"/>
        <v>0</v>
      </c>
      <c r="E1315" s="86"/>
      <c r="F1315" s="16">
        <f t="shared" si="183"/>
        <v>0</v>
      </c>
      <c r="G1315" s="562"/>
      <c r="H1315" s="530"/>
      <c r="I1315" s="710"/>
      <c r="J1315" s="97"/>
      <c r="K1315" s="711"/>
      <c r="L1315" s="725"/>
    </row>
    <row r="1316" spans="2:12" x14ac:dyDescent="0.2">
      <c r="B1316" s="450" t="s">
        <v>1688</v>
      </c>
      <c r="C1316" s="97">
        <v>1000</v>
      </c>
      <c r="D1316" s="469">
        <f t="shared" si="184"/>
        <v>600</v>
      </c>
      <c r="E1316" s="735"/>
      <c r="F1316" s="736">
        <f t="shared" si="183"/>
        <v>1600</v>
      </c>
      <c r="G1316" s="562"/>
      <c r="H1316" s="530"/>
      <c r="I1316" s="710"/>
      <c r="J1316" s="97"/>
      <c r="K1316" s="711"/>
      <c r="L1316" s="725"/>
    </row>
    <row r="1317" spans="2:12" x14ac:dyDescent="0.2">
      <c r="B1317" s="450"/>
      <c r="C1317" s="97"/>
      <c r="D1317" s="97"/>
      <c r="E1317" s="451"/>
      <c r="F1317" s="87"/>
      <c r="G1317" s="562"/>
      <c r="H1317" s="530"/>
      <c r="I1317" s="710"/>
      <c r="J1317" s="97"/>
      <c r="K1317" s="711"/>
      <c r="L1317" s="725"/>
    </row>
    <row r="1318" spans="2:12" x14ac:dyDescent="0.2">
      <c r="B1318" s="450"/>
      <c r="C1318" s="97"/>
      <c r="D1318" s="97"/>
      <c r="E1318" s="451"/>
      <c r="F1318" s="87"/>
      <c r="G1318" s="562"/>
      <c r="H1318" s="530"/>
      <c r="I1318" s="710"/>
      <c r="J1318" s="97"/>
      <c r="K1318" s="711"/>
      <c r="L1318" s="725"/>
    </row>
    <row r="1319" spans="2:12" x14ac:dyDescent="0.2">
      <c r="B1319" s="450"/>
      <c r="C1319" s="97"/>
      <c r="D1319" s="97"/>
      <c r="E1319" s="451"/>
      <c r="F1319" s="87"/>
      <c r="G1319" s="562"/>
      <c r="H1319" s="530"/>
      <c r="I1319" s="710"/>
      <c r="J1319" s="97"/>
      <c r="K1319" s="711"/>
      <c r="L1319" s="725"/>
    </row>
    <row r="1320" spans="2:12" x14ac:dyDescent="0.2">
      <c r="B1320" s="450"/>
      <c r="C1320" s="97"/>
      <c r="D1320" s="97"/>
      <c r="E1320" s="451"/>
      <c r="F1320" s="87"/>
      <c r="G1320" s="562"/>
      <c r="H1320" s="530"/>
      <c r="I1320" s="710"/>
      <c r="J1320" s="97"/>
      <c r="K1320" s="711"/>
      <c r="L1320" s="725"/>
    </row>
    <row r="1321" spans="2:12" ht="13.5" thickBot="1" x14ac:dyDescent="0.25">
      <c r="B1321" s="450"/>
      <c r="C1321" s="97"/>
      <c r="D1321" s="97"/>
      <c r="E1321" s="451"/>
      <c r="F1321" s="87"/>
      <c r="G1321" s="562"/>
      <c r="H1321" s="530"/>
      <c r="I1321" s="710"/>
      <c r="J1321" s="97"/>
      <c r="K1321" s="711"/>
      <c r="L1321" s="725"/>
    </row>
    <row r="1322" spans="2:12" ht="13.5" thickTop="1" x14ac:dyDescent="0.2">
      <c r="B1322" s="503" t="s">
        <v>1689</v>
      </c>
      <c r="C1322" s="453">
        <f t="shared" ref="C1322:C1341" si="185">J1322</f>
        <v>40</v>
      </c>
      <c r="D1322" s="453">
        <f t="shared" ref="D1322:D1341" si="186">C1322*$F$1140</f>
        <v>24</v>
      </c>
      <c r="E1322" s="453"/>
      <c r="F1322" s="455">
        <f t="shared" ref="F1322:F1341" si="187">C1322+D1322+E1322</f>
        <v>64</v>
      </c>
      <c r="G1322" s="562"/>
      <c r="H1322" s="670"/>
      <c r="I1322" s="693"/>
      <c r="J1322" s="453">
        <f t="shared" ref="J1322:J1341" si="188">K1322*$J$1141</f>
        <v>40</v>
      </c>
      <c r="K1322" s="742">
        <v>30</v>
      </c>
      <c r="L1322" s="725"/>
    </row>
    <row r="1323" spans="2:12" x14ac:dyDescent="0.2">
      <c r="B1323" s="436" t="s">
        <v>1690</v>
      </c>
      <c r="C1323" s="15">
        <f t="shared" si="185"/>
        <v>40</v>
      </c>
      <c r="D1323" s="15">
        <f t="shared" si="186"/>
        <v>24</v>
      </c>
      <c r="E1323" s="15"/>
      <c r="F1323" s="16">
        <f t="shared" si="187"/>
        <v>64</v>
      </c>
      <c r="G1323" s="562"/>
      <c r="H1323" s="106"/>
      <c r="I1323" s="248"/>
      <c r="J1323" s="15">
        <f t="shared" si="188"/>
        <v>40</v>
      </c>
      <c r="K1323" s="743">
        <v>30</v>
      </c>
      <c r="L1323" s="725"/>
    </row>
    <row r="1324" spans="2:12" x14ac:dyDescent="0.2">
      <c r="B1324" s="436"/>
      <c r="C1324" s="15">
        <f t="shared" si="185"/>
        <v>0</v>
      </c>
      <c r="D1324" s="15">
        <f t="shared" si="186"/>
        <v>0</v>
      </c>
      <c r="E1324" s="15"/>
      <c r="F1324" s="16">
        <f t="shared" si="187"/>
        <v>0</v>
      </c>
      <c r="G1324" s="562"/>
      <c r="H1324" s="106"/>
      <c r="I1324" s="248"/>
      <c r="J1324" s="15">
        <f t="shared" si="188"/>
        <v>0</v>
      </c>
      <c r="K1324" s="743"/>
      <c r="L1324" s="725"/>
    </row>
    <row r="1325" spans="2:12" x14ac:dyDescent="0.2">
      <c r="B1325" s="436"/>
      <c r="C1325" s="15">
        <f t="shared" si="185"/>
        <v>0</v>
      </c>
      <c r="D1325" s="15">
        <f t="shared" si="186"/>
        <v>0</v>
      </c>
      <c r="E1325" s="15"/>
      <c r="F1325" s="16">
        <f t="shared" si="187"/>
        <v>0</v>
      </c>
      <c r="G1325" s="562"/>
      <c r="H1325" s="106"/>
      <c r="I1325" s="248"/>
      <c r="J1325" s="15">
        <f t="shared" si="188"/>
        <v>0</v>
      </c>
      <c r="K1325" s="743"/>
      <c r="L1325" s="725"/>
    </row>
    <row r="1326" spans="2:12" x14ac:dyDescent="0.2">
      <c r="B1326" s="436" t="s">
        <v>1691</v>
      </c>
      <c r="C1326" s="15">
        <f t="shared" si="185"/>
        <v>80</v>
      </c>
      <c r="D1326" s="15">
        <f t="shared" si="186"/>
        <v>48</v>
      </c>
      <c r="E1326" s="15"/>
      <c r="F1326" s="16">
        <f t="shared" si="187"/>
        <v>128</v>
      </c>
      <c r="G1326" s="562"/>
      <c r="H1326" s="106"/>
      <c r="I1326" s="248"/>
      <c r="J1326" s="15">
        <f t="shared" si="188"/>
        <v>80</v>
      </c>
      <c r="K1326" s="743">
        <v>60</v>
      </c>
      <c r="L1326" s="725"/>
    </row>
    <row r="1327" spans="2:12" x14ac:dyDescent="0.2">
      <c r="B1327" s="436" t="s">
        <v>1692</v>
      </c>
      <c r="C1327" s="15">
        <f t="shared" si="185"/>
        <v>80</v>
      </c>
      <c r="D1327" s="15">
        <f t="shared" si="186"/>
        <v>48</v>
      </c>
      <c r="E1327" s="15"/>
      <c r="F1327" s="16">
        <f t="shared" si="187"/>
        <v>128</v>
      </c>
      <c r="G1327" s="562"/>
      <c r="H1327" s="106"/>
      <c r="I1327" s="248"/>
      <c r="J1327" s="15">
        <f t="shared" si="188"/>
        <v>80</v>
      </c>
      <c r="K1327" s="743">
        <v>60</v>
      </c>
      <c r="L1327" s="725"/>
    </row>
    <row r="1328" spans="2:12" x14ac:dyDescent="0.2">
      <c r="B1328" s="436"/>
      <c r="C1328" s="15">
        <f t="shared" si="185"/>
        <v>0</v>
      </c>
      <c r="D1328" s="15">
        <f t="shared" si="186"/>
        <v>0</v>
      </c>
      <c r="E1328" s="15"/>
      <c r="F1328" s="16">
        <f t="shared" si="187"/>
        <v>0</v>
      </c>
      <c r="G1328" s="562"/>
      <c r="H1328" s="106"/>
      <c r="I1328" s="248"/>
      <c r="J1328" s="15">
        <f t="shared" si="188"/>
        <v>0</v>
      </c>
      <c r="K1328" s="743"/>
      <c r="L1328" s="725"/>
    </row>
    <row r="1329" spans="2:13" x14ac:dyDescent="0.2">
      <c r="B1329" s="436"/>
      <c r="C1329" s="15">
        <f t="shared" si="185"/>
        <v>0</v>
      </c>
      <c r="D1329" s="15">
        <f t="shared" si="186"/>
        <v>0</v>
      </c>
      <c r="E1329" s="15"/>
      <c r="F1329" s="16">
        <f t="shared" si="187"/>
        <v>0</v>
      </c>
      <c r="G1329" s="562"/>
      <c r="H1329" s="106"/>
      <c r="I1329" s="248"/>
      <c r="J1329" s="15">
        <f t="shared" si="188"/>
        <v>0</v>
      </c>
      <c r="K1329" s="743"/>
      <c r="L1329" s="725"/>
    </row>
    <row r="1330" spans="2:13" x14ac:dyDescent="0.2">
      <c r="B1330" s="436" t="s">
        <v>1693</v>
      </c>
      <c r="C1330" s="15">
        <f t="shared" si="185"/>
        <v>40</v>
      </c>
      <c r="D1330" s="15">
        <f t="shared" si="186"/>
        <v>24</v>
      </c>
      <c r="E1330" s="15"/>
      <c r="F1330" s="16">
        <f t="shared" si="187"/>
        <v>64</v>
      </c>
      <c r="G1330" s="562"/>
      <c r="H1330" s="106"/>
      <c r="I1330" s="248"/>
      <c r="J1330" s="15">
        <f t="shared" si="188"/>
        <v>40</v>
      </c>
      <c r="K1330" s="743">
        <v>30</v>
      </c>
      <c r="L1330" s="725"/>
    </row>
    <row r="1331" spans="2:13" x14ac:dyDescent="0.2">
      <c r="B1331" s="436" t="s">
        <v>1694</v>
      </c>
      <c r="C1331" s="15">
        <f t="shared" si="185"/>
        <v>20</v>
      </c>
      <c r="D1331" s="15">
        <f t="shared" si="186"/>
        <v>12</v>
      </c>
      <c r="E1331" s="15"/>
      <c r="F1331" s="16">
        <f t="shared" si="187"/>
        <v>32</v>
      </c>
      <c r="G1331" s="562"/>
      <c r="H1331" s="106"/>
      <c r="I1331" s="248"/>
      <c r="J1331" s="15">
        <f t="shared" si="188"/>
        <v>20</v>
      </c>
      <c r="K1331" s="743">
        <v>15</v>
      </c>
      <c r="L1331" s="725"/>
    </row>
    <row r="1332" spans="2:13" x14ac:dyDescent="0.2">
      <c r="B1332" s="460"/>
      <c r="C1332" s="15">
        <f t="shared" si="185"/>
        <v>0</v>
      </c>
      <c r="D1332" s="15">
        <f t="shared" si="186"/>
        <v>0</v>
      </c>
      <c r="E1332" s="15"/>
      <c r="F1332" s="16">
        <f t="shared" si="187"/>
        <v>0</v>
      </c>
      <c r="G1332" s="562"/>
      <c r="H1332" s="106"/>
      <c r="I1332" s="248"/>
      <c r="J1332" s="15">
        <f t="shared" si="188"/>
        <v>0</v>
      </c>
      <c r="K1332" s="743"/>
      <c r="L1332" s="725"/>
    </row>
    <row r="1333" spans="2:13" x14ac:dyDescent="0.2">
      <c r="B1333" s="460"/>
      <c r="C1333" s="15">
        <f t="shared" si="185"/>
        <v>0</v>
      </c>
      <c r="D1333" s="15">
        <f t="shared" si="186"/>
        <v>0</v>
      </c>
      <c r="E1333" s="15"/>
      <c r="F1333" s="16">
        <f t="shared" si="187"/>
        <v>0</v>
      </c>
      <c r="G1333" s="562"/>
      <c r="H1333" s="106"/>
      <c r="I1333" s="248"/>
      <c r="J1333" s="15">
        <f t="shared" si="188"/>
        <v>0</v>
      </c>
      <c r="K1333" s="743"/>
      <c r="L1333" s="725"/>
    </row>
    <row r="1334" spans="2:13" x14ac:dyDescent="0.2">
      <c r="B1334" s="460" t="s">
        <v>1695</v>
      </c>
      <c r="C1334" s="15">
        <f t="shared" si="185"/>
        <v>120</v>
      </c>
      <c r="D1334" s="15">
        <f t="shared" si="186"/>
        <v>72</v>
      </c>
      <c r="E1334" s="15"/>
      <c r="F1334" s="16">
        <f t="shared" si="187"/>
        <v>192</v>
      </c>
      <c r="G1334" s="562"/>
      <c r="H1334" s="106"/>
      <c r="I1334" s="248"/>
      <c r="J1334" s="15">
        <f t="shared" si="188"/>
        <v>120</v>
      </c>
      <c r="K1334" s="743">
        <v>90</v>
      </c>
      <c r="L1334" s="725"/>
      <c r="M1334" s="13" t="s">
        <v>1696</v>
      </c>
    </row>
    <row r="1335" spans="2:13" x14ac:dyDescent="0.2">
      <c r="B1335" s="436" t="s">
        <v>1697</v>
      </c>
      <c r="C1335" s="15">
        <f t="shared" si="185"/>
        <v>7.333333333333333</v>
      </c>
      <c r="D1335" s="15">
        <f t="shared" si="186"/>
        <v>4.3999999999999995</v>
      </c>
      <c r="E1335" s="15"/>
      <c r="F1335" s="16">
        <f t="shared" si="187"/>
        <v>11.733333333333333</v>
      </c>
      <c r="G1335" s="562"/>
      <c r="H1335" s="106"/>
      <c r="I1335" s="248"/>
      <c r="J1335" s="15">
        <f t="shared" si="188"/>
        <v>7.333333333333333</v>
      </c>
      <c r="K1335" s="744">
        <v>5.5</v>
      </c>
      <c r="L1335" s="725"/>
    </row>
    <row r="1336" spans="2:13" x14ac:dyDescent="0.2">
      <c r="B1336" s="460" t="s">
        <v>1698</v>
      </c>
      <c r="C1336" s="15">
        <f t="shared" si="185"/>
        <v>40</v>
      </c>
      <c r="D1336" s="15">
        <f t="shared" si="186"/>
        <v>24</v>
      </c>
      <c r="E1336" s="15"/>
      <c r="F1336" s="16">
        <f t="shared" si="187"/>
        <v>64</v>
      </c>
      <c r="G1336" s="562"/>
      <c r="H1336" s="106"/>
      <c r="I1336" s="248"/>
      <c r="J1336" s="15">
        <f t="shared" si="188"/>
        <v>40</v>
      </c>
      <c r="K1336" s="743">
        <v>30</v>
      </c>
      <c r="L1336" s="725"/>
    </row>
    <row r="1337" spans="2:13" x14ac:dyDescent="0.2">
      <c r="B1337" s="460"/>
      <c r="C1337" s="15">
        <f t="shared" si="185"/>
        <v>0</v>
      </c>
      <c r="D1337" s="15">
        <f t="shared" si="186"/>
        <v>0</v>
      </c>
      <c r="E1337" s="15"/>
      <c r="F1337" s="16">
        <f t="shared" si="187"/>
        <v>0</v>
      </c>
      <c r="G1337" s="562"/>
      <c r="H1337" s="106"/>
      <c r="I1337" s="248"/>
      <c r="J1337" s="15">
        <f t="shared" si="188"/>
        <v>0</v>
      </c>
      <c r="K1337" s="743"/>
      <c r="L1337" s="725"/>
    </row>
    <row r="1338" spans="2:13" x14ac:dyDescent="0.2">
      <c r="B1338" s="436"/>
      <c r="C1338" s="15">
        <f t="shared" si="185"/>
        <v>0</v>
      </c>
      <c r="D1338" s="15">
        <f t="shared" si="186"/>
        <v>0</v>
      </c>
      <c r="E1338" s="15"/>
      <c r="F1338" s="16">
        <f t="shared" si="187"/>
        <v>0</v>
      </c>
      <c r="G1338" s="562"/>
      <c r="H1338" s="106"/>
      <c r="I1338" s="248"/>
      <c r="J1338" s="15">
        <f t="shared" si="188"/>
        <v>0</v>
      </c>
      <c r="K1338" s="743"/>
      <c r="L1338" s="725"/>
    </row>
    <row r="1339" spans="2:13" x14ac:dyDescent="0.2">
      <c r="C1339" s="15">
        <f t="shared" si="185"/>
        <v>0</v>
      </c>
      <c r="D1339" s="15">
        <f t="shared" si="186"/>
        <v>0</v>
      </c>
      <c r="E1339" s="15"/>
      <c r="F1339" s="16">
        <f t="shared" si="187"/>
        <v>0</v>
      </c>
      <c r="G1339" s="562"/>
      <c r="H1339" s="106"/>
      <c r="I1339" s="248"/>
      <c r="J1339" s="15">
        <f t="shared" si="188"/>
        <v>0</v>
      </c>
      <c r="K1339" s="743"/>
      <c r="L1339" s="725"/>
    </row>
    <row r="1340" spans="2:13" x14ac:dyDescent="0.2">
      <c r="B1340" s="436"/>
      <c r="C1340" s="15">
        <f t="shared" si="185"/>
        <v>0</v>
      </c>
      <c r="D1340" s="15">
        <f t="shared" si="186"/>
        <v>0</v>
      </c>
      <c r="E1340" s="15"/>
      <c r="F1340" s="16">
        <f t="shared" si="187"/>
        <v>0</v>
      </c>
      <c r="G1340" s="562"/>
      <c r="H1340" s="106"/>
      <c r="I1340" s="248"/>
      <c r="J1340" s="15">
        <f t="shared" si="188"/>
        <v>0</v>
      </c>
      <c r="K1340" s="743"/>
      <c r="L1340" s="725"/>
    </row>
    <row r="1341" spans="2:13" x14ac:dyDescent="0.2">
      <c r="B1341" s="436"/>
      <c r="C1341" s="15">
        <f t="shared" si="185"/>
        <v>0</v>
      </c>
      <c r="D1341" s="15">
        <f t="shared" si="186"/>
        <v>0</v>
      </c>
      <c r="E1341" s="15"/>
      <c r="F1341" s="16">
        <f t="shared" si="187"/>
        <v>0</v>
      </c>
      <c r="G1341" s="562"/>
      <c r="H1341" s="106"/>
      <c r="I1341" s="248"/>
      <c r="J1341" s="15">
        <f t="shared" si="188"/>
        <v>0</v>
      </c>
      <c r="K1341" s="743"/>
      <c r="L1341" s="725"/>
    </row>
    <row r="1342" spans="2:13" x14ac:dyDescent="0.2">
      <c r="B1342" s="436" t="s">
        <v>1699</v>
      </c>
      <c r="C1342" s="15">
        <f t="shared" si="169"/>
        <v>640</v>
      </c>
      <c r="D1342" s="15">
        <f>C1342*$F$1140</f>
        <v>384</v>
      </c>
      <c r="E1342" s="15"/>
      <c r="F1342" s="16">
        <f t="shared" si="161"/>
        <v>1024</v>
      </c>
      <c r="G1342" s="562"/>
      <c r="H1342" s="106"/>
      <c r="I1342" s="248"/>
      <c r="J1342" s="15">
        <f>K1342*$J$1141</f>
        <v>640</v>
      </c>
      <c r="K1342" s="743">
        <v>480</v>
      </c>
      <c r="L1342" s="725"/>
    </row>
    <row r="1343" spans="2:13" x14ac:dyDescent="0.2">
      <c r="B1343" s="436" t="s">
        <v>1700</v>
      </c>
      <c r="C1343" s="15">
        <f t="shared" si="169"/>
        <v>1280</v>
      </c>
      <c r="D1343" s="15">
        <f>C1343*F1140</f>
        <v>768</v>
      </c>
      <c r="E1343" s="15"/>
      <c r="F1343" s="16">
        <f t="shared" si="161"/>
        <v>2048</v>
      </c>
      <c r="G1343" s="562"/>
      <c r="H1343" s="106"/>
      <c r="I1343" s="248"/>
      <c r="J1343" s="15">
        <f>K1343*J1141</f>
        <v>1280</v>
      </c>
      <c r="K1343" s="743">
        <v>960</v>
      </c>
      <c r="L1343" s="725"/>
    </row>
    <row r="1344" spans="2:13" ht="13.5" thickBot="1" x14ac:dyDescent="0.25">
      <c r="B1344" s="456" t="s">
        <v>1701</v>
      </c>
      <c r="C1344" s="457">
        <f>J1344</f>
        <v>80</v>
      </c>
      <c r="D1344" s="457">
        <f>C1344*F1140</f>
        <v>48</v>
      </c>
      <c r="E1344" s="457"/>
      <c r="F1344" s="459">
        <f t="shared" si="161"/>
        <v>128</v>
      </c>
      <c r="G1344" s="562"/>
      <c r="H1344" s="673"/>
      <c r="I1344" s="745"/>
      <c r="J1344" s="457">
        <f>K1344*J1141</f>
        <v>80</v>
      </c>
      <c r="K1344" s="746">
        <v>60</v>
      </c>
      <c r="L1344" s="725"/>
    </row>
    <row r="1345" spans="2:14" ht="13.5" thickTop="1" x14ac:dyDescent="0.2">
      <c r="B1345" s="460" t="s">
        <v>1702</v>
      </c>
      <c r="C1345" s="154">
        <f t="shared" si="169"/>
        <v>26.666666666666664</v>
      </c>
      <c r="D1345" s="154">
        <f>C1345*F1140</f>
        <v>15.999999999999998</v>
      </c>
      <c r="E1345" s="461"/>
      <c r="F1345" s="155">
        <f t="shared" si="161"/>
        <v>42.666666666666664</v>
      </c>
      <c r="G1345" s="562"/>
      <c r="H1345" s="677"/>
      <c r="I1345" s="696"/>
      <c r="J1345" s="154">
        <f>K1345*J1141</f>
        <v>26.666666666666664</v>
      </c>
      <c r="K1345" s="708">
        <v>20</v>
      </c>
      <c r="L1345" s="725"/>
    </row>
    <row r="1346" spans="2:14" x14ac:dyDescent="0.2">
      <c r="B1346" s="11"/>
      <c r="C1346" s="15"/>
      <c r="D1346" s="15"/>
      <c r="E1346" s="86"/>
      <c r="F1346" s="16">
        <f t="shared" si="161"/>
        <v>0</v>
      </c>
      <c r="G1346" s="562"/>
      <c r="H1346" s="189"/>
      <c r="I1346" s="471"/>
      <c r="J1346" s="165"/>
      <c r="K1346" s="682"/>
      <c r="L1346" s="725"/>
    </row>
    <row r="1347" spans="2:14" x14ac:dyDescent="0.2">
      <c r="B1347" s="747" t="s">
        <v>1703</v>
      </c>
      <c r="C1347" s="432"/>
      <c r="D1347" s="432"/>
      <c r="E1347" s="662"/>
      <c r="F1347" s="16">
        <f t="shared" si="161"/>
        <v>0</v>
      </c>
      <c r="G1347" s="748"/>
      <c r="L1347" s="725"/>
    </row>
    <row r="1348" spans="2:14" x14ac:dyDescent="0.2">
      <c r="B1348" s="11" t="s">
        <v>1704</v>
      </c>
      <c r="C1348" s="71">
        <f>J1348</f>
        <v>66.666666666666657</v>
      </c>
      <c r="D1348" s="71">
        <f>C1348*F1140</f>
        <v>39.999999999999993</v>
      </c>
      <c r="E1348" s="714"/>
      <c r="F1348" s="16">
        <f t="shared" si="161"/>
        <v>106.66666666666666</v>
      </c>
      <c r="G1348" s="748"/>
      <c r="J1348" s="435">
        <f>K1348*J1141</f>
        <v>66.666666666666657</v>
      </c>
      <c r="K1348" s="517">
        <v>50</v>
      </c>
      <c r="L1348" s="725"/>
    </row>
    <row r="1349" spans="2:14" x14ac:dyDescent="0.2">
      <c r="B1349" s="11" t="s">
        <v>1705</v>
      </c>
      <c r="C1349" s="15">
        <f>J1349</f>
        <v>96</v>
      </c>
      <c r="D1349" s="71">
        <f>C1349*F1140</f>
        <v>57.599999999999994</v>
      </c>
      <c r="E1349" s="714"/>
      <c r="F1349" s="16">
        <f t="shared" si="161"/>
        <v>153.6</v>
      </c>
      <c r="G1349" s="749"/>
      <c r="H1349" s="106"/>
      <c r="I1349" s="248"/>
      <c r="J1349" s="15">
        <f>K1349*J1141</f>
        <v>96</v>
      </c>
      <c r="K1349" s="706">
        <v>72</v>
      </c>
      <c r="L1349" s="725"/>
    </row>
    <row r="1350" spans="2:14" x14ac:dyDescent="0.2">
      <c r="B1350" s="11" t="s">
        <v>1706</v>
      </c>
      <c r="C1350" s="15">
        <f>J1350</f>
        <v>120</v>
      </c>
      <c r="D1350" s="71">
        <f>C1350*F1140</f>
        <v>72</v>
      </c>
      <c r="E1350" s="714"/>
      <c r="F1350" s="16">
        <f t="shared" si="161"/>
        <v>192</v>
      </c>
      <c r="G1350" s="749"/>
      <c r="H1350" s="106"/>
      <c r="I1350" s="248"/>
      <c r="J1350" s="15">
        <f>K1350*J1141</f>
        <v>120</v>
      </c>
      <c r="K1350" s="706">
        <v>90</v>
      </c>
      <c r="L1350" s="725">
        <f>R1350</f>
        <v>0</v>
      </c>
    </row>
    <row r="1351" spans="2:14" x14ac:dyDescent="0.2">
      <c r="B1351" s="11" t="s">
        <v>1707</v>
      </c>
      <c r="C1351" s="15">
        <f>J1351</f>
        <v>156</v>
      </c>
      <c r="D1351" s="71">
        <f>C1351*F1140</f>
        <v>93.6</v>
      </c>
      <c r="E1351" s="714"/>
      <c r="F1351" s="16">
        <f t="shared" si="161"/>
        <v>249.6</v>
      </c>
      <c r="G1351" s="749"/>
      <c r="H1351" s="106"/>
      <c r="I1351" s="248"/>
      <c r="J1351" s="15">
        <f>K1351*J1141</f>
        <v>156</v>
      </c>
      <c r="K1351" s="706">
        <v>117</v>
      </c>
      <c r="L1351" s="725">
        <f>R1351</f>
        <v>0</v>
      </c>
    </row>
    <row r="1352" spans="2:14" x14ac:dyDescent="0.2">
      <c r="B1352" s="432"/>
      <c r="C1352" s="432"/>
      <c r="D1352" s="71"/>
      <c r="E1352" s="714"/>
      <c r="F1352" s="16">
        <f t="shared" si="161"/>
        <v>0</v>
      </c>
      <c r="G1352" s="748"/>
      <c r="L1352" s="725">
        <f>R1352</f>
        <v>0</v>
      </c>
    </row>
    <row r="1353" spans="2:14" x14ac:dyDescent="0.2">
      <c r="B1353" s="11" t="s">
        <v>1708</v>
      </c>
      <c r="C1353" s="15">
        <f>J1353</f>
        <v>156</v>
      </c>
      <c r="D1353" s="71">
        <f>C1353*F1140</f>
        <v>93.6</v>
      </c>
      <c r="E1353" s="714"/>
      <c r="F1353" s="16">
        <f t="shared" si="161"/>
        <v>249.6</v>
      </c>
      <c r="G1353" s="749"/>
      <c r="H1353" s="106"/>
      <c r="I1353" s="248"/>
      <c r="J1353" s="15">
        <f>K1353*J1141</f>
        <v>156</v>
      </c>
      <c r="K1353" s="706">
        <v>117</v>
      </c>
      <c r="L1353" s="725">
        <f>R1353</f>
        <v>0</v>
      </c>
    </row>
    <row r="1354" spans="2:14" x14ac:dyDescent="0.2">
      <c r="B1354" s="11" t="s">
        <v>1709</v>
      </c>
      <c r="C1354" s="15">
        <f>J1354</f>
        <v>182.66666666666666</v>
      </c>
      <c r="D1354" s="71">
        <f>C1354*F1140</f>
        <v>109.6</v>
      </c>
      <c r="E1354" s="714"/>
      <c r="F1354" s="16">
        <f t="shared" si="161"/>
        <v>292.26666666666665</v>
      </c>
      <c r="G1354" s="749"/>
      <c r="H1354" s="106"/>
      <c r="I1354" s="248"/>
      <c r="J1354" s="15">
        <f>K1354*J1141</f>
        <v>182.66666666666666</v>
      </c>
      <c r="K1354" s="706">
        <v>137</v>
      </c>
      <c r="L1354" s="724"/>
    </row>
    <row r="1355" spans="2:14" x14ac:dyDescent="0.2">
      <c r="B1355" s="11" t="s">
        <v>1710</v>
      </c>
      <c r="C1355" s="15">
        <f>J1355</f>
        <v>225.33333333333331</v>
      </c>
      <c r="D1355" s="71">
        <f>C1355*F1140</f>
        <v>135.19999999999999</v>
      </c>
      <c r="E1355" s="714"/>
      <c r="F1355" s="16">
        <f t="shared" si="161"/>
        <v>360.5333333333333</v>
      </c>
      <c r="G1355" s="749"/>
      <c r="H1355" s="530"/>
      <c r="I1355" s="710"/>
      <c r="J1355" s="97">
        <f>K1355*J1141</f>
        <v>225.33333333333331</v>
      </c>
      <c r="K1355" s="711">
        <v>169</v>
      </c>
      <c r="L1355" s="2"/>
    </row>
    <row r="1356" spans="2:14" x14ac:dyDescent="0.2">
      <c r="B1356" s="11"/>
      <c r="C1356" s="15"/>
      <c r="D1356" s="71"/>
      <c r="E1356" s="714"/>
      <c r="F1356" s="16">
        <f t="shared" si="161"/>
        <v>0</v>
      </c>
      <c r="G1356" s="2"/>
      <c r="H1356" s="530"/>
      <c r="I1356" s="710"/>
      <c r="J1356" s="97"/>
      <c r="K1356" s="711"/>
      <c r="L1356" s="2"/>
    </row>
    <row r="1357" spans="2:14" x14ac:dyDescent="0.2">
      <c r="B1357" s="11" t="s">
        <v>1711</v>
      </c>
      <c r="C1357" s="15">
        <f>J1357</f>
        <v>160</v>
      </c>
      <c r="D1357" s="15">
        <f>C1357*F1140</f>
        <v>96</v>
      </c>
      <c r="E1357" s="86"/>
      <c r="F1357" s="16">
        <f t="shared" si="161"/>
        <v>256</v>
      </c>
      <c r="G1357" s="440"/>
      <c r="H1357" s="11"/>
      <c r="I1357" s="248"/>
      <c r="J1357" s="15">
        <f>K1357*J1141</f>
        <v>160</v>
      </c>
      <c r="K1357" s="706">
        <v>120</v>
      </c>
      <c r="L1357" s="2"/>
    </row>
    <row r="1358" spans="2:14" x14ac:dyDescent="0.2">
      <c r="B1358" s="11" t="s">
        <v>536</v>
      </c>
      <c r="C1358" s="15">
        <f>J1358</f>
        <v>80</v>
      </c>
      <c r="D1358" s="15">
        <f>C1358*F1140</f>
        <v>48</v>
      </c>
      <c r="E1358" s="86"/>
      <c r="F1358" s="16">
        <f t="shared" si="161"/>
        <v>128</v>
      </c>
      <c r="G1358" s="440"/>
      <c r="H1358" s="11"/>
      <c r="I1358" s="248"/>
      <c r="J1358" s="15">
        <f>K1358*J1141</f>
        <v>80</v>
      </c>
      <c r="K1358" s="706">
        <v>60</v>
      </c>
      <c r="L1358" s="2"/>
      <c r="N1358" s="430" t="s">
        <v>1712</v>
      </c>
    </row>
    <row r="1359" spans="2:14" x14ac:dyDescent="0.2">
      <c r="B1359" s="11" t="s">
        <v>537</v>
      </c>
      <c r="C1359" s="15">
        <f>J1359</f>
        <v>66.666666666666657</v>
      </c>
      <c r="D1359" s="15">
        <f>C1359*$F$1140</f>
        <v>39.999999999999993</v>
      </c>
      <c r="E1359" s="86"/>
      <c r="F1359" s="16">
        <f>C1359+D1359+E1359</f>
        <v>106.66666666666666</v>
      </c>
      <c r="G1359" s="440"/>
      <c r="H1359" s="11"/>
      <c r="I1359" s="248"/>
      <c r="J1359" s="15">
        <f>K1359*$J$1141</f>
        <v>66.666666666666657</v>
      </c>
      <c r="K1359" s="706">
        <v>50</v>
      </c>
      <c r="L1359" s="2"/>
      <c r="N1359" s="750" t="e">
        <f>IF(#REF!&gt;24,4,IF(#REF!&gt;18,3,IF(#REF!&gt;12,2,IF(#REF!&gt;6,0,))))</f>
        <v>#REF!</v>
      </c>
    </row>
    <row r="1360" spans="2:14" x14ac:dyDescent="0.2">
      <c r="B1360" s="39" t="s">
        <v>144</v>
      </c>
      <c r="C1360" s="15">
        <f>J1360</f>
        <v>80</v>
      </c>
      <c r="D1360" s="15">
        <f>C1360*$F$1140</f>
        <v>48</v>
      </c>
      <c r="E1360" s="86"/>
      <c r="F1360" s="16">
        <f>C1360+D1360+E1360</f>
        <v>128</v>
      </c>
      <c r="G1360" s="2"/>
      <c r="H1360" s="189"/>
      <c r="I1360" s="471"/>
      <c r="J1360" s="15">
        <f>K1360*$J$1141</f>
        <v>80</v>
      </c>
      <c r="K1360" s="682">
        <v>60</v>
      </c>
      <c r="L1360" s="2"/>
    </row>
    <row r="1361" spans="2:12" x14ac:dyDescent="0.2">
      <c r="B1361" s="432"/>
      <c r="C1361" s="432"/>
      <c r="D1361" s="432"/>
      <c r="E1361" s="662"/>
      <c r="F1361" s="16">
        <f t="shared" si="161"/>
        <v>0</v>
      </c>
      <c r="L1361" s="2"/>
    </row>
    <row r="1362" spans="2:12" x14ac:dyDescent="0.2">
      <c r="B1362" s="11" t="s">
        <v>1713</v>
      </c>
      <c r="C1362" s="15">
        <f>J1362</f>
        <v>40</v>
      </c>
      <c r="D1362" s="15">
        <f>C1362*F1140</f>
        <v>24</v>
      </c>
      <c r="E1362" s="86"/>
      <c r="F1362" s="16">
        <f t="shared" si="161"/>
        <v>64</v>
      </c>
      <c r="G1362" s="749"/>
      <c r="H1362" s="106"/>
      <c r="I1362" s="248"/>
      <c r="J1362" s="15">
        <f>K1362*J1141</f>
        <v>40</v>
      </c>
      <c r="K1362" s="706">
        <v>30</v>
      </c>
      <c r="L1362" s="2"/>
    </row>
    <row r="1363" spans="2:12" x14ac:dyDescent="0.2">
      <c r="B1363" s="11" t="s">
        <v>1714</v>
      </c>
      <c r="C1363" s="15">
        <f>J1363</f>
        <v>96</v>
      </c>
      <c r="D1363" s="15">
        <f>C1363*$F$1140</f>
        <v>57.599999999999994</v>
      </c>
      <c r="E1363" s="86"/>
      <c r="F1363" s="16">
        <f t="shared" si="161"/>
        <v>153.6</v>
      </c>
      <c r="G1363" s="749"/>
      <c r="H1363" s="677"/>
      <c r="I1363" s="696"/>
      <c r="J1363" s="697">
        <f>K1363*$J$1141</f>
        <v>96</v>
      </c>
      <c r="K1363" s="708">
        <v>72</v>
      </c>
      <c r="L1363" s="2"/>
    </row>
    <row r="1364" spans="2:12" x14ac:dyDescent="0.2">
      <c r="B1364" s="11"/>
      <c r="C1364" s="15">
        <f t="shared" ref="C1364:C1374" si="189">J1364</f>
        <v>0</v>
      </c>
      <c r="D1364" s="15">
        <f t="shared" ref="D1364:D1377" si="190">C1364*$F$1140</f>
        <v>0</v>
      </c>
      <c r="E1364" s="86"/>
      <c r="F1364" s="16">
        <f t="shared" si="161"/>
        <v>0</v>
      </c>
      <c r="G1364" s="749"/>
      <c r="H1364" s="677"/>
      <c r="I1364" s="696"/>
      <c r="J1364" s="697"/>
      <c r="K1364" s="708"/>
      <c r="L1364" s="2"/>
    </row>
    <row r="1365" spans="2:12" x14ac:dyDescent="0.2">
      <c r="B1365" s="751" t="s">
        <v>1715</v>
      </c>
      <c r="C1365" s="15">
        <f t="shared" si="189"/>
        <v>0</v>
      </c>
      <c r="D1365" s="15">
        <f t="shared" si="190"/>
        <v>0</v>
      </c>
      <c r="E1365" s="86"/>
      <c r="F1365" s="16">
        <f t="shared" si="161"/>
        <v>0</v>
      </c>
      <c r="G1365" s="749"/>
      <c r="H1365" s="677"/>
      <c r="I1365" s="696"/>
      <c r="J1365" s="697"/>
      <c r="K1365" s="708"/>
      <c r="L1365" s="2"/>
    </row>
    <row r="1366" spans="2:12" x14ac:dyDescent="0.2">
      <c r="B1366" s="106"/>
      <c r="C1366" s="15">
        <f t="shared" si="189"/>
        <v>0</v>
      </c>
      <c r="D1366" s="15">
        <f t="shared" si="190"/>
        <v>0</v>
      </c>
      <c r="E1366" s="86"/>
      <c r="F1366" s="16">
        <f t="shared" si="161"/>
        <v>0</v>
      </c>
      <c r="G1366" s="749"/>
      <c r="H1366" s="677"/>
      <c r="I1366" s="696"/>
      <c r="J1366" s="697"/>
      <c r="K1366" s="708"/>
      <c r="L1366" s="2"/>
    </row>
    <row r="1367" spans="2:12" x14ac:dyDescent="0.2">
      <c r="B1367" s="106" t="s">
        <v>1716</v>
      </c>
      <c r="C1367" s="15">
        <f t="shared" si="189"/>
        <v>37.333333333333329</v>
      </c>
      <c r="D1367" s="15">
        <f t="shared" si="190"/>
        <v>22.399999999999995</v>
      </c>
      <c r="E1367" s="86"/>
      <c r="F1367" s="16">
        <f t="shared" si="161"/>
        <v>59.73333333333332</v>
      </c>
      <c r="G1367" s="749"/>
      <c r="H1367" s="677"/>
      <c r="I1367" s="696"/>
      <c r="J1367" s="154">
        <f t="shared" ref="J1367:J1377" si="191">K1367*$J$1141</f>
        <v>37.333333333333329</v>
      </c>
      <c r="K1367" s="708">
        <v>28</v>
      </c>
      <c r="L1367" s="2"/>
    </row>
    <row r="1368" spans="2:12" x14ac:dyDescent="0.2">
      <c r="B1368" s="106" t="s">
        <v>1717</v>
      </c>
      <c r="C1368" s="15">
        <f t="shared" si="189"/>
        <v>120</v>
      </c>
      <c r="D1368" s="15">
        <f t="shared" si="190"/>
        <v>72</v>
      </c>
      <c r="E1368" s="86"/>
      <c r="F1368" s="16">
        <f t="shared" si="161"/>
        <v>192</v>
      </c>
      <c r="G1368" s="749"/>
      <c r="H1368" s="677"/>
      <c r="I1368" s="696"/>
      <c r="J1368" s="154">
        <f t="shared" si="191"/>
        <v>120</v>
      </c>
      <c r="K1368" s="708">
        <v>90</v>
      </c>
      <c r="L1368" s="2"/>
    </row>
    <row r="1369" spans="2:12" x14ac:dyDescent="0.2">
      <c r="B1369" s="106" t="s">
        <v>1718</v>
      </c>
      <c r="C1369" s="15">
        <f t="shared" si="189"/>
        <v>120</v>
      </c>
      <c r="D1369" s="15">
        <f t="shared" si="190"/>
        <v>72</v>
      </c>
      <c r="E1369" s="86"/>
      <c r="F1369" s="16">
        <f t="shared" si="161"/>
        <v>192</v>
      </c>
      <c r="G1369" s="749"/>
      <c r="H1369" s="677"/>
      <c r="I1369" s="696"/>
      <c r="J1369" s="154">
        <f t="shared" si="191"/>
        <v>120</v>
      </c>
      <c r="K1369" s="708">
        <v>90</v>
      </c>
      <c r="L1369" s="2"/>
    </row>
    <row r="1370" spans="2:12" x14ac:dyDescent="0.2">
      <c r="B1370" s="106" t="s">
        <v>1719</v>
      </c>
      <c r="C1370" s="15">
        <f t="shared" si="189"/>
        <v>120</v>
      </c>
      <c r="D1370" s="15">
        <f t="shared" si="190"/>
        <v>72</v>
      </c>
      <c r="E1370" s="86"/>
      <c r="F1370" s="16">
        <f t="shared" si="161"/>
        <v>192</v>
      </c>
      <c r="G1370" s="749"/>
      <c r="H1370" s="677"/>
      <c r="I1370" s="696"/>
      <c r="J1370" s="154">
        <f t="shared" si="191"/>
        <v>120</v>
      </c>
      <c r="K1370" s="708">
        <v>90</v>
      </c>
      <c r="L1370" s="2"/>
    </row>
    <row r="1371" spans="2:12" x14ac:dyDescent="0.2">
      <c r="B1371" s="106" t="s">
        <v>1720</v>
      </c>
      <c r="C1371" s="15">
        <f t="shared" si="189"/>
        <v>120</v>
      </c>
      <c r="D1371" s="15">
        <f t="shared" si="190"/>
        <v>72</v>
      </c>
      <c r="E1371" s="86"/>
      <c r="F1371" s="16">
        <f t="shared" si="161"/>
        <v>192</v>
      </c>
      <c r="G1371" s="749"/>
      <c r="H1371" s="677"/>
      <c r="I1371" s="696"/>
      <c r="J1371" s="154">
        <f t="shared" si="191"/>
        <v>120</v>
      </c>
      <c r="K1371" s="708">
        <v>90</v>
      </c>
      <c r="L1371" s="2"/>
    </row>
    <row r="1372" spans="2:12" x14ac:dyDescent="0.2">
      <c r="B1372" s="106" t="s">
        <v>1721</v>
      </c>
      <c r="C1372" s="15">
        <f t="shared" si="189"/>
        <v>120</v>
      </c>
      <c r="D1372" s="15">
        <f t="shared" si="190"/>
        <v>72</v>
      </c>
      <c r="E1372" s="86"/>
      <c r="F1372" s="16">
        <f t="shared" si="161"/>
        <v>192</v>
      </c>
      <c r="G1372" s="749"/>
      <c r="H1372" s="677"/>
      <c r="I1372" s="696"/>
      <c r="J1372" s="154">
        <f t="shared" si="191"/>
        <v>120</v>
      </c>
      <c r="K1372" s="708">
        <v>90</v>
      </c>
      <c r="L1372" s="2"/>
    </row>
    <row r="1373" spans="2:12" x14ac:dyDescent="0.2">
      <c r="B1373" s="106" t="s">
        <v>1722</v>
      </c>
      <c r="C1373" s="15">
        <f t="shared" si="189"/>
        <v>120</v>
      </c>
      <c r="D1373" s="15">
        <f t="shared" si="190"/>
        <v>72</v>
      </c>
      <c r="E1373" s="86"/>
      <c r="F1373" s="16">
        <f t="shared" si="161"/>
        <v>192</v>
      </c>
      <c r="G1373" s="749"/>
      <c r="H1373" s="677"/>
      <c r="I1373" s="696"/>
      <c r="J1373" s="154">
        <f t="shared" si="191"/>
        <v>120</v>
      </c>
      <c r="K1373" s="708">
        <v>90</v>
      </c>
      <c r="L1373" s="2"/>
    </row>
    <row r="1374" spans="2:12" x14ac:dyDescent="0.2">
      <c r="B1374" s="11"/>
      <c r="C1374" s="15">
        <f t="shared" si="189"/>
        <v>146.66666666666666</v>
      </c>
      <c r="D1374" s="15">
        <f t="shared" si="190"/>
        <v>87.999999999999986</v>
      </c>
      <c r="E1374" s="86"/>
      <c r="F1374" s="16">
        <f t="shared" si="161"/>
        <v>234.66666666666663</v>
      </c>
      <c r="G1374" s="749"/>
      <c r="H1374" s="677"/>
      <c r="I1374" s="696"/>
      <c r="J1374" s="154">
        <f t="shared" si="191"/>
        <v>146.66666666666666</v>
      </c>
      <c r="K1374" s="708">
        <v>110</v>
      </c>
      <c r="L1374" s="2"/>
    </row>
    <row r="1375" spans="2:12" x14ac:dyDescent="0.2">
      <c r="B1375" s="11"/>
      <c r="C1375" s="15"/>
      <c r="D1375" s="15">
        <f t="shared" si="190"/>
        <v>0</v>
      </c>
      <c r="E1375" s="86"/>
      <c r="F1375" s="16"/>
      <c r="G1375" s="749"/>
      <c r="H1375" s="677"/>
      <c r="I1375" s="696"/>
      <c r="J1375" s="154">
        <f t="shared" si="191"/>
        <v>0</v>
      </c>
      <c r="K1375" s="708"/>
      <c r="L1375" s="2"/>
    </row>
    <row r="1376" spans="2:12" x14ac:dyDescent="0.2">
      <c r="B1376" s="250" t="s">
        <v>1723</v>
      </c>
      <c r="C1376" s="15"/>
      <c r="D1376" s="15">
        <f t="shared" si="190"/>
        <v>0</v>
      </c>
      <c r="E1376" s="86"/>
      <c r="F1376" s="16"/>
      <c r="G1376" s="749"/>
      <c r="H1376" s="677"/>
      <c r="I1376" s="696"/>
      <c r="J1376" s="154">
        <f t="shared" si="191"/>
        <v>0</v>
      </c>
      <c r="K1376" s="708"/>
      <c r="L1376" s="2"/>
    </row>
    <row r="1377" spans="2:12" x14ac:dyDescent="0.2">
      <c r="B1377" s="11" t="s">
        <v>1724</v>
      </c>
      <c r="C1377" s="15">
        <f>J1377</f>
        <v>6.6666666666666661</v>
      </c>
      <c r="D1377" s="15">
        <f t="shared" si="190"/>
        <v>3.9999999999999996</v>
      </c>
      <c r="E1377" s="86"/>
      <c r="F1377" s="16">
        <f>C1377+D1377</f>
        <v>10.666666666666666</v>
      </c>
      <c r="G1377" s="749"/>
      <c r="H1377" s="189"/>
      <c r="I1377" s="471"/>
      <c r="J1377" s="154">
        <f t="shared" si="191"/>
        <v>6.6666666666666661</v>
      </c>
      <c r="K1377" s="682">
        <v>5</v>
      </c>
      <c r="L1377" s="2"/>
    </row>
    <row r="1378" spans="2:12" x14ac:dyDescent="0.2">
      <c r="B1378" s="11"/>
      <c r="C1378" s="15"/>
      <c r="D1378" s="15"/>
      <c r="E1378" s="86"/>
      <c r="F1378" s="16"/>
      <c r="G1378" s="749"/>
      <c r="H1378" s="189"/>
      <c r="I1378" s="471"/>
      <c r="J1378" s="313"/>
      <c r="K1378" s="682"/>
      <c r="L1378" s="2"/>
    </row>
    <row r="1379" spans="2:12" x14ac:dyDescent="0.2">
      <c r="B1379" s="432"/>
      <c r="C1379" s="432"/>
      <c r="D1379" s="432"/>
      <c r="E1379" s="662"/>
      <c r="F1379" s="16">
        <f t="shared" si="161"/>
        <v>0</v>
      </c>
      <c r="G1379" s="748"/>
      <c r="L1379" s="2"/>
    </row>
    <row r="1380" spans="2:12" x14ac:dyDescent="0.2">
      <c r="B1380" s="250" t="s">
        <v>1725</v>
      </c>
      <c r="C1380" s="432"/>
      <c r="D1380" s="432"/>
      <c r="E1380" s="662"/>
      <c r="F1380" s="16">
        <f t="shared" si="161"/>
        <v>0</v>
      </c>
      <c r="G1380" s="748"/>
      <c r="L1380" s="2"/>
    </row>
    <row r="1381" spans="2:12" x14ac:dyDescent="0.2">
      <c r="B1381" s="106" t="s">
        <v>1726</v>
      </c>
      <c r="C1381" s="71">
        <f>J1381</f>
        <v>10.666666666666666</v>
      </c>
      <c r="D1381" s="71">
        <f>C1381*F1140</f>
        <v>6.3999999999999995</v>
      </c>
      <c r="E1381" s="714"/>
      <c r="F1381" s="16">
        <f>C1381+D1381+E1381</f>
        <v>17.066666666666666</v>
      </c>
      <c r="G1381" s="748"/>
      <c r="J1381" s="435">
        <f>J1141*K1381</f>
        <v>10.666666666666666</v>
      </c>
      <c r="K1381" s="517">
        <v>8</v>
      </c>
      <c r="L1381" s="2"/>
    </row>
    <row r="1382" spans="2:12" x14ac:dyDescent="0.2">
      <c r="B1382" s="436" t="s">
        <v>1727</v>
      </c>
      <c r="C1382" s="15">
        <f>J1382</f>
        <v>20</v>
      </c>
      <c r="D1382" s="15">
        <f>C1382*F1140</f>
        <v>12</v>
      </c>
      <c r="E1382" s="86"/>
      <c r="F1382" s="16">
        <f t="shared" si="161"/>
        <v>32</v>
      </c>
      <c r="G1382" s="562"/>
      <c r="H1382" s="106"/>
      <c r="I1382" s="248"/>
      <c r="J1382" s="15">
        <f>J1141*K1382</f>
        <v>20</v>
      </c>
      <c r="K1382" s="706">
        <v>15</v>
      </c>
      <c r="L1382" s="2"/>
    </row>
    <row r="1383" spans="2:12" x14ac:dyDescent="0.2">
      <c r="B1383" s="436" t="s">
        <v>1728</v>
      </c>
      <c r="C1383" s="15">
        <f>J1383</f>
        <v>24</v>
      </c>
      <c r="D1383" s="15">
        <f>C1383*F1140</f>
        <v>14.399999999999999</v>
      </c>
      <c r="E1383" s="86"/>
      <c r="F1383" s="16">
        <f t="shared" si="161"/>
        <v>38.4</v>
      </c>
      <c r="G1383" s="562"/>
      <c r="H1383" s="106"/>
      <c r="I1383" s="248"/>
      <c r="J1383" s="15">
        <f>K1383*J1141</f>
        <v>24</v>
      </c>
      <c r="K1383" s="706">
        <v>18</v>
      </c>
      <c r="L1383" s="2"/>
    </row>
    <row r="1384" spans="2:12" x14ac:dyDescent="0.2">
      <c r="B1384" s="436"/>
      <c r="C1384" s="15"/>
      <c r="D1384" s="15"/>
      <c r="E1384" s="86"/>
      <c r="F1384" s="16"/>
      <c r="G1384" s="562"/>
      <c r="H1384" s="106"/>
      <c r="I1384" s="248"/>
      <c r="J1384" s="15"/>
      <c r="K1384" s="706"/>
      <c r="L1384" s="2"/>
    </row>
    <row r="1385" spans="2:12" x14ac:dyDescent="0.2">
      <c r="B1385" s="6" t="s">
        <v>1729</v>
      </c>
      <c r="C1385" s="15"/>
      <c r="D1385" s="15"/>
      <c r="E1385" s="86"/>
      <c r="F1385" s="16">
        <f t="shared" si="161"/>
        <v>0</v>
      </c>
      <c r="G1385" s="562"/>
      <c r="H1385" s="106"/>
      <c r="I1385" s="248"/>
      <c r="J1385" s="15"/>
      <c r="K1385" s="706"/>
      <c r="L1385" s="2"/>
    </row>
    <row r="1386" spans="2:12" x14ac:dyDescent="0.2">
      <c r="B1386" s="436" t="s">
        <v>1730</v>
      </c>
      <c r="C1386" s="15">
        <f>J1386</f>
        <v>19.2</v>
      </c>
      <c r="D1386" s="15">
        <f>C1386*F1140</f>
        <v>11.52</v>
      </c>
      <c r="E1386" s="86"/>
      <c r="F1386" s="16">
        <f t="shared" si="161"/>
        <v>30.72</v>
      </c>
      <c r="G1386" s="562"/>
      <c r="H1386" s="106"/>
      <c r="I1386" s="248"/>
      <c r="J1386" s="15">
        <f>J1141*K1386</f>
        <v>19.2</v>
      </c>
      <c r="K1386" s="706">
        <v>14.4</v>
      </c>
      <c r="L1386" s="2"/>
    </row>
    <row r="1387" spans="2:12" x14ac:dyDescent="0.2">
      <c r="B1387" s="606" t="s">
        <v>1731</v>
      </c>
      <c r="C1387" s="15">
        <f>K1387</f>
        <v>3</v>
      </c>
      <c r="D1387" s="15">
        <f>C1387*F1140</f>
        <v>1.7999999999999998</v>
      </c>
      <c r="E1387" s="86"/>
      <c r="F1387" s="16">
        <f t="shared" si="161"/>
        <v>4.8</v>
      </c>
      <c r="G1387" s="562"/>
      <c r="H1387" s="106"/>
      <c r="I1387" s="248"/>
      <c r="J1387" s="15">
        <f>K1387*J1141</f>
        <v>4</v>
      </c>
      <c r="K1387" s="706">
        <v>3</v>
      </c>
      <c r="L1387" s="2"/>
    </row>
    <row r="1388" spans="2:12" x14ac:dyDescent="0.2">
      <c r="B1388" s="606"/>
      <c r="C1388" s="15"/>
      <c r="D1388" s="15"/>
      <c r="E1388" s="86"/>
      <c r="F1388" s="16">
        <f t="shared" si="161"/>
        <v>0</v>
      </c>
      <c r="G1388" s="562"/>
      <c r="H1388" s="106"/>
      <c r="I1388" s="248"/>
      <c r="J1388" s="15"/>
      <c r="K1388" s="706"/>
      <c r="L1388" s="2"/>
    </row>
    <row r="1389" spans="2:12" x14ac:dyDescent="0.2">
      <c r="B1389" s="717" t="s">
        <v>1732</v>
      </c>
      <c r="C1389" s="15"/>
      <c r="D1389" s="15"/>
      <c r="E1389" s="86"/>
      <c r="F1389" s="16">
        <f t="shared" si="161"/>
        <v>0</v>
      </c>
      <c r="G1389" s="562"/>
      <c r="H1389" s="106"/>
      <c r="I1389" s="248"/>
      <c r="J1389" s="15"/>
      <c r="K1389" s="706"/>
      <c r="L1389" s="2"/>
    </row>
    <row r="1390" spans="2:12" x14ac:dyDescent="0.2">
      <c r="B1390" s="436" t="s">
        <v>1733</v>
      </c>
      <c r="C1390" s="15">
        <f>J1390</f>
        <v>8</v>
      </c>
      <c r="D1390" s="15">
        <f>C1390*F1140</f>
        <v>4.8</v>
      </c>
      <c r="E1390" s="86"/>
      <c r="F1390" s="16">
        <f t="shared" si="161"/>
        <v>12.8</v>
      </c>
      <c r="G1390" s="562"/>
      <c r="H1390" s="106"/>
      <c r="I1390" s="11"/>
      <c r="J1390" s="15">
        <f>J1141*K1390</f>
        <v>8</v>
      </c>
      <c r="K1390" s="706">
        <v>6</v>
      </c>
      <c r="L1390" s="2"/>
    </row>
    <row r="1391" spans="2:12" x14ac:dyDescent="0.2">
      <c r="B1391" s="436" t="s">
        <v>1734</v>
      </c>
      <c r="C1391" s="15">
        <f>J1391</f>
        <v>16</v>
      </c>
      <c r="D1391" s="15">
        <f>C1391*F1140</f>
        <v>9.6</v>
      </c>
      <c r="E1391" s="86"/>
      <c r="F1391" s="16">
        <f t="shared" si="161"/>
        <v>25.6</v>
      </c>
      <c r="G1391" s="562"/>
      <c r="H1391" s="106"/>
      <c r="I1391" s="11"/>
      <c r="J1391" s="15">
        <f>K1391*J1141</f>
        <v>16</v>
      </c>
      <c r="K1391" s="706">
        <v>12</v>
      </c>
      <c r="L1391" s="2"/>
    </row>
    <row r="1392" spans="2:12" x14ac:dyDescent="0.2">
      <c r="B1392" s="436"/>
      <c r="C1392" s="15"/>
      <c r="D1392" s="15"/>
      <c r="E1392" s="86"/>
      <c r="F1392" s="16">
        <f t="shared" si="161"/>
        <v>0</v>
      </c>
      <c r="G1392" s="562"/>
      <c r="H1392" s="106"/>
      <c r="I1392" s="11"/>
      <c r="J1392" s="15"/>
      <c r="K1392" s="706"/>
      <c r="L1392" s="2"/>
    </row>
    <row r="1393" spans="2:12" x14ac:dyDescent="0.2">
      <c r="B1393" s="6" t="s">
        <v>1735</v>
      </c>
      <c r="C1393" s="15"/>
      <c r="D1393" s="15"/>
      <c r="E1393" s="86"/>
      <c r="F1393" s="16">
        <f t="shared" si="161"/>
        <v>0</v>
      </c>
      <c r="G1393" s="562"/>
      <c r="H1393" s="106"/>
      <c r="I1393" s="11"/>
      <c r="J1393" s="15"/>
      <c r="K1393" s="706"/>
      <c r="L1393" s="2"/>
    </row>
    <row r="1394" spans="2:12" x14ac:dyDescent="0.2">
      <c r="B1394" s="436" t="s">
        <v>1736</v>
      </c>
      <c r="C1394" s="15">
        <f>J1394</f>
        <v>5.333333333333333</v>
      </c>
      <c r="D1394" s="15">
        <f>C1394*F1140</f>
        <v>3.1999999999999997</v>
      </c>
      <c r="E1394" s="86"/>
      <c r="F1394" s="752">
        <f t="shared" si="161"/>
        <v>8.5333333333333332</v>
      </c>
      <c r="G1394" s="562"/>
      <c r="H1394" s="106"/>
      <c r="I1394" s="248"/>
      <c r="J1394" s="15">
        <f>J1141*K1394</f>
        <v>5.333333333333333</v>
      </c>
      <c r="K1394" s="706">
        <v>4</v>
      </c>
      <c r="L1394" s="2"/>
    </row>
    <row r="1395" spans="2:12" x14ac:dyDescent="0.2">
      <c r="B1395" s="436"/>
      <c r="C1395" s="15"/>
      <c r="D1395" s="15"/>
      <c r="E1395" s="86"/>
      <c r="F1395" s="16">
        <f t="shared" si="161"/>
        <v>0</v>
      </c>
      <c r="G1395" s="562"/>
      <c r="H1395" s="106"/>
      <c r="I1395" s="248"/>
      <c r="J1395" s="15"/>
      <c r="K1395" s="706"/>
      <c r="L1395" s="2"/>
    </row>
    <row r="1396" spans="2:12" x14ac:dyDescent="0.2">
      <c r="B1396" s="436"/>
      <c r="C1396" s="15"/>
      <c r="D1396" s="15"/>
      <c r="E1396" s="86"/>
      <c r="F1396" s="16">
        <f t="shared" si="161"/>
        <v>0</v>
      </c>
      <c r="G1396" s="562"/>
      <c r="H1396" s="106"/>
      <c r="I1396" s="248"/>
      <c r="J1396" s="15"/>
      <c r="K1396" s="706"/>
      <c r="L1396" s="2"/>
    </row>
    <row r="1397" spans="2:12" x14ac:dyDescent="0.2">
      <c r="B1397" s="6" t="s">
        <v>1737</v>
      </c>
      <c r="C1397" s="15"/>
      <c r="D1397" s="15"/>
      <c r="E1397" s="86"/>
      <c r="F1397" s="16">
        <f t="shared" si="161"/>
        <v>0</v>
      </c>
      <c r="G1397" s="562"/>
      <c r="H1397" s="106"/>
      <c r="I1397" s="248"/>
      <c r="J1397" s="15"/>
      <c r="K1397" s="706"/>
      <c r="L1397" s="2"/>
    </row>
    <row r="1398" spans="2:12" x14ac:dyDescent="0.2">
      <c r="B1398" s="6"/>
      <c r="C1398" s="15"/>
      <c r="D1398" s="15"/>
      <c r="E1398" s="86"/>
      <c r="F1398" s="16">
        <f t="shared" si="161"/>
        <v>0</v>
      </c>
      <c r="G1398" s="562"/>
      <c r="H1398" s="106"/>
      <c r="I1398" s="248"/>
      <c r="J1398" s="15"/>
      <c r="K1398" s="706"/>
      <c r="L1398" s="2"/>
    </row>
    <row r="1399" spans="2:12" x14ac:dyDescent="0.2">
      <c r="B1399" s="436" t="s">
        <v>1738</v>
      </c>
      <c r="C1399" s="15">
        <f t="shared" ref="C1399:C1404" si="192">J1399</f>
        <v>2.9333333333333336</v>
      </c>
      <c r="D1399" s="15">
        <f>C1399*F1140</f>
        <v>1.76</v>
      </c>
      <c r="E1399" s="86"/>
      <c r="F1399" s="752">
        <f t="shared" si="161"/>
        <v>4.6933333333333334</v>
      </c>
      <c r="G1399" s="562"/>
      <c r="H1399" s="106"/>
      <c r="I1399" s="248"/>
      <c r="J1399" s="15">
        <f>J1141*K1399</f>
        <v>2.9333333333333336</v>
      </c>
      <c r="K1399" s="712">
        <v>2.2000000000000002</v>
      </c>
      <c r="L1399" s="2"/>
    </row>
    <row r="1400" spans="2:12" x14ac:dyDescent="0.2">
      <c r="B1400" s="436" t="s">
        <v>1739</v>
      </c>
      <c r="C1400" s="15">
        <f t="shared" si="192"/>
        <v>2.9333333333333336</v>
      </c>
      <c r="D1400" s="15">
        <f>C1399*F1140</f>
        <v>1.76</v>
      </c>
      <c r="E1400" s="86"/>
      <c r="F1400" s="752">
        <f t="shared" si="161"/>
        <v>4.6933333333333334</v>
      </c>
      <c r="G1400" s="562"/>
      <c r="H1400" s="106"/>
      <c r="I1400" s="248"/>
      <c r="J1400" s="15">
        <f>J1141*K1400</f>
        <v>2.9333333333333336</v>
      </c>
      <c r="K1400" s="712">
        <v>2.2000000000000002</v>
      </c>
      <c r="L1400" s="2"/>
    </row>
    <row r="1401" spans="2:12" x14ac:dyDescent="0.2">
      <c r="B1401" s="436" t="s">
        <v>1740</v>
      </c>
      <c r="C1401" s="15">
        <f t="shared" si="192"/>
        <v>5.8666666666666671</v>
      </c>
      <c r="D1401" s="15">
        <f>C1401*F1140</f>
        <v>3.52</v>
      </c>
      <c r="E1401" s="86"/>
      <c r="F1401" s="752">
        <f t="shared" ref="F1401:F1424" si="193">C1401+D1401+E1401</f>
        <v>9.3866666666666667</v>
      </c>
      <c r="G1401" s="562"/>
      <c r="H1401" s="106"/>
      <c r="I1401" s="248"/>
      <c r="J1401" s="15">
        <f>K1401*J1141</f>
        <v>5.8666666666666671</v>
      </c>
      <c r="K1401" s="712">
        <v>4.4000000000000004</v>
      </c>
      <c r="L1401" s="2"/>
    </row>
    <row r="1402" spans="2:12" x14ac:dyDescent="0.2">
      <c r="B1402" s="436" t="s">
        <v>1741</v>
      </c>
      <c r="C1402" s="15">
        <f t="shared" si="192"/>
        <v>4.3999999999999995</v>
      </c>
      <c r="D1402" s="15">
        <f>C1402*F1140</f>
        <v>2.6399999999999997</v>
      </c>
      <c r="E1402" s="86"/>
      <c r="F1402" s="752">
        <f t="shared" si="193"/>
        <v>7.0399999999999991</v>
      </c>
      <c r="G1402" s="562"/>
      <c r="H1402" s="106"/>
      <c r="I1402" s="248"/>
      <c r="J1402" s="15">
        <f>K1402*J1141</f>
        <v>4.3999999999999995</v>
      </c>
      <c r="K1402" s="712">
        <v>3.3</v>
      </c>
      <c r="L1402" s="2"/>
    </row>
    <row r="1403" spans="2:12" x14ac:dyDescent="0.2">
      <c r="B1403" s="436" t="s">
        <v>1742</v>
      </c>
      <c r="C1403" s="15">
        <f t="shared" si="192"/>
        <v>4.3999999999999995</v>
      </c>
      <c r="D1403" s="15">
        <f>C1403*F1140</f>
        <v>2.6399999999999997</v>
      </c>
      <c r="E1403" s="86"/>
      <c r="F1403" s="752">
        <f>C1403+D1403+E1403</f>
        <v>7.0399999999999991</v>
      </c>
      <c r="G1403" s="562"/>
      <c r="H1403" s="106"/>
      <c r="I1403" s="248"/>
      <c r="J1403" s="15">
        <f>K1403*J1141</f>
        <v>4.3999999999999995</v>
      </c>
      <c r="K1403" s="712">
        <v>3.3</v>
      </c>
      <c r="L1403" s="2"/>
    </row>
    <row r="1404" spans="2:12" x14ac:dyDescent="0.2">
      <c r="B1404" s="436" t="s">
        <v>1743</v>
      </c>
      <c r="C1404" s="15">
        <f t="shared" si="192"/>
        <v>5.8666666666666671</v>
      </c>
      <c r="D1404" s="15">
        <f>C1404*F1140</f>
        <v>3.52</v>
      </c>
      <c r="E1404" s="86"/>
      <c r="F1404" s="752">
        <f>C1404+D1404+E1404</f>
        <v>9.3866666666666667</v>
      </c>
      <c r="G1404" s="562"/>
      <c r="H1404" s="106"/>
      <c r="I1404" s="248"/>
      <c r="J1404" s="15">
        <f>K1404*J1141</f>
        <v>5.8666666666666671</v>
      </c>
      <c r="K1404" s="712">
        <v>4.4000000000000004</v>
      </c>
      <c r="L1404" s="2"/>
    </row>
    <row r="1405" spans="2:12" x14ac:dyDescent="0.2">
      <c r="B1405" s="436" t="s">
        <v>1744</v>
      </c>
      <c r="C1405" s="15">
        <f>J1405</f>
        <v>40</v>
      </c>
      <c r="D1405" s="15">
        <f>C1405*F1140</f>
        <v>24</v>
      </c>
      <c r="E1405" s="86"/>
      <c r="F1405" s="752">
        <f>C1405+D1405+E1405</f>
        <v>64</v>
      </c>
      <c r="G1405" s="562"/>
      <c r="H1405" s="106"/>
      <c r="I1405" s="248"/>
      <c r="J1405" s="15">
        <f>K1405*J1141</f>
        <v>40</v>
      </c>
      <c r="K1405" s="712">
        <v>30</v>
      </c>
      <c r="L1405" s="2"/>
    </row>
    <row r="1406" spans="2:12" x14ac:dyDescent="0.2">
      <c r="B1406" s="436" t="s">
        <v>1745</v>
      </c>
      <c r="C1406" s="15">
        <f>J1406</f>
        <v>40</v>
      </c>
      <c r="D1406" s="15">
        <f>C1406*F1140</f>
        <v>24</v>
      </c>
      <c r="E1406" s="86"/>
      <c r="F1406" s="752">
        <f>C1406+D1406+E1406</f>
        <v>64</v>
      </c>
      <c r="G1406" s="562"/>
      <c r="H1406" s="106"/>
      <c r="I1406" s="248"/>
      <c r="J1406" s="15">
        <f>K1406*J1141</f>
        <v>40</v>
      </c>
      <c r="K1406" s="712">
        <v>30</v>
      </c>
      <c r="L1406" s="2"/>
    </row>
    <row r="1407" spans="2:12" x14ac:dyDescent="0.2">
      <c r="B1407" s="436"/>
      <c r="C1407" s="15"/>
      <c r="D1407" s="15"/>
      <c r="E1407" s="86"/>
      <c r="F1407" s="16"/>
      <c r="G1407" s="562"/>
      <c r="H1407" s="106"/>
      <c r="I1407" s="248"/>
      <c r="J1407" s="15"/>
      <c r="K1407" s="712"/>
      <c r="L1407" s="2"/>
    </row>
    <row r="1408" spans="2:12" x14ac:dyDescent="0.2">
      <c r="B1408" s="6" t="s">
        <v>1746</v>
      </c>
      <c r="C1408" s="15"/>
      <c r="D1408" s="15"/>
      <c r="E1408" s="86"/>
      <c r="F1408" s="16"/>
      <c r="G1408" s="562"/>
      <c r="H1408" s="106"/>
      <c r="I1408" s="248"/>
      <c r="J1408" s="15"/>
      <c r="K1408" s="706"/>
      <c r="L1408" s="2"/>
    </row>
    <row r="1409" spans="2:12" x14ac:dyDescent="0.2">
      <c r="B1409" s="6"/>
      <c r="C1409" s="15"/>
      <c r="D1409" s="15"/>
      <c r="E1409" s="86"/>
      <c r="F1409" s="16"/>
      <c r="G1409" s="562"/>
      <c r="H1409" s="106"/>
      <c r="I1409" s="248"/>
      <c r="J1409" s="15"/>
      <c r="K1409" s="706"/>
      <c r="L1409" s="2"/>
    </row>
    <row r="1410" spans="2:12" x14ac:dyDescent="0.2">
      <c r="B1410" s="753" t="s">
        <v>1747</v>
      </c>
      <c r="C1410" s="15">
        <f t="shared" ref="C1410:C1419" si="194">J1410</f>
        <v>112</v>
      </c>
      <c r="D1410" s="15">
        <f>C1410*F1140</f>
        <v>67.2</v>
      </c>
      <c r="E1410" s="86"/>
      <c r="F1410" s="16">
        <f t="shared" si="193"/>
        <v>179.2</v>
      </c>
      <c r="G1410" s="562"/>
      <c r="H1410" s="106"/>
      <c r="I1410" s="248"/>
      <c r="J1410" s="15">
        <f>J1141*K1410</f>
        <v>112</v>
      </c>
      <c r="K1410" s="706">
        <v>84</v>
      </c>
      <c r="L1410" s="2"/>
    </row>
    <row r="1411" spans="2:12" x14ac:dyDescent="0.2">
      <c r="B1411" s="753" t="s">
        <v>1748</v>
      </c>
      <c r="C1411" s="15">
        <f t="shared" si="194"/>
        <v>168</v>
      </c>
      <c r="D1411" s="15">
        <f>C1411*F1140</f>
        <v>100.8</v>
      </c>
      <c r="E1411" s="86"/>
      <c r="F1411" s="16">
        <f t="shared" si="193"/>
        <v>268.8</v>
      </c>
      <c r="G1411" s="562"/>
      <c r="H1411" s="106"/>
      <c r="I1411" s="248"/>
      <c r="J1411" s="15">
        <f>J1141*K1411</f>
        <v>168</v>
      </c>
      <c r="K1411" s="706">
        <v>126</v>
      </c>
      <c r="L1411" s="2"/>
    </row>
    <row r="1412" spans="2:12" x14ac:dyDescent="0.2">
      <c r="B1412" s="753" t="s">
        <v>1749</v>
      </c>
      <c r="C1412" s="15">
        <f t="shared" si="194"/>
        <v>224</v>
      </c>
      <c r="D1412" s="15">
        <f>C1412*F1140</f>
        <v>134.4</v>
      </c>
      <c r="E1412" s="86"/>
      <c r="F1412" s="16">
        <f t="shared" si="193"/>
        <v>358.4</v>
      </c>
      <c r="G1412" s="2"/>
      <c r="H1412" s="436"/>
      <c r="I1412" s="248"/>
      <c r="J1412" s="15">
        <f>J1141*K1412</f>
        <v>224</v>
      </c>
      <c r="K1412" s="706">
        <v>168</v>
      </c>
      <c r="L1412" s="2"/>
    </row>
    <row r="1413" spans="2:12" x14ac:dyDescent="0.2">
      <c r="B1413" s="753" t="s">
        <v>1750</v>
      </c>
      <c r="C1413" s="15">
        <f t="shared" si="194"/>
        <v>268.79999999999995</v>
      </c>
      <c r="D1413" s="15">
        <f>C1413*F1140</f>
        <v>161.27999999999997</v>
      </c>
      <c r="E1413" s="86"/>
      <c r="F1413" s="16">
        <f t="shared" si="193"/>
        <v>430.07999999999993</v>
      </c>
      <c r="G1413" s="2"/>
      <c r="H1413" s="436"/>
      <c r="I1413" s="248"/>
      <c r="J1413" s="15">
        <f>J1141*K1413</f>
        <v>268.79999999999995</v>
      </c>
      <c r="K1413" s="706">
        <v>201.6</v>
      </c>
      <c r="L1413" s="754"/>
    </row>
    <row r="1414" spans="2:12" x14ac:dyDescent="0.2">
      <c r="B1414" s="753" t="s">
        <v>1751</v>
      </c>
      <c r="C1414" s="15">
        <f t="shared" si="194"/>
        <v>336</v>
      </c>
      <c r="D1414" s="15">
        <f>C1414*F1140</f>
        <v>201.6</v>
      </c>
      <c r="E1414" s="86"/>
      <c r="F1414" s="16">
        <f t="shared" si="193"/>
        <v>537.6</v>
      </c>
      <c r="G1414" s="2"/>
      <c r="H1414" s="436"/>
      <c r="I1414" s="248"/>
      <c r="J1414" s="15">
        <f>J1141*K1414</f>
        <v>336</v>
      </c>
      <c r="K1414" s="706">
        <v>252</v>
      </c>
      <c r="L1414" s="2"/>
    </row>
    <row r="1415" spans="2:12" x14ac:dyDescent="0.2">
      <c r="B1415" s="753" t="s">
        <v>1752</v>
      </c>
      <c r="C1415" s="15">
        <f t="shared" si="194"/>
        <v>392</v>
      </c>
      <c r="D1415" s="15">
        <f>C1415*F1140</f>
        <v>235.2</v>
      </c>
      <c r="E1415" s="86"/>
      <c r="F1415" s="16">
        <f t="shared" si="193"/>
        <v>627.20000000000005</v>
      </c>
      <c r="G1415" s="2"/>
      <c r="H1415" s="436"/>
      <c r="I1415" s="248"/>
      <c r="J1415" s="15">
        <f>J1141*K1415</f>
        <v>392</v>
      </c>
      <c r="K1415" s="706">
        <v>294</v>
      </c>
      <c r="L1415" s="2"/>
    </row>
    <row r="1416" spans="2:12" x14ac:dyDescent="0.2">
      <c r="B1416" s="753" t="s">
        <v>1753</v>
      </c>
      <c r="C1416" s="15">
        <f t="shared" si="194"/>
        <v>504</v>
      </c>
      <c r="D1416" s="15">
        <f>C1416*F1140</f>
        <v>302.39999999999998</v>
      </c>
      <c r="E1416" s="86"/>
      <c r="F1416" s="16">
        <f t="shared" si="193"/>
        <v>806.4</v>
      </c>
      <c r="G1416" s="2"/>
      <c r="H1416" s="436"/>
      <c r="I1416" s="11"/>
      <c r="J1416" s="15">
        <f>J1141*K1416</f>
        <v>504</v>
      </c>
      <c r="K1416" s="706">
        <v>378</v>
      </c>
      <c r="L1416" s="2"/>
    </row>
    <row r="1417" spans="2:12" x14ac:dyDescent="0.2">
      <c r="B1417" s="753" t="s">
        <v>1754</v>
      </c>
      <c r="C1417" s="15">
        <f t="shared" si="194"/>
        <v>560</v>
      </c>
      <c r="D1417" s="15">
        <f>C1417*F1140</f>
        <v>336</v>
      </c>
      <c r="E1417" s="86"/>
      <c r="F1417" s="16">
        <f t="shared" si="193"/>
        <v>896</v>
      </c>
      <c r="G1417" s="2"/>
      <c r="H1417" s="436"/>
      <c r="I1417" s="11"/>
      <c r="J1417" s="15">
        <f>J1141*K1417</f>
        <v>560</v>
      </c>
      <c r="K1417" s="706">
        <v>420</v>
      </c>
      <c r="L1417" s="2"/>
    </row>
    <row r="1418" spans="2:12" x14ac:dyDescent="0.2">
      <c r="B1418" s="753" t="s">
        <v>1755</v>
      </c>
      <c r="C1418" s="15">
        <f t="shared" si="194"/>
        <v>560</v>
      </c>
      <c r="D1418" s="15">
        <f>C1418*F1140</f>
        <v>336</v>
      </c>
      <c r="E1418" s="86"/>
      <c r="F1418" s="16">
        <f t="shared" si="193"/>
        <v>896</v>
      </c>
      <c r="G1418" s="2"/>
      <c r="H1418" s="436"/>
      <c r="I1418" s="248"/>
      <c r="J1418" s="15">
        <f>J1141*K1418</f>
        <v>560</v>
      </c>
      <c r="K1418" s="706">
        <v>420</v>
      </c>
      <c r="L1418" s="2"/>
    </row>
    <row r="1419" spans="2:12" x14ac:dyDescent="0.2">
      <c r="B1419" s="753" t="s">
        <v>1756</v>
      </c>
      <c r="C1419" s="15">
        <f t="shared" si="194"/>
        <v>606.66666666666663</v>
      </c>
      <c r="D1419" s="15">
        <f>C1419*F1140</f>
        <v>363.99999999999994</v>
      </c>
      <c r="E1419" s="86"/>
      <c r="F1419" s="16">
        <f t="shared" si="193"/>
        <v>970.66666666666652</v>
      </c>
      <c r="G1419" s="2"/>
      <c r="H1419" s="436"/>
      <c r="I1419" s="248"/>
      <c r="J1419" s="15">
        <f>J1141*K1419</f>
        <v>606.66666666666663</v>
      </c>
      <c r="K1419" s="706">
        <v>455</v>
      </c>
      <c r="L1419" s="2"/>
    </row>
    <row r="1420" spans="2:12" x14ac:dyDescent="0.2">
      <c r="B1420" s="753" t="s">
        <v>1757</v>
      </c>
      <c r="C1420" s="15">
        <f>J1420</f>
        <v>48</v>
      </c>
      <c r="D1420" s="15">
        <f>C1420*F1140</f>
        <v>28.799999999999997</v>
      </c>
      <c r="E1420" s="86"/>
      <c r="F1420" s="16">
        <f t="shared" si="193"/>
        <v>76.8</v>
      </c>
      <c r="G1420" s="2"/>
      <c r="H1420" s="436"/>
      <c r="I1420" s="248"/>
      <c r="J1420" s="15">
        <f>J1141*K1420</f>
        <v>48</v>
      </c>
      <c r="K1420" s="706">
        <v>36</v>
      </c>
      <c r="L1420" s="2"/>
    </row>
    <row r="1421" spans="2:12" x14ac:dyDescent="0.2">
      <c r="B1421" s="753" t="s">
        <v>1758</v>
      </c>
      <c r="C1421" s="15">
        <f>J1421</f>
        <v>40</v>
      </c>
      <c r="D1421" s="15">
        <f>C1421*F1140</f>
        <v>24</v>
      </c>
      <c r="E1421" s="86"/>
      <c r="F1421" s="16">
        <f t="shared" si="193"/>
        <v>64</v>
      </c>
      <c r="G1421" s="2"/>
      <c r="H1421" s="436"/>
      <c r="I1421" s="248"/>
      <c r="J1421" s="15">
        <f>J1141*K1421</f>
        <v>40</v>
      </c>
      <c r="K1421" s="706">
        <v>30</v>
      </c>
      <c r="L1421" s="2"/>
    </row>
    <row r="1422" spans="2:12" x14ac:dyDescent="0.2">
      <c r="B1422" s="436" t="s">
        <v>1759</v>
      </c>
      <c r="C1422" s="15">
        <f>J1422</f>
        <v>4</v>
      </c>
      <c r="D1422" s="15">
        <f>C1422*F1140</f>
        <v>2.4</v>
      </c>
      <c r="E1422" s="86"/>
      <c r="F1422" s="16">
        <f>C1422+D1422+E1422</f>
        <v>6.4</v>
      </c>
      <c r="G1422" s="2"/>
      <c r="H1422" s="436"/>
      <c r="I1422" s="248"/>
      <c r="J1422" s="15">
        <f>J1141*K1422</f>
        <v>4</v>
      </c>
      <c r="K1422" s="755">
        <v>3</v>
      </c>
      <c r="L1422" s="2"/>
    </row>
    <row r="1423" spans="2:12" x14ac:dyDescent="0.2">
      <c r="C1423" s="15"/>
      <c r="D1423" s="15"/>
      <c r="E1423" s="86"/>
      <c r="F1423" s="16">
        <f t="shared" si="193"/>
        <v>0</v>
      </c>
      <c r="G1423" s="2"/>
      <c r="H1423" s="436"/>
      <c r="I1423" s="248"/>
      <c r="J1423" s="15"/>
      <c r="K1423" s="706"/>
      <c r="L1423" s="2"/>
    </row>
    <row r="1424" spans="2:12" ht="13.5" thickBot="1" x14ac:dyDescent="0.25">
      <c r="B1424" s="456"/>
      <c r="C1424" s="457"/>
      <c r="D1424" s="457"/>
      <c r="E1424" s="458"/>
      <c r="F1424" s="16">
        <f t="shared" si="193"/>
        <v>0</v>
      </c>
      <c r="G1424" s="426"/>
      <c r="H1424" s="456"/>
      <c r="I1424" s="745"/>
      <c r="J1424" s="457"/>
      <c r="K1424" s="756"/>
      <c r="L1424" s="2"/>
    </row>
    <row r="1425" spans="2:12" ht="13.5" thickTop="1" x14ac:dyDescent="0.2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</row>
    <row r="1426" spans="2:12" ht="13.5" thickBot="1" x14ac:dyDescent="0.2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</row>
    <row r="1427" spans="2:12" ht="13.5" thickTop="1" x14ac:dyDescent="0.2">
      <c r="B1427" s="532" t="s">
        <v>1760</v>
      </c>
      <c r="C1427" s="453"/>
      <c r="D1427" s="757">
        <f>0.6</f>
        <v>0.6</v>
      </c>
      <c r="E1427" s="533"/>
      <c r="F1427" s="455"/>
      <c r="G1427" s="2"/>
      <c r="H1427" s="189"/>
      <c r="I1427" s="471"/>
      <c r="J1427" s="189"/>
      <c r="K1427" s="471"/>
      <c r="L1427" s="2"/>
    </row>
    <row r="1428" spans="2:12" x14ac:dyDescent="0.2">
      <c r="B1428" s="436"/>
      <c r="C1428" s="15"/>
      <c r="D1428" s="15"/>
      <c r="E1428" s="15"/>
      <c r="F1428" s="16"/>
      <c r="G1428" s="2"/>
      <c r="H1428" s="189"/>
      <c r="I1428" s="471"/>
      <c r="J1428" s="189"/>
      <c r="K1428" s="471"/>
      <c r="L1428" s="2"/>
    </row>
    <row r="1429" spans="2:12" x14ac:dyDescent="0.2">
      <c r="B1429" s="436" t="s">
        <v>1761</v>
      </c>
      <c r="C1429" s="552">
        <v>630</v>
      </c>
      <c r="D1429" s="15">
        <f>C1429*$D$1427</f>
        <v>378</v>
      </c>
      <c r="E1429" s="15"/>
      <c r="F1429" s="16">
        <f>C1429+D1429+E1429</f>
        <v>1008</v>
      </c>
      <c r="G1429" s="2"/>
      <c r="H1429" s="189"/>
      <c r="I1429" s="471"/>
      <c r="J1429" s="189"/>
      <c r="K1429" s="471"/>
      <c r="L1429" s="2"/>
    </row>
    <row r="1430" spans="2:12" x14ac:dyDescent="0.2">
      <c r="B1430" s="436" t="s">
        <v>1762</v>
      </c>
      <c r="C1430" s="552">
        <v>750</v>
      </c>
      <c r="D1430" s="15">
        <f>C1430*$D$1427</f>
        <v>450</v>
      </c>
      <c r="E1430" s="15"/>
      <c r="F1430" s="16">
        <f>C1430+D1430+E1430</f>
        <v>1200</v>
      </c>
      <c r="G1430" s="2"/>
      <c r="H1430" s="189"/>
      <c r="I1430" s="189"/>
      <c r="J1430" s="189"/>
      <c r="K1430" s="189"/>
      <c r="L1430" s="2"/>
    </row>
    <row r="1431" spans="2:12" x14ac:dyDescent="0.2">
      <c r="B1431" s="436" t="s">
        <v>1763</v>
      </c>
      <c r="C1431" s="552">
        <v>870</v>
      </c>
      <c r="D1431" s="15">
        <f>C1431*$D$1427</f>
        <v>522</v>
      </c>
      <c r="E1431" s="15"/>
      <c r="F1431" s="16">
        <f>SUM(C1431:E1431)</f>
        <v>1392</v>
      </c>
      <c r="G1431" s="2"/>
      <c r="H1431" s="189"/>
      <c r="I1431" s="189"/>
      <c r="J1431" s="189"/>
      <c r="K1431" s="189"/>
      <c r="L1431" s="2"/>
    </row>
    <row r="1432" spans="2:12" x14ac:dyDescent="0.2">
      <c r="B1432" s="436" t="s">
        <v>1764</v>
      </c>
      <c r="C1432" s="552">
        <v>150</v>
      </c>
      <c r="D1432" s="15">
        <f>C1432*D1427</f>
        <v>90</v>
      </c>
      <c r="E1432" s="15"/>
      <c r="F1432" s="16">
        <f>SUM(C1432:E1432)</f>
        <v>240</v>
      </c>
      <c r="G1432" s="2"/>
      <c r="H1432" s="189"/>
      <c r="I1432" s="471"/>
      <c r="J1432" s="189"/>
      <c r="K1432" s="471"/>
      <c r="L1432" s="2"/>
    </row>
    <row r="1433" spans="2:12" x14ac:dyDescent="0.2">
      <c r="B1433" s="436" t="s">
        <v>1765</v>
      </c>
      <c r="C1433" s="552">
        <v>150</v>
      </c>
      <c r="D1433" s="15">
        <f>C1433*D1427</f>
        <v>90</v>
      </c>
      <c r="E1433" s="15"/>
      <c r="F1433" s="16">
        <f>C1433+D1433+E1433</f>
        <v>240</v>
      </c>
      <c r="G1433" s="2"/>
      <c r="H1433" s="189"/>
      <c r="I1433" s="471"/>
      <c r="J1433" s="189"/>
      <c r="K1433" s="471"/>
      <c r="L1433" s="2"/>
    </row>
    <row r="1434" spans="2:12" x14ac:dyDescent="0.2">
      <c r="B1434" s="758" t="s">
        <v>1766</v>
      </c>
      <c r="C1434" s="145">
        <v>50</v>
      </c>
      <c r="D1434" s="15">
        <f>C1434*D1427</f>
        <v>30</v>
      </c>
      <c r="E1434" s="15"/>
      <c r="F1434" s="16">
        <f>C1434+D1434+E1434</f>
        <v>80</v>
      </c>
      <c r="G1434" s="2"/>
      <c r="H1434" s="189"/>
      <c r="I1434" s="471"/>
      <c r="J1434" s="189"/>
      <c r="K1434" s="471"/>
      <c r="L1434" s="2"/>
    </row>
    <row r="1435" spans="2:12" x14ac:dyDescent="0.2">
      <c r="B1435" s="436"/>
      <c r="C1435" s="573"/>
      <c r="D1435" s="15"/>
      <c r="E1435" s="15"/>
      <c r="F1435" s="16"/>
      <c r="G1435" s="2"/>
      <c r="H1435" s="189"/>
      <c r="I1435" s="471"/>
      <c r="J1435" s="189"/>
      <c r="K1435" s="471"/>
      <c r="L1435" s="2"/>
    </row>
    <row r="1436" spans="2:12" x14ac:dyDescent="0.2">
      <c r="B1436" s="6" t="s">
        <v>1767</v>
      </c>
      <c r="C1436" s="15"/>
      <c r="D1436" s="15"/>
      <c r="E1436" s="15"/>
      <c r="F1436" s="16">
        <f t="shared" ref="F1436:F1445" si="195">C1436+D1436+E1436</f>
        <v>0</v>
      </c>
      <c r="G1436" s="2"/>
      <c r="H1436" s="189"/>
      <c r="I1436" s="471"/>
      <c r="J1436" s="189"/>
      <c r="K1436" s="471"/>
      <c r="L1436" s="2"/>
    </row>
    <row r="1437" spans="2:12" x14ac:dyDescent="0.2">
      <c r="B1437" s="436"/>
      <c r="C1437" s="15"/>
      <c r="D1437" s="15"/>
      <c r="E1437" s="15"/>
      <c r="F1437" s="16">
        <f t="shared" si="195"/>
        <v>0</v>
      </c>
      <c r="G1437" s="2"/>
      <c r="H1437" s="189"/>
      <c r="I1437" s="189"/>
      <c r="J1437" s="189"/>
      <c r="K1437" s="189"/>
      <c r="L1437" s="2"/>
    </row>
    <row r="1438" spans="2:12" x14ac:dyDescent="0.2">
      <c r="B1438" s="436" t="s">
        <v>1768</v>
      </c>
      <c r="C1438" s="759">
        <v>120</v>
      </c>
      <c r="D1438" s="15">
        <f>C1438*D1427</f>
        <v>72</v>
      </c>
      <c r="E1438" s="15"/>
      <c r="F1438" s="16">
        <f t="shared" si="195"/>
        <v>192</v>
      </c>
      <c r="G1438" s="2"/>
      <c r="H1438" s="189"/>
      <c r="I1438" s="471"/>
      <c r="J1438" s="471"/>
      <c r="K1438" s="471"/>
      <c r="L1438" s="2"/>
    </row>
    <row r="1439" spans="2:12" x14ac:dyDescent="0.2">
      <c r="B1439" s="436" t="s">
        <v>1769</v>
      </c>
      <c r="C1439" s="759">
        <v>60</v>
      </c>
      <c r="D1439" s="15">
        <f>C1439*D1427</f>
        <v>36</v>
      </c>
      <c r="E1439" s="15"/>
      <c r="F1439" s="16">
        <f t="shared" si="195"/>
        <v>96</v>
      </c>
      <c r="G1439" s="2"/>
      <c r="H1439" s="189"/>
      <c r="I1439" s="189"/>
      <c r="J1439" s="189"/>
      <c r="K1439" s="189"/>
      <c r="L1439" s="2"/>
    </row>
    <row r="1440" spans="2:12" x14ac:dyDescent="0.2">
      <c r="B1440" s="436" t="s">
        <v>1770</v>
      </c>
      <c r="C1440" s="552">
        <f>625+125</f>
        <v>750</v>
      </c>
      <c r="D1440" s="15">
        <f>C1440*D1427</f>
        <v>450</v>
      </c>
      <c r="E1440" s="15"/>
      <c r="F1440" s="16">
        <f t="shared" si="195"/>
        <v>1200</v>
      </c>
      <c r="G1440" s="2"/>
      <c r="H1440" s="189"/>
      <c r="I1440" s="189"/>
      <c r="J1440" s="189"/>
      <c r="K1440" s="189"/>
      <c r="L1440" s="2"/>
    </row>
    <row r="1441" spans="2:12" x14ac:dyDescent="0.2">
      <c r="B1441" s="436" t="s">
        <v>1771</v>
      </c>
      <c r="C1441" s="15">
        <v>25</v>
      </c>
      <c r="D1441" s="15">
        <f>C1441*D1427</f>
        <v>15</v>
      </c>
      <c r="E1441" s="15"/>
      <c r="F1441" s="16">
        <f t="shared" si="195"/>
        <v>40</v>
      </c>
      <c r="G1441" s="2"/>
      <c r="H1441" s="189"/>
      <c r="I1441" s="189"/>
      <c r="J1441" s="189"/>
      <c r="K1441" s="189"/>
      <c r="L1441" s="2"/>
    </row>
    <row r="1442" spans="2:12" x14ac:dyDescent="0.2">
      <c r="B1442" s="436" t="s">
        <v>1772</v>
      </c>
      <c r="C1442" s="15">
        <v>465.45</v>
      </c>
      <c r="D1442" s="15">
        <f>C1442*D1427</f>
        <v>279.27</v>
      </c>
      <c r="E1442" s="15"/>
      <c r="F1442" s="16">
        <f t="shared" si="195"/>
        <v>744.72</v>
      </c>
      <c r="G1442" s="2"/>
      <c r="H1442" s="189"/>
      <c r="I1442" s="189"/>
      <c r="J1442" s="189"/>
      <c r="K1442" s="189"/>
      <c r="L1442" s="2"/>
    </row>
    <row r="1443" spans="2:12" x14ac:dyDescent="0.2">
      <c r="B1443" s="436" t="s">
        <v>1773</v>
      </c>
      <c r="C1443" s="15">
        <v>80</v>
      </c>
      <c r="D1443" s="15">
        <f>C1443*D1427</f>
        <v>48</v>
      </c>
      <c r="E1443" s="15"/>
      <c r="F1443" s="16">
        <f t="shared" si="195"/>
        <v>128</v>
      </c>
      <c r="G1443" s="2"/>
      <c r="H1443" s="189"/>
      <c r="I1443" s="189"/>
      <c r="J1443" s="189"/>
      <c r="K1443" s="189"/>
      <c r="L1443" s="2"/>
    </row>
    <row r="1444" spans="2:12" x14ac:dyDescent="0.2">
      <c r="B1444" s="436" t="s">
        <v>1774</v>
      </c>
      <c r="C1444" s="15"/>
      <c r="D1444" s="15">
        <f t="shared" ref="D1444" si="196">C1444*D1428</f>
        <v>0</v>
      </c>
      <c r="E1444" s="15"/>
      <c r="F1444" s="16">
        <f t="shared" si="195"/>
        <v>0</v>
      </c>
      <c r="G1444" s="2"/>
      <c r="H1444" s="189"/>
      <c r="I1444" s="189"/>
      <c r="J1444" s="189"/>
      <c r="K1444" s="189"/>
      <c r="L1444" s="2"/>
    </row>
    <row r="1445" spans="2:12" x14ac:dyDescent="0.2">
      <c r="B1445" s="148" t="s">
        <v>1775</v>
      </c>
      <c r="C1445" s="10">
        <v>240</v>
      </c>
      <c r="D1445" s="15">
        <f>C1445*D1427</f>
        <v>144</v>
      </c>
      <c r="E1445" s="15"/>
      <c r="F1445" s="16">
        <f t="shared" si="195"/>
        <v>384</v>
      </c>
      <c r="G1445" s="2"/>
      <c r="H1445" s="2"/>
      <c r="I1445" s="2"/>
      <c r="J1445" s="2"/>
      <c r="K1445" s="2"/>
      <c r="L1445" s="2"/>
    </row>
    <row r="1446" spans="2:12" x14ac:dyDescent="0.2">
      <c r="B1446" s="436"/>
      <c r="C1446" s="15"/>
      <c r="D1446" s="15"/>
      <c r="E1446" s="15"/>
      <c r="F1446" s="16"/>
      <c r="G1446" s="2"/>
      <c r="H1446" s="2"/>
      <c r="I1446" s="2"/>
      <c r="J1446" s="2"/>
      <c r="K1446" s="2"/>
      <c r="L1446" s="2"/>
    </row>
    <row r="1447" spans="2:12" x14ac:dyDescent="0.2">
      <c r="B1447" s="6"/>
      <c r="C1447" s="15"/>
      <c r="D1447" s="15"/>
      <c r="E1447" s="15"/>
      <c r="F1447" s="16"/>
      <c r="G1447" s="2"/>
      <c r="H1447" s="2"/>
      <c r="I1447" s="2"/>
      <c r="J1447" s="2"/>
      <c r="K1447" s="2"/>
      <c r="L1447" s="2"/>
    </row>
    <row r="1448" spans="2:12" ht="13.5" thickBot="1" x14ac:dyDescent="0.25">
      <c r="B1448" s="760"/>
      <c r="C1448" s="457"/>
      <c r="D1448" s="457"/>
      <c r="E1448" s="457"/>
      <c r="F1448" s="459"/>
      <c r="G1448" s="2"/>
      <c r="H1448" s="2"/>
      <c r="I1448" s="2"/>
      <c r="J1448" s="2"/>
      <c r="K1448" s="2"/>
      <c r="L1448" s="2"/>
    </row>
    <row r="1449" spans="2:12" ht="13.5" thickTop="1" x14ac:dyDescent="0.2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</row>
    <row r="1450" spans="2:12" x14ac:dyDescent="0.2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</row>
    <row r="1451" spans="2:12" x14ac:dyDescent="0.2">
      <c r="B1451" s="2"/>
      <c r="C1451" s="431"/>
      <c r="D1451" s="431"/>
      <c r="E1451" s="431"/>
      <c r="F1451" s="431"/>
      <c r="G1451" s="2"/>
      <c r="H1451" s="2"/>
      <c r="I1451" s="2"/>
      <c r="J1451" s="2"/>
      <c r="K1451" s="2"/>
      <c r="L1451" s="2"/>
    </row>
    <row r="1452" spans="2:12" ht="13.5" thickBot="1" x14ac:dyDescent="0.25">
      <c r="B1452" s="2"/>
      <c r="C1452" s="431"/>
      <c r="D1452" s="431"/>
      <c r="E1452" s="431"/>
      <c r="F1452" s="431"/>
      <c r="G1452" s="2"/>
      <c r="H1452" s="2"/>
      <c r="I1452" s="2"/>
      <c r="J1452" s="2"/>
      <c r="K1452" s="2"/>
      <c r="L1452" s="2"/>
    </row>
    <row r="1453" spans="2:12" ht="13.5" thickTop="1" x14ac:dyDescent="0.2">
      <c r="B1453" s="761" t="s">
        <v>579</v>
      </c>
      <c r="C1453" s="762" t="s">
        <v>685</v>
      </c>
      <c r="D1453" s="762"/>
      <c r="E1453" s="763">
        <f>E6</f>
        <v>0.6</v>
      </c>
      <c r="F1453" s="423"/>
      <c r="G1453" s="2"/>
      <c r="H1453" s="2"/>
      <c r="I1453" s="2"/>
      <c r="J1453" s="2"/>
      <c r="K1453" s="2"/>
      <c r="L1453" s="2"/>
    </row>
    <row r="1454" spans="2:12" x14ac:dyDescent="0.2">
      <c r="B1454" s="148"/>
      <c r="C1454" s="764"/>
      <c r="D1454" s="764"/>
      <c r="E1454" s="764"/>
      <c r="F1454" s="765"/>
      <c r="G1454" s="2"/>
      <c r="H1454" s="2"/>
      <c r="I1454" s="2"/>
      <c r="J1454" s="2"/>
      <c r="K1454" s="2"/>
      <c r="L1454" s="2"/>
    </row>
    <row r="1455" spans="2:12" x14ac:dyDescent="0.2">
      <c r="B1455" s="436" t="s">
        <v>689</v>
      </c>
      <c r="C1455" s="469">
        <v>1050</v>
      </c>
      <c r="D1455" s="104"/>
      <c r="E1455" s="311">
        <f>C1455*$E$1453</f>
        <v>630</v>
      </c>
      <c r="F1455" s="16">
        <f>C1455+D1455+E1455</f>
        <v>1680</v>
      </c>
      <c r="G1455" s="2" t="s">
        <v>1776</v>
      </c>
      <c r="H1455" s="189"/>
      <c r="I1455" s="189"/>
      <c r="J1455" s="189"/>
      <c r="K1455" s="929"/>
      <c r="L1455" s="2"/>
    </row>
    <row r="1456" spans="2:12" x14ac:dyDescent="0.2">
      <c r="B1456" s="436" t="s">
        <v>690</v>
      </c>
      <c r="C1456" s="469">
        <v>1150</v>
      </c>
      <c r="D1456" s="473"/>
      <c r="E1456" s="311">
        <f t="shared" ref="E1456:E1475" si="197">C1456*$E$1453</f>
        <v>690</v>
      </c>
      <c r="F1456" s="16">
        <f t="shared" ref="F1456:F1475" si="198">C1456+D1456+E1456</f>
        <v>1840</v>
      </c>
      <c r="G1456" s="2"/>
      <c r="H1456" s="189"/>
      <c r="I1456" s="165"/>
      <c r="J1456" s="165"/>
      <c r="K1456" s="929"/>
      <c r="L1456" s="2"/>
    </row>
    <row r="1457" spans="2:12" x14ac:dyDescent="0.2">
      <c r="B1457" s="436" t="s">
        <v>691</v>
      </c>
      <c r="C1457" s="469">
        <v>1300</v>
      </c>
      <c r="D1457" s="473"/>
      <c r="E1457" s="311">
        <f t="shared" si="197"/>
        <v>780</v>
      </c>
      <c r="F1457" s="16">
        <f t="shared" si="198"/>
        <v>2080</v>
      </c>
      <c r="G1457" s="2"/>
      <c r="H1457" s="189"/>
      <c r="I1457" s="165"/>
      <c r="J1457" s="165"/>
      <c r="K1457" s="692"/>
      <c r="L1457" s="2"/>
    </row>
    <row r="1458" spans="2:12" x14ac:dyDescent="0.2">
      <c r="B1458" s="436" t="s">
        <v>692</v>
      </c>
      <c r="C1458" s="469">
        <v>1800</v>
      </c>
      <c r="D1458" s="15"/>
      <c r="E1458" s="311">
        <f t="shared" si="197"/>
        <v>1080</v>
      </c>
      <c r="F1458" s="16">
        <f t="shared" si="198"/>
        <v>2880</v>
      </c>
      <c r="G1458" s="2"/>
      <c r="H1458" s="189"/>
      <c r="I1458" s="471"/>
      <c r="J1458" s="313"/>
      <c r="K1458" s="766"/>
      <c r="L1458" s="2"/>
    </row>
    <row r="1459" spans="2:12" x14ac:dyDescent="0.2">
      <c r="B1459" s="436" t="s">
        <v>693</v>
      </c>
      <c r="C1459" s="469">
        <v>2000</v>
      </c>
      <c r="D1459" s="15"/>
      <c r="E1459" s="311">
        <f t="shared" si="197"/>
        <v>1200</v>
      </c>
      <c r="F1459" s="16">
        <f t="shared" si="198"/>
        <v>3200</v>
      </c>
      <c r="G1459" s="2"/>
      <c r="H1459" s="189"/>
      <c r="I1459" s="471"/>
      <c r="J1459" s="313"/>
      <c r="K1459" s="766"/>
      <c r="L1459" s="2"/>
    </row>
    <row r="1460" spans="2:12" x14ac:dyDescent="0.2">
      <c r="B1460" s="436" t="s">
        <v>694</v>
      </c>
      <c r="C1460" s="469">
        <v>2500</v>
      </c>
      <c r="D1460" s="15"/>
      <c r="E1460" s="311">
        <f t="shared" si="197"/>
        <v>1500</v>
      </c>
      <c r="F1460" s="16">
        <f t="shared" si="198"/>
        <v>4000</v>
      </c>
      <c r="G1460" s="2"/>
      <c r="H1460" s="189"/>
      <c r="I1460" s="471"/>
      <c r="J1460" s="313"/>
      <c r="K1460" s="766"/>
      <c r="L1460" s="2"/>
    </row>
    <row r="1461" spans="2:12" x14ac:dyDescent="0.2">
      <c r="B1461" s="436"/>
      <c r="C1461" s="15"/>
      <c r="D1461" s="15"/>
      <c r="E1461" s="311">
        <f t="shared" si="197"/>
        <v>0</v>
      </c>
      <c r="F1461" s="16"/>
      <c r="G1461" s="2"/>
      <c r="H1461" s="189"/>
      <c r="I1461" s="471"/>
      <c r="J1461" s="313"/>
      <c r="K1461" s="766"/>
      <c r="L1461" s="2"/>
    </row>
    <row r="1462" spans="2:12" x14ac:dyDescent="0.2">
      <c r="B1462" s="767" t="s">
        <v>1777</v>
      </c>
      <c r="C1462" s="15"/>
      <c r="D1462" s="15"/>
      <c r="E1462" s="311">
        <f t="shared" si="197"/>
        <v>0</v>
      </c>
      <c r="F1462" s="16"/>
      <c r="G1462" s="2"/>
      <c r="H1462" s="189"/>
      <c r="I1462" s="471"/>
      <c r="J1462" s="313"/>
      <c r="K1462" s="766"/>
      <c r="L1462" s="2"/>
    </row>
    <row r="1463" spans="2:12" x14ac:dyDescent="0.2">
      <c r="B1463" s="436" t="s">
        <v>695</v>
      </c>
      <c r="C1463" s="469">
        <v>1600</v>
      </c>
      <c r="D1463" s="15"/>
      <c r="E1463" s="311">
        <f t="shared" si="197"/>
        <v>960</v>
      </c>
      <c r="F1463" s="16">
        <f t="shared" si="198"/>
        <v>2560</v>
      </c>
      <c r="G1463" s="2"/>
      <c r="H1463" s="189"/>
      <c r="I1463" s="471"/>
      <c r="J1463" s="313"/>
      <c r="K1463" s="766"/>
      <c r="L1463" s="2"/>
    </row>
    <row r="1464" spans="2:12" x14ac:dyDescent="0.2">
      <c r="B1464" s="436" t="s">
        <v>696</v>
      </c>
      <c r="C1464" s="469">
        <v>1800</v>
      </c>
      <c r="D1464" s="15"/>
      <c r="E1464" s="311">
        <f t="shared" si="197"/>
        <v>1080</v>
      </c>
      <c r="F1464" s="16">
        <f t="shared" si="198"/>
        <v>2880</v>
      </c>
      <c r="G1464" s="2"/>
      <c r="H1464" s="189"/>
      <c r="I1464" s="471"/>
      <c r="J1464" s="313"/>
      <c r="K1464" s="766"/>
      <c r="L1464" s="2"/>
    </row>
    <row r="1465" spans="2:12" x14ac:dyDescent="0.2">
      <c r="B1465" s="436" t="s">
        <v>697</v>
      </c>
      <c r="C1465" s="469">
        <v>2100</v>
      </c>
      <c r="D1465" s="15"/>
      <c r="E1465" s="311">
        <f t="shared" si="197"/>
        <v>1260</v>
      </c>
      <c r="F1465" s="16">
        <f t="shared" si="198"/>
        <v>3360</v>
      </c>
      <c r="G1465" s="2"/>
      <c r="H1465" s="189"/>
      <c r="I1465" s="471"/>
      <c r="J1465" s="313"/>
      <c r="K1465" s="766"/>
      <c r="L1465" s="2"/>
    </row>
    <row r="1466" spans="2:12" x14ac:dyDescent="0.2">
      <c r="B1466" s="436" t="s">
        <v>698</v>
      </c>
      <c r="C1466" s="469">
        <v>2300</v>
      </c>
      <c r="D1466" s="15"/>
      <c r="E1466" s="311">
        <f t="shared" si="197"/>
        <v>1380</v>
      </c>
      <c r="F1466" s="16">
        <f t="shared" si="198"/>
        <v>3680</v>
      </c>
      <c r="G1466" s="2"/>
      <c r="H1466" s="189"/>
      <c r="I1466" s="471"/>
      <c r="J1466" s="313"/>
      <c r="K1466" s="766"/>
      <c r="L1466" s="2"/>
    </row>
    <row r="1467" spans="2:12" x14ac:dyDescent="0.2">
      <c r="B1467" s="436" t="s">
        <v>699</v>
      </c>
      <c r="C1467" s="469">
        <v>2400</v>
      </c>
      <c r="D1467" s="15"/>
      <c r="E1467" s="311">
        <f t="shared" si="197"/>
        <v>1440</v>
      </c>
      <c r="F1467" s="16">
        <f t="shared" si="198"/>
        <v>3840</v>
      </c>
      <c r="G1467" s="2"/>
      <c r="H1467" s="189"/>
      <c r="I1467" s="471"/>
      <c r="J1467" s="313"/>
      <c r="K1467" s="766"/>
      <c r="L1467" s="2"/>
    </row>
    <row r="1468" spans="2:12" x14ac:dyDescent="0.2">
      <c r="B1468" s="436" t="s">
        <v>700</v>
      </c>
      <c r="C1468" s="469">
        <v>2700</v>
      </c>
      <c r="D1468" s="15"/>
      <c r="E1468" s="311">
        <f t="shared" si="197"/>
        <v>1620</v>
      </c>
      <c r="F1468" s="16">
        <f t="shared" si="198"/>
        <v>4320</v>
      </c>
      <c r="G1468" s="2"/>
      <c r="H1468" s="189"/>
      <c r="I1468" s="471"/>
      <c r="J1468" s="313"/>
      <c r="K1468" s="766"/>
      <c r="L1468" s="2"/>
    </row>
    <row r="1469" spans="2:12" x14ac:dyDescent="0.2">
      <c r="B1469" s="436" t="s">
        <v>701</v>
      </c>
      <c r="C1469" s="97"/>
      <c r="D1469" s="97"/>
      <c r="E1469" s="311">
        <f t="shared" si="197"/>
        <v>0</v>
      </c>
      <c r="F1469" s="16">
        <f t="shared" si="198"/>
        <v>0</v>
      </c>
      <c r="G1469" s="2"/>
      <c r="H1469" s="189"/>
      <c r="I1469" s="471"/>
      <c r="J1469" s="313"/>
      <c r="K1469" s="766"/>
      <c r="L1469" s="2"/>
    </row>
    <row r="1470" spans="2:12" x14ac:dyDescent="0.2">
      <c r="B1470" s="436" t="s">
        <v>702</v>
      </c>
      <c r="C1470" s="97"/>
      <c r="D1470" s="97"/>
      <c r="E1470" s="311">
        <f t="shared" si="197"/>
        <v>0</v>
      </c>
      <c r="F1470" s="16">
        <f t="shared" si="198"/>
        <v>0</v>
      </c>
      <c r="G1470" s="2"/>
      <c r="H1470" s="189"/>
      <c r="I1470" s="471"/>
      <c r="J1470" s="313"/>
      <c r="K1470" s="766"/>
      <c r="L1470" s="2"/>
    </row>
    <row r="1471" spans="2:12" x14ac:dyDescent="0.2">
      <c r="B1471" s="450"/>
      <c r="C1471" s="97"/>
      <c r="D1471" s="97"/>
      <c r="E1471" s="311"/>
      <c r="F1471" s="16"/>
      <c r="G1471" s="2"/>
      <c r="H1471" s="189"/>
      <c r="I1471" s="471"/>
      <c r="J1471" s="313"/>
      <c r="K1471" s="766"/>
      <c r="L1471" s="2"/>
    </row>
    <row r="1472" spans="2:12" x14ac:dyDescent="0.2">
      <c r="B1472" s="768" t="s">
        <v>703</v>
      </c>
      <c r="C1472" s="515">
        <v>900</v>
      </c>
      <c r="D1472" s="97"/>
      <c r="E1472" s="311">
        <f t="shared" si="197"/>
        <v>540</v>
      </c>
      <c r="F1472" s="16">
        <f t="shared" si="198"/>
        <v>1440</v>
      </c>
      <c r="G1472" s="2"/>
      <c r="H1472" s="189"/>
      <c r="I1472" s="471"/>
      <c r="J1472" s="313"/>
      <c r="K1472" s="766"/>
      <c r="L1472" s="2"/>
    </row>
    <row r="1473" spans="2:12" x14ac:dyDescent="0.2">
      <c r="B1473" s="768"/>
      <c r="C1473" s="97"/>
      <c r="D1473" s="97"/>
      <c r="E1473" s="311">
        <f t="shared" si="197"/>
        <v>0</v>
      </c>
      <c r="F1473" s="16">
        <f t="shared" si="198"/>
        <v>0</v>
      </c>
      <c r="G1473" s="2"/>
      <c r="H1473" s="189"/>
      <c r="I1473" s="471"/>
      <c r="J1473" s="313"/>
      <c r="K1473" s="766"/>
      <c r="L1473" s="2"/>
    </row>
    <row r="1474" spans="2:12" x14ac:dyDescent="0.2">
      <c r="B1474" s="450" t="s">
        <v>704</v>
      </c>
      <c r="C1474" s="515">
        <v>40</v>
      </c>
      <c r="D1474" s="97"/>
      <c r="E1474" s="311">
        <f t="shared" si="197"/>
        <v>24</v>
      </c>
      <c r="F1474" s="16">
        <f t="shared" si="198"/>
        <v>64</v>
      </c>
      <c r="G1474" s="2"/>
      <c r="H1474" s="189"/>
      <c r="I1474" s="471"/>
      <c r="J1474" s="313"/>
      <c r="K1474" s="766"/>
      <c r="L1474" s="2"/>
    </row>
    <row r="1475" spans="2:12" x14ac:dyDescent="0.2">
      <c r="B1475" s="450" t="s">
        <v>705</v>
      </c>
      <c r="C1475" s="515">
        <v>250</v>
      </c>
      <c r="D1475" s="97"/>
      <c r="E1475" s="311">
        <f t="shared" si="197"/>
        <v>150</v>
      </c>
      <c r="F1475" s="16">
        <f t="shared" si="198"/>
        <v>400</v>
      </c>
      <c r="G1475" s="2"/>
      <c r="H1475" s="189"/>
      <c r="I1475" s="471"/>
      <c r="J1475" s="313"/>
      <c r="K1475" s="766"/>
      <c r="L1475" s="2"/>
    </row>
    <row r="1476" spans="2:12" x14ac:dyDescent="0.2">
      <c r="B1476" s="769"/>
      <c r="C1476" s="97"/>
      <c r="D1476" s="97"/>
      <c r="E1476" s="311"/>
      <c r="F1476" s="16"/>
      <c r="G1476" s="2"/>
      <c r="H1476" s="189"/>
      <c r="I1476" s="471"/>
      <c r="J1476" s="313"/>
      <c r="K1476" s="766"/>
      <c r="L1476" s="2"/>
    </row>
    <row r="1477" spans="2:12" x14ac:dyDescent="0.2">
      <c r="B1477" s="768" t="s">
        <v>706</v>
      </c>
      <c r="C1477" s="97"/>
      <c r="D1477" s="97"/>
      <c r="E1477" s="311"/>
      <c r="F1477" s="16"/>
      <c r="G1477" s="2"/>
      <c r="H1477" s="189"/>
      <c r="I1477" s="471"/>
      <c r="J1477" s="313"/>
      <c r="K1477" s="766"/>
      <c r="L1477" s="2"/>
    </row>
    <row r="1478" spans="2:12" x14ac:dyDescent="0.2">
      <c r="B1478" s="450"/>
      <c r="C1478" s="97"/>
      <c r="D1478" s="97"/>
      <c r="E1478" s="311"/>
      <c r="F1478" s="16"/>
      <c r="G1478" s="2"/>
      <c r="H1478" s="189"/>
      <c r="I1478" s="471"/>
      <c r="J1478" s="313"/>
      <c r="K1478" s="766"/>
      <c r="L1478" s="2"/>
    </row>
    <row r="1479" spans="2:12" x14ac:dyDescent="0.2">
      <c r="B1479" s="436" t="s">
        <v>707</v>
      </c>
      <c r="C1479" s="521">
        <f>$C$202*(5.4+2.4)</f>
        <v>96.720000000000013</v>
      </c>
      <c r="D1479" s="97"/>
      <c r="E1479" s="311">
        <f>C1479*$E$6</f>
        <v>58.032000000000004</v>
      </c>
      <c r="F1479" s="16">
        <f t="shared" ref="F1479:F1487" si="199">C1479+D1479+E1479</f>
        <v>154.75200000000001</v>
      </c>
      <c r="G1479" s="2"/>
      <c r="H1479" s="189"/>
      <c r="I1479" s="471"/>
      <c r="J1479" s="313"/>
      <c r="K1479" s="766"/>
      <c r="L1479" s="2"/>
    </row>
    <row r="1480" spans="2:12" x14ac:dyDescent="0.2">
      <c r="B1480" s="436" t="s">
        <v>708</v>
      </c>
      <c r="C1480" s="521">
        <f>$C$202*(5.4+3)</f>
        <v>104.16000000000001</v>
      </c>
      <c r="D1480" s="97"/>
      <c r="E1480" s="311">
        <f t="shared" ref="E1480:E1487" si="200">C1480*$E$6</f>
        <v>62.496000000000002</v>
      </c>
      <c r="F1480" s="16">
        <f t="shared" si="199"/>
        <v>166.65600000000001</v>
      </c>
      <c r="G1480" s="2"/>
      <c r="H1480" s="189"/>
      <c r="I1480" s="471"/>
      <c r="J1480" s="313"/>
      <c r="K1480" s="766"/>
      <c r="L1480" s="2"/>
    </row>
    <row r="1481" spans="2:12" x14ac:dyDescent="0.2">
      <c r="B1481" s="436" t="s">
        <v>709</v>
      </c>
      <c r="C1481" s="521">
        <f>$C$202*(5.4+3.6)</f>
        <v>111.60000000000001</v>
      </c>
      <c r="D1481" s="97"/>
      <c r="E1481" s="311">
        <f t="shared" si="200"/>
        <v>66.960000000000008</v>
      </c>
      <c r="F1481" s="16">
        <f t="shared" si="199"/>
        <v>178.56</v>
      </c>
      <c r="G1481" s="2"/>
      <c r="H1481" s="189"/>
      <c r="I1481" s="471"/>
      <c r="J1481" s="313"/>
      <c r="K1481" s="766"/>
      <c r="L1481" s="2"/>
    </row>
    <row r="1482" spans="2:12" x14ac:dyDescent="0.2">
      <c r="B1482" s="436" t="s">
        <v>710</v>
      </c>
      <c r="C1482" s="521">
        <f>$C$202*(5.4+4.2)</f>
        <v>119.04000000000002</v>
      </c>
      <c r="D1482" s="97"/>
      <c r="E1482" s="311">
        <f t="shared" si="200"/>
        <v>71.424000000000007</v>
      </c>
      <c r="F1482" s="16">
        <f t="shared" si="199"/>
        <v>190.46400000000003</v>
      </c>
      <c r="G1482" s="2"/>
      <c r="H1482" s="189"/>
      <c r="I1482" s="471"/>
      <c r="J1482" s="313"/>
      <c r="K1482" s="766"/>
      <c r="L1482" s="2"/>
    </row>
    <row r="1483" spans="2:12" x14ac:dyDescent="0.2">
      <c r="B1483" s="436" t="s">
        <v>711</v>
      </c>
      <c r="C1483" s="521">
        <f>$C$202*(5.4+4.8)</f>
        <v>126.47999999999999</v>
      </c>
      <c r="D1483" s="97"/>
      <c r="E1483" s="311">
        <f t="shared" si="200"/>
        <v>75.887999999999991</v>
      </c>
      <c r="F1483" s="16">
        <f t="shared" si="199"/>
        <v>202.36799999999999</v>
      </c>
      <c r="G1483" s="2"/>
      <c r="H1483" s="189"/>
      <c r="I1483" s="471"/>
      <c r="J1483" s="313"/>
      <c r="K1483" s="766"/>
      <c r="L1483" s="2"/>
    </row>
    <row r="1484" spans="2:12" x14ac:dyDescent="0.2">
      <c r="B1484" s="436" t="s">
        <v>712</v>
      </c>
      <c r="C1484" s="521">
        <f>$C$202*(5.4+5.4)</f>
        <v>133.92000000000002</v>
      </c>
      <c r="D1484" s="97"/>
      <c r="E1484" s="311">
        <f t="shared" si="200"/>
        <v>80.352000000000004</v>
      </c>
      <c r="F1484" s="16">
        <f t="shared" si="199"/>
        <v>214.27200000000002</v>
      </c>
      <c r="G1484" s="2"/>
      <c r="H1484" s="189"/>
      <c r="I1484" s="471"/>
      <c r="J1484" s="313"/>
      <c r="K1484" s="766"/>
      <c r="L1484" s="2"/>
    </row>
    <row r="1485" spans="2:12" x14ac:dyDescent="0.2">
      <c r="B1485" s="436" t="s">
        <v>713</v>
      </c>
      <c r="C1485" s="521">
        <f>$C$202*(5.4+6)</f>
        <v>141.36000000000001</v>
      </c>
      <c r="D1485" s="97"/>
      <c r="E1485" s="311">
        <f t="shared" si="200"/>
        <v>84.816000000000003</v>
      </c>
      <c r="F1485" s="16">
        <f t="shared" si="199"/>
        <v>226.17600000000002</v>
      </c>
      <c r="G1485" s="2"/>
      <c r="H1485" s="189"/>
      <c r="I1485" s="471"/>
      <c r="J1485" s="313"/>
      <c r="K1485" s="766"/>
      <c r="L1485" s="2"/>
    </row>
    <row r="1486" spans="2:12" x14ac:dyDescent="0.2">
      <c r="B1486" s="436" t="s">
        <v>714</v>
      </c>
      <c r="C1486" s="521">
        <f>$C$202*(5.4+6.6)</f>
        <v>148.80000000000001</v>
      </c>
      <c r="D1486" s="97"/>
      <c r="E1486" s="311">
        <f t="shared" si="200"/>
        <v>89.28</v>
      </c>
      <c r="F1486" s="16">
        <f t="shared" si="199"/>
        <v>238.08</v>
      </c>
      <c r="G1486" s="2"/>
      <c r="H1486" s="189"/>
      <c r="I1486" s="471"/>
      <c r="J1486" s="313"/>
      <c r="K1486" s="766"/>
      <c r="L1486" s="2"/>
    </row>
    <row r="1487" spans="2:12" x14ac:dyDescent="0.2">
      <c r="B1487" s="450"/>
      <c r="C1487" s="97"/>
      <c r="D1487" s="97"/>
      <c r="E1487" s="311">
        <f t="shared" si="200"/>
        <v>0</v>
      </c>
      <c r="F1487" s="16">
        <f t="shared" si="199"/>
        <v>0</v>
      </c>
      <c r="G1487" s="2"/>
      <c r="H1487" s="189"/>
      <c r="I1487" s="471"/>
      <c r="J1487" s="313"/>
      <c r="K1487" s="766"/>
      <c r="L1487" s="2"/>
    </row>
    <row r="1488" spans="2:12" x14ac:dyDescent="0.2">
      <c r="B1488" s="450"/>
      <c r="C1488" s="97"/>
      <c r="D1488" s="97"/>
      <c r="E1488" s="311"/>
      <c r="F1488" s="16"/>
      <c r="G1488" s="2"/>
      <c r="H1488" s="189"/>
      <c r="I1488" s="471"/>
      <c r="J1488" s="313"/>
      <c r="K1488" s="766"/>
      <c r="L1488" s="2"/>
    </row>
    <row r="1489" spans="2:12" x14ac:dyDescent="0.2">
      <c r="B1489" s="450"/>
      <c r="C1489" s="97"/>
      <c r="D1489" s="97"/>
      <c r="E1489" s="311"/>
      <c r="F1489" s="16"/>
      <c r="G1489" s="2"/>
      <c r="H1489" s="189"/>
      <c r="I1489" s="471"/>
      <c r="J1489" s="313"/>
      <c r="K1489" s="766"/>
      <c r="L1489" s="2"/>
    </row>
    <row r="1490" spans="2:12" x14ac:dyDescent="0.2">
      <c r="B1490" s="450"/>
      <c r="C1490" s="97"/>
      <c r="D1490" s="97"/>
      <c r="E1490" s="311"/>
      <c r="F1490" s="16"/>
      <c r="G1490" s="2"/>
      <c r="H1490" s="189"/>
      <c r="I1490" s="471"/>
      <c r="J1490" s="313"/>
      <c r="K1490" s="766"/>
      <c r="L1490" s="2"/>
    </row>
    <row r="1491" spans="2:12" x14ac:dyDescent="0.2">
      <c r="B1491" s="450"/>
      <c r="C1491" s="97"/>
      <c r="D1491" s="97"/>
      <c r="E1491" s="311"/>
      <c r="F1491" s="16"/>
      <c r="G1491" s="2"/>
      <c r="H1491" s="189"/>
      <c r="I1491" s="471"/>
      <c r="J1491" s="313"/>
      <c r="K1491" s="766"/>
      <c r="L1491" s="2"/>
    </row>
    <row r="1492" spans="2:12" x14ac:dyDescent="0.2">
      <c r="B1492" s="450"/>
      <c r="C1492" s="97"/>
      <c r="D1492" s="97"/>
      <c r="E1492" s="311"/>
      <c r="F1492" s="16"/>
      <c r="G1492" s="2"/>
      <c r="H1492" s="189"/>
      <c r="I1492" s="471"/>
      <c r="J1492" s="313"/>
      <c r="K1492" s="766"/>
      <c r="L1492" s="2"/>
    </row>
    <row r="1493" spans="2:12" ht="13.5" thickBot="1" x14ac:dyDescent="0.25">
      <c r="B1493" s="456"/>
      <c r="C1493" s="97"/>
      <c r="D1493" s="97"/>
      <c r="E1493" s="770"/>
      <c r="F1493" s="87"/>
      <c r="G1493" s="2"/>
      <c r="H1493" s="189"/>
      <c r="I1493" s="471"/>
      <c r="J1493" s="165"/>
      <c r="K1493" s="682"/>
      <c r="L1493" s="2"/>
    </row>
    <row r="1494" spans="2:12" ht="14.25" thickTop="1" thickBot="1" x14ac:dyDescent="0.25">
      <c r="B1494" s="189"/>
      <c r="C1494" s="771"/>
      <c r="D1494" s="771"/>
      <c r="E1494" s="772"/>
      <c r="F1494" s="771"/>
      <c r="G1494" s="2"/>
      <c r="H1494" s="189"/>
      <c r="I1494" s="471"/>
      <c r="J1494" s="165"/>
      <c r="K1494" s="682"/>
      <c r="L1494" s="2"/>
    </row>
    <row r="1495" spans="2:12" ht="13.5" thickTop="1" x14ac:dyDescent="0.2">
      <c r="B1495" s="492" t="s">
        <v>1778</v>
      </c>
      <c r="C1495" s="453"/>
      <c r="D1495" s="453"/>
      <c r="E1495" s="773">
        <f t="shared" ref="E1495:E1549" si="201">C1495*$E$6</f>
        <v>0</v>
      </c>
      <c r="F1495" s="455">
        <f t="shared" ref="F1495:F1549" si="202">C1495+D1495+E1495</f>
        <v>0</v>
      </c>
      <c r="G1495" s="2"/>
      <c r="H1495" s="189"/>
      <c r="I1495" s="471"/>
      <c r="J1495" s="165"/>
      <c r="K1495" s="766"/>
      <c r="L1495" s="2"/>
    </row>
    <row r="1496" spans="2:12" x14ac:dyDescent="0.2">
      <c r="B1496" s="436" t="s">
        <v>1779</v>
      </c>
      <c r="C1496" s="15">
        <v>3288</v>
      </c>
      <c r="D1496" s="15"/>
      <c r="E1496" s="311">
        <f t="shared" si="201"/>
        <v>1972.8</v>
      </c>
      <c r="F1496" s="16">
        <f t="shared" si="202"/>
        <v>5260.8</v>
      </c>
      <c r="G1496" s="2"/>
      <c r="H1496" s="189"/>
      <c r="I1496" s="471"/>
      <c r="J1496" s="165"/>
      <c r="K1496" s="682"/>
      <c r="L1496" s="2"/>
    </row>
    <row r="1497" spans="2:12" x14ac:dyDescent="0.2">
      <c r="B1497" s="436" t="s">
        <v>1780</v>
      </c>
      <c r="C1497" s="15">
        <v>3076</v>
      </c>
      <c r="D1497" s="15"/>
      <c r="E1497" s="311">
        <f t="shared" si="201"/>
        <v>1845.6</v>
      </c>
      <c r="F1497" s="16">
        <f t="shared" si="202"/>
        <v>4921.6000000000004</v>
      </c>
      <c r="G1497" s="2"/>
      <c r="H1497" s="189"/>
      <c r="I1497" s="471"/>
      <c r="J1497" s="165"/>
      <c r="K1497" s="682"/>
      <c r="L1497" s="2"/>
    </row>
    <row r="1498" spans="2:12" x14ac:dyDescent="0.2">
      <c r="B1498" s="436" t="s">
        <v>1781</v>
      </c>
      <c r="C1498" s="15">
        <v>2987</v>
      </c>
      <c r="D1498" s="15"/>
      <c r="E1498" s="311">
        <f t="shared" si="201"/>
        <v>1792.2</v>
      </c>
      <c r="F1498" s="16">
        <f t="shared" si="202"/>
        <v>4779.2</v>
      </c>
      <c r="G1498" s="2"/>
      <c r="H1498" s="189"/>
      <c r="I1498" s="471"/>
      <c r="J1498" s="165"/>
      <c r="K1498" s="682"/>
      <c r="L1498" s="2"/>
    </row>
    <row r="1499" spans="2:12" x14ac:dyDescent="0.2">
      <c r="B1499" s="436" t="s">
        <v>1782</v>
      </c>
      <c r="C1499" s="15">
        <v>2898</v>
      </c>
      <c r="D1499" s="15"/>
      <c r="E1499" s="311">
        <f t="shared" si="201"/>
        <v>1738.8</v>
      </c>
      <c r="F1499" s="16">
        <f t="shared" si="202"/>
        <v>4636.8</v>
      </c>
      <c r="G1499" s="2"/>
      <c r="H1499" s="189"/>
      <c r="I1499" s="471"/>
      <c r="J1499" s="165"/>
      <c r="K1499" s="682"/>
      <c r="L1499" s="2"/>
    </row>
    <row r="1500" spans="2:12" x14ac:dyDescent="0.2">
      <c r="B1500" s="436" t="s">
        <v>1783</v>
      </c>
      <c r="C1500" s="15">
        <v>2044</v>
      </c>
      <c r="D1500" s="15"/>
      <c r="E1500" s="311">
        <f t="shared" si="201"/>
        <v>1226.3999999999999</v>
      </c>
      <c r="F1500" s="16">
        <f t="shared" si="202"/>
        <v>3270.3999999999996</v>
      </c>
      <c r="G1500" s="2"/>
      <c r="H1500" s="189"/>
      <c r="I1500" s="471"/>
      <c r="J1500" s="165"/>
      <c r="K1500" s="682"/>
      <c r="L1500" s="2"/>
    </row>
    <row r="1501" spans="2:12" x14ac:dyDescent="0.2">
      <c r="B1501" s="436" t="s">
        <v>1784</v>
      </c>
      <c r="C1501" s="15">
        <v>1873</v>
      </c>
      <c r="D1501" s="15"/>
      <c r="E1501" s="311">
        <f t="shared" si="201"/>
        <v>1123.8</v>
      </c>
      <c r="F1501" s="16">
        <f t="shared" si="202"/>
        <v>2996.8</v>
      </c>
      <c r="G1501" s="2"/>
      <c r="H1501" s="189"/>
      <c r="I1501" s="471"/>
      <c r="J1501" s="165"/>
      <c r="K1501" s="682"/>
      <c r="L1501" s="2"/>
    </row>
    <row r="1502" spans="2:12" x14ac:dyDescent="0.2">
      <c r="B1502" s="436" t="s">
        <v>1785</v>
      </c>
      <c r="C1502" s="15">
        <v>1735</v>
      </c>
      <c r="D1502" s="15"/>
      <c r="E1502" s="311">
        <f t="shared" si="201"/>
        <v>1041</v>
      </c>
      <c r="F1502" s="16">
        <f t="shared" si="202"/>
        <v>2776</v>
      </c>
      <c r="G1502" s="2"/>
      <c r="H1502" s="189"/>
      <c r="I1502" s="471"/>
      <c r="J1502" s="165"/>
      <c r="K1502" s="682"/>
      <c r="L1502" s="2"/>
    </row>
    <row r="1503" spans="2:12" x14ac:dyDescent="0.2">
      <c r="B1503" s="436" t="s">
        <v>1786</v>
      </c>
      <c r="C1503" s="15">
        <v>1642</v>
      </c>
      <c r="D1503" s="15"/>
      <c r="E1503" s="311">
        <f t="shared" si="201"/>
        <v>985.19999999999993</v>
      </c>
      <c r="F1503" s="16">
        <f t="shared" si="202"/>
        <v>2627.2</v>
      </c>
      <c r="G1503" s="2"/>
      <c r="H1503" s="189"/>
      <c r="I1503" s="471"/>
      <c r="J1503" s="165"/>
      <c r="K1503" s="682"/>
      <c r="L1503" s="2"/>
    </row>
    <row r="1504" spans="2:12" x14ac:dyDescent="0.2">
      <c r="B1504" s="436"/>
      <c r="C1504" s="15"/>
      <c r="D1504" s="15"/>
      <c r="E1504" s="311"/>
      <c r="F1504" s="16"/>
      <c r="G1504" s="2"/>
      <c r="H1504" s="189"/>
      <c r="I1504" s="471"/>
      <c r="J1504" s="165"/>
      <c r="K1504" s="682"/>
      <c r="L1504" s="2"/>
    </row>
    <row r="1505" spans="2:12" x14ac:dyDescent="0.2">
      <c r="B1505" s="496" t="s">
        <v>1787</v>
      </c>
      <c r="C1505" s="15"/>
      <c r="D1505" s="15"/>
      <c r="E1505" s="311">
        <f t="shared" si="201"/>
        <v>0</v>
      </c>
      <c r="F1505" s="16">
        <f t="shared" si="202"/>
        <v>0</v>
      </c>
      <c r="G1505" s="2"/>
      <c r="H1505" s="189"/>
      <c r="I1505" s="471"/>
      <c r="J1505" s="165"/>
      <c r="K1505" s="766"/>
      <c r="L1505" s="2"/>
    </row>
    <row r="1506" spans="2:12" x14ac:dyDescent="0.2">
      <c r="B1506" s="436" t="s">
        <v>1788</v>
      </c>
      <c r="C1506" s="15">
        <v>1942</v>
      </c>
      <c r="D1506" s="15"/>
      <c r="E1506" s="311">
        <f t="shared" si="201"/>
        <v>1165.2</v>
      </c>
      <c r="F1506" s="16">
        <f t="shared" si="202"/>
        <v>3107.2</v>
      </c>
      <c r="G1506" s="2"/>
      <c r="H1506" s="189"/>
      <c r="I1506" s="471"/>
      <c r="J1506" s="165"/>
      <c r="K1506" s="682"/>
      <c r="L1506" s="2"/>
    </row>
    <row r="1507" spans="2:12" x14ac:dyDescent="0.2">
      <c r="B1507" s="436" t="s">
        <v>1789</v>
      </c>
      <c r="C1507" s="15">
        <v>1810</v>
      </c>
      <c r="D1507" s="15"/>
      <c r="E1507" s="311">
        <f t="shared" si="201"/>
        <v>1086</v>
      </c>
      <c r="F1507" s="16">
        <f t="shared" si="202"/>
        <v>2896</v>
      </c>
      <c r="G1507" s="2"/>
      <c r="H1507" s="189"/>
      <c r="I1507" s="471"/>
      <c r="J1507" s="165"/>
      <c r="K1507" s="682"/>
      <c r="L1507" s="2"/>
    </row>
    <row r="1508" spans="2:12" x14ac:dyDescent="0.2">
      <c r="B1508" s="436" t="s">
        <v>1790</v>
      </c>
      <c r="C1508" s="15">
        <v>1674</v>
      </c>
      <c r="D1508" s="15"/>
      <c r="E1508" s="311">
        <f t="shared" si="201"/>
        <v>1004.4</v>
      </c>
      <c r="F1508" s="16">
        <f t="shared" si="202"/>
        <v>2678.4</v>
      </c>
      <c r="G1508" s="2"/>
      <c r="H1508" s="189"/>
      <c r="I1508" s="471"/>
      <c r="J1508" s="165"/>
      <c r="K1508" s="682"/>
      <c r="L1508" s="2"/>
    </row>
    <row r="1509" spans="2:12" x14ac:dyDescent="0.2">
      <c r="B1509" s="436" t="s">
        <v>1791</v>
      </c>
      <c r="C1509" s="15">
        <v>1362</v>
      </c>
      <c r="D1509" s="15"/>
      <c r="E1509" s="311">
        <f t="shared" si="201"/>
        <v>817.19999999999993</v>
      </c>
      <c r="F1509" s="16">
        <f t="shared" si="202"/>
        <v>2179.1999999999998</v>
      </c>
      <c r="G1509" s="2"/>
      <c r="H1509" s="189"/>
      <c r="I1509" s="471"/>
      <c r="J1509" s="165"/>
      <c r="K1509" s="682"/>
      <c r="L1509" s="2"/>
    </row>
    <row r="1510" spans="2:12" x14ac:dyDescent="0.2">
      <c r="B1510" s="436" t="s">
        <v>1792</v>
      </c>
      <c r="C1510" s="15">
        <v>1266</v>
      </c>
      <c r="D1510" s="15"/>
      <c r="E1510" s="311">
        <f t="shared" si="201"/>
        <v>759.6</v>
      </c>
      <c r="F1510" s="16">
        <f t="shared" si="202"/>
        <v>2025.6</v>
      </c>
      <c r="G1510" s="2"/>
      <c r="H1510" s="189"/>
      <c r="I1510" s="471"/>
      <c r="J1510" s="165"/>
      <c r="K1510" s="682"/>
      <c r="L1510" s="2"/>
    </row>
    <row r="1511" spans="2:12" x14ac:dyDescent="0.2">
      <c r="B1511" s="436" t="s">
        <v>1793</v>
      </c>
      <c r="C1511" s="15">
        <v>1166</v>
      </c>
      <c r="D1511" s="15"/>
      <c r="E1511" s="311">
        <f t="shared" si="201"/>
        <v>699.6</v>
      </c>
      <c r="F1511" s="16">
        <f t="shared" si="202"/>
        <v>1865.6</v>
      </c>
      <c r="G1511" s="2"/>
      <c r="H1511" s="189"/>
      <c r="I1511" s="471"/>
      <c r="J1511" s="165"/>
      <c r="K1511" s="766"/>
      <c r="L1511" s="2"/>
    </row>
    <row r="1512" spans="2:12" x14ac:dyDescent="0.2">
      <c r="B1512" s="436" t="s">
        <v>1794</v>
      </c>
      <c r="C1512" s="15">
        <v>957</v>
      </c>
      <c r="D1512" s="15"/>
      <c r="E1512" s="311">
        <f t="shared" si="201"/>
        <v>574.19999999999993</v>
      </c>
      <c r="F1512" s="16">
        <f t="shared" si="202"/>
        <v>1531.1999999999998</v>
      </c>
      <c r="G1512" s="2"/>
      <c r="H1512" s="189"/>
      <c r="I1512" s="471"/>
      <c r="J1512" s="165"/>
      <c r="K1512" s="766"/>
      <c r="L1512" s="2"/>
    </row>
    <row r="1513" spans="2:12" x14ac:dyDescent="0.2">
      <c r="B1513" s="436" t="s">
        <v>1795</v>
      </c>
      <c r="C1513" s="15">
        <v>892</v>
      </c>
      <c r="D1513" s="15"/>
      <c r="E1513" s="311">
        <f t="shared" si="201"/>
        <v>535.19999999999993</v>
      </c>
      <c r="F1513" s="16">
        <f t="shared" si="202"/>
        <v>1427.1999999999998</v>
      </c>
      <c r="G1513" s="2"/>
      <c r="H1513" s="189"/>
      <c r="I1513" s="471"/>
      <c r="J1513" s="165"/>
      <c r="K1513" s="682"/>
      <c r="L1513" s="2"/>
    </row>
    <row r="1514" spans="2:12" x14ac:dyDescent="0.2">
      <c r="B1514" s="436" t="s">
        <v>1796</v>
      </c>
      <c r="C1514" s="15">
        <v>826</v>
      </c>
      <c r="D1514" s="15"/>
      <c r="E1514" s="311">
        <f t="shared" si="201"/>
        <v>495.59999999999997</v>
      </c>
      <c r="F1514" s="16">
        <f t="shared" si="202"/>
        <v>1321.6</v>
      </c>
      <c r="G1514" s="2"/>
      <c r="H1514" s="189"/>
      <c r="I1514" s="471"/>
      <c r="J1514" s="165"/>
      <c r="K1514" s="682"/>
      <c r="L1514" s="2"/>
    </row>
    <row r="1515" spans="2:12" x14ac:dyDescent="0.2">
      <c r="B1515" s="436"/>
      <c r="C1515" s="15"/>
      <c r="D1515" s="15"/>
      <c r="E1515" s="311"/>
      <c r="F1515" s="16"/>
      <c r="G1515" s="2"/>
      <c r="H1515" s="189"/>
      <c r="I1515" s="471"/>
      <c r="J1515" s="165"/>
      <c r="K1515" s="682"/>
      <c r="L1515" s="2"/>
    </row>
    <row r="1516" spans="2:12" x14ac:dyDescent="0.2">
      <c r="B1516" s="496" t="s">
        <v>1797</v>
      </c>
      <c r="C1516" s="15"/>
      <c r="D1516" s="15"/>
      <c r="E1516" s="311">
        <f t="shared" si="201"/>
        <v>0</v>
      </c>
      <c r="F1516" s="16">
        <f t="shared" si="202"/>
        <v>0</v>
      </c>
      <c r="G1516" s="2"/>
      <c r="H1516" s="189"/>
      <c r="I1516" s="471"/>
      <c r="J1516" s="165"/>
      <c r="K1516" s="682"/>
      <c r="L1516" s="2"/>
    </row>
    <row r="1517" spans="2:12" x14ac:dyDescent="0.2">
      <c r="B1517" s="436" t="s">
        <v>1798</v>
      </c>
      <c r="C1517" s="15">
        <v>828</v>
      </c>
      <c r="D1517" s="15"/>
      <c r="E1517" s="311">
        <f t="shared" si="201"/>
        <v>496.79999999999995</v>
      </c>
      <c r="F1517" s="16">
        <f t="shared" si="202"/>
        <v>1324.8</v>
      </c>
      <c r="G1517" s="2"/>
      <c r="H1517" s="189"/>
      <c r="I1517" s="471"/>
      <c r="J1517" s="165"/>
      <c r="K1517" s="682"/>
      <c r="L1517" s="2"/>
    </row>
    <row r="1518" spans="2:12" x14ac:dyDescent="0.2">
      <c r="B1518" s="436" t="s">
        <v>1799</v>
      </c>
      <c r="C1518" s="15">
        <v>1118</v>
      </c>
      <c r="D1518" s="15"/>
      <c r="E1518" s="311">
        <f t="shared" si="201"/>
        <v>670.8</v>
      </c>
      <c r="F1518" s="16">
        <f t="shared" si="202"/>
        <v>1788.8</v>
      </c>
      <c r="G1518" s="2"/>
      <c r="H1518" s="189"/>
      <c r="I1518" s="471"/>
      <c r="J1518" s="165"/>
      <c r="K1518" s="682"/>
      <c r="L1518" s="2"/>
    </row>
    <row r="1519" spans="2:12" x14ac:dyDescent="0.2">
      <c r="B1519" s="436" t="s">
        <v>1800</v>
      </c>
      <c r="C1519" s="15">
        <v>1169</v>
      </c>
      <c r="D1519" s="15"/>
      <c r="E1519" s="311">
        <f t="shared" si="201"/>
        <v>701.4</v>
      </c>
      <c r="F1519" s="16">
        <f t="shared" si="202"/>
        <v>1870.4</v>
      </c>
      <c r="G1519" s="2"/>
      <c r="H1519" s="189"/>
      <c r="I1519" s="471"/>
      <c r="J1519" s="165"/>
      <c r="K1519" s="682"/>
      <c r="L1519" s="2"/>
    </row>
    <row r="1520" spans="2:12" x14ac:dyDescent="0.2">
      <c r="B1520" s="436" t="s">
        <v>1801</v>
      </c>
      <c r="C1520" s="15">
        <v>1221</v>
      </c>
      <c r="D1520" s="15"/>
      <c r="E1520" s="311">
        <f t="shared" si="201"/>
        <v>732.6</v>
      </c>
      <c r="F1520" s="16">
        <f t="shared" si="202"/>
        <v>1953.6</v>
      </c>
      <c r="G1520" s="2"/>
      <c r="H1520" s="189"/>
      <c r="I1520" s="471"/>
      <c r="J1520" s="165"/>
      <c r="K1520" s="682"/>
      <c r="L1520" s="2"/>
    </row>
    <row r="1521" spans="2:12" x14ac:dyDescent="0.2">
      <c r="B1521" s="436"/>
      <c r="C1521" s="15"/>
      <c r="D1521" s="15"/>
      <c r="E1521" s="311"/>
      <c r="F1521" s="16"/>
      <c r="G1521" s="2"/>
      <c r="H1521" s="189"/>
      <c r="I1521" s="471"/>
      <c r="J1521" s="165"/>
      <c r="K1521" s="682"/>
      <c r="L1521" s="2"/>
    </row>
    <row r="1522" spans="2:12" x14ac:dyDescent="0.2">
      <c r="B1522" s="496" t="s">
        <v>1802</v>
      </c>
      <c r="C1522" s="15"/>
      <c r="D1522" s="15"/>
      <c r="E1522" s="311">
        <f t="shared" si="201"/>
        <v>0</v>
      </c>
      <c r="F1522" s="16">
        <f t="shared" si="202"/>
        <v>0</v>
      </c>
      <c r="G1522" s="2"/>
      <c r="H1522" s="189"/>
      <c r="I1522" s="471"/>
      <c r="J1522" s="165"/>
      <c r="K1522" s="682"/>
      <c r="L1522" s="2"/>
    </row>
    <row r="1523" spans="2:12" x14ac:dyDescent="0.2">
      <c r="B1523" s="436" t="s">
        <v>1803</v>
      </c>
      <c r="C1523" s="15">
        <v>321</v>
      </c>
      <c r="D1523" s="15"/>
      <c r="E1523" s="311">
        <f t="shared" si="201"/>
        <v>192.6</v>
      </c>
      <c r="F1523" s="16">
        <f t="shared" si="202"/>
        <v>513.6</v>
      </c>
      <c r="G1523" s="2"/>
      <c r="H1523" s="189"/>
      <c r="I1523" s="471"/>
      <c r="J1523" s="165"/>
      <c r="K1523" s="682"/>
      <c r="L1523" s="2"/>
    </row>
    <row r="1524" spans="2:12" x14ac:dyDescent="0.2">
      <c r="B1524" s="436" t="s">
        <v>1804</v>
      </c>
      <c r="C1524" s="15">
        <v>360</v>
      </c>
      <c r="D1524" s="15"/>
      <c r="E1524" s="311">
        <f t="shared" si="201"/>
        <v>216</v>
      </c>
      <c r="F1524" s="16">
        <f t="shared" si="202"/>
        <v>576</v>
      </c>
      <c r="G1524" s="2"/>
      <c r="H1524" s="189"/>
      <c r="I1524" s="471"/>
      <c r="J1524" s="165"/>
      <c r="K1524" s="682"/>
      <c r="L1524" s="2"/>
    </row>
    <row r="1525" spans="2:12" x14ac:dyDescent="0.2">
      <c r="B1525" s="436" t="s">
        <v>1805</v>
      </c>
      <c r="C1525" s="15">
        <v>407</v>
      </c>
      <c r="D1525" s="15"/>
      <c r="E1525" s="311">
        <f t="shared" si="201"/>
        <v>244.2</v>
      </c>
      <c r="F1525" s="16">
        <f t="shared" si="202"/>
        <v>651.20000000000005</v>
      </c>
      <c r="G1525" s="2"/>
      <c r="H1525" s="189"/>
      <c r="I1525" s="471"/>
      <c r="J1525" s="165"/>
      <c r="K1525" s="682"/>
      <c r="L1525" s="2"/>
    </row>
    <row r="1526" spans="2:12" x14ac:dyDescent="0.2">
      <c r="B1526" s="436" t="s">
        <v>1806</v>
      </c>
      <c r="C1526" s="15">
        <v>445</v>
      </c>
      <c r="D1526" s="15"/>
      <c r="E1526" s="311">
        <f t="shared" si="201"/>
        <v>267</v>
      </c>
      <c r="F1526" s="16">
        <f t="shared" si="202"/>
        <v>712</v>
      </c>
      <c r="G1526" s="2"/>
      <c r="H1526" s="189"/>
      <c r="I1526" s="471"/>
      <c r="J1526" s="165"/>
      <c r="K1526" s="682"/>
      <c r="L1526" s="2"/>
    </row>
    <row r="1527" spans="2:12" x14ac:dyDescent="0.2">
      <c r="B1527" s="436" t="s">
        <v>1807</v>
      </c>
      <c r="C1527" s="15">
        <v>484</v>
      </c>
      <c r="D1527" s="15"/>
      <c r="E1527" s="311">
        <f t="shared" si="201"/>
        <v>290.39999999999998</v>
      </c>
      <c r="F1527" s="16">
        <f t="shared" si="202"/>
        <v>774.4</v>
      </c>
      <c r="G1527" s="2"/>
      <c r="H1527" s="189"/>
      <c r="I1527" s="471"/>
      <c r="J1527" s="165"/>
      <c r="K1527" s="682"/>
      <c r="L1527" s="2"/>
    </row>
    <row r="1528" spans="2:12" x14ac:dyDescent="0.2">
      <c r="B1528" s="436" t="s">
        <v>1808</v>
      </c>
      <c r="C1528" s="15">
        <v>523</v>
      </c>
      <c r="D1528" s="15"/>
      <c r="E1528" s="311">
        <f t="shared" si="201"/>
        <v>313.8</v>
      </c>
      <c r="F1528" s="16">
        <f t="shared" si="202"/>
        <v>836.8</v>
      </c>
      <c r="G1528" s="2"/>
      <c r="H1528" s="189"/>
      <c r="I1528" s="471"/>
      <c r="J1528" s="165"/>
      <c r="K1528" s="682"/>
      <c r="L1528" s="2"/>
    </row>
    <row r="1529" spans="2:12" x14ac:dyDescent="0.2">
      <c r="B1529" s="436" t="s">
        <v>1809</v>
      </c>
      <c r="C1529" s="15">
        <v>656</v>
      </c>
      <c r="D1529" s="15"/>
      <c r="E1529" s="311">
        <f t="shared" si="201"/>
        <v>393.59999999999997</v>
      </c>
      <c r="F1529" s="16">
        <f t="shared" si="202"/>
        <v>1049.5999999999999</v>
      </c>
      <c r="G1529" s="2"/>
      <c r="H1529" s="189"/>
      <c r="I1529" s="471"/>
      <c r="J1529" s="165"/>
      <c r="K1529" s="682"/>
      <c r="L1529" s="2"/>
    </row>
    <row r="1530" spans="2:12" x14ac:dyDescent="0.2">
      <c r="B1530" s="436" t="s">
        <v>1810</v>
      </c>
      <c r="C1530" s="15">
        <v>753</v>
      </c>
      <c r="D1530" s="15"/>
      <c r="E1530" s="311">
        <f t="shared" si="201"/>
        <v>451.8</v>
      </c>
      <c r="F1530" s="16">
        <f t="shared" si="202"/>
        <v>1204.8</v>
      </c>
      <c r="G1530" s="2"/>
      <c r="H1530" s="189"/>
      <c r="I1530" s="471"/>
      <c r="J1530" s="165"/>
      <c r="K1530" s="682"/>
      <c r="L1530" s="2"/>
    </row>
    <row r="1531" spans="2:12" x14ac:dyDescent="0.2">
      <c r="B1531" s="436"/>
      <c r="C1531" s="15"/>
      <c r="D1531" s="15"/>
      <c r="E1531" s="311"/>
      <c r="F1531" s="16"/>
      <c r="G1531" s="2"/>
      <c r="H1531" s="189"/>
      <c r="I1531" s="471"/>
      <c r="J1531" s="165"/>
      <c r="K1531" s="682"/>
      <c r="L1531" s="2"/>
    </row>
    <row r="1532" spans="2:12" x14ac:dyDescent="0.2">
      <c r="B1532" s="436" t="s">
        <v>1811</v>
      </c>
      <c r="C1532" s="15"/>
      <c r="D1532" s="15"/>
      <c r="E1532" s="311">
        <f t="shared" si="201"/>
        <v>0</v>
      </c>
      <c r="F1532" s="16">
        <f t="shared" si="202"/>
        <v>0</v>
      </c>
      <c r="G1532" s="2"/>
      <c r="H1532" s="189"/>
      <c r="I1532" s="471"/>
      <c r="J1532" s="165"/>
      <c r="K1532" s="682"/>
      <c r="L1532" s="2"/>
    </row>
    <row r="1533" spans="2:12" x14ac:dyDescent="0.2">
      <c r="B1533" s="436" t="s">
        <v>1804</v>
      </c>
      <c r="C1533" s="15"/>
      <c r="D1533" s="15"/>
      <c r="E1533" s="311">
        <f t="shared" si="201"/>
        <v>0</v>
      </c>
      <c r="F1533" s="16">
        <f t="shared" si="202"/>
        <v>0</v>
      </c>
      <c r="G1533" s="2"/>
      <c r="H1533" s="189"/>
      <c r="I1533" s="471"/>
      <c r="J1533" s="165"/>
      <c r="K1533" s="682"/>
      <c r="L1533" s="2"/>
    </row>
    <row r="1534" spans="2:12" x14ac:dyDescent="0.2">
      <c r="B1534" s="436" t="s">
        <v>1805</v>
      </c>
      <c r="C1534" s="15"/>
      <c r="D1534" s="15"/>
      <c r="E1534" s="311">
        <f t="shared" si="201"/>
        <v>0</v>
      </c>
      <c r="F1534" s="16">
        <f t="shared" si="202"/>
        <v>0</v>
      </c>
      <c r="G1534" s="2"/>
      <c r="H1534" s="189"/>
      <c r="I1534" s="471"/>
      <c r="J1534" s="165"/>
      <c r="K1534" s="682"/>
      <c r="L1534" s="2"/>
    </row>
    <row r="1535" spans="2:12" x14ac:dyDescent="0.2">
      <c r="B1535" s="436" t="s">
        <v>1806</v>
      </c>
      <c r="C1535" s="15"/>
      <c r="D1535" s="15"/>
      <c r="E1535" s="311">
        <f t="shared" si="201"/>
        <v>0</v>
      </c>
      <c r="F1535" s="16">
        <f t="shared" si="202"/>
        <v>0</v>
      </c>
      <c r="G1535" s="2"/>
      <c r="H1535" s="189"/>
      <c r="I1535" s="471"/>
      <c r="J1535" s="165"/>
      <c r="K1535" s="682"/>
      <c r="L1535" s="2"/>
    </row>
    <row r="1536" spans="2:12" x14ac:dyDescent="0.2">
      <c r="B1536" s="436" t="s">
        <v>1807</v>
      </c>
      <c r="C1536" s="15"/>
      <c r="D1536" s="15"/>
      <c r="E1536" s="311">
        <f t="shared" si="201"/>
        <v>0</v>
      </c>
      <c r="F1536" s="16">
        <f t="shared" si="202"/>
        <v>0</v>
      </c>
      <c r="G1536" s="2"/>
      <c r="H1536" s="189"/>
      <c r="I1536" s="471"/>
      <c r="J1536" s="165"/>
      <c r="K1536" s="682"/>
      <c r="L1536" s="2"/>
    </row>
    <row r="1537" spans="2:12" x14ac:dyDescent="0.2">
      <c r="B1537" s="436" t="s">
        <v>1808</v>
      </c>
      <c r="C1537" s="15"/>
      <c r="D1537" s="15"/>
      <c r="E1537" s="311">
        <f t="shared" si="201"/>
        <v>0</v>
      </c>
      <c r="F1537" s="16">
        <f t="shared" si="202"/>
        <v>0</v>
      </c>
      <c r="G1537" s="2"/>
      <c r="H1537" s="189"/>
      <c r="I1537" s="471"/>
      <c r="J1537" s="165"/>
      <c r="K1537" s="682"/>
      <c r="L1537" s="2"/>
    </row>
    <row r="1538" spans="2:12" x14ac:dyDescent="0.2">
      <c r="B1538" s="436" t="s">
        <v>1809</v>
      </c>
      <c r="C1538" s="15"/>
      <c r="D1538" s="15"/>
      <c r="E1538" s="311">
        <f t="shared" si="201"/>
        <v>0</v>
      </c>
      <c r="F1538" s="16">
        <f t="shared" si="202"/>
        <v>0</v>
      </c>
      <c r="G1538" s="2"/>
      <c r="H1538" s="189"/>
      <c r="I1538" s="471"/>
      <c r="J1538" s="165"/>
      <c r="K1538" s="682"/>
      <c r="L1538" s="2"/>
    </row>
    <row r="1539" spans="2:12" x14ac:dyDescent="0.2">
      <c r="B1539" s="436" t="s">
        <v>1810</v>
      </c>
      <c r="C1539" s="15"/>
      <c r="D1539" s="15"/>
      <c r="E1539" s="311">
        <f t="shared" si="201"/>
        <v>0</v>
      </c>
      <c r="F1539" s="16">
        <f t="shared" si="202"/>
        <v>0</v>
      </c>
      <c r="G1539" s="2"/>
      <c r="H1539" s="189"/>
      <c r="I1539" s="471"/>
      <c r="J1539" s="165"/>
      <c r="K1539" s="682"/>
      <c r="L1539" s="2"/>
    </row>
    <row r="1540" spans="2:12" x14ac:dyDescent="0.2">
      <c r="B1540" s="436"/>
      <c r="C1540" s="15"/>
      <c r="D1540" s="15"/>
      <c r="E1540" s="311">
        <f t="shared" si="201"/>
        <v>0</v>
      </c>
      <c r="F1540" s="16">
        <f t="shared" si="202"/>
        <v>0</v>
      </c>
      <c r="G1540" s="2"/>
      <c r="H1540" s="189"/>
      <c r="I1540" s="471"/>
      <c r="J1540" s="165"/>
      <c r="K1540" s="682"/>
      <c r="L1540" s="2"/>
    </row>
    <row r="1541" spans="2:12" x14ac:dyDescent="0.2">
      <c r="B1541" s="436"/>
      <c r="C1541" s="15"/>
      <c r="D1541" s="15"/>
      <c r="E1541" s="311">
        <f t="shared" si="201"/>
        <v>0</v>
      </c>
      <c r="F1541" s="16">
        <f t="shared" si="202"/>
        <v>0</v>
      </c>
      <c r="G1541" s="2"/>
      <c r="H1541" s="189"/>
      <c r="I1541" s="471"/>
      <c r="J1541" s="165"/>
      <c r="K1541" s="682"/>
      <c r="L1541" s="2"/>
    </row>
    <row r="1542" spans="2:12" x14ac:dyDescent="0.2">
      <c r="B1542" s="436"/>
      <c r="C1542" s="15"/>
      <c r="D1542" s="15"/>
      <c r="E1542" s="311">
        <f t="shared" si="201"/>
        <v>0</v>
      </c>
      <c r="F1542" s="16">
        <f t="shared" si="202"/>
        <v>0</v>
      </c>
      <c r="G1542" s="2"/>
      <c r="H1542" s="189"/>
      <c r="I1542" s="471"/>
      <c r="J1542" s="165"/>
      <c r="K1542" s="682"/>
      <c r="L1542" s="2"/>
    </row>
    <row r="1543" spans="2:12" x14ac:dyDescent="0.2">
      <c r="B1543" s="436"/>
      <c r="C1543" s="15"/>
      <c r="D1543" s="15"/>
      <c r="E1543" s="311">
        <f t="shared" si="201"/>
        <v>0</v>
      </c>
      <c r="F1543" s="16">
        <f t="shared" si="202"/>
        <v>0</v>
      </c>
      <c r="G1543" s="2"/>
      <c r="H1543" s="189"/>
      <c r="I1543" s="471"/>
      <c r="J1543" s="165"/>
      <c r="K1543" s="682"/>
      <c r="L1543" s="2"/>
    </row>
    <row r="1544" spans="2:12" x14ac:dyDescent="0.2">
      <c r="B1544" s="436"/>
      <c r="C1544" s="15"/>
      <c r="D1544" s="15"/>
      <c r="E1544" s="311">
        <f t="shared" si="201"/>
        <v>0</v>
      </c>
      <c r="F1544" s="16">
        <f t="shared" si="202"/>
        <v>0</v>
      </c>
      <c r="G1544" s="2"/>
      <c r="H1544" s="189"/>
      <c r="I1544" s="471"/>
      <c r="J1544" s="165"/>
      <c r="K1544" s="682"/>
      <c r="L1544" s="2"/>
    </row>
    <row r="1545" spans="2:12" x14ac:dyDescent="0.2">
      <c r="B1545" s="436"/>
      <c r="C1545" s="15"/>
      <c r="D1545" s="15"/>
      <c r="E1545" s="311">
        <f t="shared" si="201"/>
        <v>0</v>
      </c>
      <c r="F1545" s="16">
        <f t="shared" si="202"/>
        <v>0</v>
      </c>
      <c r="G1545" s="2"/>
      <c r="H1545" s="189"/>
      <c r="I1545" s="471"/>
      <c r="J1545" s="165"/>
      <c r="K1545" s="681"/>
      <c r="L1545" s="2"/>
    </row>
    <row r="1546" spans="2:12" x14ac:dyDescent="0.2">
      <c r="B1546" s="436"/>
      <c r="C1546" s="15"/>
      <c r="D1546" s="15"/>
      <c r="E1546" s="311">
        <f t="shared" si="201"/>
        <v>0</v>
      </c>
      <c r="F1546" s="16">
        <f t="shared" si="202"/>
        <v>0</v>
      </c>
      <c r="G1546" s="2"/>
      <c r="H1546" s="189"/>
      <c r="I1546" s="471"/>
      <c r="J1546" s="165"/>
      <c r="K1546" s="681"/>
      <c r="L1546" s="2"/>
    </row>
    <row r="1547" spans="2:12" x14ac:dyDescent="0.2">
      <c r="B1547" s="436"/>
      <c r="C1547" s="15"/>
      <c r="D1547" s="15"/>
      <c r="E1547" s="311">
        <f t="shared" si="201"/>
        <v>0</v>
      </c>
      <c r="F1547" s="16">
        <f t="shared" si="202"/>
        <v>0</v>
      </c>
      <c r="G1547" s="2"/>
      <c r="H1547" s="189"/>
      <c r="I1547" s="471"/>
      <c r="J1547" s="165"/>
      <c r="K1547" s="681"/>
      <c r="L1547" s="2"/>
    </row>
    <row r="1548" spans="2:12" x14ac:dyDescent="0.2">
      <c r="B1548" s="436"/>
      <c r="C1548" s="15"/>
      <c r="D1548" s="15"/>
      <c r="E1548" s="311">
        <f t="shared" si="201"/>
        <v>0</v>
      </c>
      <c r="F1548" s="16">
        <f t="shared" si="202"/>
        <v>0</v>
      </c>
      <c r="G1548" s="2"/>
      <c r="H1548" s="189"/>
      <c r="I1548" s="471"/>
      <c r="J1548" s="165"/>
      <c r="K1548" s="681"/>
      <c r="L1548" s="2"/>
    </row>
    <row r="1549" spans="2:12" ht="13.5" thickBot="1" x14ac:dyDescent="0.25">
      <c r="B1549" s="774"/>
      <c r="C1549" s="457"/>
      <c r="D1549" s="457"/>
      <c r="E1549" s="775">
        <f t="shared" si="201"/>
        <v>0</v>
      </c>
      <c r="F1549" s="459">
        <f t="shared" si="202"/>
        <v>0</v>
      </c>
      <c r="G1549" s="2"/>
      <c r="J1549" s="165"/>
      <c r="K1549" s="682"/>
      <c r="L1549" s="2"/>
    </row>
    <row r="1550" spans="2:12" ht="14.25" thickTop="1" thickBot="1" x14ac:dyDescent="0.25">
      <c r="B1550" s="424"/>
      <c r="F1550" s="165"/>
      <c r="G1550" s="2"/>
      <c r="J1550" s="165"/>
      <c r="K1550" s="682"/>
      <c r="L1550" s="2"/>
    </row>
    <row r="1551" spans="2:12" ht="13.5" thickTop="1" x14ac:dyDescent="0.2">
      <c r="B1551" s="452" t="s">
        <v>445</v>
      </c>
      <c r="C1551" s="776"/>
      <c r="D1551" s="776"/>
      <c r="E1551" s="776"/>
      <c r="F1551" s="455"/>
      <c r="G1551" s="2"/>
      <c r="J1551" s="165"/>
      <c r="K1551" s="682"/>
      <c r="L1551" s="2"/>
    </row>
    <row r="1552" spans="2:12" x14ac:dyDescent="0.2">
      <c r="B1552" s="436"/>
      <c r="C1552" s="71"/>
      <c r="D1552" s="71"/>
      <c r="E1552" s="71"/>
      <c r="F1552" s="16"/>
      <c r="G1552" s="2"/>
      <c r="J1552" s="165"/>
      <c r="K1552" s="682"/>
      <c r="L1552" s="2"/>
    </row>
    <row r="1553" spans="2:12" x14ac:dyDescent="0.2">
      <c r="B1553" s="436" t="s">
        <v>448</v>
      </c>
      <c r="C1553" s="15">
        <v>700</v>
      </c>
      <c r="D1553" s="15"/>
      <c r="E1553" s="71">
        <f t="shared" ref="E1553:E1570" si="203">C1553*$E$6</f>
        <v>420</v>
      </c>
      <c r="F1553" s="16">
        <f>C1553+D1553+E1553</f>
        <v>1120</v>
      </c>
      <c r="G1553" s="2"/>
      <c r="H1553" s="189"/>
      <c r="I1553" s="471"/>
      <c r="J1553" s="165"/>
      <c r="K1553" s="682"/>
      <c r="L1553" s="2"/>
    </row>
    <row r="1554" spans="2:12" x14ac:dyDescent="0.2">
      <c r="B1554" s="436" t="s">
        <v>1812</v>
      </c>
      <c r="C1554" s="15">
        <v>80</v>
      </c>
      <c r="D1554" s="15"/>
      <c r="E1554" s="71">
        <f t="shared" si="203"/>
        <v>48</v>
      </c>
      <c r="F1554" s="16">
        <f>C1554+D1554+E1554</f>
        <v>128</v>
      </c>
      <c r="G1554" s="2"/>
      <c r="H1554" s="189"/>
      <c r="I1554" s="471"/>
      <c r="J1554" s="165"/>
      <c r="K1554" s="682"/>
      <c r="L1554" s="2"/>
    </row>
    <row r="1555" spans="2:12" x14ac:dyDescent="0.2">
      <c r="B1555" s="436" t="s">
        <v>1813</v>
      </c>
      <c r="C1555" s="71">
        <v>1.7</v>
      </c>
      <c r="D1555" s="432"/>
      <c r="E1555" s="71">
        <f t="shared" si="203"/>
        <v>1.02</v>
      </c>
      <c r="F1555" s="16">
        <f>C1555+D1555+E1555</f>
        <v>2.7199999999999998</v>
      </c>
      <c r="G1555" s="2"/>
      <c r="J1555" s="165"/>
      <c r="K1555" s="682"/>
      <c r="L1555" s="2"/>
    </row>
    <row r="1556" spans="2:12" x14ac:dyDescent="0.2">
      <c r="B1556" s="436" t="s">
        <v>447</v>
      </c>
      <c r="C1556" s="71">
        <v>1.8</v>
      </c>
      <c r="D1556" s="432"/>
      <c r="E1556" s="71">
        <f t="shared" si="203"/>
        <v>1.08</v>
      </c>
      <c r="F1556" s="16">
        <f t="shared" ref="F1556:F1570" si="204">C1556+D1556+E1556</f>
        <v>2.88</v>
      </c>
      <c r="L1556" s="2"/>
    </row>
    <row r="1557" spans="2:12" x14ac:dyDescent="0.2">
      <c r="B1557" s="436" t="s">
        <v>1814</v>
      </c>
      <c r="C1557" s="71">
        <v>0.3</v>
      </c>
      <c r="D1557" s="432"/>
      <c r="E1557" s="71">
        <f t="shared" si="203"/>
        <v>0.18</v>
      </c>
      <c r="F1557" s="16">
        <f t="shared" si="204"/>
        <v>0.48</v>
      </c>
      <c r="L1557" s="2"/>
    </row>
    <row r="1558" spans="2:12" x14ac:dyDescent="0.2">
      <c r="B1558" s="128" t="s">
        <v>1815</v>
      </c>
      <c r="C1558" s="71">
        <v>45</v>
      </c>
      <c r="D1558" s="432"/>
      <c r="E1558" s="71">
        <f t="shared" si="203"/>
        <v>27</v>
      </c>
      <c r="F1558" s="16">
        <f t="shared" si="204"/>
        <v>72</v>
      </c>
      <c r="G1558" s="2"/>
      <c r="J1558" s="165"/>
      <c r="K1558" s="682"/>
      <c r="L1558" s="2"/>
    </row>
    <row r="1559" spans="2:12" x14ac:dyDescent="0.2">
      <c r="B1559" s="128" t="s">
        <v>1816</v>
      </c>
      <c r="C1559" s="71">
        <v>50</v>
      </c>
      <c r="D1559" s="432"/>
      <c r="E1559" s="71">
        <f t="shared" si="203"/>
        <v>30</v>
      </c>
      <c r="F1559" s="16">
        <f t="shared" si="204"/>
        <v>80</v>
      </c>
      <c r="G1559" s="2"/>
      <c r="J1559" s="430"/>
      <c r="K1559" s="517"/>
      <c r="L1559" s="2"/>
    </row>
    <row r="1560" spans="2:12" x14ac:dyDescent="0.2">
      <c r="B1560" s="128" t="s">
        <v>1817</v>
      </c>
      <c r="C1560" s="71">
        <v>25</v>
      </c>
      <c r="D1560" s="432"/>
      <c r="E1560" s="71">
        <f t="shared" si="203"/>
        <v>15</v>
      </c>
      <c r="F1560" s="16">
        <f t="shared" si="204"/>
        <v>40</v>
      </c>
      <c r="G1560" s="2"/>
      <c r="J1560" s="430"/>
      <c r="K1560" s="517"/>
      <c r="L1560" s="2"/>
    </row>
    <row r="1561" spans="2:12" x14ac:dyDescent="0.2">
      <c r="B1561" s="128" t="s">
        <v>1818</v>
      </c>
      <c r="C1561" s="71">
        <v>80</v>
      </c>
      <c r="D1561" s="432"/>
      <c r="E1561" s="71">
        <f t="shared" si="203"/>
        <v>48</v>
      </c>
      <c r="F1561" s="16">
        <f t="shared" si="204"/>
        <v>128</v>
      </c>
      <c r="G1561" s="2"/>
      <c r="J1561" s="430"/>
      <c r="K1561" s="517"/>
      <c r="L1561" s="2"/>
    </row>
    <row r="1562" spans="2:12" x14ac:dyDescent="0.2">
      <c r="B1562" s="436" t="s">
        <v>1819</v>
      </c>
      <c r="C1562" s="71">
        <v>350</v>
      </c>
      <c r="D1562" s="432"/>
      <c r="E1562" s="71">
        <f t="shared" si="203"/>
        <v>210</v>
      </c>
      <c r="F1562" s="16">
        <f t="shared" si="204"/>
        <v>560</v>
      </c>
      <c r="L1562" s="2"/>
    </row>
    <row r="1563" spans="2:12" x14ac:dyDescent="0.2">
      <c r="B1563" s="436" t="s">
        <v>449</v>
      </c>
      <c r="C1563" s="15">
        <v>80</v>
      </c>
      <c r="D1563" s="15"/>
      <c r="E1563" s="71">
        <f t="shared" si="203"/>
        <v>48</v>
      </c>
      <c r="F1563" s="16">
        <f t="shared" si="204"/>
        <v>128</v>
      </c>
      <c r="G1563" s="2"/>
      <c r="H1563" s="189"/>
      <c r="I1563" s="471"/>
      <c r="J1563" s="165"/>
      <c r="K1563" s="682"/>
      <c r="L1563" s="2"/>
    </row>
    <row r="1564" spans="2:12" x14ac:dyDescent="0.2">
      <c r="B1564" s="436"/>
      <c r="C1564" s="15"/>
      <c r="D1564" s="15"/>
      <c r="E1564" s="71"/>
      <c r="F1564" s="16"/>
      <c r="G1564" s="2"/>
      <c r="H1564" s="189"/>
      <c r="I1564" s="471"/>
      <c r="J1564" s="165"/>
      <c r="K1564" s="682"/>
      <c r="L1564" s="2"/>
    </row>
    <row r="1565" spans="2:12" x14ac:dyDescent="0.2">
      <c r="B1565" s="436"/>
      <c r="C1565" s="15"/>
      <c r="D1565" s="15"/>
      <c r="E1565" s="71">
        <f t="shared" si="203"/>
        <v>0</v>
      </c>
      <c r="F1565" s="16">
        <f t="shared" si="204"/>
        <v>0</v>
      </c>
      <c r="G1565" s="2"/>
      <c r="H1565" s="189"/>
      <c r="I1565" s="471"/>
      <c r="J1565" s="165"/>
      <c r="K1565" s="682"/>
      <c r="L1565" s="2"/>
    </row>
    <row r="1566" spans="2:12" x14ac:dyDescent="0.2">
      <c r="B1566" s="128"/>
      <c r="C1566" s="15"/>
      <c r="D1566" s="15"/>
      <c r="E1566" s="71">
        <f t="shared" si="203"/>
        <v>0</v>
      </c>
      <c r="F1566" s="16">
        <f t="shared" si="204"/>
        <v>0</v>
      </c>
      <c r="G1566" s="2"/>
      <c r="H1566" s="189"/>
      <c r="I1566" s="471"/>
      <c r="J1566" s="165"/>
      <c r="K1566" s="682"/>
      <c r="L1566" s="2"/>
    </row>
    <row r="1567" spans="2:12" x14ac:dyDescent="0.2">
      <c r="B1567" s="6" t="s">
        <v>450</v>
      </c>
      <c r="C1567" s="15">
        <v>2</v>
      </c>
      <c r="D1567" s="15"/>
      <c r="E1567" s="71">
        <f t="shared" si="203"/>
        <v>1.2</v>
      </c>
      <c r="F1567" s="16">
        <f t="shared" si="204"/>
        <v>3.2</v>
      </c>
      <c r="G1567" s="2"/>
      <c r="H1567" s="189"/>
      <c r="I1567" s="471"/>
      <c r="J1567" s="165"/>
      <c r="K1567" s="682"/>
      <c r="L1567" s="2"/>
    </row>
    <row r="1568" spans="2:12" x14ac:dyDescent="0.2">
      <c r="B1568" s="436" t="s">
        <v>451</v>
      </c>
      <c r="C1568" s="15">
        <v>250</v>
      </c>
      <c r="D1568" s="15"/>
      <c r="E1568" s="71">
        <f t="shared" si="203"/>
        <v>150</v>
      </c>
      <c r="F1568" s="16">
        <f t="shared" si="204"/>
        <v>400</v>
      </c>
      <c r="G1568" s="2"/>
      <c r="H1568" s="189"/>
      <c r="I1568" s="471"/>
      <c r="J1568" s="165"/>
      <c r="K1568" s="682"/>
      <c r="L1568" s="2"/>
    </row>
    <row r="1569" spans="2:12" x14ac:dyDescent="0.2">
      <c r="B1569" s="436"/>
      <c r="C1569" s="777"/>
      <c r="D1569" s="777"/>
      <c r="E1569" s="71">
        <f t="shared" si="203"/>
        <v>0</v>
      </c>
      <c r="F1569" s="16">
        <f t="shared" si="204"/>
        <v>0</v>
      </c>
      <c r="J1569" s="435"/>
      <c r="K1569" s="682"/>
      <c r="L1569" s="2"/>
    </row>
    <row r="1570" spans="2:12" x14ac:dyDescent="0.2">
      <c r="B1570" s="436"/>
      <c r="C1570" s="777"/>
      <c r="D1570" s="777"/>
      <c r="E1570" s="71">
        <f t="shared" si="203"/>
        <v>0</v>
      </c>
      <c r="F1570" s="16">
        <f t="shared" si="204"/>
        <v>0</v>
      </c>
      <c r="J1570" s="435"/>
      <c r="K1570" s="682"/>
      <c r="L1570" s="2"/>
    </row>
    <row r="1571" spans="2:12" x14ac:dyDescent="0.2">
      <c r="B1571" s="436"/>
      <c r="C1571" s="71"/>
      <c r="D1571" s="71"/>
      <c r="E1571" s="71"/>
      <c r="F1571" s="16"/>
      <c r="J1571" s="435"/>
      <c r="K1571" s="682"/>
      <c r="L1571" s="2"/>
    </row>
    <row r="1572" spans="2:12" ht="13.5" thickBot="1" x14ac:dyDescent="0.25">
      <c r="B1572" s="760"/>
      <c r="C1572" s="778"/>
      <c r="D1572" s="778"/>
      <c r="E1572" s="778"/>
      <c r="F1572" s="459"/>
      <c r="J1572" s="435"/>
      <c r="K1572" s="682"/>
      <c r="L1572" s="2"/>
    </row>
    <row r="1573" spans="2:12" ht="13.5" thickTop="1" x14ac:dyDescent="0.2">
      <c r="B1573" s="189"/>
      <c r="C1573" s="435"/>
      <c r="D1573" s="435"/>
      <c r="E1573" s="435"/>
      <c r="F1573" s="165"/>
      <c r="J1573" s="435"/>
      <c r="K1573" s="682"/>
      <c r="L1573" s="2"/>
    </row>
    <row r="1574" spans="2:12" x14ac:dyDescent="0.2">
      <c r="B1574" s="189"/>
      <c r="C1574" s="435"/>
      <c r="D1574" s="435"/>
      <c r="E1574" s="435"/>
      <c r="F1574" s="165"/>
      <c r="J1574" s="435"/>
      <c r="K1574" s="682"/>
      <c r="L1574" s="2"/>
    </row>
    <row r="1575" spans="2:12" x14ac:dyDescent="0.2">
      <c r="B1575" s="189"/>
      <c r="C1575" s="165"/>
      <c r="D1575" s="165"/>
      <c r="E1575" s="165"/>
      <c r="F1575" s="165"/>
      <c r="G1575" s="2"/>
      <c r="H1575" s="189"/>
      <c r="I1575" s="471"/>
      <c r="J1575" s="165"/>
      <c r="K1575" s="682"/>
      <c r="L1575" s="2"/>
    </row>
    <row r="1576" spans="2:12" x14ac:dyDescent="0.2">
      <c r="B1576" s="189"/>
      <c r="C1576" s="165"/>
      <c r="D1576" s="165"/>
      <c r="E1576" s="165"/>
      <c r="F1576" s="165"/>
      <c r="G1576" s="2"/>
      <c r="H1576" s="189"/>
      <c r="I1576" s="471"/>
      <c r="J1576" s="165"/>
      <c r="K1576" s="682"/>
      <c r="L1576" s="2"/>
    </row>
    <row r="1577" spans="2:12" x14ac:dyDescent="0.2">
      <c r="B1577" s="189"/>
      <c r="C1577" s="165"/>
      <c r="D1577" s="165"/>
      <c r="E1577" s="165"/>
      <c r="F1577" s="165"/>
      <c r="G1577" s="2"/>
      <c r="H1577" s="189"/>
      <c r="I1577" s="471"/>
      <c r="J1577" s="165"/>
      <c r="K1577" s="682"/>
      <c r="L1577" s="2"/>
    </row>
    <row r="1578" spans="2:12" x14ac:dyDescent="0.2">
      <c r="B1578" s="189"/>
      <c r="C1578" s="165"/>
      <c r="D1578" s="165"/>
      <c r="E1578" s="165"/>
      <c r="F1578" s="165"/>
      <c r="G1578" s="2"/>
      <c r="H1578" s="189"/>
      <c r="I1578" s="471"/>
      <c r="J1578" s="165"/>
      <c r="K1578" s="682"/>
      <c r="L1578" s="2"/>
    </row>
    <row r="1579" spans="2:12" x14ac:dyDescent="0.2">
      <c r="B1579" s="189"/>
      <c r="C1579" s="165"/>
      <c r="D1579" s="165"/>
      <c r="E1579" s="165"/>
      <c r="F1579" s="165"/>
      <c r="G1579" s="2"/>
      <c r="H1579" s="189"/>
      <c r="I1579" s="471"/>
      <c r="J1579" s="165"/>
      <c r="K1579" s="682"/>
      <c r="L1579" s="2"/>
    </row>
    <row r="1580" spans="2:12" x14ac:dyDescent="0.2">
      <c r="B1580" s="189"/>
      <c r="C1580" s="165"/>
      <c r="D1580" s="165"/>
      <c r="E1580" s="165"/>
      <c r="F1580" s="165"/>
      <c r="G1580" s="2"/>
      <c r="H1580" s="189"/>
      <c r="I1580" s="471"/>
      <c r="J1580" s="165"/>
      <c r="K1580" s="682"/>
      <c r="L1580" s="2"/>
    </row>
    <row r="1581" spans="2:12" x14ac:dyDescent="0.2">
      <c r="B1581" s="189"/>
      <c r="C1581" s="165"/>
      <c r="D1581" s="165"/>
      <c r="E1581" s="165"/>
      <c r="F1581" s="165"/>
      <c r="G1581" s="2"/>
      <c r="H1581" s="189"/>
      <c r="I1581" s="471"/>
      <c r="J1581" s="165"/>
      <c r="K1581" s="682"/>
      <c r="L1581" s="2"/>
    </row>
    <row r="1582" spans="2:12" x14ac:dyDescent="0.2">
      <c r="B1582" s="189"/>
      <c r="C1582" s="435"/>
      <c r="D1582" s="435"/>
      <c r="E1582" s="435"/>
      <c r="F1582" s="165"/>
      <c r="J1582" s="435"/>
      <c r="K1582" s="682"/>
      <c r="L1582" s="2"/>
    </row>
    <row r="1583" spans="2:12" x14ac:dyDescent="0.2">
      <c r="B1583" s="189"/>
      <c r="C1583" s="435"/>
      <c r="D1583" s="435"/>
      <c r="E1583" s="435"/>
      <c r="F1583" s="165"/>
      <c r="J1583" s="435"/>
      <c r="K1583" s="682"/>
      <c r="L1583" s="2"/>
    </row>
    <row r="1584" spans="2:12" x14ac:dyDescent="0.2">
      <c r="B1584" s="189"/>
      <c r="C1584" s="435"/>
      <c r="D1584" s="435"/>
      <c r="E1584" s="435"/>
      <c r="F1584" s="165"/>
      <c r="J1584" s="435"/>
      <c r="K1584" s="682"/>
      <c r="L1584" s="2"/>
    </row>
    <row r="1585" spans="2:12" x14ac:dyDescent="0.2">
      <c r="B1585" s="189"/>
      <c r="C1585" s="435"/>
      <c r="D1585" s="435"/>
      <c r="E1585" s="435"/>
      <c r="F1585" s="165"/>
      <c r="J1585" s="435"/>
      <c r="K1585" s="682"/>
      <c r="L1585" s="2"/>
    </row>
    <row r="1586" spans="2:12" x14ac:dyDescent="0.2">
      <c r="B1586" s="189"/>
      <c r="C1586" s="435"/>
      <c r="D1586" s="435"/>
      <c r="E1586" s="435"/>
      <c r="F1586" s="165"/>
      <c r="J1586" s="435"/>
      <c r="K1586" s="682"/>
      <c r="L1586" s="2"/>
    </row>
    <row r="1587" spans="2:12" x14ac:dyDescent="0.2">
      <c r="B1587" s="424"/>
      <c r="F1587" s="165"/>
      <c r="L1587" s="2"/>
    </row>
    <row r="1588" spans="2:12" x14ac:dyDescent="0.2">
      <c r="B1588" s="189"/>
      <c r="C1588" s="165"/>
      <c r="D1588" s="165"/>
      <c r="E1588" s="165"/>
      <c r="F1588" s="165"/>
      <c r="G1588" s="2"/>
      <c r="H1588" s="189"/>
      <c r="I1588" s="471"/>
      <c r="J1588" s="165"/>
      <c r="K1588" s="682"/>
      <c r="L1588" s="2"/>
    </row>
    <row r="1589" spans="2:12" x14ac:dyDescent="0.2">
      <c r="B1589" s="189"/>
      <c r="C1589" s="165"/>
      <c r="D1589" s="165"/>
      <c r="E1589" s="165"/>
      <c r="F1589" s="165"/>
      <c r="G1589" s="2"/>
      <c r="H1589" s="189"/>
      <c r="I1589" s="471"/>
      <c r="J1589" s="165"/>
      <c r="K1589" s="682"/>
      <c r="L1589" s="2"/>
    </row>
    <row r="1590" spans="2:12" x14ac:dyDescent="0.2">
      <c r="B1590" s="189"/>
      <c r="C1590" s="165"/>
      <c r="D1590" s="165"/>
      <c r="E1590" s="165"/>
      <c r="F1590" s="165"/>
      <c r="G1590" s="2"/>
      <c r="H1590" s="189"/>
      <c r="I1590" s="471"/>
      <c r="J1590" s="165"/>
      <c r="K1590" s="682"/>
      <c r="L1590" s="2"/>
    </row>
    <row r="1591" spans="2:12" x14ac:dyDescent="0.2">
      <c r="B1591" s="189"/>
      <c r="C1591" s="165"/>
      <c r="D1591" s="165"/>
      <c r="E1591" s="165"/>
      <c r="F1591" s="165"/>
      <c r="G1591" s="2"/>
      <c r="H1591" s="189"/>
      <c r="I1591" s="471"/>
      <c r="J1591" s="165"/>
      <c r="K1591" s="682"/>
      <c r="L1591" s="2"/>
    </row>
    <row r="1592" spans="2:12" x14ac:dyDescent="0.2">
      <c r="B1592" s="189"/>
      <c r="C1592" s="165"/>
      <c r="D1592" s="165"/>
      <c r="E1592" s="165"/>
      <c r="F1592" s="165"/>
      <c r="G1592" s="2"/>
      <c r="H1592" s="189"/>
      <c r="I1592" s="471"/>
      <c r="J1592" s="165"/>
      <c r="K1592" s="682"/>
      <c r="L1592" s="2"/>
    </row>
    <row r="1593" spans="2:12" x14ac:dyDescent="0.2">
      <c r="B1593" s="424"/>
      <c r="F1593" s="165"/>
      <c r="L1593" s="2"/>
    </row>
    <row r="1594" spans="2:12" x14ac:dyDescent="0.2">
      <c r="B1594" s="189"/>
      <c r="C1594" s="165"/>
      <c r="D1594" s="165"/>
      <c r="E1594" s="165"/>
      <c r="F1594" s="165"/>
      <c r="G1594" s="2"/>
      <c r="H1594" s="189"/>
      <c r="I1594" s="471"/>
      <c r="J1594" s="165"/>
      <c r="K1594" s="682"/>
      <c r="L1594" s="2"/>
    </row>
    <row r="1595" spans="2:12" x14ac:dyDescent="0.2">
      <c r="B1595" s="189"/>
      <c r="C1595" s="165"/>
      <c r="D1595" s="165"/>
      <c r="E1595" s="165"/>
      <c r="F1595" s="165"/>
      <c r="G1595" s="2"/>
      <c r="H1595" s="189"/>
      <c r="I1595" s="471"/>
      <c r="J1595" s="165"/>
      <c r="K1595" s="682"/>
      <c r="L1595" s="2"/>
    </row>
    <row r="1596" spans="2:12" x14ac:dyDescent="0.2">
      <c r="B1596" s="189"/>
      <c r="C1596" s="165"/>
      <c r="D1596" s="165"/>
      <c r="E1596" s="165"/>
      <c r="F1596" s="165"/>
      <c r="G1596" s="2"/>
      <c r="H1596" s="189"/>
      <c r="I1596" s="471"/>
      <c r="J1596" s="165"/>
      <c r="K1596" s="682"/>
      <c r="L1596" s="2"/>
    </row>
    <row r="1597" spans="2:12" x14ac:dyDescent="0.2">
      <c r="B1597" s="189"/>
      <c r="C1597" s="165"/>
      <c r="D1597" s="165"/>
      <c r="E1597" s="165"/>
      <c r="F1597" s="165"/>
      <c r="G1597" s="2"/>
      <c r="H1597" s="189"/>
      <c r="I1597" s="471"/>
      <c r="J1597" s="165"/>
      <c r="K1597" s="682"/>
      <c r="L1597" s="2"/>
    </row>
    <row r="1598" spans="2:12" x14ac:dyDescent="0.2">
      <c r="B1598" s="189"/>
      <c r="C1598" s="165"/>
      <c r="D1598" s="165"/>
      <c r="E1598" s="165"/>
      <c r="F1598" s="165"/>
      <c r="G1598" s="2"/>
      <c r="H1598" s="189"/>
      <c r="I1598" s="471"/>
      <c r="J1598" s="165"/>
      <c r="K1598" s="682"/>
      <c r="L1598" s="2"/>
    </row>
    <row r="1599" spans="2:12" x14ac:dyDescent="0.2">
      <c r="B1599" s="189"/>
      <c r="C1599" s="165"/>
      <c r="D1599" s="165"/>
      <c r="E1599" s="165"/>
      <c r="F1599" s="165"/>
      <c r="G1599" s="2"/>
      <c r="H1599" s="189"/>
      <c r="I1599" s="471"/>
      <c r="J1599" s="165"/>
      <c r="K1599" s="682"/>
      <c r="L1599" s="2"/>
    </row>
    <row r="1600" spans="2:12" x14ac:dyDescent="0.2">
      <c r="B1600" s="189"/>
      <c r="C1600" s="165"/>
      <c r="D1600" s="165"/>
      <c r="E1600" s="165"/>
      <c r="F1600" s="165"/>
      <c r="G1600" s="2"/>
      <c r="H1600" s="189"/>
      <c r="I1600" s="471"/>
      <c r="J1600" s="165"/>
      <c r="K1600" s="682"/>
      <c r="L1600" s="2"/>
    </row>
    <row r="1601" spans="2:12" x14ac:dyDescent="0.2">
      <c r="B1601" s="189"/>
      <c r="C1601" s="165"/>
      <c r="D1601" s="165"/>
      <c r="E1601" s="165"/>
      <c r="F1601" s="165"/>
      <c r="G1601" s="2"/>
      <c r="H1601" s="189"/>
      <c r="I1601" s="471"/>
      <c r="J1601" s="165"/>
      <c r="K1601" s="682"/>
      <c r="L1601" s="2"/>
    </row>
    <row r="1602" spans="2:12" x14ac:dyDescent="0.2">
      <c r="B1602" s="779"/>
      <c r="F1602" s="165"/>
      <c r="L1602" s="2"/>
    </row>
    <row r="1603" spans="2:12" x14ac:dyDescent="0.2">
      <c r="B1603" s="189"/>
      <c r="C1603" s="435"/>
      <c r="D1603" s="435"/>
      <c r="E1603" s="435"/>
      <c r="F1603" s="165"/>
      <c r="J1603" s="435"/>
      <c r="K1603" s="517"/>
      <c r="L1603" s="2"/>
    </row>
    <row r="1604" spans="2:12" x14ac:dyDescent="0.2">
      <c r="B1604" s="189"/>
      <c r="C1604" s="165"/>
      <c r="D1604" s="435"/>
      <c r="E1604" s="435"/>
      <c r="F1604" s="165"/>
      <c r="G1604" s="2"/>
      <c r="H1604" s="189"/>
      <c r="I1604" s="471"/>
      <c r="J1604" s="165"/>
      <c r="K1604" s="682"/>
      <c r="L1604" s="2"/>
    </row>
    <row r="1605" spans="2:12" x14ac:dyDescent="0.2">
      <c r="B1605" s="189"/>
      <c r="C1605" s="165"/>
      <c r="D1605" s="435"/>
      <c r="E1605" s="435"/>
      <c r="F1605" s="165"/>
      <c r="G1605" s="2"/>
      <c r="H1605" s="189"/>
      <c r="I1605" s="471"/>
      <c r="J1605" s="165"/>
      <c r="K1605" s="682"/>
      <c r="L1605" s="2"/>
    </row>
    <row r="1606" spans="2:12" x14ac:dyDescent="0.2">
      <c r="B1606" s="189"/>
      <c r="C1606" s="165"/>
      <c r="D1606" s="435"/>
      <c r="E1606" s="435"/>
      <c r="F1606" s="165"/>
      <c r="G1606" s="2"/>
      <c r="H1606" s="189"/>
      <c r="I1606" s="471"/>
      <c r="J1606" s="165"/>
      <c r="K1606" s="682"/>
      <c r="L1606" s="2"/>
    </row>
    <row r="1607" spans="2:12" x14ac:dyDescent="0.2">
      <c r="D1607" s="435"/>
      <c r="E1607" s="435"/>
      <c r="F1607" s="165"/>
      <c r="L1607" s="2"/>
    </row>
    <row r="1608" spans="2:12" x14ac:dyDescent="0.2">
      <c r="B1608" s="189"/>
      <c r="C1608" s="165"/>
      <c r="D1608" s="435"/>
      <c r="E1608" s="435"/>
      <c r="F1608" s="165"/>
      <c r="G1608" s="2"/>
      <c r="H1608" s="189"/>
      <c r="I1608" s="471"/>
      <c r="J1608" s="165"/>
      <c r="K1608" s="682"/>
      <c r="L1608" s="2"/>
    </row>
    <row r="1609" spans="2:12" x14ac:dyDescent="0.2">
      <c r="B1609" s="189"/>
      <c r="C1609" s="165"/>
      <c r="D1609" s="435"/>
      <c r="E1609" s="435"/>
      <c r="F1609" s="165"/>
      <c r="G1609" s="2"/>
      <c r="H1609" s="189"/>
      <c r="I1609" s="471"/>
      <c r="J1609" s="165"/>
      <c r="K1609" s="682"/>
      <c r="L1609" s="2"/>
    </row>
    <row r="1610" spans="2:12" x14ac:dyDescent="0.2">
      <c r="B1610" s="189"/>
      <c r="C1610" s="165"/>
      <c r="D1610" s="435"/>
      <c r="E1610" s="435"/>
      <c r="F1610" s="165"/>
      <c r="G1610" s="2"/>
      <c r="H1610" s="189"/>
      <c r="I1610" s="471"/>
      <c r="J1610" s="165"/>
      <c r="K1610" s="682"/>
      <c r="L1610" s="2"/>
    </row>
    <row r="1611" spans="2:12" x14ac:dyDescent="0.2">
      <c r="B1611" s="189"/>
      <c r="C1611" s="165"/>
      <c r="D1611" s="435"/>
      <c r="E1611" s="435"/>
      <c r="F1611" s="165"/>
      <c r="G1611" s="2"/>
      <c r="H1611" s="189"/>
      <c r="I1611" s="471"/>
      <c r="J1611" s="165"/>
      <c r="K1611" s="682"/>
      <c r="L1611" s="2"/>
    </row>
    <row r="1612" spans="2:12" x14ac:dyDescent="0.2">
      <c r="B1612" s="189"/>
      <c r="C1612" s="165"/>
      <c r="D1612" s="165"/>
      <c r="E1612" s="165"/>
      <c r="F1612" s="165"/>
      <c r="G1612" s="2"/>
      <c r="H1612" s="189"/>
      <c r="I1612" s="471"/>
      <c r="J1612" s="165"/>
      <c r="K1612" s="682"/>
      <c r="L1612" s="2"/>
    </row>
    <row r="1613" spans="2:12" x14ac:dyDescent="0.2">
      <c r="B1613" s="189"/>
      <c r="C1613" s="165"/>
      <c r="D1613" s="165"/>
      <c r="E1613" s="165"/>
      <c r="F1613" s="165"/>
      <c r="G1613" s="2"/>
      <c r="H1613" s="189"/>
      <c r="I1613" s="471"/>
      <c r="J1613" s="165"/>
      <c r="K1613" s="682"/>
      <c r="L1613" s="2"/>
    </row>
    <row r="1614" spans="2:12" x14ac:dyDescent="0.2">
      <c r="B1614" s="189"/>
      <c r="C1614" s="165"/>
      <c r="D1614" s="165"/>
      <c r="E1614" s="165"/>
      <c r="F1614" s="165"/>
      <c r="G1614" s="2"/>
      <c r="H1614" s="189"/>
      <c r="I1614" s="471"/>
      <c r="J1614" s="165"/>
      <c r="K1614" s="682"/>
      <c r="L1614" s="2"/>
    </row>
    <row r="1615" spans="2:12" x14ac:dyDescent="0.2">
      <c r="F1615" s="165"/>
      <c r="L1615" s="2"/>
    </row>
    <row r="1616" spans="2:12" x14ac:dyDescent="0.2">
      <c r="B1616" s="189"/>
      <c r="C1616" s="165"/>
      <c r="D1616" s="165"/>
      <c r="E1616" s="165"/>
      <c r="F1616" s="165"/>
      <c r="G1616" s="2"/>
      <c r="H1616" s="189"/>
      <c r="I1616" s="471"/>
      <c r="J1616" s="165"/>
      <c r="K1616" s="682"/>
      <c r="L1616" s="2"/>
    </row>
    <row r="1617" spans="2:12" x14ac:dyDescent="0.2">
      <c r="B1617" s="189"/>
      <c r="C1617" s="165"/>
      <c r="D1617" s="165"/>
      <c r="E1617" s="165"/>
      <c r="F1617" s="165"/>
      <c r="G1617" s="2"/>
      <c r="H1617" s="189"/>
      <c r="I1617" s="471"/>
      <c r="J1617" s="313"/>
      <c r="K1617" s="682"/>
      <c r="L1617" s="2"/>
    </row>
    <row r="1618" spans="2:12" x14ac:dyDescent="0.2">
      <c r="B1618" s="189"/>
      <c r="C1618" s="165"/>
      <c r="D1618" s="165"/>
      <c r="E1618" s="165"/>
      <c r="F1618" s="165"/>
      <c r="G1618" s="2"/>
      <c r="H1618" s="189"/>
      <c r="I1618" s="471"/>
      <c r="J1618" s="313"/>
      <c r="K1618" s="682"/>
      <c r="L1618" s="2"/>
    </row>
    <row r="1619" spans="2:12" x14ac:dyDescent="0.2">
      <c r="B1619" s="780"/>
      <c r="C1619" s="165"/>
      <c r="D1619" s="165"/>
      <c r="E1619" s="165"/>
      <c r="F1619" s="165"/>
      <c r="G1619" s="2"/>
      <c r="H1619" s="189"/>
      <c r="I1619" s="471"/>
      <c r="J1619" s="313"/>
      <c r="K1619" s="682"/>
      <c r="L1619" s="2"/>
    </row>
    <row r="1620" spans="2:12" x14ac:dyDescent="0.2">
      <c r="B1620" s="189"/>
      <c r="C1620" s="165"/>
      <c r="D1620" s="165"/>
      <c r="E1620" s="165"/>
      <c r="F1620" s="165"/>
      <c r="G1620" s="2"/>
      <c r="H1620" s="189"/>
      <c r="I1620" s="471"/>
      <c r="J1620" s="313"/>
      <c r="K1620" s="682"/>
      <c r="L1620" s="2"/>
    </row>
    <row r="1621" spans="2:12" x14ac:dyDescent="0.2">
      <c r="B1621" s="189"/>
      <c r="C1621" s="165"/>
      <c r="D1621" s="165"/>
      <c r="E1621" s="165"/>
      <c r="F1621" s="165"/>
      <c r="G1621" s="2"/>
      <c r="H1621" s="189"/>
      <c r="I1621" s="471"/>
      <c r="J1621" s="165"/>
      <c r="K1621" s="682"/>
      <c r="L1621" s="2"/>
    </row>
    <row r="1622" spans="2:12" x14ac:dyDescent="0.2">
      <c r="B1622" s="189"/>
      <c r="C1622" s="165"/>
      <c r="D1622" s="165"/>
      <c r="E1622" s="165"/>
      <c r="F1622" s="165"/>
      <c r="G1622" s="2"/>
      <c r="H1622" s="189"/>
      <c r="I1622" s="471"/>
      <c r="J1622" s="165"/>
      <c r="K1622" s="682"/>
      <c r="L1622" s="2"/>
    </row>
    <row r="1623" spans="2:12" x14ac:dyDescent="0.2">
      <c r="B1623" s="189"/>
      <c r="C1623" s="165"/>
      <c r="D1623" s="165"/>
      <c r="E1623" s="165"/>
      <c r="F1623" s="165"/>
      <c r="G1623" s="2"/>
      <c r="H1623" s="189"/>
      <c r="I1623" s="471"/>
      <c r="J1623" s="165"/>
      <c r="K1623" s="682"/>
      <c r="L1623" s="2"/>
    </row>
    <row r="1624" spans="2:12" x14ac:dyDescent="0.2">
      <c r="B1624" s="189"/>
      <c r="C1624" s="165"/>
      <c r="D1624" s="165"/>
      <c r="E1624" s="165"/>
      <c r="F1624" s="165"/>
      <c r="G1624" s="2"/>
      <c r="H1624" s="189"/>
      <c r="I1624" s="471"/>
      <c r="J1624" s="165"/>
      <c r="K1624" s="682"/>
      <c r="L1624" s="2"/>
    </row>
    <row r="1625" spans="2:12" x14ac:dyDescent="0.2">
      <c r="B1625" s="189"/>
      <c r="C1625" s="165"/>
      <c r="D1625" s="165"/>
      <c r="E1625" s="165"/>
      <c r="F1625" s="165"/>
      <c r="G1625" s="2"/>
      <c r="H1625" s="189"/>
      <c r="I1625" s="471"/>
      <c r="J1625" s="165"/>
      <c r="K1625" s="682"/>
      <c r="L1625" s="2"/>
    </row>
    <row r="1626" spans="2:12" x14ac:dyDescent="0.2">
      <c r="B1626" s="189"/>
      <c r="C1626" s="165"/>
      <c r="D1626" s="165"/>
      <c r="E1626" s="165"/>
      <c r="F1626" s="165"/>
      <c r="G1626" s="2"/>
      <c r="H1626" s="189"/>
      <c r="I1626" s="471"/>
      <c r="J1626" s="165"/>
      <c r="K1626" s="682"/>
      <c r="L1626" s="2"/>
    </row>
    <row r="1627" spans="2:12" x14ac:dyDescent="0.2">
      <c r="B1627" s="189"/>
      <c r="C1627" s="165"/>
      <c r="D1627" s="165"/>
      <c r="E1627" s="165"/>
      <c r="F1627" s="165"/>
      <c r="G1627" s="2"/>
      <c r="H1627" s="189"/>
      <c r="I1627" s="471"/>
      <c r="J1627" s="165"/>
      <c r="K1627" s="682"/>
      <c r="L1627" s="2"/>
    </row>
    <row r="1628" spans="2:12" x14ac:dyDescent="0.2">
      <c r="B1628" s="189"/>
      <c r="C1628" s="165"/>
      <c r="D1628" s="165"/>
      <c r="E1628" s="165"/>
      <c r="F1628" s="165"/>
      <c r="G1628" s="2"/>
      <c r="H1628" s="189"/>
      <c r="I1628" s="471"/>
      <c r="J1628" s="165"/>
      <c r="K1628" s="682"/>
      <c r="L1628" s="2"/>
    </row>
    <row r="1629" spans="2:12" x14ac:dyDescent="0.2">
      <c r="B1629" s="189"/>
      <c r="C1629" s="165"/>
      <c r="D1629" s="165"/>
      <c r="E1629" s="165"/>
      <c r="F1629" s="165"/>
      <c r="G1629" s="2"/>
      <c r="H1629" s="189"/>
      <c r="I1629" s="471"/>
      <c r="J1629" s="165"/>
      <c r="K1629" s="682"/>
      <c r="L1629" s="2"/>
    </row>
    <row r="1630" spans="2:12" x14ac:dyDescent="0.2">
      <c r="B1630" s="424"/>
      <c r="C1630" s="165"/>
      <c r="D1630" s="165"/>
      <c r="E1630" s="165"/>
      <c r="F1630" s="165"/>
      <c r="G1630" s="2"/>
      <c r="H1630" s="189"/>
      <c r="I1630" s="471"/>
      <c r="J1630" s="165"/>
      <c r="K1630" s="682"/>
      <c r="L1630" s="2"/>
    </row>
    <row r="1631" spans="2:12" x14ac:dyDescent="0.2">
      <c r="B1631" s="189"/>
      <c r="C1631" s="165"/>
      <c r="D1631" s="165"/>
      <c r="E1631" s="165"/>
      <c r="F1631" s="165"/>
      <c r="G1631" s="2"/>
      <c r="H1631" s="189"/>
      <c r="I1631" s="471"/>
      <c r="J1631" s="165"/>
      <c r="K1631" s="682"/>
      <c r="L1631" s="2"/>
    </row>
    <row r="1632" spans="2:12" x14ac:dyDescent="0.2">
      <c r="B1632" s="189"/>
      <c r="C1632" s="165"/>
      <c r="D1632" s="165"/>
      <c r="E1632" s="165"/>
      <c r="F1632" s="165"/>
      <c r="G1632" s="2"/>
      <c r="H1632" s="189"/>
      <c r="I1632" s="471"/>
      <c r="J1632" s="313"/>
      <c r="K1632" s="682"/>
      <c r="L1632" s="2"/>
    </row>
    <row r="1633" spans="2:12" x14ac:dyDescent="0.2">
      <c r="F1633" s="165"/>
      <c r="L1633" s="2"/>
    </row>
    <row r="1634" spans="2:12" x14ac:dyDescent="0.2">
      <c r="B1634" s="424"/>
      <c r="F1634" s="165"/>
      <c r="L1634" s="2"/>
    </row>
    <row r="1635" spans="2:12" x14ac:dyDescent="0.2">
      <c r="B1635" s="189"/>
      <c r="C1635" s="435"/>
      <c r="D1635" s="435"/>
      <c r="E1635" s="435"/>
      <c r="F1635" s="165"/>
      <c r="J1635" s="435"/>
      <c r="K1635" s="517"/>
      <c r="L1635" s="2"/>
    </row>
    <row r="1636" spans="2:12" x14ac:dyDescent="0.2">
      <c r="B1636" s="189"/>
      <c r="C1636" s="165"/>
      <c r="D1636" s="165"/>
      <c r="E1636" s="165"/>
      <c r="F1636" s="165"/>
      <c r="G1636" s="2"/>
      <c r="H1636" s="189"/>
      <c r="I1636" s="471"/>
      <c r="J1636" s="165"/>
      <c r="K1636" s="682"/>
      <c r="L1636" s="2"/>
    </row>
    <row r="1637" spans="2:12" x14ac:dyDescent="0.2">
      <c r="B1637" s="189"/>
      <c r="C1637" s="165"/>
      <c r="D1637" s="165"/>
      <c r="E1637" s="165"/>
      <c r="F1637" s="165"/>
      <c r="G1637" s="2"/>
      <c r="H1637" s="189"/>
      <c r="I1637" s="471"/>
      <c r="J1637" s="165"/>
      <c r="K1637" s="682"/>
      <c r="L1637" s="2"/>
    </row>
    <row r="1638" spans="2:12" x14ac:dyDescent="0.2">
      <c r="B1638" s="189"/>
      <c r="C1638" s="165"/>
      <c r="D1638" s="165"/>
      <c r="E1638" s="165"/>
      <c r="F1638" s="165"/>
      <c r="G1638" s="2"/>
      <c r="H1638" s="189"/>
      <c r="I1638" s="471"/>
      <c r="J1638" s="165"/>
      <c r="K1638" s="682"/>
      <c r="L1638" s="2"/>
    </row>
    <row r="1639" spans="2:12" x14ac:dyDescent="0.2">
      <c r="B1639" s="424"/>
      <c r="C1639" s="165"/>
      <c r="D1639" s="165"/>
      <c r="E1639" s="165"/>
      <c r="F1639" s="165"/>
      <c r="G1639" s="2"/>
      <c r="H1639" s="189"/>
      <c r="I1639" s="471"/>
      <c r="J1639" s="165"/>
      <c r="K1639" s="682"/>
      <c r="L1639" s="2"/>
    </row>
    <row r="1640" spans="2:12" x14ac:dyDescent="0.2">
      <c r="B1640" s="189"/>
      <c r="C1640" s="165"/>
      <c r="D1640" s="165"/>
      <c r="E1640" s="165"/>
      <c r="F1640" s="165"/>
      <c r="G1640" s="2"/>
      <c r="H1640" s="189"/>
      <c r="I1640" s="471"/>
      <c r="J1640" s="165"/>
      <c r="K1640" s="682"/>
      <c r="L1640" s="2"/>
    </row>
    <row r="1641" spans="2:12" x14ac:dyDescent="0.2">
      <c r="B1641" s="189"/>
      <c r="C1641" s="165"/>
      <c r="D1641" s="165"/>
      <c r="E1641" s="165"/>
      <c r="F1641" s="165"/>
      <c r="G1641" s="2"/>
      <c r="H1641" s="189"/>
      <c r="I1641" s="471"/>
      <c r="J1641" s="165"/>
      <c r="K1641" s="682"/>
      <c r="L1641" s="2"/>
    </row>
    <row r="1642" spans="2:12" x14ac:dyDescent="0.2">
      <c r="B1642" s="189"/>
      <c r="C1642" s="165"/>
      <c r="D1642" s="165"/>
      <c r="E1642" s="165"/>
      <c r="F1642" s="165"/>
      <c r="G1642" s="2"/>
      <c r="H1642" s="189"/>
      <c r="I1642" s="471"/>
      <c r="J1642" s="165"/>
      <c r="K1642" s="682"/>
      <c r="L1642" s="2"/>
    </row>
    <row r="1643" spans="2:12" x14ac:dyDescent="0.2">
      <c r="B1643" s="424"/>
      <c r="C1643" s="165"/>
      <c r="D1643" s="165"/>
      <c r="E1643" s="165"/>
      <c r="F1643" s="165"/>
      <c r="G1643" s="2"/>
      <c r="H1643" s="189"/>
      <c r="I1643" s="471"/>
      <c r="J1643" s="165"/>
      <c r="K1643" s="682"/>
      <c r="L1643" s="2"/>
    </row>
    <row r="1644" spans="2:12" x14ac:dyDescent="0.2">
      <c r="B1644" s="189"/>
      <c r="C1644" s="165"/>
      <c r="D1644" s="165"/>
      <c r="E1644" s="165"/>
      <c r="F1644" s="165"/>
      <c r="G1644" s="2"/>
      <c r="H1644" s="189"/>
      <c r="I1644" s="189"/>
      <c r="J1644" s="165"/>
      <c r="K1644" s="682"/>
      <c r="L1644" s="2"/>
    </row>
    <row r="1645" spans="2:12" x14ac:dyDescent="0.2">
      <c r="B1645" s="189"/>
      <c r="C1645" s="165"/>
      <c r="D1645" s="165"/>
      <c r="E1645" s="165"/>
      <c r="F1645" s="165"/>
      <c r="G1645" s="2"/>
      <c r="H1645" s="189"/>
      <c r="I1645" s="189"/>
      <c r="J1645" s="165"/>
      <c r="K1645" s="682"/>
      <c r="L1645" s="2"/>
    </row>
    <row r="1646" spans="2:12" x14ac:dyDescent="0.2">
      <c r="B1646" s="189"/>
      <c r="C1646" s="165"/>
      <c r="D1646" s="165"/>
      <c r="E1646" s="165"/>
      <c r="F1646" s="165"/>
      <c r="G1646" s="2"/>
      <c r="H1646" s="189"/>
      <c r="I1646" s="189"/>
      <c r="J1646" s="165"/>
      <c r="K1646" s="682"/>
    </row>
    <row r="1647" spans="2:12" x14ac:dyDescent="0.2">
      <c r="B1647" s="424"/>
      <c r="C1647" s="165"/>
      <c r="D1647" s="165"/>
      <c r="E1647" s="165"/>
      <c r="F1647" s="165"/>
      <c r="G1647" s="2"/>
      <c r="H1647" s="189"/>
      <c r="I1647" s="189"/>
      <c r="J1647" s="165"/>
      <c r="K1647" s="682"/>
    </row>
    <row r="1648" spans="2:12" x14ac:dyDescent="0.2">
      <c r="B1648" s="189"/>
      <c r="C1648" s="165"/>
      <c r="D1648" s="165"/>
      <c r="E1648" s="165"/>
      <c r="F1648" s="165"/>
      <c r="G1648" s="2"/>
      <c r="H1648" s="189"/>
      <c r="I1648" s="471"/>
      <c r="J1648" s="165"/>
      <c r="K1648" s="682"/>
    </row>
    <row r="1649" spans="2:11" x14ac:dyDescent="0.2">
      <c r="B1649" s="189"/>
      <c r="C1649" s="165"/>
      <c r="D1649" s="165"/>
      <c r="E1649" s="165"/>
      <c r="F1649" s="165"/>
      <c r="G1649" s="2"/>
      <c r="H1649" s="189"/>
      <c r="I1649" s="471"/>
      <c r="J1649" s="165"/>
      <c r="K1649" s="682"/>
    </row>
    <row r="1650" spans="2:11" x14ac:dyDescent="0.2">
      <c r="B1650" s="189"/>
      <c r="C1650" s="165"/>
      <c r="D1650" s="165"/>
      <c r="E1650" s="165"/>
      <c r="F1650" s="165"/>
      <c r="G1650" s="2"/>
      <c r="H1650" s="189"/>
      <c r="I1650" s="471"/>
      <c r="J1650" s="165"/>
      <c r="K1650" s="682"/>
    </row>
    <row r="1651" spans="2:11" x14ac:dyDescent="0.2">
      <c r="B1651" s="424"/>
      <c r="C1651" s="165"/>
      <c r="D1651" s="165"/>
      <c r="E1651" s="165"/>
      <c r="F1651" s="165"/>
      <c r="G1651" s="2"/>
      <c r="H1651" s="189"/>
      <c r="I1651" s="471"/>
      <c r="J1651" s="165"/>
      <c r="K1651" s="682"/>
    </row>
    <row r="1652" spans="2:11" x14ac:dyDescent="0.2">
      <c r="B1652" s="424"/>
      <c r="C1652" s="165"/>
      <c r="D1652" s="165"/>
      <c r="E1652" s="165"/>
      <c r="F1652" s="165"/>
      <c r="G1652" s="2"/>
      <c r="H1652" s="189"/>
      <c r="I1652" s="471"/>
      <c r="J1652" s="165"/>
      <c r="K1652" s="682"/>
    </row>
    <row r="1653" spans="2:11" x14ac:dyDescent="0.2">
      <c r="B1653" s="189"/>
      <c r="C1653" s="165"/>
      <c r="D1653" s="165"/>
      <c r="E1653" s="165"/>
      <c r="F1653" s="165"/>
      <c r="G1653" s="2"/>
      <c r="H1653" s="189"/>
      <c r="I1653" s="471"/>
      <c r="J1653" s="165"/>
      <c r="K1653" s="681"/>
    </row>
    <row r="1654" spans="2:11" x14ac:dyDescent="0.2">
      <c r="B1654" s="189"/>
      <c r="C1654" s="165"/>
      <c r="D1654" s="165"/>
      <c r="E1654" s="165"/>
      <c r="F1654" s="165"/>
      <c r="G1654" s="2"/>
      <c r="H1654" s="189"/>
      <c r="I1654" s="471"/>
      <c r="J1654" s="165"/>
      <c r="K1654" s="681"/>
    </row>
    <row r="1655" spans="2:11" x14ac:dyDescent="0.2">
      <c r="B1655" s="189"/>
      <c r="C1655" s="165"/>
      <c r="D1655" s="165"/>
      <c r="E1655" s="165"/>
      <c r="F1655" s="165"/>
      <c r="G1655" s="2"/>
      <c r="H1655" s="189"/>
      <c r="I1655" s="471"/>
      <c r="J1655" s="165"/>
      <c r="K1655" s="681"/>
    </row>
    <row r="1656" spans="2:11" x14ac:dyDescent="0.2">
      <c r="B1656" s="189"/>
      <c r="C1656" s="165"/>
      <c r="D1656" s="165"/>
      <c r="E1656" s="165"/>
      <c r="F1656" s="165"/>
      <c r="G1656" s="2"/>
      <c r="H1656" s="189"/>
      <c r="I1656" s="471"/>
      <c r="J1656" s="165"/>
      <c r="K1656" s="681"/>
    </row>
    <row r="1657" spans="2:11" x14ac:dyDescent="0.2">
      <c r="B1657" s="189"/>
      <c r="C1657" s="165"/>
      <c r="D1657" s="165"/>
      <c r="E1657" s="165"/>
      <c r="F1657" s="165"/>
      <c r="G1657" s="2"/>
      <c r="H1657" s="189"/>
      <c r="I1657" s="471"/>
      <c r="J1657" s="165"/>
      <c r="K1657" s="681"/>
    </row>
    <row r="1658" spans="2:11" x14ac:dyDescent="0.2">
      <c r="B1658" s="189"/>
      <c r="C1658" s="165"/>
      <c r="D1658" s="165"/>
      <c r="E1658" s="165"/>
      <c r="F1658" s="165"/>
      <c r="G1658" s="2"/>
      <c r="H1658" s="189"/>
      <c r="I1658" s="471"/>
      <c r="J1658" s="165"/>
      <c r="K1658" s="681"/>
    </row>
    <row r="1659" spans="2:11" x14ac:dyDescent="0.2">
      <c r="B1659" s="189"/>
      <c r="C1659" s="165"/>
      <c r="D1659" s="165"/>
      <c r="E1659" s="165"/>
      <c r="F1659" s="165"/>
      <c r="G1659" s="2"/>
      <c r="H1659" s="189"/>
      <c r="I1659" s="471"/>
      <c r="J1659" s="165"/>
      <c r="K1659" s="681"/>
    </row>
    <row r="1660" spans="2:11" x14ac:dyDescent="0.2">
      <c r="B1660" s="189"/>
      <c r="C1660" s="165"/>
      <c r="D1660" s="165"/>
      <c r="E1660" s="165"/>
      <c r="F1660" s="165"/>
      <c r="G1660" s="2"/>
      <c r="H1660" s="189"/>
      <c r="I1660" s="471"/>
      <c r="J1660" s="165"/>
      <c r="K1660" s="681"/>
    </row>
    <row r="1661" spans="2:11" x14ac:dyDescent="0.2">
      <c r="B1661" s="424"/>
      <c r="C1661" s="165"/>
      <c r="D1661" s="165"/>
      <c r="E1661" s="165"/>
      <c r="F1661" s="165"/>
      <c r="G1661" s="2"/>
      <c r="H1661" s="189"/>
      <c r="I1661" s="471"/>
      <c r="J1661" s="165"/>
      <c r="K1661" s="682"/>
    </row>
    <row r="1662" spans="2:11" x14ac:dyDescent="0.2">
      <c r="B1662" s="424"/>
      <c r="C1662" s="165"/>
      <c r="D1662" s="165"/>
      <c r="E1662" s="165"/>
      <c r="F1662" s="165"/>
      <c r="G1662" s="2"/>
      <c r="H1662" s="189"/>
      <c r="I1662" s="471"/>
      <c r="J1662" s="165"/>
      <c r="K1662" s="682"/>
    </row>
    <row r="1663" spans="2:11" x14ac:dyDescent="0.2">
      <c r="B1663" s="781"/>
      <c r="C1663" s="165"/>
      <c r="D1663" s="165"/>
      <c r="E1663" s="165"/>
      <c r="F1663" s="165"/>
      <c r="G1663" s="2"/>
      <c r="H1663" s="189"/>
      <c r="I1663" s="471"/>
      <c r="J1663" s="165"/>
      <c r="K1663" s="682"/>
    </row>
    <row r="1664" spans="2:11" x14ac:dyDescent="0.2">
      <c r="B1664" s="781"/>
      <c r="C1664" s="165"/>
      <c r="D1664" s="165"/>
      <c r="E1664" s="165"/>
      <c r="F1664" s="165"/>
      <c r="G1664" s="2"/>
      <c r="H1664" s="189"/>
      <c r="I1664" s="471"/>
      <c r="J1664" s="165"/>
      <c r="K1664" s="682"/>
    </row>
    <row r="1665" spans="2:11" x14ac:dyDescent="0.2">
      <c r="B1665" s="781"/>
      <c r="C1665" s="165"/>
      <c r="D1665" s="165"/>
      <c r="E1665" s="165"/>
      <c r="F1665" s="165"/>
      <c r="G1665" s="2"/>
      <c r="H1665" s="189"/>
      <c r="I1665" s="471"/>
      <c r="J1665" s="165"/>
      <c r="K1665" s="682"/>
    </row>
    <row r="1666" spans="2:11" x14ac:dyDescent="0.2">
      <c r="B1666" s="781"/>
      <c r="C1666" s="165"/>
      <c r="D1666" s="165"/>
      <c r="E1666" s="165"/>
      <c r="F1666" s="165"/>
      <c r="G1666" s="2"/>
      <c r="H1666" s="189"/>
      <c r="I1666" s="471"/>
      <c r="J1666" s="165"/>
      <c r="K1666" s="682"/>
    </row>
    <row r="1667" spans="2:11" x14ac:dyDescent="0.2">
      <c r="B1667" s="781"/>
      <c r="C1667" s="165"/>
      <c r="D1667" s="165"/>
      <c r="E1667" s="165"/>
      <c r="F1667" s="165"/>
      <c r="G1667" s="2"/>
      <c r="H1667" s="189"/>
      <c r="I1667" s="471"/>
      <c r="J1667" s="165"/>
      <c r="K1667" s="682"/>
    </row>
    <row r="1668" spans="2:11" x14ac:dyDescent="0.2">
      <c r="B1668" s="781"/>
      <c r="C1668" s="165"/>
      <c r="D1668" s="165"/>
      <c r="E1668" s="165"/>
      <c r="F1668" s="165"/>
      <c r="G1668" s="2"/>
      <c r="H1668" s="189"/>
      <c r="I1668" s="471"/>
      <c r="J1668" s="165"/>
      <c r="K1668" s="682"/>
    </row>
    <row r="1669" spans="2:11" x14ac:dyDescent="0.2">
      <c r="B1669" s="781"/>
      <c r="C1669" s="165"/>
      <c r="D1669" s="165"/>
      <c r="E1669" s="165"/>
      <c r="F1669" s="165"/>
      <c r="G1669" s="2"/>
      <c r="H1669" s="189"/>
      <c r="I1669" s="189"/>
      <c r="J1669" s="165"/>
      <c r="K1669" s="682"/>
    </row>
    <row r="1670" spans="2:11" x14ac:dyDescent="0.2">
      <c r="B1670" s="781"/>
      <c r="C1670" s="165"/>
      <c r="D1670" s="165"/>
      <c r="E1670" s="165"/>
      <c r="F1670" s="165"/>
      <c r="G1670" s="2"/>
      <c r="H1670" s="189"/>
      <c r="I1670" s="189"/>
      <c r="J1670" s="165"/>
      <c r="K1670" s="682"/>
    </row>
    <row r="1671" spans="2:11" x14ac:dyDescent="0.2">
      <c r="B1671" s="781"/>
      <c r="C1671" s="165"/>
      <c r="D1671" s="165"/>
      <c r="E1671" s="165"/>
      <c r="F1671" s="165"/>
      <c r="G1671" s="2"/>
      <c r="H1671" s="189"/>
      <c r="I1671" s="471"/>
      <c r="J1671" s="165"/>
      <c r="K1671" s="682"/>
    </row>
    <row r="1672" spans="2:11" x14ac:dyDescent="0.2">
      <c r="B1672" s="781"/>
      <c r="C1672" s="165"/>
      <c r="D1672" s="165"/>
      <c r="E1672" s="165"/>
      <c r="F1672" s="165"/>
      <c r="G1672" s="2"/>
      <c r="H1672" s="189"/>
      <c r="I1672" s="471"/>
      <c r="J1672" s="165"/>
      <c r="K1672" s="682"/>
    </row>
    <row r="1673" spans="2:11" x14ac:dyDescent="0.2">
      <c r="B1673" s="781"/>
      <c r="C1673" s="165"/>
      <c r="D1673" s="165"/>
      <c r="E1673" s="165"/>
      <c r="F1673" s="165"/>
      <c r="G1673" s="2"/>
      <c r="H1673" s="189"/>
      <c r="I1673" s="471"/>
      <c r="J1673" s="165"/>
      <c r="K1673" s="682"/>
    </row>
    <row r="1674" spans="2:11" x14ac:dyDescent="0.2">
      <c r="B1674" s="781"/>
      <c r="C1674" s="165"/>
      <c r="D1674" s="165"/>
      <c r="E1674" s="165"/>
      <c r="F1674" s="165"/>
      <c r="G1674" s="2"/>
      <c r="H1674" s="189"/>
      <c r="I1674" s="471"/>
      <c r="J1674" s="165"/>
      <c r="K1674" s="682"/>
    </row>
    <row r="1675" spans="2:11" x14ac:dyDescent="0.2">
      <c r="B1675" s="189"/>
      <c r="C1675" s="165"/>
      <c r="D1675" s="165"/>
      <c r="E1675" s="165"/>
      <c r="F1675" s="165"/>
      <c r="G1675" s="2"/>
      <c r="H1675" s="189"/>
      <c r="I1675" s="471"/>
      <c r="J1675" s="165"/>
      <c r="K1675" s="766"/>
    </row>
    <row r="1676" spans="2:11" x14ac:dyDescent="0.2">
      <c r="C1676" s="165"/>
      <c r="D1676" s="165"/>
      <c r="E1676" s="165"/>
      <c r="F1676" s="165"/>
      <c r="G1676" s="2"/>
      <c r="H1676" s="189"/>
      <c r="I1676" s="471"/>
      <c r="J1676" s="165"/>
      <c r="K1676" s="682"/>
    </row>
    <row r="1677" spans="2:11" x14ac:dyDescent="0.2">
      <c r="B1677" s="189"/>
      <c r="C1677" s="165"/>
      <c r="D1677" s="165"/>
      <c r="E1677" s="165"/>
      <c r="F1677" s="165"/>
      <c r="G1677" s="2"/>
      <c r="H1677" s="189"/>
      <c r="I1677" s="471"/>
      <c r="J1677" s="165"/>
      <c r="K1677" s="682"/>
    </row>
  </sheetData>
  <sheetProtection selectLockedCells="1"/>
  <mergeCells count="9">
    <mergeCell ref="C1140:D1140"/>
    <mergeCell ref="K1140:K1141"/>
    <mergeCell ref="K1455:K1456"/>
    <mergeCell ref="B2:K3"/>
    <mergeCell ref="I373:J373"/>
    <mergeCell ref="I696:I697"/>
    <mergeCell ref="K900:K901"/>
    <mergeCell ref="K1013:K1014"/>
    <mergeCell ref="C1014:D1014"/>
  </mergeCells>
  <pageMargins left="0" right="0" top="0.39370078740157483" bottom="0" header="0.51181102362204722" footer="0.51181102362204722"/>
  <pageSetup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Quotation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Thông Phạm</dc:creator>
  <cp:lastModifiedBy>Thông Phạm</cp:lastModifiedBy>
  <dcterms:created xsi:type="dcterms:W3CDTF">2024-03-09T04:09:02Z</dcterms:created>
  <dcterms:modified xsi:type="dcterms:W3CDTF">2024-03-12T04:22:49Z</dcterms:modified>
</cp:coreProperties>
</file>